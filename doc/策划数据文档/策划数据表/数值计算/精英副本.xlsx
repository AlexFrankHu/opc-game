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0" yWindow="90" windowWidth="19200" windowHeight="11640" activeTab="5"/>
  </bookViews>
  <sheets>
    <sheet name="Sheet1" sheetId="1" r:id="rId1"/>
    <sheet name="战士难度" sheetId="2" r:id="rId2"/>
    <sheet name="猎人难度" sheetId="3" r:id="rId3"/>
    <sheet name="法师难度" sheetId="4" r:id="rId4"/>
    <sheet name="怪物抗性与玩家穿透" sheetId="5" r:id="rId5"/>
    <sheet name="怪物模型" sheetId="6" r:id="rId6"/>
    <sheet name="怪物生成器" sheetId="7" r:id="rId7"/>
  </sheets>
  <externalReferences>
    <externalReference r:id="rId8"/>
    <externalReference r:id="rId9"/>
    <externalReference r:id="rId10"/>
  </externalReferences>
  <calcPr calcId="124519"/>
</workbook>
</file>

<file path=xl/calcChain.xml><?xml version="1.0" encoding="utf-8"?>
<calcChain xmlns="http://schemas.openxmlformats.org/spreadsheetml/2006/main">
  <c r="I4" i="1"/>
  <c r="B2"/>
  <c r="I2" s="1"/>
  <c r="B3"/>
  <c r="I3" s="1"/>
  <c r="B4"/>
  <c r="B5"/>
  <c r="I5" s="1"/>
  <c r="B6"/>
  <c r="I6" s="1"/>
  <c r="B7"/>
  <c r="I7" s="1"/>
  <c r="B8"/>
  <c r="I8" s="1"/>
  <c r="B9"/>
  <c r="I9" s="1"/>
  <c r="B10"/>
  <c r="I10" s="1"/>
  <c r="B11"/>
  <c r="I11" s="1"/>
  <c r="B12"/>
  <c r="I12" s="1"/>
  <c r="B13"/>
  <c r="I13" s="1"/>
  <c r="B14"/>
  <c r="I14" s="1"/>
  <c r="B15"/>
  <c r="I15" s="1"/>
  <c r="B16"/>
  <c r="I16" s="1"/>
  <c r="C2"/>
  <c r="C3"/>
  <c r="C4"/>
  <c r="C5"/>
  <c r="C6"/>
  <c r="C7"/>
  <c r="C8"/>
  <c r="C9"/>
  <c r="C10"/>
  <c r="C11"/>
  <c r="C12"/>
  <c r="C13"/>
  <c r="C14"/>
  <c r="C15"/>
  <c r="C16"/>
  <c r="B50"/>
  <c r="C50"/>
  <c r="B51"/>
  <c r="I51" s="1"/>
  <c r="C51"/>
  <c r="B52"/>
  <c r="C52"/>
  <c r="B53"/>
  <c r="I53" s="1"/>
  <c r="C53"/>
  <c r="B54"/>
  <c r="C54"/>
  <c r="B55"/>
  <c r="I55" s="1"/>
  <c r="C55"/>
  <c r="B56"/>
  <c r="C56"/>
  <c r="B57"/>
  <c r="I57" s="1"/>
  <c r="C57"/>
  <c r="B58"/>
  <c r="C58"/>
  <c r="B59"/>
  <c r="I59" s="1"/>
  <c r="C59"/>
  <c r="B60"/>
  <c r="C60"/>
  <c r="B61"/>
  <c r="I61" s="1"/>
  <c r="C61"/>
  <c r="B62"/>
  <c r="C62"/>
  <c r="B63"/>
  <c r="I63" s="1"/>
  <c r="C63"/>
  <c r="B64"/>
  <c r="C64"/>
  <c r="B98"/>
  <c r="I98" s="1"/>
  <c r="C98"/>
  <c r="B99"/>
  <c r="C99"/>
  <c r="B100"/>
  <c r="I100" s="1"/>
  <c r="C100"/>
  <c r="B101"/>
  <c r="C101"/>
  <c r="B102"/>
  <c r="I102" s="1"/>
  <c r="C102"/>
  <c r="B103"/>
  <c r="C103"/>
  <c r="B104"/>
  <c r="I104" s="1"/>
  <c r="C104"/>
  <c r="B105"/>
  <c r="C105"/>
  <c r="B106"/>
  <c r="I106" s="1"/>
  <c r="C106"/>
  <c r="B107"/>
  <c r="C107"/>
  <c r="B108"/>
  <c r="I108" s="1"/>
  <c r="C108"/>
  <c r="B109"/>
  <c r="C109"/>
  <c r="B110"/>
  <c r="I110" s="1"/>
  <c r="C110"/>
  <c r="B111"/>
  <c r="C111"/>
  <c r="B112"/>
  <c r="I112" s="1"/>
  <c r="C112"/>
  <c r="I64"/>
  <c r="I60"/>
  <c r="I56"/>
  <c r="I52"/>
  <c r="E2"/>
  <c r="E3"/>
  <c r="E4"/>
  <c r="E5"/>
  <c r="E6"/>
  <c r="E7"/>
  <c r="E8"/>
  <c r="E9"/>
  <c r="E10"/>
  <c r="E11"/>
  <c r="E12"/>
  <c r="E13"/>
  <c r="E14"/>
  <c r="E15"/>
  <c r="E16"/>
  <c r="I111"/>
  <c r="I109"/>
  <c r="I107"/>
  <c r="I105"/>
  <c r="I103"/>
  <c r="I101"/>
  <c r="I99"/>
  <c r="I62"/>
  <c r="I58"/>
  <c r="I54"/>
  <c r="I50"/>
  <c r="A2" i="4" l="1"/>
  <c r="A3" s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2" i="3"/>
  <c r="A3" s="1"/>
  <c r="A4" s="1"/>
  <c r="A5" s="1"/>
  <c r="A6" s="1"/>
  <c r="A3" i="2"/>
  <c r="A4" s="1"/>
  <c r="A5" s="1"/>
  <c r="A6" s="1"/>
  <c r="A2"/>
  <c r="A7" i="3" l="1"/>
  <c r="A8" s="1"/>
  <c r="A9" s="1"/>
  <c r="A10" s="1"/>
  <c r="A11" s="1"/>
  <c r="A12" s="1"/>
  <c r="A13" s="1"/>
  <c r="A14" s="1"/>
  <c r="A15" s="1"/>
  <c r="A16" s="1"/>
  <c r="A17" s="1"/>
  <c r="A18" s="1"/>
  <c r="A7" i="2"/>
  <c r="A8" s="1"/>
  <c r="A9" s="1"/>
  <c r="A10" s="1"/>
  <c r="A11" s="1"/>
  <c r="A12" s="1"/>
  <c r="A13" s="1"/>
  <c r="A14" s="1"/>
  <c r="A15" s="1"/>
  <c r="A16" s="1"/>
  <c r="A17" s="1"/>
  <c r="A18" s="1"/>
  <c r="A18" i="4"/>
  <c r="B3" i="7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2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L397" s="1"/>
  <c r="A398"/>
  <c r="A399"/>
  <c r="A400"/>
  <c r="A401"/>
  <c r="A402"/>
  <c r="A403"/>
  <c r="A404"/>
  <c r="A405"/>
  <c r="A406"/>
  <c r="A407"/>
  <c r="A408"/>
  <c r="L408" s="1"/>
  <c r="A409"/>
  <c r="A410"/>
  <c r="A411"/>
  <c r="A412"/>
  <c r="A413"/>
  <c r="A414"/>
  <c r="A415"/>
  <c r="A416"/>
  <c r="A417"/>
  <c r="A418"/>
  <c r="A419"/>
  <c r="L419" s="1"/>
  <c r="A420"/>
  <c r="A421"/>
  <c r="A422"/>
  <c r="A423"/>
  <c r="A424"/>
  <c r="A425"/>
  <c r="A426"/>
  <c r="A427"/>
  <c r="A428"/>
  <c r="A429"/>
  <c r="A430"/>
  <c r="L430" s="1"/>
  <c r="A431"/>
  <c r="A432"/>
  <c r="A433"/>
  <c r="A434"/>
  <c r="A435"/>
  <c r="A436"/>
  <c r="A437"/>
  <c r="A438"/>
  <c r="A439"/>
  <c r="A440"/>
  <c r="A441"/>
  <c r="L441" s="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L71" s="1"/>
  <c r="A72"/>
  <c r="A73"/>
  <c r="A74"/>
  <c r="A75"/>
  <c r="A76"/>
  <c r="A77"/>
  <c r="A78"/>
  <c r="A79"/>
  <c r="A80"/>
  <c r="A81"/>
  <c r="A82"/>
  <c r="L82" s="1"/>
  <c r="A83"/>
  <c r="A84"/>
  <c r="A85"/>
  <c r="A86"/>
  <c r="A87"/>
  <c r="A88"/>
  <c r="A89"/>
  <c r="A90"/>
  <c r="A91"/>
  <c r="A92"/>
  <c r="A93"/>
  <c r="L93" s="1"/>
  <c r="A94"/>
  <c r="A95"/>
  <c r="A96"/>
  <c r="A97"/>
  <c r="A98"/>
  <c r="A99"/>
  <c r="A100"/>
  <c r="A101"/>
  <c r="A102"/>
  <c r="A103"/>
  <c r="A104"/>
  <c r="L104" s="1"/>
  <c r="A105"/>
  <c r="A106"/>
  <c r="A107"/>
  <c r="A108"/>
  <c r="A109"/>
  <c r="A110"/>
  <c r="A111"/>
  <c r="A112"/>
  <c r="A113"/>
  <c r="A114"/>
  <c r="A115"/>
  <c r="L115" s="1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L234" s="1"/>
  <c r="A235"/>
  <c r="A236"/>
  <c r="A237"/>
  <c r="A238"/>
  <c r="A239"/>
  <c r="A240"/>
  <c r="A241"/>
  <c r="A242"/>
  <c r="A243"/>
  <c r="A244"/>
  <c r="A245"/>
  <c r="L245" s="1"/>
  <c r="A246"/>
  <c r="A247"/>
  <c r="A248"/>
  <c r="A249"/>
  <c r="A250"/>
  <c r="A251"/>
  <c r="A252"/>
  <c r="A253"/>
  <c r="A254"/>
  <c r="A255"/>
  <c r="A256"/>
  <c r="L256" s="1"/>
  <c r="A257"/>
  <c r="A258"/>
  <c r="A259"/>
  <c r="A260"/>
  <c r="A261"/>
  <c r="A262"/>
  <c r="A263"/>
  <c r="A264"/>
  <c r="A265"/>
  <c r="A266"/>
  <c r="A267"/>
  <c r="L267" s="1"/>
  <c r="A268"/>
  <c r="A269"/>
  <c r="A270"/>
  <c r="A271"/>
  <c r="A272"/>
  <c r="A273"/>
  <c r="A274"/>
  <c r="A275"/>
  <c r="A276"/>
  <c r="A277"/>
  <c r="A278"/>
  <c r="L278" s="1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2"/>
  <c r="L315" l="1"/>
  <c r="L307"/>
  <c r="L299"/>
  <c r="L295"/>
  <c r="L283"/>
  <c r="L275"/>
  <c r="L263"/>
  <c r="L251"/>
  <c r="L243"/>
  <c r="L239"/>
  <c r="L231"/>
  <c r="L215"/>
  <c r="L207"/>
  <c r="L203"/>
  <c r="L199"/>
  <c r="L191"/>
  <c r="L175"/>
  <c r="L171"/>
  <c r="L159"/>
  <c r="L151"/>
  <c r="L139"/>
  <c r="L127"/>
  <c r="L107"/>
  <c r="L103"/>
  <c r="L95"/>
  <c r="L91"/>
  <c r="L83"/>
  <c r="L75"/>
  <c r="L67"/>
  <c r="L59"/>
  <c r="L55"/>
  <c r="L47"/>
  <c r="L31"/>
  <c r="L27"/>
  <c r="L11"/>
  <c r="L487"/>
  <c r="L483"/>
  <c r="L467"/>
  <c r="L463"/>
  <c r="L459"/>
  <c r="L451"/>
  <c r="L447"/>
  <c r="L435"/>
  <c r="L427"/>
  <c r="L415"/>
  <c r="L403"/>
  <c r="L395"/>
  <c r="L391"/>
  <c r="L383"/>
  <c r="L367"/>
  <c r="L363"/>
  <c r="L347"/>
  <c r="L327"/>
  <c r="L323"/>
  <c r="L2"/>
  <c r="L311"/>
  <c r="L303"/>
  <c r="L291"/>
  <c r="L287"/>
  <c r="L279"/>
  <c r="L271"/>
  <c r="L259"/>
  <c r="L255"/>
  <c r="L247"/>
  <c r="L235"/>
  <c r="L227"/>
  <c r="L223"/>
  <c r="L219"/>
  <c r="L211"/>
  <c r="L195"/>
  <c r="L187"/>
  <c r="L183"/>
  <c r="L179"/>
  <c r="L167"/>
  <c r="L163"/>
  <c r="L147"/>
  <c r="L135"/>
  <c r="L123"/>
  <c r="L111"/>
  <c r="L99"/>
  <c r="L87"/>
  <c r="L79"/>
  <c r="L63"/>
  <c r="L51"/>
  <c r="L39"/>
  <c r="L35"/>
  <c r="L19"/>
  <c r="L15"/>
  <c r="L7"/>
  <c r="L479"/>
  <c r="L475"/>
  <c r="L471"/>
  <c r="L455"/>
  <c r="L443"/>
  <c r="L439"/>
  <c r="L431"/>
  <c r="L423"/>
  <c r="L411"/>
  <c r="L407"/>
  <c r="L399"/>
  <c r="L387"/>
  <c r="L375"/>
  <c r="L371"/>
  <c r="L355"/>
  <c r="L351"/>
  <c r="L343"/>
  <c r="L335"/>
  <c r="L331"/>
  <c r="L319"/>
  <c r="L314"/>
  <c r="L310"/>
  <c r="L302"/>
  <c r="L298"/>
  <c r="L290"/>
  <c r="L286"/>
  <c r="L274"/>
  <c r="L270"/>
  <c r="L266"/>
  <c r="L262"/>
  <c r="L258"/>
  <c r="L254"/>
  <c r="L250"/>
  <c r="L246"/>
  <c r="L242"/>
  <c r="L238"/>
  <c r="L230"/>
  <c r="L226"/>
  <c r="L222"/>
  <c r="L218"/>
  <c r="L210"/>
  <c r="L202"/>
  <c r="L198"/>
  <c r="L194"/>
  <c r="L190"/>
  <c r="L182"/>
  <c r="L178"/>
  <c r="L174"/>
  <c r="L170"/>
  <c r="L162"/>
  <c r="L158"/>
  <c r="L154"/>
  <c r="L150"/>
  <c r="L146"/>
  <c r="L142"/>
  <c r="L138"/>
  <c r="L134"/>
  <c r="L130"/>
  <c r="L126"/>
  <c r="L122"/>
  <c r="L118"/>
  <c r="L114"/>
  <c r="L110"/>
  <c r="L106"/>
  <c r="L102"/>
  <c r="L98"/>
  <c r="L94"/>
  <c r="L90"/>
  <c r="L86"/>
  <c r="L78"/>
  <c r="L74"/>
  <c r="L70"/>
  <c r="L66"/>
  <c r="L62"/>
  <c r="L58"/>
  <c r="L54"/>
  <c r="L50"/>
  <c r="L46"/>
  <c r="L42"/>
  <c r="L38"/>
  <c r="L34"/>
  <c r="L30"/>
  <c r="L26"/>
  <c r="L22"/>
  <c r="L18"/>
  <c r="L14"/>
  <c r="L10"/>
  <c r="L6"/>
  <c r="L490"/>
  <c r="L486"/>
  <c r="L482"/>
  <c r="L474"/>
  <c r="L470"/>
  <c r="L466"/>
  <c r="L462"/>
  <c r="L458"/>
  <c r="L454"/>
  <c r="L450"/>
  <c r="L446"/>
  <c r="L442"/>
  <c r="L438"/>
  <c r="L434"/>
  <c r="L426"/>
  <c r="L422"/>
  <c r="L418"/>
  <c r="L414"/>
  <c r="L410"/>
  <c r="L406"/>
  <c r="L402"/>
  <c r="L398"/>
  <c r="L394"/>
  <c r="L390"/>
  <c r="L386"/>
  <c r="L382"/>
  <c r="L378"/>
  <c r="L374"/>
  <c r="L370"/>
  <c r="L366"/>
  <c r="L362"/>
  <c r="L358"/>
  <c r="L354"/>
  <c r="L350"/>
  <c r="L346"/>
  <c r="L342"/>
  <c r="L338"/>
  <c r="L334"/>
  <c r="L330"/>
  <c r="L326"/>
  <c r="L322"/>
  <c r="F214"/>
  <c r="L214"/>
  <c r="F478"/>
  <c r="L478"/>
  <c r="L312"/>
  <c r="L304"/>
  <c r="L296"/>
  <c r="L292"/>
  <c r="L284"/>
  <c r="L276"/>
  <c r="L268"/>
  <c r="L260"/>
  <c r="L248"/>
  <c r="L244"/>
  <c r="L236"/>
  <c r="L224"/>
  <c r="L212"/>
  <c r="L208"/>
  <c r="L192"/>
  <c r="L188"/>
  <c r="L180"/>
  <c r="L172"/>
  <c r="L168"/>
  <c r="L160"/>
  <c r="L152"/>
  <c r="L144"/>
  <c r="L136"/>
  <c r="L132"/>
  <c r="L120"/>
  <c r="L112"/>
  <c r="L100"/>
  <c r="L88"/>
  <c r="L76"/>
  <c r="L68"/>
  <c r="L52"/>
  <c r="L44"/>
  <c r="L32"/>
  <c r="L24"/>
  <c r="L12"/>
  <c r="L4"/>
  <c r="L484"/>
  <c r="L476"/>
  <c r="L468"/>
  <c r="L460"/>
  <c r="L452"/>
  <c r="L444"/>
  <c r="L440"/>
  <c r="L432"/>
  <c r="L428"/>
  <c r="L416"/>
  <c r="L404"/>
  <c r="L392"/>
  <c r="L384"/>
  <c r="L368"/>
  <c r="L316"/>
  <c r="L308"/>
  <c r="L300"/>
  <c r="L288"/>
  <c r="L280"/>
  <c r="L272"/>
  <c r="L264"/>
  <c r="L252"/>
  <c r="L240"/>
  <c r="L232"/>
  <c r="L228"/>
  <c r="L220"/>
  <c r="L204"/>
  <c r="L200"/>
  <c r="L184"/>
  <c r="L164"/>
  <c r="L156"/>
  <c r="L148"/>
  <c r="L140"/>
  <c r="L128"/>
  <c r="L124"/>
  <c r="L116"/>
  <c r="L108"/>
  <c r="L96"/>
  <c r="L92"/>
  <c r="L84"/>
  <c r="L80"/>
  <c r="L72"/>
  <c r="L64"/>
  <c r="L60"/>
  <c r="L56"/>
  <c r="L48"/>
  <c r="L40"/>
  <c r="L36"/>
  <c r="L28"/>
  <c r="L20"/>
  <c r="L16"/>
  <c r="L8"/>
  <c r="L488"/>
  <c r="L480"/>
  <c r="L472"/>
  <c r="L464"/>
  <c r="L456"/>
  <c r="L448"/>
  <c r="L436"/>
  <c r="L424"/>
  <c r="L420"/>
  <c r="L412"/>
  <c r="L400"/>
  <c r="L396"/>
  <c r="L388"/>
  <c r="L380"/>
  <c r="L376"/>
  <c r="L372"/>
  <c r="L364"/>
  <c r="L360"/>
  <c r="L356"/>
  <c r="L352"/>
  <c r="L348"/>
  <c r="L344"/>
  <c r="L340"/>
  <c r="L336"/>
  <c r="L332"/>
  <c r="L328"/>
  <c r="L324"/>
  <c r="L320"/>
  <c r="L317"/>
  <c r="L313"/>
  <c r="L309"/>
  <c r="L305"/>
  <c r="L301"/>
  <c r="L297"/>
  <c r="L293"/>
  <c r="L289"/>
  <c r="L285"/>
  <c r="L281"/>
  <c r="L277"/>
  <c r="L273"/>
  <c r="L269"/>
  <c r="L265"/>
  <c r="L261"/>
  <c r="L257"/>
  <c r="L253"/>
  <c r="L249"/>
  <c r="L241"/>
  <c r="L237"/>
  <c r="L233"/>
  <c r="L229"/>
  <c r="L225"/>
  <c r="L221"/>
  <c r="L217"/>
  <c r="L213"/>
  <c r="L209"/>
  <c r="L205"/>
  <c r="L201"/>
  <c r="L197"/>
  <c r="L193"/>
  <c r="L189"/>
  <c r="L185"/>
  <c r="L181"/>
  <c r="L177"/>
  <c r="L173"/>
  <c r="L169"/>
  <c r="L165"/>
  <c r="L161"/>
  <c r="L157"/>
  <c r="L153"/>
  <c r="L149"/>
  <c r="L145"/>
  <c r="L141"/>
  <c r="L137"/>
  <c r="L133"/>
  <c r="L129"/>
  <c r="L125"/>
  <c r="L121"/>
  <c r="L117"/>
  <c r="L113"/>
  <c r="L109"/>
  <c r="L105"/>
  <c r="L101"/>
  <c r="L97"/>
  <c r="L89"/>
  <c r="L85"/>
  <c r="L81"/>
  <c r="L77"/>
  <c r="L73"/>
  <c r="L69"/>
  <c r="L65"/>
  <c r="L61"/>
  <c r="L57"/>
  <c r="L49"/>
  <c r="L45"/>
  <c r="L41"/>
  <c r="L37"/>
  <c r="L29"/>
  <c r="L25"/>
  <c r="L21"/>
  <c r="L17"/>
  <c r="L9"/>
  <c r="L5"/>
  <c r="L489"/>
  <c r="L485"/>
  <c r="L477"/>
  <c r="L473"/>
  <c r="L465"/>
  <c r="L461"/>
  <c r="L453"/>
  <c r="L449"/>
  <c r="L437"/>
  <c r="L433"/>
  <c r="L429"/>
  <c r="L425"/>
  <c r="L421"/>
  <c r="L417"/>
  <c r="L413"/>
  <c r="L409"/>
  <c r="L405"/>
  <c r="L401"/>
  <c r="L393"/>
  <c r="L389"/>
  <c r="L385"/>
  <c r="L381"/>
  <c r="L377"/>
  <c r="L373"/>
  <c r="L365"/>
  <c r="L361"/>
  <c r="L357"/>
  <c r="L353"/>
  <c r="L345"/>
  <c r="L341"/>
  <c r="L337"/>
  <c r="L333"/>
  <c r="L325"/>
  <c r="L321"/>
  <c r="F194"/>
  <c r="F164"/>
  <c r="F116"/>
  <c r="F24"/>
  <c r="F11"/>
  <c r="F184"/>
  <c r="F156"/>
  <c r="F152"/>
  <c r="F52"/>
  <c r="F12"/>
  <c r="F420"/>
  <c r="F368"/>
  <c r="F328"/>
  <c r="F141"/>
  <c r="F129"/>
  <c r="F377"/>
  <c r="F337"/>
  <c r="F34"/>
  <c r="F14"/>
  <c r="F458"/>
  <c r="F454"/>
  <c r="F378"/>
  <c r="F370"/>
  <c r="F338"/>
  <c r="F330"/>
  <c r="F482"/>
  <c r="D313"/>
  <c r="J313"/>
  <c r="S313" s="1"/>
  <c r="H313"/>
  <c r="T313" s="1"/>
  <c r="I313"/>
  <c r="R313" s="1"/>
  <c r="F313"/>
  <c r="E313"/>
  <c r="D305"/>
  <c r="J305"/>
  <c r="S305" s="1"/>
  <c r="H305"/>
  <c r="T305" s="1"/>
  <c r="I305"/>
  <c r="R305" s="1"/>
  <c r="F305"/>
  <c r="E305"/>
  <c r="D297"/>
  <c r="J297"/>
  <c r="S297" s="1"/>
  <c r="H297"/>
  <c r="T297" s="1"/>
  <c r="I297"/>
  <c r="R297" s="1"/>
  <c r="F297"/>
  <c r="E297"/>
  <c r="D289"/>
  <c r="J289"/>
  <c r="S289" s="1"/>
  <c r="H289"/>
  <c r="T289" s="1"/>
  <c r="I289"/>
  <c r="R289" s="1"/>
  <c r="F289"/>
  <c r="E289"/>
  <c r="D281"/>
  <c r="J281"/>
  <c r="S281" s="1"/>
  <c r="H281"/>
  <c r="T281" s="1"/>
  <c r="I281"/>
  <c r="R281" s="1"/>
  <c r="F281"/>
  <c r="E281"/>
  <c r="D273"/>
  <c r="J273"/>
  <c r="S273" s="1"/>
  <c r="H273"/>
  <c r="T273" s="1"/>
  <c r="I273"/>
  <c r="R273" s="1"/>
  <c r="E273"/>
  <c r="F273"/>
  <c r="D265"/>
  <c r="J265"/>
  <c r="S265" s="1"/>
  <c r="H265"/>
  <c r="T265" s="1"/>
  <c r="I265"/>
  <c r="R265" s="1"/>
  <c r="E265"/>
  <c r="F265"/>
  <c r="F257"/>
  <c r="D257"/>
  <c r="J257"/>
  <c r="S257" s="1"/>
  <c r="H257"/>
  <c r="T257" s="1"/>
  <c r="I257"/>
  <c r="R257" s="1"/>
  <c r="E257"/>
  <c r="D245"/>
  <c r="J245"/>
  <c r="S245" s="1"/>
  <c r="H245"/>
  <c r="T245" s="1"/>
  <c r="I245"/>
  <c r="R245" s="1"/>
  <c r="F245"/>
  <c r="E245"/>
  <c r="D237"/>
  <c r="J237"/>
  <c r="S237" s="1"/>
  <c r="H237"/>
  <c r="T237" s="1"/>
  <c r="I237"/>
  <c r="R237" s="1"/>
  <c r="F237"/>
  <c r="E237"/>
  <c r="D233"/>
  <c r="J233"/>
  <c r="S233" s="1"/>
  <c r="H233"/>
  <c r="T233" s="1"/>
  <c r="I233"/>
  <c r="R233" s="1"/>
  <c r="F233"/>
  <c r="E233"/>
  <c r="D225"/>
  <c r="J225"/>
  <c r="S225" s="1"/>
  <c r="H225"/>
  <c r="T225" s="1"/>
  <c r="I225"/>
  <c r="R225" s="1"/>
  <c r="F225"/>
  <c r="E225"/>
  <c r="D221"/>
  <c r="J221"/>
  <c r="S221" s="1"/>
  <c r="H221"/>
  <c r="T221" s="1"/>
  <c r="I221"/>
  <c r="R221" s="1"/>
  <c r="E221"/>
  <c r="F221"/>
  <c r="D317"/>
  <c r="J317"/>
  <c r="S317" s="1"/>
  <c r="H317"/>
  <c r="T317" s="1"/>
  <c r="I317"/>
  <c r="R317" s="1"/>
  <c r="F317"/>
  <c r="E317"/>
  <c r="D309"/>
  <c r="J309"/>
  <c r="S309" s="1"/>
  <c r="H309"/>
  <c r="T309" s="1"/>
  <c r="I309"/>
  <c r="R309" s="1"/>
  <c r="F309"/>
  <c r="E309"/>
  <c r="D301"/>
  <c r="J301"/>
  <c r="S301" s="1"/>
  <c r="H301"/>
  <c r="T301" s="1"/>
  <c r="I301"/>
  <c r="R301" s="1"/>
  <c r="F301"/>
  <c r="E301"/>
  <c r="D293"/>
  <c r="J293"/>
  <c r="S293" s="1"/>
  <c r="H293"/>
  <c r="T293" s="1"/>
  <c r="I293"/>
  <c r="R293" s="1"/>
  <c r="F293"/>
  <c r="E293"/>
  <c r="D285"/>
  <c r="J285"/>
  <c r="S285" s="1"/>
  <c r="H285"/>
  <c r="T285" s="1"/>
  <c r="I285"/>
  <c r="R285" s="1"/>
  <c r="F285"/>
  <c r="E285"/>
  <c r="D277"/>
  <c r="J277"/>
  <c r="S277" s="1"/>
  <c r="H277"/>
  <c r="T277" s="1"/>
  <c r="I277"/>
  <c r="R277" s="1"/>
  <c r="E277"/>
  <c r="F277"/>
  <c r="D269"/>
  <c r="J269"/>
  <c r="S269" s="1"/>
  <c r="H269"/>
  <c r="T269" s="1"/>
  <c r="I269"/>
  <c r="R269" s="1"/>
  <c r="E269"/>
  <c r="F269"/>
  <c r="D261"/>
  <c r="J261"/>
  <c r="S261" s="1"/>
  <c r="H261"/>
  <c r="T261" s="1"/>
  <c r="I261"/>
  <c r="R261" s="1"/>
  <c r="F261"/>
  <c r="E261"/>
  <c r="D253"/>
  <c r="J253"/>
  <c r="S253" s="1"/>
  <c r="H253"/>
  <c r="T253" s="1"/>
  <c r="I253"/>
  <c r="R253" s="1"/>
  <c r="F253"/>
  <c r="E253"/>
  <c r="D249"/>
  <c r="J249"/>
  <c r="S249" s="1"/>
  <c r="H249"/>
  <c r="T249" s="1"/>
  <c r="I249"/>
  <c r="R249" s="1"/>
  <c r="E249"/>
  <c r="F249"/>
  <c r="D241"/>
  <c r="J241"/>
  <c r="S241" s="1"/>
  <c r="H241"/>
  <c r="T241" s="1"/>
  <c r="I241"/>
  <c r="R241" s="1"/>
  <c r="E241"/>
  <c r="F241"/>
  <c r="D229"/>
  <c r="J229"/>
  <c r="S229" s="1"/>
  <c r="H229"/>
  <c r="T229" s="1"/>
  <c r="I229"/>
  <c r="R229" s="1"/>
  <c r="F229"/>
  <c r="E229"/>
  <c r="D209"/>
  <c r="J209"/>
  <c r="S209" s="1"/>
  <c r="H209"/>
  <c r="T209" s="1"/>
  <c r="I209"/>
  <c r="R209" s="1"/>
  <c r="F209"/>
  <c r="E209"/>
  <c r="D217"/>
  <c r="J217"/>
  <c r="S217" s="1"/>
  <c r="H217"/>
  <c r="T217" s="1"/>
  <c r="I217"/>
  <c r="R217" s="1"/>
  <c r="E217"/>
  <c r="D213"/>
  <c r="J213"/>
  <c r="S213" s="1"/>
  <c r="H213"/>
  <c r="T213" s="1"/>
  <c r="I213"/>
  <c r="R213" s="1"/>
  <c r="F213"/>
  <c r="E213"/>
  <c r="D205"/>
  <c r="J205"/>
  <c r="S205" s="1"/>
  <c r="H205"/>
  <c r="T205" s="1"/>
  <c r="I205"/>
  <c r="R205" s="1"/>
  <c r="E205"/>
  <c r="F205"/>
  <c r="D201"/>
  <c r="J201"/>
  <c r="S201" s="1"/>
  <c r="H201"/>
  <c r="T201" s="1"/>
  <c r="I201"/>
  <c r="R201" s="1"/>
  <c r="F201"/>
  <c r="E201"/>
  <c r="D197"/>
  <c r="J197"/>
  <c r="S197" s="1"/>
  <c r="H197"/>
  <c r="T197" s="1"/>
  <c r="I197"/>
  <c r="R197" s="1"/>
  <c r="E197"/>
  <c r="F197"/>
  <c r="D193"/>
  <c r="J193"/>
  <c r="S193" s="1"/>
  <c r="H193"/>
  <c r="T193" s="1"/>
  <c r="I193"/>
  <c r="R193" s="1"/>
  <c r="F193"/>
  <c r="E193"/>
  <c r="D189"/>
  <c r="J189"/>
  <c r="S189" s="1"/>
  <c r="H189"/>
  <c r="T189" s="1"/>
  <c r="I189"/>
  <c r="R189" s="1"/>
  <c r="F189"/>
  <c r="E189"/>
  <c r="D185"/>
  <c r="J185"/>
  <c r="S185" s="1"/>
  <c r="H185"/>
  <c r="T185" s="1"/>
  <c r="I185"/>
  <c r="R185" s="1"/>
  <c r="E185"/>
  <c r="D181"/>
  <c r="J181"/>
  <c r="S181" s="1"/>
  <c r="H181"/>
  <c r="T181" s="1"/>
  <c r="I181"/>
  <c r="R181" s="1"/>
  <c r="E181"/>
  <c r="F181"/>
  <c r="D177"/>
  <c r="J177"/>
  <c r="S177" s="1"/>
  <c r="H177"/>
  <c r="T177" s="1"/>
  <c r="I177"/>
  <c r="R177" s="1"/>
  <c r="E177"/>
  <c r="D173"/>
  <c r="J173"/>
  <c r="S173" s="1"/>
  <c r="H173"/>
  <c r="T173" s="1"/>
  <c r="I173"/>
  <c r="R173" s="1"/>
  <c r="F173"/>
  <c r="E173"/>
  <c r="D2"/>
  <c r="J2"/>
  <c r="S2" s="1"/>
  <c r="I2"/>
  <c r="R2" s="1"/>
  <c r="H2"/>
  <c r="T2" s="1"/>
  <c r="E2"/>
  <c r="D315"/>
  <c r="I315"/>
  <c r="R315" s="1"/>
  <c r="H315"/>
  <c r="T315" s="1"/>
  <c r="J315"/>
  <c r="S315" s="1"/>
  <c r="E315"/>
  <c r="F315"/>
  <c r="D311"/>
  <c r="I311"/>
  <c r="R311" s="1"/>
  <c r="J311"/>
  <c r="S311" s="1"/>
  <c r="H311"/>
  <c r="T311" s="1"/>
  <c r="E311"/>
  <c r="F311"/>
  <c r="D307"/>
  <c r="I307"/>
  <c r="R307" s="1"/>
  <c r="J307"/>
  <c r="S307" s="1"/>
  <c r="H307"/>
  <c r="T307" s="1"/>
  <c r="E307"/>
  <c r="F307"/>
  <c r="D303"/>
  <c r="I303"/>
  <c r="R303" s="1"/>
  <c r="J303"/>
  <c r="S303" s="1"/>
  <c r="H303"/>
  <c r="T303" s="1"/>
  <c r="E303"/>
  <c r="F303"/>
  <c r="D299"/>
  <c r="I299"/>
  <c r="R299" s="1"/>
  <c r="H299"/>
  <c r="T299" s="1"/>
  <c r="J299"/>
  <c r="S299" s="1"/>
  <c r="E299"/>
  <c r="F299"/>
  <c r="D295"/>
  <c r="I295"/>
  <c r="R295" s="1"/>
  <c r="H295"/>
  <c r="T295" s="1"/>
  <c r="J295"/>
  <c r="S295" s="1"/>
  <c r="E295"/>
  <c r="F295"/>
  <c r="D291"/>
  <c r="I291"/>
  <c r="R291" s="1"/>
  <c r="J291"/>
  <c r="S291" s="1"/>
  <c r="H291"/>
  <c r="T291" s="1"/>
  <c r="E291"/>
  <c r="F291"/>
  <c r="D287"/>
  <c r="I287"/>
  <c r="R287" s="1"/>
  <c r="J287"/>
  <c r="S287" s="1"/>
  <c r="H287"/>
  <c r="T287" s="1"/>
  <c r="E287"/>
  <c r="F287"/>
  <c r="D283"/>
  <c r="I283"/>
  <c r="R283" s="1"/>
  <c r="H283"/>
  <c r="T283" s="1"/>
  <c r="J283"/>
  <c r="S283" s="1"/>
  <c r="E283"/>
  <c r="F283"/>
  <c r="F279"/>
  <c r="D279"/>
  <c r="I279"/>
  <c r="R279" s="1"/>
  <c r="H279"/>
  <c r="T279" s="1"/>
  <c r="J279"/>
  <c r="S279" s="1"/>
  <c r="E279"/>
  <c r="D275"/>
  <c r="I275"/>
  <c r="R275" s="1"/>
  <c r="J275"/>
  <c r="S275" s="1"/>
  <c r="H275"/>
  <c r="T275" s="1"/>
  <c r="E275"/>
  <c r="F275"/>
  <c r="D271"/>
  <c r="I271"/>
  <c r="R271" s="1"/>
  <c r="J271"/>
  <c r="S271" s="1"/>
  <c r="H271"/>
  <c r="T271" s="1"/>
  <c r="E271"/>
  <c r="F271"/>
  <c r="D267"/>
  <c r="I267"/>
  <c r="R267" s="1"/>
  <c r="H267"/>
  <c r="T267" s="1"/>
  <c r="J267"/>
  <c r="S267" s="1"/>
  <c r="E267"/>
  <c r="F267"/>
  <c r="D263"/>
  <c r="I263"/>
  <c r="R263" s="1"/>
  <c r="J263"/>
  <c r="S263" s="1"/>
  <c r="H263"/>
  <c r="T263" s="1"/>
  <c r="E263"/>
  <c r="F263"/>
  <c r="D259"/>
  <c r="I259"/>
  <c r="R259" s="1"/>
  <c r="J259"/>
  <c r="S259" s="1"/>
  <c r="H259"/>
  <c r="T259" s="1"/>
  <c r="E259"/>
  <c r="F259"/>
  <c r="D255"/>
  <c r="I255"/>
  <c r="R255" s="1"/>
  <c r="J255"/>
  <c r="S255" s="1"/>
  <c r="H255"/>
  <c r="T255" s="1"/>
  <c r="E255"/>
  <c r="F255"/>
  <c r="D251"/>
  <c r="I251"/>
  <c r="R251" s="1"/>
  <c r="H251"/>
  <c r="T251" s="1"/>
  <c r="J251"/>
  <c r="S251" s="1"/>
  <c r="E251"/>
  <c r="F251"/>
  <c r="D247"/>
  <c r="I247"/>
  <c r="R247" s="1"/>
  <c r="H247"/>
  <c r="T247" s="1"/>
  <c r="J247"/>
  <c r="S247" s="1"/>
  <c r="E247"/>
  <c r="F247"/>
  <c r="D243"/>
  <c r="I243"/>
  <c r="R243" s="1"/>
  <c r="J243"/>
  <c r="S243" s="1"/>
  <c r="H243"/>
  <c r="T243" s="1"/>
  <c r="E243"/>
  <c r="F243"/>
  <c r="D239"/>
  <c r="I239"/>
  <c r="R239" s="1"/>
  <c r="J239"/>
  <c r="S239" s="1"/>
  <c r="H239"/>
  <c r="T239" s="1"/>
  <c r="E239"/>
  <c r="F239"/>
  <c r="F235"/>
  <c r="D235"/>
  <c r="I235"/>
  <c r="R235" s="1"/>
  <c r="H235"/>
  <c r="T235" s="1"/>
  <c r="J235"/>
  <c r="S235" s="1"/>
  <c r="E235"/>
  <c r="D231"/>
  <c r="I231"/>
  <c r="R231" s="1"/>
  <c r="H231"/>
  <c r="T231" s="1"/>
  <c r="J231"/>
  <c r="S231" s="1"/>
  <c r="E231"/>
  <c r="F231"/>
  <c r="D227"/>
  <c r="I227"/>
  <c r="R227" s="1"/>
  <c r="J227"/>
  <c r="S227" s="1"/>
  <c r="H227"/>
  <c r="T227" s="1"/>
  <c r="E227"/>
  <c r="F227"/>
  <c r="D223"/>
  <c r="I223"/>
  <c r="R223" s="1"/>
  <c r="J223"/>
  <c r="S223" s="1"/>
  <c r="H223"/>
  <c r="T223" s="1"/>
  <c r="E223"/>
  <c r="F223"/>
  <c r="D219"/>
  <c r="I219"/>
  <c r="R219" s="1"/>
  <c r="H219"/>
  <c r="T219" s="1"/>
  <c r="J219"/>
  <c r="S219" s="1"/>
  <c r="E219"/>
  <c r="F219"/>
  <c r="D215"/>
  <c r="I215"/>
  <c r="R215" s="1"/>
  <c r="J215"/>
  <c r="S215" s="1"/>
  <c r="H215"/>
  <c r="T215" s="1"/>
  <c r="F215"/>
  <c r="E215"/>
  <c r="D211"/>
  <c r="I211"/>
  <c r="R211" s="1"/>
  <c r="H211"/>
  <c r="T211" s="1"/>
  <c r="J211"/>
  <c r="S211" s="1"/>
  <c r="E211"/>
  <c r="F211"/>
  <c r="D207"/>
  <c r="I207"/>
  <c r="R207" s="1"/>
  <c r="J207"/>
  <c r="S207" s="1"/>
  <c r="H207"/>
  <c r="T207" s="1"/>
  <c r="E207"/>
  <c r="F207"/>
  <c r="D203"/>
  <c r="I203"/>
  <c r="R203" s="1"/>
  <c r="H203"/>
  <c r="T203" s="1"/>
  <c r="J203"/>
  <c r="S203" s="1"/>
  <c r="E203"/>
  <c r="F203"/>
  <c r="D199"/>
  <c r="I199"/>
  <c r="R199" s="1"/>
  <c r="J199"/>
  <c r="S199" s="1"/>
  <c r="H199"/>
  <c r="T199" s="1"/>
  <c r="E199"/>
  <c r="F199"/>
  <c r="D195"/>
  <c r="I195"/>
  <c r="R195" s="1"/>
  <c r="J195"/>
  <c r="S195" s="1"/>
  <c r="H195"/>
  <c r="T195" s="1"/>
  <c r="E195"/>
  <c r="F195"/>
  <c r="D191"/>
  <c r="I191"/>
  <c r="R191" s="1"/>
  <c r="J191"/>
  <c r="S191" s="1"/>
  <c r="H191"/>
  <c r="T191" s="1"/>
  <c r="E191"/>
  <c r="F191"/>
  <c r="D187"/>
  <c r="I187"/>
  <c r="R187" s="1"/>
  <c r="H187"/>
  <c r="T187" s="1"/>
  <c r="J187"/>
  <c r="S187" s="1"/>
  <c r="E187"/>
  <c r="F187"/>
  <c r="D183"/>
  <c r="I183"/>
  <c r="R183" s="1"/>
  <c r="H183"/>
  <c r="T183" s="1"/>
  <c r="J183"/>
  <c r="S183" s="1"/>
  <c r="E183"/>
  <c r="F183"/>
  <c r="D179"/>
  <c r="I179"/>
  <c r="R179" s="1"/>
  <c r="J179"/>
  <c r="S179" s="1"/>
  <c r="H179"/>
  <c r="T179" s="1"/>
  <c r="E179"/>
  <c r="F179"/>
  <c r="D175"/>
  <c r="I175"/>
  <c r="R175" s="1"/>
  <c r="J175"/>
  <c r="S175" s="1"/>
  <c r="H175"/>
  <c r="T175" s="1"/>
  <c r="E175"/>
  <c r="F175"/>
  <c r="D171"/>
  <c r="I171"/>
  <c r="R171" s="1"/>
  <c r="H171"/>
  <c r="T171" s="1"/>
  <c r="J171"/>
  <c r="S171" s="1"/>
  <c r="E171"/>
  <c r="F171"/>
  <c r="D167"/>
  <c r="I167"/>
  <c r="R167" s="1"/>
  <c r="H167"/>
  <c r="T167" s="1"/>
  <c r="J167"/>
  <c r="S167" s="1"/>
  <c r="E167"/>
  <c r="F167"/>
  <c r="D163"/>
  <c r="I163"/>
  <c r="R163" s="1"/>
  <c r="J163"/>
  <c r="S163" s="1"/>
  <c r="H163"/>
  <c r="T163" s="1"/>
  <c r="E163"/>
  <c r="F163"/>
  <c r="D159"/>
  <c r="I159"/>
  <c r="R159" s="1"/>
  <c r="J159"/>
  <c r="S159" s="1"/>
  <c r="H159"/>
  <c r="T159" s="1"/>
  <c r="E159"/>
  <c r="F159"/>
  <c r="D155"/>
  <c r="I155"/>
  <c r="R155" s="1"/>
  <c r="H155"/>
  <c r="T155" s="1"/>
  <c r="J155"/>
  <c r="S155" s="1"/>
  <c r="E155"/>
  <c r="F155"/>
  <c r="D151"/>
  <c r="I151"/>
  <c r="R151" s="1"/>
  <c r="H151"/>
  <c r="T151" s="1"/>
  <c r="J151"/>
  <c r="S151" s="1"/>
  <c r="E151"/>
  <c r="F151"/>
  <c r="D147"/>
  <c r="I147"/>
  <c r="R147" s="1"/>
  <c r="J147"/>
  <c r="S147" s="1"/>
  <c r="H147"/>
  <c r="T147" s="1"/>
  <c r="E147"/>
  <c r="F147"/>
  <c r="D143"/>
  <c r="I143"/>
  <c r="R143" s="1"/>
  <c r="J143"/>
  <c r="S143" s="1"/>
  <c r="H143"/>
  <c r="T143" s="1"/>
  <c r="E143"/>
  <c r="F143"/>
  <c r="D139"/>
  <c r="I139"/>
  <c r="R139" s="1"/>
  <c r="H139"/>
  <c r="T139" s="1"/>
  <c r="J139"/>
  <c r="S139" s="1"/>
  <c r="E139"/>
  <c r="F139"/>
  <c r="D135"/>
  <c r="I135"/>
  <c r="R135" s="1"/>
  <c r="H135"/>
  <c r="T135" s="1"/>
  <c r="J135"/>
  <c r="S135" s="1"/>
  <c r="E135"/>
  <c r="F135"/>
  <c r="D131"/>
  <c r="I131"/>
  <c r="R131" s="1"/>
  <c r="J131"/>
  <c r="S131" s="1"/>
  <c r="H131"/>
  <c r="T131" s="1"/>
  <c r="E131"/>
  <c r="F131"/>
  <c r="D127"/>
  <c r="I127"/>
  <c r="R127" s="1"/>
  <c r="J127"/>
  <c r="S127" s="1"/>
  <c r="H127"/>
  <c r="T127" s="1"/>
  <c r="E127"/>
  <c r="F127"/>
  <c r="D123"/>
  <c r="I123"/>
  <c r="R123" s="1"/>
  <c r="H123"/>
  <c r="T123" s="1"/>
  <c r="J123"/>
  <c r="S123" s="1"/>
  <c r="E123"/>
  <c r="F123"/>
  <c r="D119"/>
  <c r="I119"/>
  <c r="R119" s="1"/>
  <c r="H119"/>
  <c r="T119" s="1"/>
  <c r="J119"/>
  <c r="S119" s="1"/>
  <c r="E119"/>
  <c r="F119"/>
  <c r="D115"/>
  <c r="I115"/>
  <c r="R115" s="1"/>
  <c r="J115"/>
  <c r="S115" s="1"/>
  <c r="H115"/>
  <c r="T115" s="1"/>
  <c r="E115"/>
  <c r="F115"/>
  <c r="D111"/>
  <c r="I111"/>
  <c r="R111" s="1"/>
  <c r="J111"/>
  <c r="S111" s="1"/>
  <c r="H111"/>
  <c r="T111" s="1"/>
  <c r="E111"/>
  <c r="F111"/>
  <c r="D107"/>
  <c r="I107"/>
  <c r="R107" s="1"/>
  <c r="H107"/>
  <c r="T107" s="1"/>
  <c r="J107"/>
  <c r="S107" s="1"/>
  <c r="E107"/>
  <c r="F107"/>
  <c r="D103"/>
  <c r="I103"/>
  <c r="R103" s="1"/>
  <c r="H103"/>
  <c r="T103" s="1"/>
  <c r="J103"/>
  <c r="S103" s="1"/>
  <c r="E103"/>
  <c r="F103"/>
  <c r="D99"/>
  <c r="I99"/>
  <c r="R99" s="1"/>
  <c r="J99"/>
  <c r="S99" s="1"/>
  <c r="H99"/>
  <c r="T99" s="1"/>
  <c r="E99"/>
  <c r="F99"/>
  <c r="D95"/>
  <c r="I95"/>
  <c r="R95" s="1"/>
  <c r="J95"/>
  <c r="S95" s="1"/>
  <c r="H95"/>
  <c r="T95" s="1"/>
  <c r="E95"/>
  <c r="F95"/>
  <c r="D91"/>
  <c r="I91"/>
  <c r="R91" s="1"/>
  <c r="H91"/>
  <c r="T91" s="1"/>
  <c r="J91"/>
  <c r="S91" s="1"/>
  <c r="E91"/>
  <c r="F91"/>
  <c r="D87"/>
  <c r="I87"/>
  <c r="R87" s="1"/>
  <c r="H87"/>
  <c r="T87" s="1"/>
  <c r="J87"/>
  <c r="S87" s="1"/>
  <c r="E87"/>
  <c r="F87"/>
  <c r="F83"/>
  <c r="D83"/>
  <c r="I83"/>
  <c r="R83" s="1"/>
  <c r="J83"/>
  <c r="S83" s="1"/>
  <c r="H83"/>
  <c r="T83" s="1"/>
  <c r="E83"/>
  <c r="D79"/>
  <c r="I79"/>
  <c r="R79" s="1"/>
  <c r="J79"/>
  <c r="S79" s="1"/>
  <c r="H79"/>
  <c r="T79" s="1"/>
  <c r="E79"/>
  <c r="F79"/>
  <c r="D75"/>
  <c r="I75"/>
  <c r="R75" s="1"/>
  <c r="H75"/>
  <c r="T75" s="1"/>
  <c r="J75"/>
  <c r="S75" s="1"/>
  <c r="E75"/>
  <c r="F75"/>
  <c r="D71"/>
  <c r="I71"/>
  <c r="R71" s="1"/>
  <c r="H71"/>
  <c r="T71" s="1"/>
  <c r="J71"/>
  <c r="S71" s="1"/>
  <c r="E71"/>
  <c r="F71"/>
  <c r="D67"/>
  <c r="I67"/>
  <c r="R67" s="1"/>
  <c r="J67"/>
  <c r="S67" s="1"/>
  <c r="H67"/>
  <c r="T67" s="1"/>
  <c r="E67"/>
  <c r="F67"/>
  <c r="D63"/>
  <c r="I63"/>
  <c r="R63" s="1"/>
  <c r="J63"/>
  <c r="S63" s="1"/>
  <c r="H63"/>
  <c r="T63" s="1"/>
  <c r="E63"/>
  <c r="F63"/>
  <c r="D59"/>
  <c r="I59"/>
  <c r="R59" s="1"/>
  <c r="H59"/>
  <c r="T59" s="1"/>
  <c r="J59"/>
  <c r="S59" s="1"/>
  <c r="E59"/>
  <c r="F59"/>
  <c r="D55"/>
  <c r="I55"/>
  <c r="R55" s="1"/>
  <c r="J55"/>
  <c r="S55" s="1"/>
  <c r="H55"/>
  <c r="T55" s="1"/>
  <c r="E55"/>
  <c r="F55"/>
  <c r="D51"/>
  <c r="H51"/>
  <c r="T51" s="1"/>
  <c r="I51"/>
  <c r="R51" s="1"/>
  <c r="J51"/>
  <c r="S51" s="1"/>
  <c r="E51"/>
  <c r="F51"/>
  <c r="D47"/>
  <c r="H47"/>
  <c r="T47" s="1"/>
  <c r="I47"/>
  <c r="R47" s="1"/>
  <c r="J47"/>
  <c r="S47" s="1"/>
  <c r="E47"/>
  <c r="F47"/>
  <c r="D43"/>
  <c r="H43"/>
  <c r="T43" s="1"/>
  <c r="I43"/>
  <c r="R43" s="1"/>
  <c r="J43"/>
  <c r="S43" s="1"/>
  <c r="E43"/>
  <c r="F43"/>
  <c r="D39"/>
  <c r="H39"/>
  <c r="T39" s="1"/>
  <c r="I39"/>
  <c r="R39" s="1"/>
  <c r="J39"/>
  <c r="S39" s="1"/>
  <c r="E39"/>
  <c r="F39"/>
  <c r="D35"/>
  <c r="H35"/>
  <c r="T35" s="1"/>
  <c r="I35"/>
  <c r="R35" s="1"/>
  <c r="J35"/>
  <c r="S35" s="1"/>
  <c r="E35"/>
  <c r="F35"/>
  <c r="D31"/>
  <c r="H31"/>
  <c r="T31" s="1"/>
  <c r="I31"/>
  <c r="R31" s="1"/>
  <c r="J31"/>
  <c r="S31" s="1"/>
  <c r="E31"/>
  <c r="F31"/>
  <c r="D27"/>
  <c r="H27"/>
  <c r="T27" s="1"/>
  <c r="I27"/>
  <c r="R27" s="1"/>
  <c r="J27"/>
  <c r="S27" s="1"/>
  <c r="E27"/>
  <c r="F27"/>
  <c r="D23"/>
  <c r="H23"/>
  <c r="T23" s="1"/>
  <c r="I23"/>
  <c r="R23" s="1"/>
  <c r="J23"/>
  <c r="S23" s="1"/>
  <c r="E23"/>
  <c r="F23"/>
  <c r="D19"/>
  <c r="H19"/>
  <c r="T19" s="1"/>
  <c r="I19"/>
  <c r="R19" s="1"/>
  <c r="J19"/>
  <c r="S19" s="1"/>
  <c r="E19"/>
  <c r="F19"/>
  <c r="D15"/>
  <c r="H15"/>
  <c r="T15" s="1"/>
  <c r="I15"/>
  <c r="R15" s="1"/>
  <c r="J15"/>
  <c r="S15" s="1"/>
  <c r="E15"/>
  <c r="F15"/>
  <c r="D11"/>
  <c r="H11"/>
  <c r="T11" s="1"/>
  <c r="I11"/>
  <c r="R11" s="1"/>
  <c r="J11"/>
  <c r="S11" s="1"/>
  <c r="E11"/>
  <c r="D7"/>
  <c r="H7"/>
  <c r="T7" s="1"/>
  <c r="I7"/>
  <c r="R7" s="1"/>
  <c r="J7"/>
  <c r="S7" s="1"/>
  <c r="E7"/>
  <c r="F7"/>
  <c r="D3"/>
  <c r="H3"/>
  <c r="T3" s="1"/>
  <c r="I3"/>
  <c r="R3" s="1"/>
  <c r="J3"/>
  <c r="S3" s="1"/>
  <c r="E3"/>
  <c r="C3"/>
  <c r="C4" s="1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F3"/>
  <c r="D487"/>
  <c r="I487"/>
  <c r="R487" s="1"/>
  <c r="J487"/>
  <c r="S487" s="1"/>
  <c r="H487"/>
  <c r="T487" s="1"/>
  <c r="E487"/>
  <c r="F487"/>
  <c r="D483"/>
  <c r="I483"/>
  <c r="R483" s="1"/>
  <c r="J483"/>
  <c r="S483" s="1"/>
  <c r="H483"/>
  <c r="T483" s="1"/>
  <c r="E483"/>
  <c r="F483"/>
  <c r="D479"/>
  <c r="I479"/>
  <c r="R479" s="1"/>
  <c r="H479"/>
  <c r="T479" s="1"/>
  <c r="J479"/>
  <c r="S479" s="1"/>
  <c r="F479"/>
  <c r="E479"/>
  <c r="D475"/>
  <c r="I475"/>
  <c r="R475" s="1"/>
  <c r="H475"/>
  <c r="T475" s="1"/>
  <c r="J475"/>
  <c r="S475" s="1"/>
  <c r="E475"/>
  <c r="F475"/>
  <c r="D471"/>
  <c r="I471"/>
  <c r="R471" s="1"/>
  <c r="J471"/>
  <c r="S471" s="1"/>
  <c r="H471"/>
  <c r="T471" s="1"/>
  <c r="E471"/>
  <c r="F471"/>
  <c r="D467"/>
  <c r="I467"/>
  <c r="R467" s="1"/>
  <c r="J467"/>
  <c r="S467" s="1"/>
  <c r="H467"/>
  <c r="T467" s="1"/>
  <c r="E467"/>
  <c r="F467"/>
  <c r="D463"/>
  <c r="I463"/>
  <c r="R463" s="1"/>
  <c r="J463"/>
  <c r="S463" s="1"/>
  <c r="H463"/>
  <c r="T463" s="1"/>
  <c r="F463"/>
  <c r="E463"/>
  <c r="D459"/>
  <c r="I459"/>
  <c r="R459" s="1"/>
  <c r="H459"/>
  <c r="T459" s="1"/>
  <c r="J459"/>
  <c r="S459" s="1"/>
  <c r="E459"/>
  <c r="F459"/>
  <c r="D455"/>
  <c r="I455"/>
  <c r="R455" s="1"/>
  <c r="H455"/>
  <c r="T455" s="1"/>
  <c r="J455"/>
  <c r="S455" s="1"/>
  <c r="F455"/>
  <c r="E455"/>
  <c r="D451"/>
  <c r="I451"/>
  <c r="R451" s="1"/>
  <c r="J451"/>
  <c r="S451" s="1"/>
  <c r="H451"/>
  <c r="T451" s="1"/>
  <c r="E451"/>
  <c r="F451"/>
  <c r="D447"/>
  <c r="I447"/>
  <c r="R447" s="1"/>
  <c r="J447"/>
  <c r="S447" s="1"/>
  <c r="H447"/>
  <c r="T447" s="1"/>
  <c r="E447"/>
  <c r="F447"/>
  <c r="D443"/>
  <c r="I443"/>
  <c r="R443" s="1"/>
  <c r="H443"/>
  <c r="T443" s="1"/>
  <c r="J443"/>
  <c r="S443" s="1"/>
  <c r="E443"/>
  <c r="F443"/>
  <c r="D439"/>
  <c r="I439"/>
  <c r="R439" s="1"/>
  <c r="J439"/>
  <c r="S439" s="1"/>
  <c r="H439"/>
  <c r="T439" s="1"/>
  <c r="E439"/>
  <c r="F439"/>
  <c r="D435"/>
  <c r="I435"/>
  <c r="R435" s="1"/>
  <c r="J435"/>
  <c r="S435" s="1"/>
  <c r="H435"/>
  <c r="T435" s="1"/>
  <c r="E435"/>
  <c r="F435"/>
  <c r="F431"/>
  <c r="D431"/>
  <c r="I431"/>
  <c r="R431" s="1"/>
  <c r="H431"/>
  <c r="T431" s="1"/>
  <c r="J431"/>
  <c r="S431" s="1"/>
  <c r="E431"/>
  <c r="D427"/>
  <c r="I427"/>
  <c r="R427" s="1"/>
  <c r="J427"/>
  <c r="S427" s="1"/>
  <c r="H427"/>
  <c r="T427" s="1"/>
  <c r="F427"/>
  <c r="E427"/>
  <c r="D423"/>
  <c r="I423"/>
  <c r="R423" s="1"/>
  <c r="J423"/>
  <c r="S423" s="1"/>
  <c r="H423"/>
  <c r="T423" s="1"/>
  <c r="E423"/>
  <c r="F423"/>
  <c r="D419"/>
  <c r="I419"/>
  <c r="R419" s="1"/>
  <c r="J419"/>
  <c r="S419" s="1"/>
  <c r="H419"/>
  <c r="T419" s="1"/>
  <c r="E419"/>
  <c r="F419"/>
  <c r="D415"/>
  <c r="I415"/>
  <c r="R415" s="1"/>
  <c r="J415"/>
  <c r="S415" s="1"/>
  <c r="H415"/>
  <c r="T415" s="1"/>
  <c r="E415"/>
  <c r="F415"/>
  <c r="D411"/>
  <c r="I411"/>
  <c r="R411" s="1"/>
  <c r="H411"/>
  <c r="T411" s="1"/>
  <c r="J411"/>
  <c r="S411" s="1"/>
  <c r="E411"/>
  <c r="F411"/>
  <c r="D407"/>
  <c r="I407"/>
  <c r="R407" s="1"/>
  <c r="J407"/>
  <c r="S407" s="1"/>
  <c r="H407"/>
  <c r="T407" s="1"/>
  <c r="E407"/>
  <c r="F407"/>
  <c r="D403"/>
  <c r="I403"/>
  <c r="R403" s="1"/>
  <c r="J403"/>
  <c r="S403" s="1"/>
  <c r="H403"/>
  <c r="T403" s="1"/>
  <c r="E403"/>
  <c r="F403"/>
  <c r="D399"/>
  <c r="I399"/>
  <c r="R399" s="1"/>
  <c r="J399"/>
  <c r="S399" s="1"/>
  <c r="H399"/>
  <c r="T399" s="1"/>
  <c r="E399"/>
  <c r="F399"/>
  <c r="D395"/>
  <c r="I395"/>
  <c r="R395" s="1"/>
  <c r="H395"/>
  <c r="T395" s="1"/>
  <c r="J395"/>
  <c r="S395" s="1"/>
  <c r="E395"/>
  <c r="F395"/>
  <c r="D391"/>
  <c r="I391"/>
  <c r="R391" s="1"/>
  <c r="J391"/>
  <c r="S391" s="1"/>
  <c r="H391"/>
  <c r="T391" s="1"/>
  <c r="E391"/>
  <c r="F391"/>
  <c r="D387"/>
  <c r="I387"/>
  <c r="R387" s="1"/>
  <c r="H387"/>
  <c r="T387" s="1"/>
  <c r="J387"/>
  <c r="S387" s="1"/>
  <c r="E387"/>
  <c r="F387"/>
  <c r="D383"/>
  <c r="I383"/>
  <c r="R383" s="1"/>
  <c r="H383"/>
  <c r="T383" s="1"/>
  <c r="J383"/>
  <c r="S383" s="1"/>
  <c r="E383"/>
  <c r="F383"/>
  <c r="D379"/>
  <c r="I379"/>
  <c r="R379" s="1"/>
  <c r="H379"/>
  <c r="T379" s="1"/>
  <c r="J379"/>
  <c r="S379" s="1"/>
  <c r="F379"/>
  <c r="E379"/>
  <c r="D375"/>
  <c r="I375"/>
  <c r="R375" s="1"/>
  <c r="J375"/>
  <c r="S375" s="1"/>
  <c r="H375"/>
  <c r="T375" s="1"/>
  <c r="E375"/>
  <c r="F375"/>
  <c r="D371"/>
  <c r="I371"/>
  <c r="R371" s="1"/>
  <c r="J371"/>
  <c r="S371" s="1"/>
  <c r="H371"/>
  <c r="T371" s="1"/>
  <c r="E371"/>
  <c r="F371"/>
  <c r="D367"/>
  <c r="I367"/>
  <c r="R367" s="1"/>
  <c r="J367"/>
  <c r="S367" s="1"/>
  <c r="H367"/>
  <c r="T367" s="1"/>
  <c r="F367"/>
  <c r="E367"/>
  <c r="D363"/>
  <c r="I363"/>
  <c r="R363" s="1"/>
  <c r="H363"/>
  <c r="T363" s="1"/>
  <c r="J363"/>
  <c r="S363" s="1"/>
  <c r="E363"/>
  <c r="F363"/>
  <c r="D359"/>
  <c r="I359"/>
  <c r="R359" s="1"/>
  <c r="H359"/>
  <c r="T359" s="1"/>
  <c r="J359"/>
  <c r="S359" s="1"/>
  <c r="E359"/>
  <c r="F359"/>
  <c r="D355"/>
  <c r="I355"/>
  <c r="R355" s="1"/>
  <c r="J355"/>
  <c r="S355" s="1"/>
  <c r="H355"/>
  <c r="T355" s="1"/>
  <c r="E355"/>
  <c r="F355"/>
  <c r="D351"/>
  <c r="I351"/>
  <c r="R351" s="1"/>
  <c r="J351"/>
  <c r="S351" s="1"/>
  <c r="H351"/>
  <c r="T351" s="1"/>
  <c r="E351"/>
  <c r="F351"/>
  <c r="D347"/>
  <c r="I347"/>
  <c r="R347" s="1"/>
  <c r="H347"/>
  <c r="T347" s="1"/>
  <c r="J347"/>
  <c r="S347" s="1"/>
  <c r="E347"/>
  <c r="F347"/>
  <c r="D343"/>
  <c r="I343"/>
  <c r="R343" s="1"/>
  <c r="J343"/>
  <c r="S343" s="1"/>
  <c r="H343"/>
  <c r="T343" s="1"/>
  <c r="E343"/>
  <c r="F343"/>
  <c r="D339"/>
  <c r="I339"/>
  <c r="R339" s="1"/>
  <c r="J339"/>
  <c r="S339" s="1"/>
  <c r="H339"/>
  <c r="T339" s="1"/>
  <c r="E339"/>
  <c r="F339"/>
  <c r="D335"/>
  <c r="I335"/>
  <c r="R335" s="1"/>
  <c r="H335"/>
  <c r="T335" s="1"/>
  <c r="J335"/>
  <c r="S335" s="1"/>
  <c r="F335"/>
  <c r="E335"/>
  <c r="D331"/>
  <c r="I331"/>
  <c r="R331" s="1"/>
  <c r="H331"/>
  <c r="T331" s="1"/>
  <c r="J331"/>
  <c r="S331" s="1"/>
  <c r="E331"/>
  <c r="F331"/>
  <c r="D327"/>
  <c r="I327"/>
  <c r="R327" s="1"/>
  <c r="J327"/>
  <c r="S327" s="1"/>
  <c r="H327"/>
  <c r="T327" s="1"/>
  <c r="E327"/>
  <c r="F327"/>
  <c r="D323"/>
  <c r="I323"/>
  <c r="R323" s="1"/>
  <c r="J323"/>
  <c r="S323" s="1"/>
  <c r="H323"/>
  <c r="T323" s="1"/>
  <c r="E323"/>
  <c r="F323"/>
  <c r="D319"/>
  <c r="I319"/>
  <c r="R319" s="1"/>
  <c r="J319"/>
  <c r="S319" s="1"/>
  <c r="H319"/>
  <c r="T319" s="1"/>
  <c r="E319"/>
  <c r="F319"/>
  <c r="O488"/>
  <c r="P488"/>
  <c r="Q488" s="1"/>
  <c r="O484"/>
  <c r="P484"/>
  <c r="Q484" s="1"/>
  <c r="O480"/>
  <c r="P480"/>
  <c r="Q480" s="1"/>
  <c r="O476"/>
  <c r="P476"/>
  <c r="Q476" s="1"/>
  <c r="O472"/>
  <c r="P472"/>
  <c r="Q472" s="1"/>
  <c r="O468"/>
  <c r="P468"/>
  <c r="Q468" s="1"/>
  <c r="O464"/>
  <c r="P464"/>
  <c r="Q464" s="1"/>
  <c r="O460"/>
  <c r="P460"/>
  <c r="Q460" s="1"/>
  <c r="O456"/>
  <c r="P456"/>
  <c r="Q456" s="1"/>
  <c r="O452"/>
  <c r="P452"/>
  <c r="Q452" s="1"/>
  <c r="O448"/>
  <c r="P448"/>
  <c r="Q448" s="1"/>
  <c r="O444"/>
  <c r="P444"/>
  <c r="Q444" s="1"/>
  <c r="O440"/>
  <c r="P440"/>
  <c r="Q440" s="1"/>
  <c r="O436"/>
  <c r="P436"/>
  <c r="Q436" s="1"/>
  <c r="O432"/>
  <c r="P432"/>
  <c r="Q432" s="1"/>
  <c r="O428"/>
  <c r="P428"/>
  <c r="Q428" s="1"/>
  <c r="O424"/>
  <c r="P424"/>
  <c r="Q424" s="1"/>
  <c r="O420"/>
  <c r="P420"/>
  <c r="Q420" s="1"/>
  <c r="O416"/>
  <c r="P416"/>
  <c r="Q416" s="1"/>
  <c r="O412"/>
  <c r="P412"/>
  <c r="Q412" s="1"/>
  <c r="O408"/>
  <c r="P408"/>
  <c r="Q408" s="1"/>
  <c r="O404"/>
  <c r="P404"/>
  <c r="Q404" s="1"/>
  <c r="O400"/>
  <c r="P400"/>
  <c r="Q400" s="1"/>
  <c r="O396"/>
  <c r="P396"/>
  <c r="Q396" s="1"/>
  <c r="O392"/>
  <c r="P392"/>
  <c r="Q392" s="1"/>
  <c r="O388"/>
  <c r="P388"/>
  <c r="Q388" s="1"/>
  <c r="O384"/>
  <c r="P384"/>
  <c r="Q384" s="1"/>
  <c r="O380"/>
  <c r="P380"/>
  <c r="Q380" s="1"/>
  <c r="O376"/>
  <c r="P376"/>
  <c r="Q376" s="1"/>
  <c r="O372"/>
  <c r="P372"/>
  <c r="Q372" s="1"/>
  <c r="O368"/>
  <c r="P368"/>
  <c r="Q368" s="1"/>
  <c r="O364"/>
  <c r="P364"/>
  <c r="Q364" s="1"/>
  <c r="O360"/>
  <c r="P360"/>
  <c r="Q360" s="1"/>
  <c r="O356"/>
  <c r="P356"/>
  <c r="Q356" s="1"/>
  <c r="O352"/>
  <c r="P352"/>
  <c r="Q352" s="1"/>
  <c r="O348"/>
  <c r="P348"/>
  <c r="Q348" s="1"/>
  <c r="O344"/>
  <c r="P344"/>
  <c r="Q344" s="1"/>
  <c r="O340"/>
  <c r="P340"/>
  <c r="Q340" s="1"/>
  <c r="O336"/>
  <c r="P336"/>
  <c r="Q336" s="1"/>
  <c r="O332"/>
  <c r="P332"/>
  <c r="Q332" s="1"/>
  <c r="O328"/>
  <c r="P328"/>
  <c r="Q328" s="1"/>
  <c r="O324"/>
  <c r="P324"/>
  <c r="Q324" s="1"/>
  <c r="O320"/>
  <c r="P320"/>
  <c r="Q320" s="1"/>
  <c r="O316"/>
  <c r="P316"/>
  <c r="Q316" s="1"/>
  <c r="O312"/>
  <c r="P312"/>
  <c r="Q312" s="1"/>
  <c r="O308"/>
  <c r="P308"/>
  <c r="Q308" s="1"/>
  <c r="O304"/>
  <c r="P304"/>
  <c r="Q304" s="1"/>
  <c r="O300"/>
  <c r="P300"/>
  <c r="Q300" s="1"/>
  <c r="O296"/>
  <c r="P296"/>
  <c r="Q296" s="1"/>
  <c r="O292"/>
  <c r="P292"/>
  <c r="Q292" s="1"/>
  <c r="O288"/>
  <c r="P288"/>
  <c r="Q288" s="1"/>
  <c r="O284"/>
  <c r="P284"/>
  <c r="Q284" s="1"/>
  <c r="O280"/>
  <c r="P280"/>
  <c r="Q280" s="1"/>
  <c r="O276"/>
  <c r="P276"/>
  <c r="Q276" s="1"/>
  <c r="O272"/>
  <c r="P272"/>
  <c r="Q272" s="1"/>
  <c r="O268"/>
  <c r="P268"/>
  <c r="Q268" s="1"/>
  <c r="O264"/>
  <c r="P264"/>
  <c r="Q264" s="1"/>
  <c r="O260"/>
  <c r="P260"/>
  <c r="Q260" s="1"/>
  <c r="O256"/>
  <c r="P256"/>
  <c r="Q256" s="1"/>
  <c r="O252"/>
  <c r="P252"/>
  <c r="Q252" s="1"/>
  <c r="O248"/>
  <c r="P248"/>
  <c r="Q248" s="1"/>
  <c r="O244"/>
  <c r="P244"/>
  <c r="Q244" s="1"/>
  <c r="O240"/>
  <c r="P240"/>
  <c r="Q240" s="1"/>
  <c r="O236"/>
  <c r="P236"/>
  <c r="Q236" s="1"/>
  <c r="O232"/>
  <c r="P232"/>
  <c r="Q232" s="1"/>
  <c r="O228"/>
  <c r="P228"/>
  <c r="Q228" s="1"/>
  <c r="O224"/>
  <c r="P224"/>
  <c r="Q224" s="1"/>
  <c r="O220"/>
  <c r="P220"/>
  <c r="Q220" s="1"/>
  <c r="O216"/>
  <c r="P216"/>
  <c r="Q216" s="1"/>
  <c r="O212"/>
  <c r="P212"/>
  <c r="Q212" s="1"/>
  <c r="O208"/>
  <c r="P208"/>
  <c r="Q208" s="1"/>
  <c r="O204"/>
  <c r="P204"/>
  <c r="Q204" s="1"/>
  <c r="O200"/>
  <c r="P200"/>
  <c r="Q200" s="1"/>
  <c r="O196"/>
  <c r="P196"/>
  <c r="Q196" s="1"/>
  <c r="O192"/>
  <c r="P192"/>
  <c r="Q192" s="1"/>
  <c r="O188"/>
  <c r="P188"/>
  <c r="Q188" s="1"/>
  <c r="O184"/>
  <c r="P184"/>
  <c r="Q184" s="1"/>
  <c r="O180"/>
  <c r="P180"/>
  <c r="Q180" s="1"/>
  <c r="O176"/>
  <c r="P176"/>
  <c r="Q176" s="1"/>
  <c r="O172"/>
  <c r="P172"/>
  <c r="Q172" s="1"/>
  <c r="O168"/>
  <c r="P168"/>
  <c r="Q168" s="1"/>
  <c r="O164"/>
  <c r="P164"/>
  <c r="Q164" s="1"/>
  <c r="O160"/>
  <c r="P160"/>
  <c r="Q160" s="1"/>
  <c r="O156"/>
  <c r="P156"/>
  <c r="Q156" s="1"/>
  <c r="O152"/>
  <c r="P152"/>
  <c r="Q152" s="1"/>
  <c r="O148"/>
  <c r="P148"/>
  <c r="Q148" s="1"/>
  <c r="O144"/>
  <c r="P144"/>
  <c r="Q144" s="1"/>
  <c r="O140"/>
  <c r="P140"/>
  <c r="Q140" s="1"/>
  <c r="O136"/>
  <c r="P136"/>
  <c r="Q136" s="1"/>
  <c r="O132"/>
  <c r="P132"/>
  <c r="Q132" s="1"/>
  <c r="O128"/>
  <c r="P128"/>
  <c r="Q128" s="1"/>
  <c r="O124"/>
  <c r="P124"/>
  <c r="Q124" s="1"/>
  <c r="O120"/>
  <c r="P120"/>
  <c r="Q120" s="1"/>
  <c r="O116"/>
  <c r="P116"/>
  <c r="Q116" s="1"/>
  <c r="O112"/>
  <c r="P112"/>
  <c r="Q112" s="1"/>
  <c r="O108"/>
  <c r="P108"/>
  <c r="Q108" s="1"/>
  <c r="O104"/>
  <c r="P104"/>
  <c r="Q104" s="1"/>
  <c r="O100"/>
  <c r="P100"/>
  <c r="Q100" s="1"/>
  <c r="O96"/>
  <c r="P96"/>
  <c r="Q96" s="1"/>
  <c r="O92"/>
  <c r="P92"/>
  <c r="Q92" s="1"/>
  <c r="O88"/>
  <c r="P88"/>
  <c r="Q88" s="1"/>
  <c r="O84"/>
  <c r="P84"/>
  <c r="Q84" s="1"/>
  <c r="O80"/>
  <c r="P80"/>
  <c r="Q80" s="1"/>
  <c r="O76"/>
  <c r="P76"/>
  <c r="Q76" s="1"/>
  <c r="O72"/>
  <c r="P72"/>
  <c r="Q72" s="1"/>
  <c r="O68"/>
  <c r="P68"/>
  <c r="Q68" s="1"/>
  <c r="O64"/>
  <c r="P64"/>
  <c r="Q64" s="1"/>
  <c r="O60"/>
  <c r="P60"/>
  <c r="Q60" s="1"/>
  <c r="O56"/>
  <c r="P56"/>
  <c r="Q56" s="1"/>
  <c r="O52"/>
  <c r="P52"/>
  <c r="Q52" s="1"/>
  <c r="O48"/>
  <c r="P48"/>
  <c r="Q48" s="1"/>
  <c r="O44"/>
  <c r="P44"/>
  <c r="Q44" s="1"/>
  <c r="O40"/>
  <c r="P40"/>
  <c r="Q40" s="1"/>
  <c r="O36"/>
  <c r="P36"/>
  <c r="Q36" s="1"/>
  <c r="O32"/>
  <c r="P32"/>
  <c r="Q32" s="1"/>
  <c r="O28"/>
  <c r="P28"/>
  <c r="Q28" s="1"/>
  <c r="O24"/>
  <c r="P24"/>
  <c r="Q24" s="1"/>
  <c r="O20"/>
  <c r="P20"/>
  <c r="Q20" s="1"/>
  <c r="O16"/>
  <c r="P16"/>
  <c r="Q16" s="1"/>
  <c r="O12"/>
  <c r="P12"/>
  <c r="Q12" s="1"/>
  <c r="O8"/>
  <c r="P8"/>
  <c r="Q8" s="1"/>
  <c r="O4"/>
  <c r="P4"/>
  <c r="Q4" s="1"/>
  <c r="F185"/>
  <c r="F177"/>
  <c r="D316"/>
  <c r="J316"/>
  <c r="S316" s="1"/>
  <c r="I316"/>
  <c r="R316" s="1"/>
  <c r="H316"/>
  <c r="T316" s="1"/>
  <c r="F316"/>
  <c r="E316"/>
  <c r="D312"/>
  <c r="J312"/>
  <c r="S312" s="1"/>
  <c r="I312"/>
  <c r="R312" s="1"/>
  <c r="H312"/>
  <c r="T312" s="1"/>
  <c r="E312"/>
  <c r="F312"/>
  <c r="D308"/>
  <c r="J308"/>
  <c r="S308" s="1"/>
  <c r="I308"/>
  <c r="R308" s="1"/>
  <c r="H308"/>
  <c r="T308" s="1"/>
  <c r="E308"/>
  <c r="F308"/>
  <c r="D304"/>
  <c r="J304"/>
  <c r="S304" s="1"/>
  <c r="I304"/>
  <c r="R304" s="1"/>
  <c r="H304"/>
  <c r="T304" s="1"/>
  <c r="F304"/>
  <c r="E304"/>
  <c r="D300"/>
  <c r="J300"/>
  <c r="S300" s="1"/>
  <c r="I300"/>
  <c r="R300" s="1"/>
  <c r="H300"/>
  <c r="T300" s="1"/>
  <c r="E300"/>
  <c r="F300"/>
  <c r="D296"/>
  <c r="J296"/>
  <c r="S296" s="1"/>
  <c r="I296"/>
  <c r="R296" s="1"/>
  <c r="H296"/>
  <c r="T296" s="1"/>
  <c r="E296"/>
  <c r="F296"/>
  <c r="D292"/>
  <c r="J292"/>
  <c r="S292" s="1"/>
  <c r="I292"/>
  <c r="R292" s="1"/>
  <c r="H292"/>
  <c r="T292" s="1"/>
  <c r="F292"/>
  <c r="E292"/>
  <c r="D288"/>
  <c r="J288"/>
  <c r="S288" s="1"/>
  <c r="I288"/>
  <c r="R288" s="1"/>
  <c r="H288"/>
  <c r="T288" s="1"/>
  <c r="E288"/>
  <c r="F288"/>
  <c r="D284"/>
  <c r="J284"/>
  <c r="S284" s="1"/>
  <c r="I284"/>
  <c r="R284" s="1"/>
  <c r="H284"/>
  <c r="T284" s="1"/>
  <c r="F284"/>
  <c r="E284"/>
  <c r="D280"/>
  <c r="J280"/>
  <c r="S280" s="1"/>
  <c r="I280"/>
  <c r="R280" s="1"/>
  <c r="H280"/>
  <c r="T280" s="1"/>
  <c r="E280"/>
  <c r="F280"/>
  <c r="D276"/>
  <c r="J276"/>
  <c r="S276" s="1"/>
  <c r="I276"/>
  <c r="R276" s="1"/>
  <c r="H276"/>
  <c r="T276" s="1"/>
  <c r="E276"/>
  <c r="F276"/>
  <c r="D272"/>
  <c r="J272"/>
  <c r="S272" s="1"/>
  <c r="I272"/>
  <c r="R272" s="1"/>
  <c r="H272"/>
  <c r="T272" s="1"/>
  <c r="E272"/>
  <c r="F272"/>
  <c r="F268"/>
  <c r="D268"/>
  <c r="J268"/>
  <c r="S268" s="1"/>
  <c r="I268"/>
  <c r="R268" s="1"/>
  <c r="H268"/>
  <c r="T268" s="1"/>
  <c r="E268"/>
  <c r="D264"/>
  <c r="J264"/>
  <c r="S264" s="1"/>
  <c r="I264"/>
  <c r="R264" s="1"/>
  <c r="H264"/>
  <c r="T264" s="1"/>
  <c r="E264"/>
  <c r="F264"/>
  <c r="D260"/>
  <c r="J260"/>
  <c r="S260" s="1"/>
  <c r="I260"/>
  <c r="R260" s="1"/>
  <c r="H260"/>
  <c r="T260" s="1"/>
  <c r="E260"/>
  <c r="F260"/>
  <c r="D256"/>
  <c r="J256"/>
  <c r="S256" s="1"/>
  <c r="I256"/>
  <c r="R256" s="1"/>
  <c r="H256"/>
  <c r="T256" s="1"/>
  <c r="E256"/>
  <c r="F256"/>
  <c r="D252"/>
  <c r="J252"/>
  <c r="S252" s="1"/>
  <c r="I252"/>
  <c r="R252" s="1"/>
  <c r="H252"/>
  <c r="T252" s="1"/>
  <c r="E252"/>
  <c r="F252"/>
  <c r="D248"/>
  <c r="J248"/>
  <c r="S248" s="1"/>
  <c r="I248"/>
  <c r="R248" s="1"/>
  <c r="H248"/>
  <c r="T248" s="1"/>
  <c r="E248"/>
  <c r="F248"/>
  <c r="D244"/>
  <c r="J244"/>
  <c r="S244" s="1"/>
  <c r="I244"/>
  <c r="R244" s="1"/>
  <c r="H244"/>
  <c r="T244" s="1"/>
  <c r="E244"/>
  <c r="F244"/>
  <c r="D240"/>
  <c r="J240"/>
  <c r="S240" s="1"/>
  <c r="I240"/>
  <c r="R240" s="1"/>
  <c r="H240"/>
  <c r="T240" s="1"/>
  <c r="E240"/>
  <c r="F240"/>
  <c r="D236"/>
  <c r="J236"/>
  <c r="S236" s="1"/>
  <c r="I236"/>
  <c r="R236" s="1"/>
  <c r="H236"/>
  <c r="T236" s="1"/>
  <c r="E236"/>
  <c r="F236"/>
  <c r="D232"/>
  <c r="J232"/>
  <c r="S232" s="1"/>
  <c r="I232"/>
  <c r="R232" s="1"/>
  <c r="H232"/>
  <c r="T232" s="1"/>
  <c r="F232"/>
  <c r="E232"/>
  <c r="D228"/>
  <c r="J228"/>
  <c r="S228" s="1"/>
  <c r="I228"/>
  <c r="R228" s="1"/>
  <c r="H228"/>
  <c r="T228" s="1"/>
  <c r="E228"/>
  <c r="F228"/>
  <c r="D224"/>
  <c r="J224"/>
  <c r="S224" s="1"/>
  <c r="I224"/>
  <c r="R224" s="1"/>
  <c r="H224"/>
  <c r="T224" s="1"/>
  <c r="E224"/>
  <c r="F224"/>
  <c r="D220"/>
  <c r="J220"/>
  <c r="S220" s="1"/>
  <c r="I220"/>
  <c r="R220" s="1"/>
  <c r="H220"/>
  <c r="T220" s="1"/>
  <c r="E220"/>
  <c r="F220"/>
  <c r="D216"/>
  <c r="J216"/>
  <c r="S216" s="1"/>
  <c r="I216"/>
  <c r="R216" s="1"/>
  <c r="H216"/>
  <c r="T216" s="1"/>
  <c r="E216"/>
  <c r="F216"/>
  <c r="D212"/>
  <c r="J212"/>
  <c r="S212" s="1"/>
  <c r="I212"/>
  <c r="R212" s="1"/>
  <c r="H212"/>
  <c r="T212" s="1"/>
  <c r="E212"/>
  <c r="F212"/>
  <c r="D208"/>
  <c r="J208"/>
  <c r="S208" s="1"/>
  <c r="I208"/>
  <c r="R208" s="1"/>
  <c r="H208"/>
  <c r="T208" s="1"/>
  <c r="E208"/>
  <c r="F208"/>
  <c r="D204"/>
  <c r="J204"/>
  <c r="S204" s="1"/>
  <c r="I204"/>
  <c r="R204" s="1"/>
  <c r="H204"/>
  <c r="T204" s="1"/>
  <c r="E204"/>
  <c r="F204"/>
  <c r="D200"/>
  <c r="J200"/>
  <c r="S200" s="1"/>
  <c r="I200"/>
  <c r="R200" s="1"/>
  <c r="H200"/>
  <c r="T200" s="1"/>
  <c r="E200"/>
  <c r="F200"/>
  <c r="D196"/>
  <c r="J196"/>
  <c r="S196" s="1"/>
  <c r="I196"/>
  <c r="R196" s="1"/>
  <c r="H196"/>
  <c r="T196" s="1"/>
  <c r="E196"/>
  <c r="F196"/>
  <c r="D192"/>
  <c r="J192"/>
  <c r="S192" s="1"/>
  <c r="I192"/>
  <c r="R192" s="1"/>
  <c r="H192"/>
  <c r="T192" s="1"/>
  <c r="E192"/>
  <c r="F192"/>
  <c r="D188"/>
  <c r="J188"/>
  <c r="S188" s="1"/>
  <c r="I188"/>
  <c r="R188" s="1"/>
  <c r="H188"/>
  <c r="T188" s="1"/>
  <c r="E188"/>
  <c r="F188"/>
  <c r="D184"/>
  <c r="J184"/>
  <c r="S184" s="1"/>
  <c r="I184"/>
  <c r="R184" s="1"/>
  <c r="H184"/>
  <c r="T184" s="1"/>
  <c r="E184"/>
  <c r="D180"/>
  <c r="J180"/>
  <c r="S180" s="1"/>
  <c r="I180"/>
  <c r="R180" s="1"/>
  <c r="H180"/>
  <c r="T180" s="1"/>
  <c r="E180"/>
  <c r="F180"/>
  <c r="D176"/>
  <c r="J176"/>
  <c r="S176" s="1"/>
  <c r="I176"/>
  <c r="R176" s="1"/>
  <c r="H176"/>
  <c r="T176" s="1"/>
  <c r="E176"/>
  <c r="F176"/>
  <c r="D172"/>
  <c r="J172"/>
  <c r="S172" s="1"/>
  <c r="I172"/>
  <c r="R172" s="1"/>
  <c r="H172"/>
  <c r="T172" s="1"/>
  <c r="E172"/>
  <c r="F172"/>
  <c r="D168"/>
  <c r="J168"/>
  <c r="S168" s="1"/>
  <c r="I168"/>
  <c r="R168" s="1"/>
  <c r="H168"/>
  <c r="T168" s="1"/>
  <c r="E168"/>
  <c r="F168"/>
  <c r="D164"/>
  <c r="J164"/>
  <c r="S164" s="1"/>
  <c r="I164"/>
  <c r="R164" s="1"/>
  <c r="H164"/>
  <c r="T164" s="1"/>
  <c r="E164"/>
  <c r="D160"/>
  <c r="J160"/>
  <c r="S160" s="1"/>
  <c r="I160"/>
  <c r="R160" s="1"/>
  <c r="H160"/>
  <c r="T160" s="1"/>
  <c r="E160"/>
  <c r="F160"/>
  <c r="D156"/>
  <c r="J156"/>
  <c r="S156" s="1"/>
  <c r="I156"/>
  <c r="R156" s="1"/>
  <c r="H156"/>
  <c r="T156" s="1"/>
  <c r="E156"/>
  <c r="D152"/>
  <c r="J152"/>
  <c r="S152" s="1"/>
  <c r="I152"/>
  <c r="R152" s="1"/>
  <c r="H152"/>
  <c r="T152" s="1"/>
  <c r="E152"/>
  <c r="D148"/>
  <c r="J148"/>
  <c r="S148" s="1"/>
  <c r="I148"/>
  <c r="R148" s="1"/>
  <c r="H148"/>
  <c r="T148" s="1"/>
  <c r="E148"/>
  <c r="F148"/>
  <c r="D144"/>
  <c r="J144"/>
  <c r="S144" s="1"/>
  <c r="I144"/>
  <c r="R144" s="1"/>
  <c r="H144"/>
  <c r="T144" s="1"/>
  <c r="E144"/>
  <c r="F144"/>
  <c r="D140"/>
  <c r="J140"/>
  <c r="S140" s="1"/>
  <c r="I140"/>
  <c r="R140" s="1"/>
  <c r="H140"/>
  <c r="T140" s="1"/>
  <c r="E140"/>
  <c r="F140"/>
  <c r="D136"/>
  <c r="J136"/>
  <c r="S136" s="1"/>
  <c r="I136"/>
  <c r="R136" s="1"/>
  <c r="H136"/>
  <c r="T136" s="1"/>
  <c r="E136"/>
  <c r="F136"/>
  <c r="D132"/>
  <c r="J132"/>
  <c r="S132" s="1"/>
  <c r="I132"/>
  <c r="R132" s="1"/>
  <c r="H132"/>
  <c r="T132" s="1"/>
  <c r="E132"/>
  <c r="F132"/>
  <c r="D128"/>
  <c r="J128"/>
  <c r="S128" s="1"/>
  <c r="I128"/>
  <c r="R128" s="1"/>
  <c r="H128"/>
  <c r="T128" s="1"/>
  <c r="E128"/>
  <c r="F128"/>
  <c r="D124"/>
  <c r="J124"/>
  <c r="S124" s="1"/>
  <c r="I124"/>
  <c r="R124" s="1"/>
  <c r="H124"/>
  <c r="T124" s="1"/>
  <c r="E124"/>
  <c r="F124"/>
  <c r="D120"/>
  <c r="J120"/>
  <c r="S120" s="1"/>
  <c r="I120"/>
  <c r="R120" s="1"/>
  <c r="H120"/>
  <c r="T120" s="1"/>
  <c r="E120"/>
  <c r="D116"/>
  <c r="J116"/>
  <c r="S116" s="1"/>
  <c r="I116"/>
  <c r="R116" s="1"/>
  <c r="H116"/>
  <c r="T116" s="1"/>
  <c r="E116"/>
  <c r="D112"/>
  <c r="J112"/>
  <c r="S112" s="1"/>
  <c r="I112"/>
  <c r="R112" s="1"/>
  <c r="H112"/>
  <c r="T112" s="1"/>
  <c r="E112"/>
  <c r="F112"/>
  <c r="D108"/>
  <c r="J108"/>
  <c r="S108" s="1"/>
  <c r="I108"/>
  <c r="R108" s="1"/>
  <c r="H108"/>
  <c r="T108" s="1"/>
  <c r="E108"/>
  <c r="F108"/>
  <c r="D104"/>
  <c r="J104"/>
  <c r="S104" s="1"/>
  <c r="I104"/>
  <c r="R104" s="1"/>
  <c r="H104"/>
  <c r="T104" s="1"/>
  <c r="E104"/>
  <c r="F104"/>
  <c r="D100"/>
  <c r="J100"/>
  <c r="S100" s="1"/>
  <c r="I100"/>
  <c r="R100" s="1"/>
  <c r="H100"/>
  <c r="T100" s="1"/>
  <c r="E100"/>
  <c r="F100"/>
  <c r="D96"/>
  <c r="J96"/>
  <c r="S96" s="1"/>
  <c r="I96"/>
  <c r="R96" s="1"/>
  <c r="H96"/>
  <c r="T96" s="1"/>
  <c r="E96"/>
  <c r="F96"/>
  <c r="D92"/>
  <c r="J92"/>
  <c r="S92" s="1"/>
  <c r="I92"/>
  <c r="R92" s="1"/>
  <c r="H92"/>
  <c r="T92" s="1"/>
  <c r="E92"/>
  <c r="F92"/>
  <c r="D88"/>
  <c r="J88"/>
  <c r="S88" s="1"/>
  <c r="I88"/>
  <c r="R88" s="1"/>
  <c r="H88"/>
  <c r="T88" s="1"/>
  <c r="E88"/>
  <c r="F88"/>
  <c r="D84"/>
  <c r="J84"/>
  <c r="S84" s="1"/>
  <c r="I84"/>
  <c r="R84" s="1"/>
  <c r="H84"/>
  <c r="T84" s="1"/>
  <c r="E84"/>
  <c r="F84"/>
  <c r="D80"/>
  <c r="J80"/>
  <c r="S80" s="1"/>
  <c r="I80"/>
  <c r="R80" s="1"/>
  <c r="H80"/>
  <c r="T80" s="1"/>
  <c r="E80"/>
  <c r="F80"/>
  <c r="D76"/>
  <c r="J76"/>
  <c r="S76" s="1"/>
  <c r="I76"/>
  <c r="R76" s="1"/>
  <c r="H76"/>
  <c r="T76" s="1"/>
  <c r="F76"/>
  <c r="E76"/>
  <c r="D72"/>
  <c r="J72"/>
  <c r="S72" s="1"/>
  <c r="I72"/>
  <c r="R72" s="1"/>
  <c r="H72"/>
  <c r="T72" s="1"/>
  <c r="E72"/>
  <c r="D68"/>
  <c r="J68"/>
  <c r="S68" s="1"/>
  <c r="I68"/>
  <c r="R68" s="1"/>
  <c r="H68"/>
  <c r="T68" s="1"/>
  <c r="E68"/>
  <c r="F68"/>
  <c r="D64"/>
  <c r="J64"/>
  <c r="S64" s="1"/>
  <c r="I64"/>
  <c r="R64" s="1"/>
  <c r="H64"/>
  <c r="T64" s="1"/>
  <c r="E64"/>
  <c r="F64"/>
  <c r="D60"/>
  <c r="J60"/>
  <c r="S60" s="1"/>
  <c r="I60"/>
  <c r="R60" s="1"/>
  <c r="H60"/>
  <c r="T60" s="1"/>
  <c r="E60"/>
  <c r="F60"/>
  <c r="D56"/>
  <c r="J56"/>
  <c r="S56" s="1"/>
  <c r="I56"/>
  <c r="R56" s="1"/>
  <c r="H56"/>
  <c r="T56" s="1"/>
  <c r="E56"/>
  <c r="F56"/>
  <c r="D52"/>
  <c r="J52"/>
  <c r="S52" s="1"/>
  <c r="I52"/>
  <c r="R52" s="1"/>
  <c r="H52"/>
  <c r="T52" s="1"/>
  <c r="E52"/>
  <c r="D48"/>
  <c r="J48"/>
  <c r="S48" s="1"/>
  <c r="H48"/>
  <c r="T48" s="1"/>
  <c r="I48"/>
  <c r="R48" s="1"/>
  <c r="E48"/>
  <c r="F48"/>
  <c r="D44"/>
  <c r="J44"/>
  <c r="S44" s="1"/>
  <c r="H44"/>
  <c r="T44" s="1"/>
  <c r="I44"/>
  <c r="R44" s="1"/>
  <c r="E44"/>
  <c r="F44"/>
  <c r="D40"/>
  <c r="J40"/>
  <c r="S40" s="1"/>
  <c r="H40"/>
  <c r="T40" s="1"/>
  <c r="I40"/>
  <c r="R40" s="1"/>
  <c r="E40"/>
  <c r="F40"/>
  <c r="D36"/>
  <c r="J36"/>
  <c r="S36" s="1"/>
  <c r="H36"/>
  <c r="T36" s="1"/>
  <c r="I36"/>
  <c r="R36" s="1"/>
  <c r="E36"/>
  <c r="F36"/>
  <c r="D32"/>
  <c r="J32"/>
  <c r="S32" s="1"/>
  <c r="H32"/>
  <c r="T32" s="1"/>
  <c r="I32"/>
  <c r="R32" s="1"/>
  <c r="E32"/>
  <c r="F32"/>
  <c r="D28"/>
  <c r="J28"/>
  <c r="S28" s="1"/>
  <c r="H28"/>
  <c r="T28" s="1"/>
  <c r="I28"/>
  <c r="R28" s="1"/>
  <c r="E28"/>
  <c r="F28"/>
  <c r="D24"/>
  <c r="J24"/>
  <c r="S24" s="1"/>
  <c r="H24"/>
  <c r="T24" s="1"/>
  <c r="I24"/>
  <c r="R24" s="1"/>
  <c r="E24"/>
  <c r="D20"/>
  <c r="J20"/>
  <c r="S20" s="1"/>
  <c r="H20"/>
  <c r="T20" s="1"/>
  <c r="I20"/>
  <c r="R20" s="1"/>
  <c r="E20"/>
  <c r="F20"/>
  <c r="D16"/>
  <c r="J16"/>
  <c r="S16" s="1"/>
  <c r="H16"/>
  <c r="T16" s="1"/>
  <c r="I16"/>
  <c r="R16" s="1"/>
  <c r="F16"/>
  <c r="E16"/>
  <c r="D12"/>
  <c r="J12"/>
  <c r="S12" s="1"/>
  <c r="H12"/>
  <c r="T12" s="1"/>
  <c r="I12"/>
  <c r="R12" s="1"/>
  <c r="E12"/>
  <c r="D8"/>
  <c r="J8"/>
  <c r="S8" s="1"/>
  <c r="H8"/>
  <c r="T8" s="1"/>
  <c r="I8"/>
  <c r="R8" s="1"/>
  <c r="E8"/>
  <c r="F8"/>
  <c r="D4"/>
  <c r="J4"/>
  <c r="S4" s="1"/>
  <c r="H4"/>
  <c r="T4" s="1"/>
  <c r="I4"/>
  <c r="R4" s="1"/>
  <c r="E4"/>
  <c r="F4"/>
  <c r="D488"/>
  <c r="J488"/>
  <c r="S488" s="1"/>
  <c r="I488"/>
  <c r="R488" s="1"/>
  <c r="H488"/>
  <c r="T488" s="1"/>
  <c r="E488"/>
  <c r="F488"/>
  <c r="D484"/>
  <c r="J484"/>
  <c r="S484" s="1"/>
  <c r="I484"/>
  <c r="R484" s="1"/>
  <c r="H484"/>
  <c r="T484" s="1"/>
  <c r="E484"/>
  <c r="F484"/>
  <c r="D480"/>
  <c r="J480"/>
  <c r="S480" s="1"/>
  <c r="I480"/>
  <c r="R480" s="1"/>
  <c r="H480"/>
  <c r="T480" s="1"/>
  <c r="E480"/>
  <c r="F480"/>
  <c r="D476"/>
  <c r="J476"/>
  <c r="S476" s="1"/>
  <c r="I476"/>
  <c r="R476" s="1"/>
  <c r="H476"/>
  <c r="T476" s="1"/>
  <c r="E476"/>
  <c r="F476"/>
  <c r="D472"/>
  <c r="J472"/>
  <c r="S472" s="1"/>
  <c r="I472"/>
  <c r="R472" s="1"/>
  <c r="H472"/>
  <c r="T472" s="1"/>
  <c r="E472"/>
  <c r="F472"/>
  <c r="D468"/>
  <c r="J468"/>
  <c r="S468" s="1"/>
  <c r="I468"/>
  <c r="R468" s="1"/>
  <c r="H468"/>
  <c r="T468" s="1"/>
  <c r="E468"/>
  <c r="F468"/>
  <c r="D464"/>
  <c r="J464"/>
  <c r="S464" s="1"/>
  <c r="I464"/>
  <c r="R464" s="1"/>
  <c r="H464"/>
  <c r="T464" s="1"/>
  <c r="E464"/>
  <c r="F464"/>
  <c r="D460"/>
  <c r="J460"/>
  <c r="S460" s="1"/>
  <c r="I460"/>
  <c r="R460" s="1"/>
  <c r="H460"/>
  <c r="T460" s="1"/>
  <c r="E460"/>
  <c r="F460"/>
  <c r="D456"/>
  <c r="J456"/>
  <c r="S456" s="1"/>
  <c r="I456"/>
  <c r="R456" s="1"/>
  <c r="H456"/>
  <c r="T456" s="1"/>
  <c r="E456"/>
  <c r="F456"/>
  <c r="D452"/>
  <c r="J452"/>
  <c r="S452" s="1"/>
  <c r="I452"/>
  <c r="R452" s="1"/>
  <c r="H452"/>
  <c r="T452" s="1"/>
  <c r="E452"/>
  <c r="F452"/>
  <c r="D448"/>
  <c r="J448"/>
  <c r="S448" s="1"/>
  <c r="I448"/>
  <c r="R448" s="1"/>
  <c r="H448"/>
  <c r="T448" s="1"/>
  <c r="E448"/>
  <c r="F448"/>
  <c r="D444"/>
  <c r="J444"/>
  <c r="S444" s="1"/>
  <c r="I444"/>
  <c r="R444" s="1"/>
  <c r="H444"/>
  <c r="T444" s="1"/>
  <c r="F444"/>
  <c r="E444"/>
  <c r="D440"/>
  <c r="J440"/>
  <c r="S440" s="1"/>
  <c r="I440"/>
  <c r="R440" s="1"/>
  <c r="H440"/>
  <c r="T440" s="1"/>
  <c r="E440"/>
  <c r="F440"/>
  <c r="D436"/>
  <c r="J436"/>
  <c r="S436" s="1"/>
  <c r="I436"/>
  <c r="R436" s="1"/>
  <c r="H436"/>
  <c r="T436" s="1"/>
  <c r="E436"/>
  <c r="F436"/>
  <c r="D432"/>
  <c r="J432"/>
  <c r="S432" s="1"/>
  <c r="I432"/>
  <c r="R432" s="1"/>
  <c r="H432"/>
  <c r="T432" s="1"/>
  <c r="E432"/>
  <c r="F432"/>
  <c r="D428"/>
  <c r="J428"/>
  <c r="S428" s="1"/>
  <c r="I428"/>
  <c r="R428" s="1"/>
  <c r="H428"/>
  <c r="T428" s="1"/>
  <c r="E428"/>
  <c r="F428"/>
  <c r="D424"/>
  <c r="J424"/>
  <c r="S424" s="1"/>
  <c r="I424"/>
  <c r="R424" s="1"/>
  <c r="H424"/>
  <c r="T424" s="1"/>
  <c r="E424"/>
  <c r="F424"/>
  <c r="D420"/>
  <c r="J420"/>
  <c r="S420" s="1"/>
  <c r="I420"/>
  <c r="R420" s="1"/>
  <c r="H420"/>
  <c r="T420" s="1"/>
  <c r="E420"/>
  <c r="D416"/>
  <c r="J416"/>
  <c r="S416" s="1"/>
  <c r="I416"/>
  <c r="R416" s="1"/>
  <c r="H416"/>
  <c r="T416" s="1"/>
  <c r="E416"/>
  <c r="F416"/>
  <c r="D412"/>
  <c r="J412"/>
  <c r="S412" s="1"/>
  <c r="I412"/>
  <c r="R412" s="1"/>
  <c r="H412"/>
  <c r="T412" s="1"/>
  <c r="E412"/>
  <c r="F412"/>
  <c r="D408"/>
  <c r="J408"/>
  <c r="S408" s="1"/>
  <c r="I408"/>
  <c r="R408" s="1"/>
  <c r="H408"/>
  <c r="T408" s="1"/>
  <c r="F408"/>
  <c r="E408"/>
  <c r="D404"/>
  <c r="J404"/>
  <c r="S404" s="1"/>
  <c r="I404"/>
  <c r="R404" s="1"/>
  <c r="H404"/>
  <c r="T404" s="1"/>
  <c r="E404"/>
  <c r="F404"/>
  <c r="D400"/>
  <c r="J400"/>
  <c r="S400" s="1"/>
  <c r="I400"/>
  <c r="R400" s="1"/>
  <c r="H400"/>
  <c r="T400" s="1"/>
  <c r="E400"/>
  <c r="F400"/>
  <c r="D396"/>
  <c r="J396"/>
  <c r="S396" s="1"/>
  <c r="I396"/>
  <c r="R396" s="1"/>
  <c r="H396"/>
  <c r="T396" s="1"/>
  <c r="E396"/>
  <c r="F396"/>
  <c r="D392"/>
  <c r="J392"/>
  <c r="S392" s="1"/>
  <c r="I392"/>
  <c r="R392" s="1"/>
  <c r="H392"/>
  <c r="T392" s="1"/>
  <c r="E392"/>
  <c r="F392"/>
  <c r="D388"/>
  <c r="J388"/>
  <c r="S388" s="1"/>
  <c r="I388"/>
  <c r="R388" s="1"/>
  <c r="H388"/>
  <c r="T388" s="1"/>
  <c r="E388"/>
  <c r="F388"/>
  <c r="D384"/>
  <c r="J384"/>
  <c r="S384" s="1"/>
  <c r="I384"/>
  <c r="R384" s="1"/>
  <c r="H384"/>
  <c r="T384" s="1"/>
  <c r="E384"/>
  <c r="F384"/>
  <c r="D380"/>
  <c r="J380"/>
  <c r="S380" s="1"/>
  <c r="I380"/>
  <c r="R380" s="1"/>
  <c r="H380"/>
  <c r="T380" s="1"/>
  <c r="E380"/>
  <c r="F380"/>
  <c r="D376"/>
  <c r="J376"/>
  <c r="S376" s="1"/>
  <c r="I376"/>
  <c r="R376" s="1"/>
  <c r="H376"/>
  <c r="T376" s="1"/>
  <c r="E376"/>
  <c r="F376"/>
  <c r="D372"/>
  <c r="J372"/>
  <c r="S372" s="1"/>
  <c r="I372"/>
  <c r="R372" s="1"/>
  <c r="H372"/>
  <c r="T372" s="1"/>
  <c r="E372"/>
  <c r="F372"/>
  <c r="D368"/>
  <c r="J368"/>
  <c r="S368" s="1"/>
  <c r="I368"/>
  <c r="R368" s="1"/>
  <c r="H368"/>
  <c r="T368" s="1"/>
  <c r="E368"/>
  <c r="D364"/>
  <c r="J364"/>
  <c r="S364" s="1"/>
  <c r="I364"/>
  <c r="R364" s="1"/>
  <c r="H364"/>
  <c r="T364" s="1"/>
  <c r="E364"/>
  <c r="F364"/>
  <c r="D360"/>
  <c r="J360"/>
  <c r="S360" s="1"/>
  <c r="I360"/>
  <c r="R360" s="1"/>
  <c r="H360"/>
  <c r="T360" s="1"/>
  <c r="E360"/>
  <c r="F360"/>
  <c r="D356"/>
  <c r="J356"/>
  <c r="S356" s="1"/>
  <c r="I356"/>
  <c r="R356" s="1"/>
  <c r="H356"/>
  <c r="T356" s="1"/>
  <c r="E356"/>
  <c r="F356"/>
  <c r="D352"/>
  <c r="J352"/>
  <c r="S352" s="1"/>
  <c r="I352"/>
  <c r="R352" s="1"/>
  <c r="H352"/>
  <c r="T352" s="1"/>
  <c r="E352"/>
  <c r="F352"/>
  <c r="D348"/>
  <c r="J348"/>
  <c r="S348" s="1"/>
  <c r="I348"/>
  <c r="R348" s="1"/>
  <c r="H348"/>
  <c r="T348" s="1"/>
  <c r="E348"/>
  <c r="F348"/>
  <c r="D344"/>
  <c r="J344"/>
  <c r="S344" s="1"/>
  <c r="I344"/>
  <c r="R344" s="1"/>
  <c r="H344"/>
  <c r="T344" s="1"/>
  <c r="E344"/>
  <c r="F344"/>
  <c r="D340"/>
  <c r="J340"/>
  <c r="S340" s="1"/>
  <c r="I340"/>
  <c r="R340" s="1"/>
  <c r="H340"/>
  <c r="T340" s="1"/>
  <c r="E340"/>
  <c r="D336"/>
  <c r="J336"/>
  <c r="S336" s="1"/>
  <c r="I336"/>
  <c r="R336" s="1"/>
  <c r="H336"/>
  <c r="T336" s="1"/>
  <c r="E336"/>
  <c r="F336"/>
  <c r="D332"/>
  <c r="J332"/>
  <c r="S332" s="1"/>
  <c r="I332"/>
  <c r="R332" s="1"/>
  <c r="H332"/>
  <c r="T332" s="1"/>
  <c r="E332"/>
  <c r="F332"/>
  <c r="D328"/>
  <c r="J328"/>
  <c r="S328" s="1"/>
  <c r="I328"/>
  <c r="R328" s="1"/>
  <c r="H328"/>
  <c r="T328" s="1"/>
  <c r="E328"/>
  <c r="D324"/>
  <c r="J324"/>
  <c r="S324" s="1"/>
  <c r="I324"/>
  <c r="R324" s="1"/>
  <c r="H324"/>
  <c r="T324" s="1"/>
  <c r="E324"/>
  <c r="F324"/>
  <c r="D320"/>
  <c r="J320"/>
  <c r="S320" s="1"/>
  <c r="I320"/>
  <c r="R320" s="1"/>
  <c r="H320"/>
  <c r="T320" s="1"/>
  <c r="E320"/>
  <c r="F320"/>
  <c r="P489"/>
  <c r="Q489" s="1"/>
  <c r="O489"/>
  <c r="P485"/>
  <c r="Q485" s="1"/>
  <c r="O485"/>
  <c r="P481"/>
  <c r="Q481" s="1"/>
  <c r="O481"/>
  <c r="P477"/>
  <c r="Q477" s="1"/>
  <c r="O477"/>
  <c r="P473"/>
  <c r="Q473" s="1"/>
  <c r="O473"/>
  <c r="P469"/>
  <c r="Q469" s="1"/>
  <c r="O469"/>
  <c r="P465"/>
  <c r="Q465" s="1"/>
  <c r="O465"/>
  <c r="P461"/>
  <c r="Q461" s="1"/>
  <c r="O461"/>
  <c r="P457"/>
  <c r="Q457" s="1"/>
  <c r="O457"/>
  <c r="P453"/>
  <c r="Q453" s="1"/>
  <c r="O453"/>
  <c r="P449"/>
  <c r="Q449" s="1"/>
  <c r="O449"/>
  <c r="P445"/>
  <c r="Q445" s="1"/>
  <c r="O445"/>
  <c r="P441"/>
  <c r="Q441" s="1"/>
  <c r="O441"/>
  <c r="P437"/>
  <c r="Q437" s="1"/>
  <c r="O437"/>
  <c r="P433"/>
  <c r="Q433" s="1"/>
  <c r="O433"/>
  <c r="P429"/>
  <c r="Q429" s="1"/>
  <c r="O429"/>
  <c r="P425"/>
  <c r="Q425" s="1"/>
  <c r="O425"/>
  <c r="P421"/>
  <c r="Q421" s="1"/>
  <c r="O421"/>
  <c r="P417"/>
  <c r="Q417" s="1"/>
  <c r="O417"/>
  <c r="P413"/>
  <c r="Q413" s="1"/>
  <c r="O413"/>
  <c r="P409"/>
  <c r="Q409" s="1"/>
  <c r="O409"/>
  <c r="P405"/>
  <c r="Q405" s="1"/>
  <c r="O405"/>
  <c r="P401"/>
  <c r="Q401" s="1"/>
  <c r="O401"/>
  <c r="P397"/>
  <c r="Q397" s="1"/>
  <c r="O397"/>
  <c r="P393"/>
  <c r="Q393" s="1"/>
  <c r="O393"/>
  <c r="P389"/>
  <c r="Q389" s="1"/>
  <c r="O389"/>
  <c r="P385"/>
  <c r="Q385" s="1"/>
  <c r="O385"/>
  <c r="P381"/>
  <c r="Q381" s="1"/>
  <c r="O381"/>
  <c r="P377"/>
  <c r="Q377" s="1"/>
  <c r="O377"/>
  <c r="P373"/>
  <c r="Q373" s="1"/>
  <c r="O373"/>
  <c r="P369"/>
  <c r="Q369" s="1"/>
  <c r="O369"/>
  <c r="P365"/>
  <c r="Q365" s="1"/>
  <c r="O365"/>
  <c r="P361"/>
  <c r="Q361" s="1"/>
  <c r="O361"/>
  <c r="P357"/>
  <c r="Q357" s="1"/>
  <c r="O357"/>
  <c r="P353"/>
  <c r="Q353" s="1"/>
  <c r="O353"/>
  <c r="P349"/>
  <c r="Q349" s="1"/>
  <c r="O349"/>
  <c r="P345"/>
  <c r="Q345" s="1"/>
  <c r="O345"/>
  <c r="P341"/>
  <c r="Q341" s="1"/>
  <c r="O341"/>
  <c r="P337"/>
  <c r="Q337" s="1"/>
  <c r="O337"/>
  <c r="P333"/>
  <c r="Q333" s="1"/>
  <c r="O333"/>
  <c r="P329"/>
  <c r="Q329" s="1"/>
  <c r="O329"/>
  <c r="P325"/>
  <c r="Q325" s="1"/>
  <c r="O325"/>
  <c r="P321"/>
  <c r="Q321" s="1"/>
  <c r="O321"/>
  <c r="P317"/>
  <c r="Q317" s="1"/>
  <c r="O317"/>
  <c r="P313"/>
  <c r="Q313" s="1"/>
  <c r="O313"/>
  <c r="P309"/>
  <c r="Q309" s="1"/>
  <c r="O309"/>
  <c r="P305"/>
  <c r="Q305" s="1"/>
  <c r="O305"/>
  <c r="P301"/>
  <c r="Q301" s="1"/>
  <c r="O301"/>
  <c r="P297"/>
  <c r="Q297" s="1"/>
  <c r="O297"/>
  <c r="P293"/>
  <c r="Q293" s="1"/>
  <c r="O293"/>
  <c r="P289"/>
  <c r="Q289" s="1"/>
  <c r="O289"/>
  <c r="P285"/>
  <c r="Q285" s="1"/>
  <c r="O285"/>
  <c r="P281"/>
  <c r="Q281" s="1"/>
  <c r="O281"/>
  <c r="P277"/>
  <c r="Q277" s="1"/>
  <c r="O277"/>
  <c r="P273"/>
  <c r="Q273" s="1"/>
  <c r="O273"/>
  <c r="P269"/>
  <c r="Q269" s="1"/>
  <c r="O269"/>
  <c r="P265"/>
  <c r="Q265" s="1"/>
  <c r="O265"/>
  <c r="P261"/>
  <c r="Q261" s="1"/>
  <c r="O261"/>
  <c r="P257"/>
  <c r="Q257" s="1"/>
  <c r="O257"/>
  <c r="P253"/>
  <c r="Q253" s="1"/>
  <c r="O253"/>
  <c r="P249"/>
  <c r="Q249" s="1"/>
  <c r="O249"/>
  <c r="P245"/>
  <c r="Q245" s="1"/>
  <c r="O245"/>
  <c r="P241"/>
  <c r="Q241" s="1"/>
  <c r="O241"/>
  <c r="P237"/>
  <c r="Q237" s="1"/>
  <c r="O237"/>
  <c r="P233"/>
  <c r="Q233" s="1"/>
  <c r="O233"/>
  <c r="P229"/>
  <c r="Q229" s="1"/>
  <c r="O229"/>
  <c r="P225"/>
  <c r="Q225" s="1"/>
  <c r="O225"/>
  <c r="P221"/>
  <c r="Q221" s="1"/>
  <c r="O221"/>
  <c r="P217"/>
  <c r="Q217" s="1"/>
  <c r="O217"/>
  <c r="P213"/>
  <c r="Q213" s="1"/>
  <c r="O213"/>
  <c r="P209"/>
  <c r="Q209" s="1"/>
  <c r="O209"/>
  <c r="P205"/>
  <c r="Q205" s="1"/>
  <c r="O205"/>
  <c r="P201"/>
  <c r="Q201" s="1"/>
  <c r="O201"/>
  <c r="P197"/>
  <c r="Q197" s="1"/>
  <c r="O197"/>
  <c r="P193"/>
  <c r="Q193" s="1"/>
  <c r="O193"/>
  <c r="P189"/>
  <c r="Q189" s="1"/>
  <c r="O189"/>
  <c r="P185"/>
  <c r="Q185" s="1"/>
  <c r="O185"/>
  <c r="P181"/>
  <c r="Q181" s="1"/>
  <c r="O181"/>
  <c r="P177"/>
  <c r="Q177" s="1"/>
  <c r="O177"/>
  <c r="P173"/>
  <c r="Q173" s="1"/>
  <c r="O173"/>
  <c r="P169"/>
  <c r="Q169" s="1"/>
  <c r="O169"/>
  <c r="P165"/>
  <c r="Q165" s="1"/>
  <c r="O165"/>
  <c r="P161"/>
  <c r="Q161" s="1"/>
  <c r="O161"/>
  <c r="P157"/>
  <c r="Q157" s="1"/>
  <c r="O157"/>
  <c r="P153"/>
  <c r="Q153" s="1"/>
  <c r="O153"/>
  <c r="P149"/>
  <c r="Q149" s="1"/>
  <c r="O149"/>
  <c r="P145"/>
  <c r="Q145" s="1"/>
  <c r="O145"/>
  <c r="P141"/>
  <c r="Q141" s="1"/>
  <c r="O141"/>
  <c r="P137"/>
  <c r="Q137" s="1"/>
  <c r="O137"/>
  <c r="P133"/>
  <c r="Q133" s="1"/>
  <c r="O133"/>
  <c r="P129"/>
  <c r="Q129" s="1"/>
  <c r="O129"/>
  <c r="P125"/>
  <c r="Q125" s="1"/>
  <c r="O125"/>
  <c r="P121"/>
  <c r="Q121" s="1"/>
  <c r="O121"/>
  <c r="P117"/>
  <c r="Q117" s="1"/>
  <c r="O117"/>
  <c r="P113"/>
  <c r="Q113" s="1"/>
  <c r="O113"/>
  <c r="P109"/>
  <c r="Q109" s="1"/>
  <c r="O109"/>
  <c r="P105"/>
  <c r="Q105" s="1"/>
  <c r="O105"/>
  <c r="P101"/>
  <c r="Q101" s="1"/>
  <c r="O101"/>
  <c r="P97"/>
  <c r="Q97" s="1"/>
  <c r="O97"/>
  <c r="P93"/>
  <c r="Q93" s="1"/>
  <c r="O93"/>
  <c r="P89"/>
  <c r="Q89" s="1"/>
  <c r="O89"/>
  <c r="P85"/>
  <c r="Q85" s="1"/>
  <c r="O85"/>
  <c r="P81"/>
  <c r="Q81" s="1"/>
  <c r="O81"/>
  <c r="P77"/>
  <c r="Q77" s="1"/>
  <c r="O77"/>
  <c r="P73"/>
  <c r="Q73" s="1"/>
  <c r="O73"/>
  <c r="P69"/>
  <c r="Q69" s="1"/>
  <c r="O69"/>
  <c r="P65"/>
  <c r="Q65" s="1"/>
  <c r="O65"/>
  <c r="P61"/>
  <c r="Q61" s="1"/>
  <c r="O61"/>
  <c r="P57"/>
  <c r="Q57" s="1"/>
  <c r="O57"/>
  <c r="P53"/>
  <c r="Q53" s="1"/>
  <c r="O53"/>
  <c r="P49"/>
  <c r="Q49" s="1"/>
  <c r="O49"/>
  <c r="P45"/>
  <c r="Q45" s="1"/>
  <c r="O45"/>
  <c r="P41"/>
  <c r="Q41" s="1"/>
  <c r="O41"/>
  <c r="P37"/>
  <c r="Q37" s="1"/>
  <c r="O37"/>
  <c r="P33"/>
  <c r="Q33" s="1"/>
  <c r="O33"/>
  <c r="P29"/>
  <c r="Q29" s="1"/>
  <c r="O29"/>
  <c r="P25"/>
  <c r="Q25" s="1"/>
  <c r="O25"/>
  <c r="P21"/>
  <c r="Q21" s="1"/>
  <c r="O21"/>
  <c r="P17"/>
  <c r="Q17" s="1"/>
  <c r="O17"/>
  <c r="P13"/>
  <c r="Q13" s="1"/>
  <c r="O13"/>
  <c r="P9"/>
  <c r="Q9" s="1"/>
  <c r="O9"/>
  <c r="P5"/>
  <c r="Q5" s="1"/>
  <c r="O5"/>
  <c r="F217"/>
  <c r="F2"/>
  <c r="F340"/>
  <c r="F120"/>
  <c r="D161"/>
  <c r="J161"/>
  <c r="S161" s="1"/>
  <c r="H161"/>
  <c r="T161" s="1"/>
  <c r="I161"/>
  <c r="R161" s="1"/>
  <c r="F161"/>
  <c r="E161"/>
  <c r="D153"/>
  <c r="J153"/>
  <c r="S153" s="1"/>
  <c r="H153"/>
  <c r="T153" s="1"/>
  <c r="I153"/>
  <c r="R153" s="1"/>
  <c r="E153"/>
  <c r="D149"/>
  <c r="J149"/>
  <c r="S149" s="1"/>
  <c r="H149"/>
  <c r="T149" s="1"/>
  <c r="I149"/>
  <c r="R149" s="1"/>
  <c r="F149"/>
  <c r="E149"/>
  <c r="D141"/>
  <c r="J141"/>
  <c r="S141" s="1"/>
  <c r="H141"/>
  <c r="T141" s="1"/>
  <c r="I141"/>
  <c r="R141" s="1"/>
  <c r="E141"/>
  <c r="D133"/>
  <c r="J133"/>
  <c r="S133" s="1"/>
  <c r="H133"/>
  <c r="T133" s="1"/>
  <c r="I133"/>
  <c r="R133" s="1"/>
  <c r="F133"/>
  <c r="E133"/>
  <c r="D125"/>
  <c r="J125"/>
  <c r="S125" s="1"/>
  <c r="H125"/>
  <c r="T125" s="1"/>
  <c r="I125"/>
  <c r="R125" s="1"/>
  <c r="F125"/>
  <c r="E125"/>
  <c r="D117"/>
  <c r="J117"/>
  <c r="S117" s="1"/>
  <c r="H117"/>
  <c r="T117" s="1"/>
  <c r="I117"/>
  <c r="R117" s="1"/>
  <c r="E117"/>
  <c r="D109"/>
  <c r="J109"/>
  <c r="S109" s="1"/>
  <c r="H109"/>
  <c r="T109" s="1"/>
  <c r="I109"/>
  <c r="R109" s="1"/>
  <c r="E109"/>
  <c r="F109"/>
  <c r="D101"/>
  <c r="J101"/>
  <c r="S101" s="1"/>
  <c r="H101"/>
  <c r="T101" s="1"/>
  <c r="I101"/>
  <c r="R101" s="1"/>
  <c r="E101"/>
  <c r="F101"/>
  <c r="D93"/>
  <c r="J93"/>
  <c r="S93" s="1"/>
  <c r="H93"/>
  <c r="T93" s="1"/>
  <c r="I93"/>
  <c r="R93" s="1"/>
  <c r="F93"/>
  <c r="E93"/>
  <c r="D81"/>
  <c r="J81"/>
  <c r="S81" s="1"/>
  <c r="H81"/>
  <c r="T81" s="1"/>
  <c r="I81"/>
  <c r="R81" s="1"/>
  <c r="F81"/>
  <c r="E81"/>
  <c r="D318"/>
  <c r="J318"/>
  <c r="S318" s="1"/>
  <c r="I318"/>
  <c r="R318" s="1"/>
  <c r="H318"/>
  <c r="T318" s="1"/>
  <c r="F318"/>
  <c r="E318"/>
  <c r="D314"/>
  <c r="J314"/>
  <c r="S314" s="1"/>
  <c r="I314"/>
  <c r="R314" s="1"/>
  <c r="H314"/>
  <c r="T314" s="1"/>
  <c r="E314"/>
  <c r="F314"/>
  <c r="D310"/>
  <c r="J310"/>
  <c r="S310" s="1"/>
  <c r="I310"/>
  <c r="R310" s="1"/>
  <c r="H310"/>
  <c r="T310" s="1"/>
  <c r="E310"/>
  <c r="F310"/>
  <c r="D306"/>
  <c r="J306"/>
  <c r="S306" s="1"/>
  <c r="I306"/>
  <c r="R306" s="1"/>
  <c r="H306"/>
  <c r="T306" s="1"/>
  <c r="F306"/>
  <c r="E306"/>
  <c r="D302"/>
  <c r="J302"/>
  <c r="S302" s="1"/>
  <c r="I302"/>
  <c r="R302" s="1"/>
  <c r="H302"/>
  <c r="T302" s="1"/>
  <c r="F302"/>
  <c r="E302"/>
  <c r="D298"/>
  <c r="J298"/>
  <c r="S298" s="1"/>
  <c r="I298"/>
  <c r="R298" s="1"/>
  <c r="H298"/>
  <c r="T298" s="1"/>
  <c r="E298"/>
  <c r="F298"/>
  <c r="D294"/>
  <c r="J294"/>
  <c r="S294" s="1"/>
  <c r="I294"/>
  <c r="R294" s="1"/>
  <c r="H294"/>
  <c r="T294" s="1"/>
  <c r="F294"/>
  <c r="E294"/>
  <c r="D290"/>
  <c r="J290"/>
  <c r="S290" s="1"/>
  <c r="I290"/>
  <c r="R290" s="1"/>
  <c r="H290"/>
  <c r="T290" s="1"/>
  <c r="E290"/>
  <c r="F290"/>
  <c r="D286"/>
  <c r="J286"/>
  <c r="S286" s="1"/>
  <c r="I286"/>
  <c r="R286" s="1"/>
  <c r="H286"/>
  <c r="T286" s="1"/>
  <c r="E286"/>
  <c r="F286"/>
  <c r="D282"/>
  <c r="J282"/>
  <c r="S282" s="1"/>
  <c r="I282"/>
  <c r="R282" s="1"/>
  <c r="H282"/>
  <c r="T282" s="1"/>
  <c r="F282"/>
  <c r="E282"/>
  <c r="D278"/>
  <c r="J278"/>
  <c r="S278" s="1"/>
  <c r="I278"/>
  <c r="R278" s="1"/>
  <c r="H278"/>
  <c r="T278" s="1"/>
  <c r="F278"/>
  <c r="E278"/>
  <c r="D274"/>
  <c r="J274"/>
  <c r="S274" s="1"/>
  <c r="I274"/>
  <c r="R274" s="1"/>
  <c r="H274"/>
  <c r="T274" s="1"/>
  <c r="E274"/>
  <c r="F274"/>
  <c r="D270"/>
  <c r="J270"/>
  <c r="S270" s="1"/>
  <c r="I270"/>
  <c r="R270" s="1"/>
  <c r="H270"/>
  <c r="T270" s="1"/>
  <c r="E270"/>
  <c r="F270"/>
  <c r="D266"/>
  <c r="J266"/>
  <c r="S266" s="1"/>
  <c r="I266"/>
  <c r="R266" s="1"/>
  <c r="H266"/>
  <c r="T266" s="1"/>
  <c r="F266"/>
  <c r="E266"/>
  <c r="D262"/>
  <c r="J262"/>
  <c r="S262" s="1"/>
  <c r="I262"/>
  <c r="R262" s="1"/>
  <c r="H262"/>
  <c r="T262" s="1"/>
  <c r="F262"/>
  <c r="E262"/>
  <c r="D258"/>
  <c r="J258"/>
  <c r="S258" s="1"/>
  <c r="I258"/>
  <c r="R258" s="1"/>
  <c r="H258"/>
  <c r="T258" s="1"/>
  <c r="F258"/>
  <c r="E258"/>
  <c r="D254"/>
  <c r="J254"/>
  <c r="S254" s="1"/>
  <c r="I254"/>
  <c r="R254" s="1"/>
  <c r="H254"/>
  <c r="T254" s="1"/>
  <c r="E254"/>
  <c r="F254"/>
  <c r="D250"/>
  <c r="J250"/>
  <c r="S250" s="1"/>
  <c r="I250"/>
  <c r="R250" s="1"/>
  <c r="H250"/>
  <c r="T250" s="1"/>
  <c r="F250"/>
  <c r="E250"/>
  <c r="D246"/>
  <c r="J246"/>
  <c r="S246" s="1"/>
  <c r="I246"/>
  <c r="R246" s="1"/>
  <c r="H246"/>
  <c r="T246" s="1"/>
  <c r="E246"/>
  <c r="D242"/>
  <c r="J242"/>
  <c r="S242" s="1"/>
  <c r="I242"/>
  <c r="R242" s="1"/>
  <c r="H242"/>
  <c r="T242" s="1"/>
  <c r="F242"/>
  <c r="E242"/>
  <c r="D238"/>
  <c r="J238"/>
  <c r="S238" s="1"/>
  <c r="I238"/>
  <c r="R238" s="1"/>
  <c r="H238"/>
  <c r="T238" s="1"/>
  <c r="E238"/>
  <c r="D234"/>
  <c r="J234"/>
  <c r="S234" s="1"/>
  <c r="I234"/>
  <c r="R234" s="1"/>
  <c r="H234"/>
  <c r="T234" s="1"/>
  <c r="E234"/>
  <c r="F234"/>
  <c r="D230"/>
  <c r="J230"/>
  <c r="S230" s="1"/>
  <c r="I230"/>
  <c r="R230" s="1"/>
  <c r="H230"/>
  <c r="T230" s="1"/>
  <c r="F230"/>
  <c r="E230"/>
  <c r="D226"/>
  <c r="J226"/>
  <c r="S226" s="1"/>
  <c r="I226"/>
  <c r="R226" s="1"/>
  <c r="H226"/>
  <c r="T226" s="1"/>
  <c r="E226"/>
  <c r="F226"/>
  <c r="D222"/>
  <c r="J222"/>
  <c r="S222" s="1"/>
  <c r="I222"/>
  <c r="R222" s="1"/>
  <c r="H222"/>
  <c r="T222" s="1"/>
  <c r="E222"/>
  <c r="F222"/>
  <c r="D218"/>
  <c r="J218"/>
  <c r="S218" s="1"/>
  <c r="I218"/>
  <c r="R218" s="1"/>
  <c r="H218"/>
  <c r="T218" s="1"/>
  <c r="E218"/>
  <c r="F218"/>
  <c r="D214"/>
  <c r="J214"/>
  <c r="S214" s="1"/>
  <c r="I214"/>
  <c r="R214" s="1"/>
  <c r="H214"/>
  <c r="T214" s="1"/>
  <c r="E214"/>
  <c r="D210"/>
  <c r="J210"/>
  <c r="S210" s="1"/>
  <c r="I210"/>
  <c r="R210" s="1"/>
  <c r="H210"/>
  <c r="T210" s="1"/>
  <c r="F210"/>
  <c r="E210"/>
  <c r="D206"/>
  <c r="J206"/>
  <c r="S206" s="1"/>
  <c r="I206"/>
  <c r="R206" s="1"/>
  <c r="H206"/>
  <c r="T206" s="1"/>
  <c r="F206"/>
  <c r="E206"/>
  <c r="D202"/>
  <c r="J202"/>
  <c r="S202" s="1"/>
  <c r="I202"/>
  <c r="R202" s="1"/>
  <c r="H202"/>
  <c r="T202" s="1"/>
  <c r="E202"/>
  <c r="F202"/>
  <c r="D198"/>
  <c r="J198"/>
  <c r="S198" s="1"/>
  <c r="I198"/>
  <c r="R198" s="1"/>
  <c r="H198"/>
  <c r="T198" s="1"/>
  <c r="F198"/>
  <c r="E198"/>
  <c r="D194"/>
  <c r="J194"/>
  <c r="S194" s="1"/>
  <c r="I194"/>
  <c r="R194" s="1"/>
  <c r="H194"/>
  <c r="T194" s="1"/>
  <c r="E194"/>
  <c r="D190"/>
  <c r="J190"/>
  <c r="S190" s="1"/>
  <c r="I190"/>
  <c r="R190" s="1"/>
  <c r="H190"/>
  <c r="T190" s="1"/>
  <c r="F190"/>
  <c r="E190"/>
  <c r="D186"/>
  <c r="J186"/>
  <c r="S186" s="1"/>
  <c r="I186"/>
  <c r="R186" s="1"/>
  <c r="H186"/>
  <c r="T186" s="1"/>
  <c r="F186"/>
  <c r="E186"/>
  <c r="D182"/>
  <c r="J182"/>
  <c r="S182" s="1"/>
  <c r="I182"/>
  <c r="R182" s="1"/>
  <c r="H182"/>
  <c r="T182" s="1"/>
  <c r="E182"/>
  <c r="F182"/>
  <c r="D178"/>
  <c r="J178"/>
  <c r="S178" s="1"/>
  <c r="I178"/>
  <c r="R178" s="1"/>
  <c r="H178"/>
  <c r="T178" s="1"/>
  <c r="E178"/>
  <c r="F178"/>
  <c r="D174"/>
  <c r="J174"/>
  <c r="S174" s="1"/>
  <c r="I174"/>
  <c r="R174" s="1"/>
  <c r="H174"/>
  <c r="T174" s="1"/>
  <c r="E174"/>
  <c r="D170"/>
  <c r="J170"/>
  <c r="S170" s="1"/>
  <c r="I170"/>
  <c r="R170" s="1"/>
  <c r="H170"/>
  <c r="T170" s="1"/>
  <c r="F170"/>
  <c r="E170"/>
  <c r="D166"/>
  <c r="J166"/>
  <c r="S166" s="1"/>
  <c r="I166"/>
  <c r="R166" s="1"/>
  <c r="H166"/>
  <c r="T166" s="1"/>
  <c r="F166"/>
  <c r="E166"/>
  <c r="D162"/>
  <c r="J162"/>
  <c r="S162" s="1"/>
  <c r="I162"/>
  <c r="R162" s="1"/>
  <c r="H162"/>
  <c r="T162" s="1"/>
  <c r="E162"/>
  <c r="F162"/>
  <c r="D158"/>
  <c r="J158"/>
  <c r="S158" s="1"/>
  <c r="I158"/>
  <c r="R158" s="1"/>
  <c r="H158"/>
  <c r="T158" s="1"/>
  <c r="E158"/>
  <c r="F158"/>
  <c r="D154"/>
  <c r="J154"/>
  <c r="S154" s="1"/>
  <c r="I154"/>
  <c r="R154" s="1"/>
  <c r="H154"/>
  <c r="T154" s="1"/>
  <c r="F154"/>
  <c r="E154"/>
  <c r="D150"/>
  <c r="J150"/>
  <c r="S150" s="1"/>
  <c r="I150"/>
  <c r="R150" s="1"/>
  <c r="H150"/>
  <c r="T150" s="1"/>
  <c r="F150"/>
  <c r="E150"/>
  <c r="D146"/>
  <c r="J146"/>
  <c r="S146" s="1"/>
  <c r="I146"/>
  <c r="R146" s="1"/>
  <c r="H146"/>
  <c r="T146" s="1"/>
  <c r="E146"/>
  <c r="F146"/>
  <c r="D142"/>
  <c r="J142"/>
  <c r="S142" s="1"/>
  <c r="I142"/>
  <c r="R142" s="1"/>
  <c r="H142"/>
  <c r="T142" s="1"/>
  <c r="E142"/>
  <c r="F142"/>
  <c r="D138"/>
  <c r="J138"/>
  <c r="S138" s="1"/>
  <c r="I138"/>
  <c r="R138" s="1"/>
  <c r="H138"/>
  <c r="T138" s="1"/>
  <c r="F138"/>
  <c r="E138"/>
  <c r="D134"/>
  <c r="J134"/>
  <c r="S134" s="1"/>
  <c r="I134"/>
  <c r="R134" s="1"/>
  <c r="H134"/>
  <c r="T134" s="1"/>
  <c r="F134"/>
  <c r="E134"/>
  <c r="D130"/>
  <c r="J130"/>
  <c r="S130" s="1"/>
  <c r="I130"/>
  <c r="R130" s="1"/>
  <c r="H130"/>
  <c r="T130" s="1"/>
  <c r="F130"/>
  <c r="E130"/>
  <c r="D126"/>
  <c r="J126"/>
  <c r="S126" s="1"/>
  <c r="I126"/>
  <c r="R126" s="1"/>
  <c r="H126"/>
  <c r="T126" s="1"/>
  <c r="F126"/>
  <c r="E126"/>
  <c r="D122"/>
  <c r="J122"/>
  <c r="S122" s="1"/>
  <c r="I122"/>
  <c r="R122" s="1"/>
  <c r="H122"/>
  <c r="T122" s="1"/>
  <c r="F122"/>
  <c r="E122"/>
  <c r="D118"/>
  <c r="J118"/>
  <c r="S118" s="1"/>
  <c r="I118"/>
  <c r="R118" s="1"/>
  <c r="H118"/>
  <c r="T118" s="1"/>
  <c r="F118"/>
  <c r="E118"/>
  <c r="D114"/>
  <c r="J114"/>
  <c r="S114" s="1"/>
  <c r="I114"/>
  <c r="R114" s="1"/>
  <c r="H114"/>
  <c r="T114" s="1"/>
  <c r="E114"/>
  <c r="F114"/>
  <c r="D110"/>
  <c r="J110"/>
  <c r="S110" s="1"/>
  <c r="I110"/>
  <c r="R110" s="1"/>
  <c r="H110"/>
  <c r="T110" s="1"/>
  <c r="E110"/>
  <c r="F110"/>
  <c r="D106"/>
  <c r="J106"/>
  <c r="S106" s="1"/>
  <c r="I106"/>
  <c r="R106" s="1"/>
  <c r="H106"/>
  <c r="T106" s="1"/>
  <c r="E106"/>
  <c r="F106"/>
  <c r="D102"/>
  <c r="J102"/>
  <c r="S102" s="1"/>
  <c r="I102"/>
  <c r="R102" s="1"/>
  <c r="H102"/>
  <c r="T102" s="1"/>
  <c r="F102"/>
  <c r="E102"/>
  <c r="D98"/>
  <c r="J98"/>
  <c r="S98" s="1"/>
  <c r="I98"/>
  <c r="R98" s="1"/>
  <c r="H98"/>
  <c r="T98" s="1"/>
  <c r="F98"/>
  <c r="E98"/>
  <c r="F94"/>
  <c r="D94"/>
  <c r="J94"/>
  <c r="S94" s="1"/>
  <c r="I94"/>
  <c r="R94" s="1"/>
  <c r="H94"/>
  <c r="T94" s="1"/>
  <c r="E94"/>
  <c r="D90"/>
  <c r="J90"/>
  <c r="S90" s="1"/>
  <c r="I90"/>
  <c r="R90" s="1"/>
  <c r="H90"/>
  <c r="T90" s="1"/>
  <c r="F90"/>
  <c r="E90"/>
  <c r="D86"/>
  <c r="J86"/>
  <c r="S86" s="1"/>
  <c r="I86"/>
  <c r="R86" s="1"/>
  <c r="H86"/>
  <c r="T86" s="1"/>
  <c r="F86"/>
  <c r="E86"/>
  <c r="D82"/>
  <c r="J82"/>
  <c r="S82" s="1"/>
  <c r="I82"/>
  <c r="R82" s="1"/>
  <c r="H82"/>
  <c r="T82" s="1"/>
  <c r="F82"/>
  <c r="E82"/>
  <c r="D78"/>
  <c r="J78"/>
  <c r="S78" s="1"/>
  <c r="I78"/>
  <c r="R78" s="1"/>
  <c r="H78"/>
  <c r="T78" s="1"/>
  <c r="E78"/>
  <c r="F78"/>
  <c r="D74"/>
  <c r="J74"/>
  <c r="S74" s="1"/>
  <c r="I74"/>
  <c r="R74" s="1"/>
  <c r="H74"/>
  <c r="T74" s="1"/>
  <c r="F74"/>
  <c r="E74"/>
  <c r="D70"/>
  <c r="J70"/>
  <c r="S70" s="1"/>
  <c r="I70"/>
  <c r="R70" s="1"/>
  <c r="H70"/>
  <c r="T70" s="1"/>
  <c r="F70"/>
  <c r="E70"/>
  <c r="D66"/>
  <c r="J66"/>
  <c r="S66" s="1"/>
  <c r="I66"/>
  <c r="R66" s="1"/>
  <c r="H66"/>
  <c r="T66" s="1"/>
  <c r="F66"/>
  <c r="E66"/>
  <c r="D62"/>
  <c r="J62"/>
  <c r="S62" s="1"/>
  <c r="I62"/>
  <c r="R62" s="1"/>
  <c r="H62"/>
  <c r="T62" s="1"/>
  <c r="F62"/>
  <c r="E62"/>
  <c r="D58"/>
  <c r="J58"/>
  <c r="S58" s="1"/>
  <c r="I58"/>
  <c r="R58" s="1"/>
  <c r="H58"/>
  <c r="T58" s="1"/>
  <c r="F58"/>
  <c r="E58"/>
  <c r="D54"/>
  <c r="J54"/>
  <c r="S54" s="1"/>
  <c r="I54"/>
  <c r="R54" s="1"/>
  <c r="H54"/>
  <c r="T54" s="1"/>
  <c r="E54"/>
  <c r="D50"/>
  <c r="J50"/>
  <c r="S50" s="1"/>
  <c r="I50"/>
  <c r="R50" s="1"/>
  <c r="H50"/>
  <c r="T50" s="1"/>
  <c r="E50"/>
  <c r="F50"/>
  <c r="D46"/>
  <c r="J46"/>
  <c r="S46" s="1"/>
  <c r="I46"/>
  <c r="R46" s="1"/>
  <c r="H46"/>
  <c r="T46" s="1"/>
  <c r="E46"/>
  <c r="F46"/>
  <c r="D42"/>
  <c r="J42"/>
  <c r="S42" s="1"/>
  <c r="I42"/>
  <c r="R42" s="1"/>
  <c r="H42"/>
  <c r="T42" s="1"/>
  <c r="E42"/>
  <c r="D38"/>
  <c r="J38"/>
  <c r="S38" s="1"/>
  <c r="I38"/>
  <c r="R38" s="1"/>
  <c r="H38"/>
  <c r="T38" s="1"/>
  <c r="F38"/>
  <c r="E38"/>
  <c r="D34"/>
  <c r="J34"/>
  <c r="S34" s="1"/>
  <c r="I34"/>
  <c r="R34" s="1"/>
  <c r="H34"/>
  <c r="T34" s="1"/>
  <c r="E34"/>
  <c r="D30"/>
  <c r="J30"/>
  <c r="S30" s="1"/>
  <c r="I30"/>
  <c r="R30" s="1"/>
  <c r="H30"/>
  <c r="T30" s="1"/>
  <c r="F30"/>
  <c r="E30"/>
  <c r="D26"/>
  <c r="J26"/>
  <c r="S26" s="1"/>
  <c r="I26"/>
  <c r="R26" s="1"/>
  <c r="H26"/>
  <c r="T26" s="1"/>
  <c r="F26"/>
  <c r="E26"/>
  <c r="D22"/>
  <c r="J22"/>
  <c r="S22" s="1"/>
  <c r="I22"/>
  <c r="R22" s="1"/>
  <c r="H22"/>
  <c r="T22" s="1"/>
  <c r="E22"/>
  <c r="D18"/>
  <c r="J18"/>
  <c r="S18" s="1"/>
  <c r="I18"/>
  <c r="R18" s="1"/>
  <c r="H18"/>
  <c r="T18" s="1"/>
  <c r="F18"/>
  <c r="E18"/>
  <c r="D14"/>
  <c r="J14"/>
  <c r="S14" s="1"/>
  <c r="I14"/>
  <c r="R14" s="1"/>
  <c r="H14"/>
  <c r="T14" s="1"/>
  <c r="E14"/>
  <c r="D10"/>
  <c r="J10"/>
  <c r="S10" s="1"/>
  <c r="I10"/>
  <c r="R10" s="1"/>
  <c r="H10"/>
  <c r="T10" s="1"/>
  <c r="F10"/>
  <c r="E10"/>
  <c r="D6"/>
  <c r="J6"/>
  <c r="S6" s="1"/>
  <c r="I6"/>
  <c r="R6" s="1"/>
  <c r="H6"/>
  <c r="T6" s="1"/>
  <c r="F6"/>
  <c r="E6"/>
  <c r="D490"/>
  <c r="J490"/>
  <c r="S490" s="1"/>
  <c r="I490"/>
  <c r="R490" s="1"/>
  <c r="H490"/>
  <c r="T490" s="1"/>
  <c r="E490"/>
  <c r="D486"/>
  <c r="J486"/>
  <c r="S486" s="1"/>
  <c r="I486"/>
  <c r="R486" s="1"/>
  <c r="H486"/>
  <c r="T486" s="1"/>
  <c r="F486"/>
  <c r="E486"/>
  <c r="D482"/>
  <c r="J482"/>
  <c r="S482" s="1"/>
  <c r="I482"/>
  <c r="R482" s="1"/>
  <c r="H482"/>
  <c r="T482" s="1"/>
  <c r="E482"/>
  <c r="D478"/>
  <c r="J478"/>
  <c r="S478" s="1"/>
  <c r="I478"/>
  <c r="R478" s="1"/>
  <c r="H478"/>
  <c r="T478" s="1"/>
  <c r="E478"/>
  <c r="D474"/>
  <c r="J474"/>
  <c r="S474" s="1"/>
  <c r="I474"/>
  <c r="R474" s="1"/>
  <c r="H474"/>
  <c r="T474" s="1"/>
  <c r="F474"/>
  <c r="E474"/>
  <c r="D470"/>
  <c r="J470"/>
  <c r="S470" s="1"/>
  <c r="I470"/>
  <c r="R470" s="1"/>
  <c r="H470"/>
  <c r="T470" s="1"/>
  <c r="E470"/>
  <c r="D466"/>
  <c r="J466"/>
  <c r="S466" s="1"/>
  <c r="I466"/>
  <c r="R466" s="1"/>
  <c r="H466"/>
  <c r="T466" s="1"/>
  <c r="E466"/>
  <c r="D462"/>
  <c r="J462"/>
  <c r="S462" s="1"/>
  <c r="I462"/>
  <c r="R462" s="1"/>
  <c r="H462"/>
  <c r="T462" s="1"/>
  <c r="E462"/>
  <c r="F462"/>
  <c r="D458"/>
  <c r="J458"/>
  <c r="S458" s="1"/>
  <c r="I458"/>
  <c r="R458" s="1"/>
  <c r="H458"/>
  <c r="T458" s="1"/>
  <c r="E458"/>
  <c r="D454"/>
  <c r="J454"/>
  <c r="S454" s="1"/>
  <c r="I454"/>
  <c r="R454" s="1"/>
  <c r="H454"/>
  <c r="T454" s="1"/>
  <c r="E454"/>
  <c r="D450"/>
  <c r="J450"/>
  <c r="S450" s="1"/>
  <c r="I450"/>
  <c r="R450" s="1"/>
  <c r="H450"/>
  <c r="T450" s="1"/>
  <c r="F450"/>
  <c r="E450"/>
  <c r="D446"/>
  <c r="J446"/>
  <c r="S446" s="1"/>
  <c r="I446"/>
  <c r="R446" s="1"/>
  <c r="H446"/>
  <c r="T446" s="1"/>
  <c r="E446"/>
  <c r="D442"/>
  <c r="J442"/>
  <c r="S442" s="1"/>
  <c r="I442"/>
  <c r="R442" s="1"/>
  <c r="H442"/>
  <c r="T442" s="1"/>
  <c r="E442"/>
  <c r="D438"/>
  <c r="J438"/>
  <c r="S438" s="1"/>
  <c r="I438"/>
  <c r="R438" s="1"/>
  <c r="H438"/>
  <c r="T438" s="1"/>
  <c r="F438"/>
  <c r="E438"/>
  <c r="D434"/>
  <c r="J434"/>
  <c r="S434" s="1"/>
  <c r="I434"/>
  <c r="R434" s="1"/>
  <c r="H434"/>
  <c r="T434" s="1"/>
  <c r="E434"/>
  <c r="F434"/>
  <c r="D430"/>
  <c r="J430"/>
  <c r="S430" s="1"/>
  <c r="I430"/>
  <c r="R430" s="1"/>
  <c r="H430"/>
  <c r="T430" s="1"/>
  <c r="F430"/>
  <c r="E430"/>
  <c r="D426"/>
  <c r="J426"/>
  <c r="S426" s="1"/>
  <c r="I426"/>
  <c r="R426" s="1"/>
  <c r="H426"/>
  <c r="T426" s="1"/>
  <c r="F426"/>
  <c r="E426"/>
  <c r="D422"/>
  <c r="J422"/>
  <c r="S422" s="1"/>
  <c r="I422"/>
  <c r="R422" s="1"/>
  <c r="H422"/>
  <c r="T422" s="1"/>
  <c r="F422"/>
  <c r="E422"/>
  <c r="D418"/>
  <c r="J418"/>
  <c r="S418" s="1"/>
  <c r="I418"/>
  <c r="R418" s="1"/>
  <c r="H418"/>
  <c r="T418" s="1"/>
  <c r="F418"/>
  <c r="E418"/>
  <c r="D414"/>
  <c r="J414"/>
  <c r="S414" s="1"/>
  <c r="I414"/>
  <c r="R414" s="1"/>
  <c r="H414"/>
  <c r="T414" s="1"/>
  <c r="F414"/>
  <c r="E414"/>
  <c r="D410"/>
  <c r="J410"/>
  <c r="S410" s="1"/>
  <c r="I410"/>
  <c r="R410" s="1"/>
  <c r="H410"/>
  <c r="T410" s="1"/>
  <c r="F410"/>
  <c r="E410"/>
  <c r="D406"/>
  <c r="J406"/>
  <c r="S406" s="1"/>
  <c r="I406"/>
  <c r="R406" s="1"/>
  <c r="H406"/>
  <c r="T406" s="1"/>
  <c r="E406"/>
  <c r="F406"/>
  <c r="D402"/>
  <c r="J402"/>
  <c r="S402" s="1"/>
  <c r="I402"/>
  <c r="R402" s="1"/>
  <c r="H402"/>
  <c r="T402" s="1"/>
  <c r="E402"/>
  <c r="F402"/>
  <c r="F398"/>
  <c r="D398"/>
  <c r="J398"/>
  <c r="S398" s="1"/>
  <c r="I398"/>
  <c r="R398" s="1"/>
  <c r="H398"/>
  <c r="T398" s="1"/>
  <c r="E398"/>
  <c r="D394"/>
  <c r="J394"/>
  <c r="S394" s="1"/>
  <c r="I394"/>
  <c r="R394" s="1"/>
  <c r="H394"/>
  <c r="T394" s="1"/>
  <c r="F394"/>
  <c r="E394"/>
  <c r="D390"/>
  <c r="J390"/>
  <c r="S390" s="1"/>
  <c r="I390"/>
  <c r="R390" s="1"/>
  <c r="H390"/>
  <c r="T390" s="1"/>
  <c r="E390"/>
  <c r="F390"/>
  <c r="D386"/>
  <c r="J386"/>
  <c r="S386" s="1"/>
  <c r="I386"/>
  <c r="R386" s="1"/>
  <c r="H386"/>
  <c r="T386" s="1"/>
  <c r="E386"/>
  <c r="F386"/>
  <c r="D382"/>
  <c r="J382"/>
  <c r="S382" s="1"/>
  <c r="I382"/>
  <c r="R382" s="1"/>
  <c r="H382"/>
  <c r="T382" s="1"/>
  <c r="F382"/>
  <c r="E382"/>
  <c r="D378"/>
  <c r="J378"/>
  <c r="S378" s="1"/>
  <c r="I378"/>
  <c r="R378" s="1"/>
  <c r="H378"/>
  <c r="T378" s="1"/>
  <c r="E378"/>
  <c r="D374"/>
  <c r="J374"/>
  <c r="S374" s="1"/>
  <c r="I374"/>
  <c r="R374" s="1"/>
  <c r="H374"/>
  <c r="T374" s="1"/>
  <c r="F374"/>
  <c r="E374"/>
  <c r="D370"/>
  <c r="J370"/>
  <c r="S370" s="1"/>
  <c r="I370"/>
  <c r="R370" s="1"/>
  <c r="H370"/>
  <c r="T370" s="1"/>
  <c r="E370"/>
  <c r="D366"/>
  <c r="J366"/>
  <c r="S366" s="1"/>
  <c r="I366"/>
  <c r="R366" s="1"/>
  <c r="H366"/>
  <c r="T366" s="1"/>
  <c r="F366"/>
  <c r="E366"/>
  <c r="D362"/>
  <c r="J362"/>
  <c r="S362" s="1"/>
  <c r="I362"/>
  <c r="R362" s="1"/>
  <c r="H362"/>
  <c r="T362" s="1"/>
  <c r="F362"/>
  <c r="E362"/>
  <c r="D358"/>
  <c r="J358"/>
  <c r="S358" s="1"/>
  <c r="I358"/>
  <c r="R358" s="1"/>
  <c r="H358"/>
  <c r="T358" s="1"/>
  <c r="E358"/>
  <c r="D354"/>
  <c r="J354"/>
  <c r="S354" s="1"/>
  <c r="I354"/>
  <c r="R354" s="1"/>
  <c r="H354"/>
  <c r="T354" s="1"/>
  <c r="E354"/>
  <c r="F354"/>
  <c r="D350"/>
  <c r="J350"/>
  <c r="S350" s="1"/>
  <c r="I350"/>
  <c r="R350" s="1"/>
  <c r="H350"/>
  <c r="T350" s="1"/>
  <c r="E350"/>
  <c r="D346"/>
  <c r="J346"/>
  <c r="S346" s="1"/>
  <c r="I346"/>
  <c r="R346" s="1"/>
  <c r="H346"/>
  <c r="T346" s="1"/>
  <c r="F346"/>
  <c r="E346"/>
  <c r="D342"/>
  <c r="J342"/>
  <c r="S342" s="1"/>
  <c r="I342"/>
  <c r="R342" s="1"/>
  <c r="H342"/>
  <c r="T342" s="1"/>
  <c r="F342"/>
  <c r="E342"/>
  <c r="D338"/>
  <c r="J338"/>
  <c r="S338" s="1"/>
  <c r="I338"/>
  <c r="R338" s="1"/>
  <c r="H338"/>
  <c r="T338" s="1"/>
  <c r="E338"/>
  <c r="D334"/>
  <c r="J334"/>
  <c r="S334" s="1"/>
  <c r="I334"/>
  <c r="R334" s="1"/>
  <c r="H334"/>
  <c r="T334" s="1"/>
  <c r="F334"/>
  <c r="E334"/>
  <c r="D330"/>
  <c r="J330"/>
  <c r="S330" s="1"/>
  <c r="I330"/>
  <c r="R330" s="1"/>
  <c r="H330"/>
  <c r="T330" s="1"/>
  <c r="E330"/>
  <c r="D326"/>
  <c r="J326"/>
  <c r="S326" s="1"/>
  <c r="I326"/>
  <c r="R326" s="1"/>
  <c r="H326"/>
  <c r="T326" s="1"/>
  <c r="E326"/>
  <c r="F326"/>
  <c r="D322"/>
  <c r="J322"/>
  <c r="S322" s="1"/>
  <c r="I322"/>
  <c r="R322" s="1"/>
  <c r="H322"/>
  <c r="T322" s="1"/>
  <c r="F322"/>
  <c r="E322"/>
  <c r="P2"/>
  <c r="Q2" s="1"/>
  <c r="O2"/>
  <c r="P487"/>
  <c r="Q487" s="1"/>
  <c r="O487"/>
  <c r="O483"/>
  <c r="P483"/>
  <c r="Q483" s="1"/>
  <c r="O479"/>
  <c r="P479"/>
  <c r="Q479" s="1"/>
  <c r="O475"/>
  <c r="P475"/>
  <c r="Q475" s="1"/>
  <c r="P471"/>
  <c r="Q471" s="1"/>
  <c r="O471"/>
  <c r="O467"/>
  <c r="P467"/>
  <c r="Q467" s="1"/>
  <c r="O463"/>
  <c r="P463"/>
  <c r="Q463" s="1"/>
  <c r="P459"/>
  <c r="Q459" s="1"/>
  <c r="O459"/>
  <c r="P455"/>
  <c r="Q455" s="1"/>
  <c r="O455"/>
  <c r="O451"/>
  <c r="P451"/>
  <c r="Q451" s="1"/>
  <c r="O447"/>
  <c r="P447"/>
  <c r="Q447" s="1"/>
  <c r="O443"/>
  <c r="P443"/>
  <c r="Q443" s="1"/>
  <c r="P439"/>
  <c r="Q439" s="1"/>
  <c r="O439"/>
  <c r="P435"/>
  <c r="Q435" s="1"/>
  <c r="O435"/>
  <c r="P431"/>
  <c r="Q431" s="1"/>
  <c r="O431"/>
  <c r="O427"/>
  <c r="P427"/>
  <c r="Q427" s="1"/>
  <c r="O423"/>
  <c r="P423"/>
  <c r="Q423" s="1"/>
  <c r="O419"/>
  <c r="P419"/>
  <c r="Q419" s="1"/>
  <c r="P415"/>
  <c r="Q415" s="1"/>
  <c r="O415"/>
  <c r="P411"/>
  <c r="Q411" s="1"/>
  <c r="O411"/>
  <c r="O407"/>
  <c r="P407"/>
  <c r="Q407" s="1"/>
  <c r="O403"/>
  <c r="P403"/>
  <c r="Q403" s="1"/>
  <c r="P399"/>
  <c r="Q399" s="1"/>
  <c r="O399"/>
  <c r="O395"/>
  <c r="P395"/>
  <c r="Q395" s="1"/>
  <c r="P391"/>
  <c r="Q391" s="1"/>
  <c r="O391"/>
  <c r="P387"/>
  <c r="Q387" s="1"/>
  <c r="O387"/>
  <c r="O383"/>
  <c r="P383"/>
  <c r="Q383" s="1"/>
  <c r="O379"/>
  <c r="P379"/>
  <c r="Q379" s="1"/>
  <c r="P375"/>
  <c r="Q375" s="1"/>
  <c r="O375"/>
  <c r="O371"/>
  <c r="P371"/>
  <c r="Q371" s="1"/>
  <c r="O367"/>
  <c r="P367"/>
  <c r="Q367" s="1"/>
  <c r="P363"/>
  <c r="Q363" s="1"/>
  <c r="O363"/>
  <c r="P359"/>
  <c r="Q359" s="1"/>
  <c r="O359"/>
  <c r="O355"/>
  <c r="P355"/>
  <c r="Q355" s="1"/>
  <c r="P351"/>
  <c r="Q351" s="1"/>
  <c r="O351"/>
  <c r="O347"/>
  <c r="P347"/>
  <c r="Q347" s="1"/>
  <c r="O343"/>
  <c r="P343"/>
  <c r="Q343" s="1"/>
  <c r="O339"/>
  <c r="P339"/>
  <c r="Q339" s="1"/>
  <c r="P335"/>
  <c r="Q335" s="1"/>
  <c r="O335"/>
  <c r="O331"/>
  <c r="P331"/>
  <c r="Q331" s="1"/>
  <c r="O327"/>
  <c r="P327"/>
  <c r="Q327" s="1"/>
  <c r="O323"/>
  <c r="P323"/>
  <c r="Q323" s="1"/>
  <c r="P319"/>
  <c r="Q319" s="1"/>
  <c r="O319"/>
  <c r="P315"/>
  <c r="Q315" s="1"/>
  <c r="O315"/>
  <c r="P311"/>
  <c r="Q311" s="1"/>
  <c r="O311"/>
  <c r="O307"/>
  <c r="P307"/>
  <c r="Q307" s="1"/>
  <c r="O303"/>
  <c r="P303"/>
  <c r="Q303" s="1"/>
  <c r="O299"/>
  <c r="P299"/>
  <c r="Q299" s="1"/>
  <c r="P295"/>
  <c r="Q295" s="1"/>
  <c r="O295"/>
  <c r="P291"/>
  <c r="Q291" s="1"/>
  <c r="O291"/>
  <c r="O287"/>
  <c r="P287"/>
  <c r="Q287" s="1"/>
  <c r="O283"/>
  <c r="P283"/>
  <c r="Q283" s="1"/>
  <c r="P279"/>
  <c r="Q279" s="1"/>
  <c r="O279"/>
  <c r="O275"/>
  <c r="P275"/>
  <c r="Q275" s="1"/>
  <c r="O271"/>
  <c r="P271"/>
  <c r="Q271" s="1"/>
  <c r="P267"/>
  <c r="Q267" s="1"/>
  <c r="O267"/>
  <c r="P263"/>
  <c r="Q263" s="1"/>
  <c r="O263"/>
  <c r="O259"/>
  <c r="P259"/>
  <c r="Q259" s="1"/>
  <c r="O255"/>
  <c r="P255"/>
  <c r="Q255" s="1"/>
  <c r="O251"/>
  <c r="P251"/>
  <c r="Q251" s="1"/>
  <c r="P247"/>
  <c r="Q247" s="1"/>
  <c r="O247"/>
  <c r="P243"/>
  <c r="Q243" s="1"/>
  <c r="O243"/>
  <c r="O239"/>
  <c r="P239"/>
  <c r="Q239" s="1"/>
  <c r="O235"/>
  <c r="P235"/>
  <c r="Q235" s="1"/>
  <c r="P231"/>
  <c r="Q231" s="1"/>
  <c r="O231"/>
  <c r="O227"/>
  <c r="P227"/>
  <c r="Q227" s="1"/>
  <c r="P223"/>
  <c r="Q223" s="1"/>
  <c r="O223"/>
  <c r="P219"/>
  <c r="Q219" s="1"/>
  <c r="O219"/>
  <c r="O215"/>
  <c r="P215"/>
  <c r="Q215" s="1"/>
  <c r="O211"/>
  <c r="P211"/>
  <c r="Q211" s="1"/>
  <c r="P207"/>
  <c r="Q207" s="1"/>
  <c r="O207"/>
  <c r="O203"/>
  <c r="P203"/>
  <c r="Q203" s="1"/>
  <c r="O199"/>
  <c r="P199"/>
  <c r="Q199" s="1"/>
  <c r="P195"/>
  <c r="Q195" s="1"/>
  <c r="O195"/>
  <c r="P191"/>
  <c r="Q191" s="1"/>
  <c r="O191"/>
  <c r="O187"/>
  <c r="P187"/>
  <c r="Q187" s="1"/>
  <c r="P183"/>
  <c r="Q183" s="1"/>
  <c r="O183"/>
  <c r="O179"/>
  <c r="P179"/>
  <c r="Q179" s="1"/>
  <c r="O175"/>
  <c r="P175"/>
  <c r="Q175" s="1"/>
  <c r="O171"/>
  <c r="P171"/>
  <c r="Q171" s="1"/>
  <c r="P167"/>
  <c r="Q167" s="1"/>
  <c r="O167"/>
  <c r="O163"/>
  <c r="P163"/>
  <c r="Q163" s="1"/>
  <c r="O159"/>
  <c r="P159"/>
  <c r="Q159" s="1"/>
  <c r="O155"/>
  <c r="P155"/>
  <c r="Q155" s="1"/>
  <c r="P151"/>
  <c r="Q151" s="1"/>
  <c r="O151"/>
  <c r="P147"/>
  <c r="Q147" s="1"/>
  <c r="O147"/>
  <c r="P143"/>
  <c r="Q143" s="1"/>
  <c r="O143"/>
  <c r="O139"/>
  <c r="P139"/>
  <c r="Q139" s="1"/>
  <c r="O135"/>
  <c r="P135"/>
  <c r="Q135" s="1"/>
  <c r="O131"/>
  <c r="P131"/>
  <c r="Q131" s="1"/>
  <c r="P127"/>
  <c r="Q127" s="1"/>
  <c r="O127"/>
  <c r="P123"/>
  <c r="Q123" s="1"/>
  <c r="O123"/>
  <c r="O119"/>
  <c r="P119"/>
  <c r="Q119" s="1"/>
  <c r="O115"/>
  <c r="P115"/>
  <c r="Q115" s="1"/>
  <c r="P111"/>
  <c r="Q111" s="1"/>
  <c r="O111"/>
  <c r="P107"/>
  <c r="Q107" s="1"/>
  <c r="O107"/>
  <c r="O103"/>
  <c r="P103"/>
  <c r="Q103" s="1"/>
  <c r="O99"/>
  <c r="P99"/>
  <c r="Q99" s="1"/>
  <c r="P95"/>
  <c r="Q95" s="1"/>
  <c r="O95"/>
  <c r="O91"/>
  <c r="P91"/>
  <c r="Q91" s="1"/>
  <c r="O87"/>
  <c r="P87"/>
  <c r="Q87" s="1"/>
  <c r="P83"/>
  <c r="Q83" s="1"/>
  <c r="O83"/>
  <c r="P79"/>
  <c r="Q79" s="1"/>
  <c r="O79"/>
  <c r="O75"/>
  <c r="P75"/>
  <c r="Q75" s="1"/>
  <c r="P71"/>
  <c r="Q71" s="1"/>
  <c r="O71"/>
  <c r="O67"/>
  <c r="P67"/>
  <c r="Q67" s="1"/>
  <c r="O63"/>
  <c r="P63"/>
  <c r="Q63" s="1"/>
  <c r="P59"/>
  <c r="Q59" s="1"/>
  <c r="O59"/>
  <c r="P55"/>
  <c r="Q55" s="1"/>
  <c r="O55"/>
  <c r="O51"/>
  <c r="P51"/>
  <c r="Q51" s="1"/>
  <c r="P47"/>
  <c r="Q47" s="1"/>
  <c r="O47"/>
  <c r="P43"/>
  <c r="Q43" s="1"/>
  <c r="O43"/>
  <c r="O39"/>
  <c r="P39"/>
  <c r="Q39" s="1"/>
  <c r="O35"/>
  <c r="P35"/>
  <c r="Q35" s="1"/>
  <c r="P31"/>
  <c r="Q31" s="1"/>
  <c r="O31"/>
  <c r="O27"/>
  <c r="P27"/>
  <c r="Q27" s="1"/>
  <c r="P23"/>
  <c r="Q23" s="1"/>
  <c r="O23"/>
  <c r="O19"/>
  <c r="P19"/>
  <c r="Q19" s="1"/>
  <c r="O15"/>
  <c r="P15"/>
  <c r="Q15" s="1"/>
  <c r="O11"/>
  <c r="P11"/>
  <c r="Q11" s="1"/>
  <c r="P7"/>
  <c r="Q7" s="1"/>
  <c r="O7"/>
  <c r="P3"/>
  <c r="Q3" s="1"/>
  <c r="O3"/>
  <c r="F238"/>
  <c r="F350"/>
  <c r="F442"/>
  <c r="F466"/>
  <c r="F490"/>
  <c r="F42"/>
  <c r="F153"/>
  <c r="F22"/>
  <c r="D169"/>
  <c r="J169"/>
  <c r="S169" s="1"/>
  <c r="H169"/>
  <c r="T169" s="1"/>
  <c r="I169"/>
  <c r="R169" s="1"/>
  <c r="F169"/>
  <c r="E169"/>
  <c r="D165"/>
  <c r="J165"/>
  <c r="S165" s="1"/>
  <c r="H165"/>
  <c r="T165" s="1"/>
  <c r="I165"/>
  <c r="R165" s="1"/>
  <c r="E165"/>
  <c r="D157"/>
  <c r="J157"/>
  <c r="S157" s="1"/>
  <c r="H157"/>
  <c r="T157" s="1"/>
  <c r="I157"/>
  <c r="R157" s="1"/>
  <c r="F157"/>
  <c r="E157"/>
  <c r="D145"/>
  <c r="J145"/>
  <c r="S145" s="1"/>
  <c r="H145"/>
  <c r="T145" s="1"/>
  <c r="I145"/>
  <c r="R145" s="1"/>
  <c r="F145"/>
  <c r="E145"/>
  <c r="D137"/>
  <c r="J137"/>
  <c r="S137" s="1"/>
  <c r="H137"/>
  <c r="T137" s="1"/>
  <c r="I137"/>
  <c r="R137" s="1"/>
  <c r="F137"/>
  <c r="E137"/>
  <c r="D129"/>
  <c r="J129"/>
  <c r="S129" s="1"/>
  <c r="H129"/>
  <c r="T129" s="1"/>
  <c r="I129"/>
  <c r="R129" s="1"/>
  <c r="E129"/>
  <c r="D121"/>
  <c r="J121"/>
  <c r="S121" s="1"/>
  <c r="H121"/>
  <c r="T121" s="1"/>
  <c r="I121"/>
  <c r="R121" s="1"/>
  <c r="E121"/>
  <c r="F121"/>
  <c r="D113"/>
  <c r="J113"/>
  <c r="S113" s="1"/>
  <c r="H113"/>
  <c r="T113" s="1"/>
  <c r="I113"/>
  <c r="R113" s="1"/>
  <c r="E113"/>
  <c r="F113"/>
  <c r="F105"/>
  <c r="D105"/>
  <c r="J105"/>
  <c r="S105" s="1"/>
  <c r="H105"/>
  <c r="T105" s="1"/>
  <c r="I105"/>
  <c r="R105" s="1"/>
  <c r="E105"/>
  <c r="D97"/>
  <c r="J97"/>
  <c r="S97" s="1"/>
  <c r="H97"/>
  <c r="T97" s="1"/>
  <c r="I97"/>
  <c r="R97" s="1"/>
  <c r="F97"/>
  <c r="E97"/>
  <c r="D89"/>
  <c r="J89"/>
  <c r="S89" s="1"/>
  <c r="H89"/>
  <c r="T89" s="1"/>
  <c r="I89"/>
  <c r="R89" s="1"/>
  <c r="F89"/>
  <c r="E89"/>
  <c r="D85"/>
  <c r="J85"/>
  <c r="S85" s="1"/>
  <c r="H85"/>
  <c r="T85" s="1"/>
  <c r="I85"/>
  <c r="R85" s="1"/>
  <c r="F85"/>
  <c r="E85"/>
  <c r="D77"/>
  <c r="J77"/>
  <c r="S77" s="1"/>
  <c r="H77"/>
  <c r="T77" s="1"/>
  <c r="I77"/>
  <c r="R77" s="1"/>
  <c r="F77"/>
  <c r="E77"/>
  <c r="D73"/>
  <c r="J73"/>
  <c r="S73" s="1"/>
  <c r="H73"/>
  <c r="T73" s="1"/>
  <c r="I73"/>
  <c r="R73" s="1"/>
  <c r="F73"/>
  <c r="E73"/>
  <c r="D69"/>
  <c r="J69"/>
  <c r="S69" s="1"/>
  <c r="H69"/>
  <c r="T69" s="1"/>
  <c r="I69"/>
  <c r="R69" s="1"/>
  <c r="E69"/>
  <c r="F69"/>
  <c r="D65"/>
  <c r="J65"/>
  <c r="S65" s="1"/>
  <c r="H65"/>
  <c r="T65" s="1"/>
  <c r="I65"/>
  <c r="R65" s="1"/>
  <c r="E65"/>
  <c r="F65"/>
  <c r="D61"/>
  <c r="J61"/>
  <c r="S61" s="1"/>
  <c r="H61"/>
  <c r="T61" s="1"/>
  <c r="I61"/>
  <c r="R61" s="1"/>
  <c r="E61"/>
  <c r="F61"/>
  <c r="D57"/>
  <c r="J57"/>
  <c r="S57" s="1"/>
  <c r="H57"/>
  <c r="T57" s="1"/>
  <c r="I57"/>
  <c r="R57" s="1"/>
  <c r="E57"/>
  <c r="F57"/>
  <c r="D53"/>
  <c r="J53"/>
  <c r="S53" s="1"/>
  <c r="H53"/>
  <c r="T53" s="1"/>
  <c r="I53"/>
  <c r="R53" s="1"/>
  <c r="F53"/>
  <c r="E53"/>
  <c r="D49"/>
  <c r="J49"/>
  <c r="S49" s="1"/>
  <c r="H49"/>
  <c r="T49" s="1"/>
  <c r="I49"/>
  <c r="R49" s="1"/>
  <c r="F49"/>
  <c r="E49"/>
  <c r="D45"/>
  <c r="J45"/>
  <c r="S45" s="1"/>
  <c r="I45"/>
  <c r="R45" s="1"/>
  <c r="H45"/>
  <c r="T45" s="1"/>
  <c r="E45"/>
  <c r="F45"/>
  <c r="D41"/>
  <c r="J41"/>
  <c r="S41" s="1"/>
  <c r="H41"/>
  <c r="T41" s="1"/>
  <c r="I41"/>
  <c r="R41" s="1"/>
  <c r="F41"/>
  <c r="E41"/>
  <c r="D37"/>
  <c r="J37"/>
  <c r="S37" s="1"/>
  <c r="I37"/>
  <c r="R37" s="1"/>
  <c r="H37"/>
  <c r="T37" s="1"/>
  <c r="F37"/>
  <c r="E37"/>
  <c r="D33"/>
  <c r="J33"/>
  <c r="S33" s="1"/>
  <c r="H33"/>
  <c r="T33" s="1"/>
  <c r="I33"/>
  <c r="R33" s="1"/>
  <c r="F33"/>
  <c r="E33"/>
  <c r="D29"/>
  <c r="J29"/>
  <c r="S29" s="1"/>
  <c r="I29"/>
  <c r="R29" s="1"/>
  <c r="H29"/>
  <c r="T29" s="1"/>
  <c r="F29"/>
  <c r="E29"/>
  <c r="D25"/>
  <c r="J25"/>
  <c r="S25" s="1"/>
  <c r="H25"/>
  <c r="T25" s="1"/>
  <c r="I25"/>
  <c r="R25" s="1"/>
  <c r="F25"/>
  <c r="E25"/>
  <c r="D21"/>
  <c r="J21"/>
  <c r="S21" s="1"/>
  <c r="I21"/>
  <c r="R21" s="1"/>
  <c r="H21"/>
  <c r="T21" s="1"/>
  <c r="F21"/>
  <c r="E21"/>
  <c r="D17"/>
  <c r="J17"/>
  <c r="S17" s="1"/>
  <c r="H17"/>
  <c r="T17" s="1"/>
  <c r="I17"/>
  <c r="R17" s="1"/>
  <c r="F17"/>
  <c r="E17"/>
  <c r="D13"/>
  <c r="J13"/>
  <c r="S13" s="1"/>
  <c r="I13"/>
  <c r="R13" s="1"/>
  <c r="H13"/>
  <c r="T13" s="1"/>
  <c r="E13"/>
  <c r="F13"/>
  <c r="D9"/>
  <c r="J9"/>
  <c r="S9" s="1"/>
  <c r="I9"/>
  <c r="R9" s="1"/>
  <c r="H9"/>
  <c r="T9" s="1"/>
  <c r="F9"/>
  <c r="E9"/>
  <c r="D5"/>
  <c r="J5"/>
  <c r="S5" s="1"/>
  <c r="I5"/>
  <c r="R5" s="1"/>
  <c r="H5"/>
  <c r="T5" s="1"/>
  <c r="F5"/>
  <c r="E5"/>
  <c r="D489"/>
  <c r="J489"/>
  <c r="S489" s="1"/>
  <c r="H489"/>
  <c r="T489" s="1"/>
  <c r="I489"/>
  <c r="R489" s="1"/>
  <c r="E489"/>
  <c r="F489"/>
  <c r="D485"/>
  <c r="J485"/>
  <c r="S485" s="1"/>
  <c r="H485"/>
  <c r="T485" s="1"/>
  <c r="I485"/>
  <c r="R485" s="1"/>
  <c r="F485"/>
  <c r="E485"/>
  <c r="D481"/>
  <c r="J481"/>
  <c r="S481" s="1"/>
  <c r="I481"/>
  <c r="R481" s="1"/>
  <c r="H481"/>
  <c r="T481" s="1"/>
  <c r="E481"/>
  <c r="F481"/>
  <c r="D477"/>
  <c r="J477"/>
  <c r="S477" s="1"/>
  <c r="H477"/>
  <c r="T477" s="1"/>
  <c r="I477"/>
  <c r="R477" s="1"/>
  <c r="F477"/>
  <c r="E477"/>
  <c r="D473"/>
  <c r="J473"/>
  <c r="S473" s="1"/>
  <c r="H473"/>
  <c r="T473" s="1"/>
  <c r="I473"/>
  <c r="R473" s="1"/>
  <c r="F473"/>
  <c r="E473"/>
  <c r="D469"/>
  <c r="J469"/>
  <c r="S469" s="1"/>
  <c r="H469"/>
  <c r="T469" s="1"/>
  <c r="I469"/>
  <c r="R469" s="1"/>
  <c r="F469"/>
  <c r="E469"/>
  <c r="D465"/>
  <c r="J465"/>
  <c r="S465" s="1"/>
  <c r="I465"/>
  <c r="R465" s="1"/>
  <c r="H465"/>
  <c r="T465" s="1"/>
  <c r="E465"/>
  <c r="F465"/>
  <c r="D461"/>
  <c r="J461"/>
  <c r="S461" s="1"/>
  <c r="H461"/>
  <c r="T461" s="1"/>
  <c r="I461"/>
  <c r="R461" s="1"/>
  <c r="E461"/>
  <c r="F461"/>
  <c r="D457"/>
  <c r="J457"/>
  <c r="S457" s="1"/>
  <c r="I457"/>
  <c r="R457" s="1"/>
  <c r="H457"/>
  <c r="T457" s="1"/>
  <c r="F457"/>
  <c r="E457"/>
  <c r="D453"/>
  <c r="J453"/>
  <c r="S453" s="1"/>
  <c r="H453"/>
  <c r="T453" s="1"/>
  <c r="I453"/>
  <c r="R453" s="1"/>
  <c r="F453"/>
  <c r="E453"/>
  <c r="D449"/>
  <c r="J449"/>
  <c r="S449" s="1"/>
  <c r="I449"/>
  <c r="R449" s="1"/>
  <c r="H449"/>
  <c r="T449" s="1"/>
  <c r="F449"/>
  <c r="E449"/>
  <c r="D445"/>
  <c r="J445"/>
  <c r="S445" s="1"/>
  <c r="H445"/>
  <c r="T445" s="1"/>
  <c r="I445"/>
  <c r="R445" s="1"/>
  <c r="F445"/>
  <c r="E445"/>
  <c r="D441"/>
  <c r="J441"/>
  <c r="S441" s="1"/>
  <c r="I441"/>
  <c r="R441" s="1"/>
  <c r="H441"/>
  <c r="T441" s="1"/>
  <c r="E441"/>
  <c r="F441"/>
  <c r="D437"/>
  <c r="J437"/>
  <c r="S437" s="1"/>
  <c r="H437"/>
  <c r="T437" s="1"/>
  <c r="I437"/>
  <c r="R437" s="1"/>
  <c r="E437"/>
  <c r="F437"/>
  <c r="D433"/>
  <c r="J433"/>
  <c r="S433" s="1"/>
  <c r="H433"/>
  <c r="T433" s="1"/>
  <c r="I433"/>
  <c r="R433" s="1"/>
  <c r="F433"/>
  <c r="E433"/>
  <c r="D429"/>
  <c r="J429"/>
  <c r="S429" s="1"/>
  <c r="H429"/>
  <c r="T429" s="1"/>
  <c r="I429"/>
  <c r="R429" s="1"/>
  <c r="E429"/>
  <c r="F429"/>
  <c r="D425"/>
  <c r="J425"/>
  <c r="S425" s="1"/>
  <c r="I425"/>
  <c r="R425" s="1"/>
  <c r="H425"/>
  <c r="T425" s="1"/>
  <c r="F425"/>
  <c r="E425"/>
  <c r="D421"/>
  <c r="J421"/>
  <c r="S421" s="1"/>
  <c r="H421"/>
  <c r="T421" s="1"/>
  <c r="I421"/>
  <c r="R421" s="1"/>
  <c r="E421"/>
  <c r="F421"/>
  <c r="D417"/>
  <c r="J417"/>
  <c r="S417" s="1"/>
  <c r="H417"/>
  <c r="T417" s="1"/>
  <c r="I417"/>
  <c r="R417" s="1"/>
  <c r="F417"/>
  <c r="E417"/>
  <c r="D413"/>
  <c r="J413"/>
  <c r="S413" s="1"/>
  <c r="H413"/>
  <c r="T413" s="1"/>
  <c r="I413"/>
  <c r="R413" s="1"/>
  <c r="F413"/>
  <c r="E413"/>
  <c r="F409"/>
  <c r="D409"/>
  <c r="J409"/>
  <c r="S409" s="1"/>
  <c r="H409"/>
  <c r="T409" s="1"/>
  <c r="I409"/>
  <c r="R409" s="1"/>
  <c r="E409"/>
  <c r="D405"/>
  <c r="J405"/>
  <c r="S405" s="1"/>
  <c r="H405"/>
  <c r="T405" s="1"/>
  <c r="I405"/>
  <c r="R405" s="1"/>
  <c r="F405"/>
  <c r="E405"/>
  <c r="D401"/>
  <c r="J401"/>
  <c r="S401" s="1"/>
  <c r="H401"/>
  <c r="T401" s="1"/>
  <c r="I401"/>
  <c r="R401" s="1"/>
  <c r="F401"/>
  <c r="E401"/>
  <c r="D397"/>
  <c r="J397"/>
  <c r="S397" s="1"/>
  <c r="H397"/>
  <c r="T397" s="1"/>
  <c r="I397"/>
  <c r="R397" s="1"/>
  <c r="E397"/>
  <c r="F397"/>
  <c r="D393"/>
  <c r="J393"/>
  <c r="S393" s="1"/>
  <c r="H393"/>
  <c r="T393" s="1"/>
  <c r="I393"/>
  <c r="R393" s="1"/>
  <c r="E393"/>
  <c r="F393"/>
  <c r="D389"/>
  <c r="J389"/>
  <c r="S389" s="1"/>
  <c r="H389"/>
  <c r="T389" s="1"/>
  <c r="I389"/>
  <c r="R389" s="1"/>
  <c r="E389"/>
  <c r="F389"/>
  <c r="D385"/>
  <c r="J385"/>
  <c r="S385" s="1"/>
  <c r="H385"/>
  <c r="T385" s="1"/>
  <c r="I385"/>
  <c r="R385" s="1"/>
  <c r="E385"/>
  <c r="F385"/>
  <c r="D381"/>
  <c r="J381"/>
  <c r="S381" s="1"/>
  <c r="H381"/>
  <c r="T381" s="1"/>
  <c r="I381"/>
  <c r="R381" s="1"/>
  <c r="E381"/>
  <c r="F381"/>
  <c r="D377"/>
  <c r="J377"/>
  <c r="S377" s="1"/>
  <c r="H377"/>
  <c r="T377" s="1"/>
  <c r="I377"/>
  <c r="R377" s="1"/>
  <c r="E377"/>
  <c r="D373"/>
  <c r="J373"/>
  <c r="S373" s="1"/>
  <c r="H373"/>
  <c r="T373" s="1"/>
  <c r="I373"/>
  <c r="R373" s="1"/>
  <c r="F373"/>
  <c r="E373"/>
  <c r="D369"/>
  <c r="J369"/>
  <c r="S369" s="1"/>
  <c r="H369"/>
  <c r="T369" s="1"/>
  <c r="I369"/>
  <c r="R369" s="1"/>
  <c r="F369"/>
  <c r="E369"/>
  <c r="D365"/>
  <c r="J365"/>
  <c r="S365" s="1"/>
  <c r="H365"/>
  <c r="T365" s="1"/>
  <c r="I365"/>
  <c r="R365" s="1"/>
  <c r="E365"/>
  <c r="F365"/>
  <c r="D361"/>
  <c r="J361"/>
  <c r="S361" s="1"/>
  <c r="H361"/>
  <c r="T361" s="1"/>
  <c r="I361"/>
  <c r="R361" s="1"/>
  <c r="F361"/>
  <c r="E361"/>
  <c r="D357"/>
  <c r="J357"/>
  <c r="S357" s="1"/>
  <c r="H357"/>
  <c r="T357" s="1"/>
  <c r="I357"/>
  <c r="R357" s="1"/>
  <c r="E357"/>
  <c r="D353"/>
  <c r="J353"/>
  <c r="S353" s="1"/>
  <c r="H353"/>
  <c r="T353" s="1"/>
  <c r="I353"/>
  <c r="R353" s="1"/>
  <c r="E353"/>
  <c r="F353"/>
  <c r="D349"/>
  <c r="J349"/>
  <c r="S349" s="1"/>
  <c r="H349"/>
  <c r="T349" s="1"/>
  <c r="I349"/>
  <c r="R349" s="1"/>
  <c r="E349"/>
  <c r="F349"/>
  <c r="D345"/>
  <c r="J345"/>
  <c r="S345" s="1"/>
  <c r="H345"/>
  <c r="T345" s="1"/>
  <c r="I345"/>
  <c r="R345" s="1"/>
  <c r="F345"/>
  <c r="E345"/>
  <c r="D341"/>
  <c r="J341"/>
  <c r="S341" s="1"/>
  <c r="H341"/>
  <c r="T341" s="1"/>
  <c r="I341"/>
  <c r="R341" s="1"/>
  <c r="F341"/>
  <c r="E341"/>
  <c r="D337"/>
  <c r="J337"/>
  <c r="S337" s="1"/>
  <c r="H337"/>
  <c r="T337" s="1"/>
  <c r="I337"/>
  <c r="R337" s="1"/>
  <c r="E337"/>
  <c r="D333"/>
  <c r="J333"/>
  <c r="S333" s="1"/>
  <c r="H333"/>
  <c r="T333" s="1"/>
  <c r="I333"/>
  <c r="R333" s="1"/>
  <c r="E333"/>
  <c r="F333"/>
  <c r="D329"/>
  <c r="J329"/>
  <c r="S329" s="1"/>
  <c r="H329"/>
  <c r="T329" s="1"/>
  <c r="I329"/>
  <c r="R329" s="1"/>
  <c r="F329"/>
  <c r="E329"/>
  <c r="D325"/>
  <c r="J325"/>
  <c r="S325" s="1"/>
  <c r="H325"/>
  <c r="T325" s="1"/>
  <c r="I325"/>
  <c r="R325" s="1"/>
  <c r="F325"/>
  <c r="E325"/>
  <c r="D321"/>
  <c r="J321"/>
  <c r="S321" s="1"/>
  <c r="I321"/>
  <c r="R321" s="1"/>
  <c r="H321"/>
  <c r="T321" s="1"/>
  <c r="F321"/>
  <c r="E321"/>
  <c r="P490"/>
  <c r="Q490" s="1"/>
  <c r="O490"/>
  <c r="P486"/>
  <c r="Q486" s="1"/>
  <c r="O486"/>
  <c r="P482"/>
  <c r="Q482" s="1"/>
  <c r="O482"/>
  <c r="P478"/>
  <c r="Q478" s="1"/>
  <c r="O478"/>
  <c r="P474"/>
  <c r="Q474" s="1"/>
  <c r="O474"/>
  <c r="P470"/>
  <c r="Q470" s="1"/>
  <c r="O470"/>
  <c r="P466"/>
  <c r="Q466" s="1"/>
  <c r="O466"/>
  <c r="P462"/>
  <c r="Q462" s="1"/>
  <c r="O462"/>
  <c r="P458"/>
  <c r="Q458" s="1"/>
  <c r="O458"/>
  <c r="P454"/>
  <c r="Q454" s="1"/>
  <c r="O454"/>
  <c r="P450"/>
  <c r="Q450" s="1"/>
  <c r="O450"/>
  <c r="P446"/>
  <c r="Q446" s="1"/>
  <c r="O446"/>
  <c r="P442"/>
  <c r="Q442" s="1"/>
  <c r="O442"/>
  <c r="P438"/>
  <c r="Q438" s="1"/>
  <c r="O438"/>
  <c r="P434"/>
  <c r="Q434" s="1"/>
  <c r="O434"/>
  <c r="P430"/>
  <c r="Q430" s="1"/>
  <c r="O430"/>
  <c r="P426"/>
  <c r="Q426" s="1"/>
  <c r="O426"/>
  <c r="P422"/>
  <c r="Q422" s="1"/>
  <c r="O422"/>
  <c r="P418"/>
  <c r="Q418" s="1"/>
  <c r="O418"/>
  <c r="P414"/>
  <c r="Q414" s="1"/>
  <c r="O414"/>
  <c r="P410"/>
  <c r="Q410" s="1"/>
  <c r="O410"/>
  <c r="P406"/>
  <c r="Q406" s="1"/>
  <c r="O406"/>
  <c r="P402"/>
  <c r="Q402" s="1"/>
  <c r="O402"/>
  <c r="P398"/>
  <c r="Q398" s="1"/>
  <c r="O398"/>
  <c r="P394"/>
  <c r="Q394" s="1"/>
  <c r="O394"/>
  <c r="P390"/>
  <c r="Q390" s="1"/>
  <c r="O390"/>
  <c r="P386"/>
  <c r="Q386" s="1"/>
  <c r="O386"/>
  <c r="P382"/>
  <c r="Q382" s="1"/>
  <c r="O382"/>
  <c r="P378"/>
  <c r="Q378" s="1"/>
  <c r="O378"/>
  <c r="P374"/>
  <c r="Q374" s="1"/>
  <c r="O374"/>
  <c r="P370"/>
  <c r="Q370" s="1"/>
  <c r="O370"/>
  <c r="P366"/>
  <c r="Q366" s="1"/>
  <c r="O366"/>
  <c r="P362"/>
  <c r="Q362" s="1"/>
  <c r="O362"/>
  <c r="P358"/>
  <c r="Q358" s="1"/>
  <c r="O358"/>
  <c r="P354"/>
  <c r="Q354" s="1"/>
  <c r="O354"/>
  <c r="P350"/>
  <c r="Q350" s="1"/>
  <c r="O350"/>
  <c r="P346"/>
  <c r="Q346" s="1"/>
  <c r="O346"/>
  <c r="P342"/>
  <c r="Q342" s="1"/>
  <c r="O342"/>
  <c r="P338"/>
  <c r="Q338" s="1"/>
  <c r="O338"/>
  <c r="P334"/>
  <c r="Q334" s="1"/>
  <c r="O334"/>
  <c r="P330"/>
  <c r="Q330" s="1"/>
  <c r="O330"/>
  <c r="P326"/>
  <c r="Q326" s="1"/>
  <c r="O326"/>
  <c r="P322"/>
  <c r="Q322" s="1"/>
  <c r="O322"/>
  <c r="P318"/>
  <c r="Q318" s="1"/>
  <c r="O318"/>
  <c r="P314"/>
  <c r="Q314" s="1"/>
  <c r="O314"/>
  <c r="P310"/>
  <c r="Q310" s="1"/>
  <c r="O310"/>
  <c r="P306"/>
  <c r="Q306" s="1"/>
  <c r="O306"/>
  <c r="P302"/>
  <c r="Q302" s="1"/>
  <c r="O302"/>
  <c r="P298"/>
  <c r="Q298" s="1"/>
  <c r="O298"/>
  <c r="P294"/>
  <c r="Q294" s="1"/>
  <c r="O294"/>
  <c r="P290"/>
  <c r="Q290" s="1"/>
  <c r="O290"/>
  <c r="P286"/>
  <c r="Q286" s="1"/>
  <c r="O286"/>
  <c r="P282"/>
  <c r="Q282" s="1"/>
  <c r="O282"/>
  <c r="P278"/>
  <c r="Q278" s="1"/>
  <c r="O278"/>
  <c r="P274"/>
  <c r="Q274" s="1"/>
  <c r="O274"/>
  <c r="P270"/>
  <c r="Q270" s="1"/>
  <c r="O270"/>
  <c r="P266"/>
  <c r="Q266" s="1"/>
  <c r="O266"/>
  <c r="P262"/>
  <c r="Q262" s="1"/>
  <c r="O262"/>
  <c r="P258"/>
  <c r="Q258" s="1"/>
  <c r="O258"/>
  <c r="P254"/>
  <c r="Q254" s="1"/>
  <c r="O254"/>
  <c r="P250"/>
  <c r="Q250" s="1"/>
  <c r="O250"/>
  <c r="P246"/>
  <c r="Q246" s="1"/>
  <c r="O246"/>
  <c r="P242"/>
  <c r="Q242" s="1"/>
  <c r="O242"/>
  <c r="P238"/>
  <c r="Q238" s="1"/>
  <c r="O238"/>
  <c r="P234"/>
  <c r="Q234" s="1"/>
  <c r="O234"/>
  <c r="P230"/>
  <c r="Q230" s="1"/>
  <c r="O230"/>
  <c r="P226"/>
  <c r="Q226" s="1"/>
  <c r="O226"/>
  <c r="P222"/>
  <c r="Q222" s="1"/>
  <c r="O222"/>
  <c r="P218"/>
  <c r="Q218" s="1"/>
  <c r="O218"/>
  <c r="P214"/>
  <c r="Q214" s="1"/>
  <c r="O214"/>
  <c r="P210"/>
  <c r="Q210" s="1"/>
  <c r="O210"/>
  <c r="P206"/>
  <c r="Q206" s="1"/>
  <c r="O206"/>
  <c r="P202"/>
  <c r="Q202" s="1"/>
  <c r="O202"/>
  <c r="P198"/>
  <c r="Q198" s="1"/>
  <c r="O198"/>
  <c r="P194"/>
  <c r="Q194" s="1"/>
  <c r="O194"/>
  <c r="P190"/>
  <c r="Q190" s="1"/>
  <c r="O190"/>
  <c r="P186"/>
  <c r="Q186" s="1"/>
  <c r="O186"/>
  <c r="P182"/>
  <c r="Q182" s="1"/>
  <c r="O182"/>
  <c r="P178"/>
  <c r="Q178" s="1"/>
  <c r="O178"/>
  <c r="P174"/>
  <c r="Q174" s="1"/>
  <c r="O174"/>
  <c r="P170"/>
  <c r="Q170" s="1"/>
  <c r="O170"/>
  <c r="P166"/>
  <c r="Q166" s="1"/>
  <c r="O166"/>
  <c r="P162"/>
  <c r="Q162" s="1"/>
  <c r="O162"/>
  <c r="P158"/>
  <c r="Q158" s="1"/>
  <c r="O158"/>
  <c r="P154"/>
  <c r="Q154" s="1"/>
  <c r="O154"/>
  <c r="P150"/>
  <c r="Q150" s="1"/>
  <c r="O150"/>
  <c r="P146"/>
  <c r="Q146" s="1"/>
  <c r="O146"/>
  <c r="P142"/>
  <c r="Q142" s="1"/>
  <c r="O142"/>
  <c r="P138"/>
  <c r="Q138" s="1"/>
  <c r="O138"/>
  <c r="P134"/>
  <c r="Q134" s="1"/>
  <c r="O134"/>
  <c r="P130"/>
  <c r="Q130" s="1"/>
  <c r="O130"/>
  <c r="P126"/>
  <c r="Q126" s="1"/>
  <c r="O126"/>
  <c r="P122"/>
  <c r="Q122" s="1"/>
  <c r="O122"/>
  <c r="P118"/>
  <c r="Q118" s="1"/>
  <c r="O118"/>
  <c r="P114"/>
  <c r="Q114" s="1"/>
  <c r="O114"/>
  <c r="P110"/>
  <c r="Q110" s="1"/>
  <c r="O110"/>
  <c r="P106"/>
  <c r="Q106" s="1"/>
  <c r="O106"/>
  <c r="P102"/>
  <c r="Q102" s="1"/>
  <c r="O102"/>
  <c r="P98"/>
  <c r="Q98" s="1"/>
  <c r="O98"/>
  <c r="P94"/>
  <c r="Q94" s="1"/>
  <c r="O94"/>
  <c r="P90"/>
  <c r="Q90" s="1"/>
  <c r="O90"/>
  <c r="P86"/>
  <c r="Q86" s="1"/>
  <c r="O86"/>
  <c r="P82"/>
  <c r="Q82" s="1"/>
  <c r="O82"/>
  <c r="P78"/>
  <c r="Q78" s="1"/>
  <c r="O78"/>
  <c r="P74"/>
  <c r="Q74" s="1"/>
  <c r="O74"/>
  <c r="P70"/>
  <c r="Q70" s="1"/>
  <c r="O70"/>
  <c r="P66"/>
  <c r="Q66" s="1"/>
  <c r="O66"/>
  <c r="P62"/>
  <c r="Q62" s="1"/>
  <c r="O62"/>
  <c r="P58"/>
  <c r="Q58" s="1"/>
  <c r="O58"/>
  <c r="P54"/>
  <c r="Q54" s="1"/>
  <c r="O54"/>
  <c r="P50"/>
  <c r="Q50" s="1"/>
  <c r="O50"/>
  <c r="P46"/>
  <c r="Q46" s="1"/>
  <c r="O46"/>
  <c r="P42"/>
  <c r="Q42" s="1"/>
  <c r="O42"/>
  <c r="P38"/>
  <c r="Q38" s="1"/>
  <c r="O38"/>
  <c r="P34"/>
  <c r="Q34" s="1"/>
  <c r="O34"/>
  <c r="P30"/>
  <c r="Q30" s="1"/>
  <c r="O30"/>
  <c r="P26"/>
  <c r="Q26" s="1"/>
  <c r="O26"/>
  <c r="P22"/>
  <c r="Q22" s="1"/>
  <c r="O22"/>
  <c r="P18"/>
  <c r="Q18" s="1"/>
  <c r="O18"/>
  <c r="P14"/>
  <c r="Q14" s="1"/>
  <c r="O14"/>
  <c r="P10"/>
  <c r="Q10" s="1"/>
  <c r="O10"/>
  <c r="P6"/>
  <c r="Q6" s="1"/>
  <c r="O6"/>
  <c r="F174"/>
  <c r="F246"/>
  <c r="F358"/>
  <c r="F446"/>
  <c r="F470"/>
  <c r="F117"/>
  <c r="F165"/>
  <c r="F357"/>
  <c r="F54"/>
  <c r="A19" i="3"/>
  <c r="A19" i="2"/>
  <c r="A19" i="4"/>
  <c r="F72" i="7"/>
  <c r="A20" i="2" l="1"/>
  <c r="A20" i="3"/>
  <c r="A20" i="4"/>
  <c r="C75" i="7"/>
  <c r="A21" i="3" l="1"/>
  <c r="A21" i="2"/>
  <c r="A21" i="4"/>
  <c r="C76" i="7"/>
  <c r="A22" i="2" l="1"/>
  <c r="A22" i="3"/>
  <c r="A22" i="4"/>
  <c r="C77" i="7"/>
  <c r="A23" i="2" l="1"/>
  <c r="A23" i="4"/>
  <c r="A23" i="3"/>
  <c r="C78" i="7"/>
  <c r="A24" i="4" l="1"/>
  <c r="A24" i="2"/>
  <c r="A24" i="3"/>
  <c r="C79" i="7"/>
  <c r="A25" i="2" l="1"/>
  <c r="A25" i="3"/>
  <c r="A25" i="4"/>
  <c r="C80" i="7"/>
  <c r="A26" i="4" l="1"/>
  <c r="A26" i="2"/>
  <c r="A26" i="3"/>
  <c r="C81" i="7"/>
  <c r="A27" i="4" l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27" i="3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27" i="2"/>
  <c r="A28" s="1"/>
  <c r="A29" s="1"/>
  <c r="A30" s="1"/>
  <c r="A31" s="1"/>
  <c r="A32" s="1"/>
  <c r="A33" s="1"/>
  <c r="A34" s="1"/>
  <c r="A35" s="1"/>
  <c r="A36" s="1"/>
  <c r="A37" s="1"/>
  <c r="A38" s="1"/>
  <c r="C82" i="7"/>
  <c r="A39" i="2" l="1"/>
  <c r="C83" i="7"/>
  <c r="A40" i="2" l="1"/>
  <c r="C84" i="7"/>
  <c r="A41" i="2" l="1"/>
  <c r="C85" i="7"/>
  <c r="A42" i="2" l="1"/>
  <c r="C86" i="7"/>
  <c r="A43" i="2" l="1"/>
  <c r="C87" i="7"/>
  <c r="A44" i="2" l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C88" i="7"/>
  <c r="C89" l="1"/>
  <c r="C90" l="1"/>
  <c r="C91" l="1"/>
  <c r="C92" l="1"/>
  <c r="C93" l="1"/>
  <c r="C94" l="1"/>
  <c r="C95" l="1"/>
  <c r="C96" l="1"/>
  <c r="C97" l="1"/>
  <c r="P7" i="5"/>
  <c r="P8"/>
  <c r="O13"/>
  <c r="O18"/>
  <c r="O20"/>
  <c r="O22"/>
  <c r="O24"/>
  <c r="O26"/>
  <c r="O28"/>
  <c r="O30"/>
  <c r="O32"/>
  <c r="O34"/>
  <c r="O36"/>
  <c r="O38"/>
  <c r="O40"/>
  <c r="O42"/>
  <c r="O44"/>
  <c r="O46"/>
  <c r="O48"/>
  <c r="O50"/>
  <c r="O52"/>
  <c r="O54"/>
  <c r="L3"/>
  <c r="M3"/>
  <c r="L4"/>
  <c r="N4" s="1"/>
  <c r="M4"/>
  <c r="L5"/>
  <c r="M5"/>
  <c r="L6"/>
  <c r="N6" s="1"/>
  <c r="M6"/>
  <c r="L7"/>
  <c r="M7"/>
  <c r="L8"/>
  <c r="N8" s="1"/>
  <c r="M8"/>
  <c r="L9"/>
  <c r="M9"/>
  <c r="L10"/>
  <c r="M10"/>
  <c r="L11"/>
  <c r="M11"/>
  <c r="L12"/>
  <c r="N12" s="1"/>
  <c r="M12"/>
  <c r="L13"/>
  <c r="M13"/>
  <c r="L14"/>
  <c r="N14" s="1"/>
  <c r="M14"/>
  <c r="L15"/>
  <c r="M15"/>
  <c r="L16"/>
  <c r="N16" s="1"/>
  <c r="M16"/>
  <c r="L17"/>
  <c r="M17"/>
  <c r="L18"/>
  <c r="N18" s="1"/>
  <c r="M18"/>
  <c r="L19"/>
  <c r="M19"/>
  <c r="N19" s="1"/>
  <c r="L20"/>
  <c r="M20"/>
  <c r="N20" s="1"/>
  <c r="L21"/>
  <c r="M21"/>
  <c r="N21" s="1"/>
  <c r="L22"/>
  <c r="M22"/>
  <c r="N22" s="1"/>
  <c r="L23"/>
  <c r="M23"/>
  <c r="N23" s="1"/>
  <c r="L24"/>
  <c r="M24"/>
  <c r="N24" s="1"/>
  <c r="L25"/>
  <c r="M25"/>
  <c r="N25" s="1"/>
  <c r="L26"/>
  <c r="M26"/>
  <c r="L27"/>
  <c r="M27"/>
  <c r="N27" s="1"/>
  <c r="L28"/>
  <c r="M28"/>
  <c r="L29"/>
  <c r="M29"/>
  <c r="N29" s="1"/>
  <c r="L30"/>
  <c r="M30"/>
  <c r="L31"/>
  <c r="M31"/>
  <c r="N31" s="1"/>
  <c r="L32"/>
  <c r="M32"/>
  <c r="L33"/>
  <c r="M33"/>
  <c r="N33" s="1"/>
  <c r="L34"/>
  <c r="M34"/>
  <c r="L35"/>
  <c r="M35"/>
  <c r="N35" s="1"/>
  <c r="L36"/>
  <c r="M36"/>
  <c r="L37"/>
  <c r="M37"/>
  <c r="N37" s="1"/>
  <c r="L38"/>
  <c r="M38"/>
  <c r="L39"/>
  <c r="M39"/>
  <c r="N39" s="1"/>
  <c r="L40"/>
  <c r="M40"/>
  <c r="N40" s="1"/>
  <c r="L41"/>
  <c r="M41"/>
  <c r="N41" s="1"/>
  <c r="L42"/>
  <c r="M42"/>
  <c r="L43"/>
  <c r="M43"/>
  <c r="N43" s="1"/>
  <c r="L44"/>
  <c r="M44"/>
  <c r="L45"/>
  <c r="M45"/>
  <c r="N45" s="1"/>
  <c r="L46"/>
  <c r="M46"/>
  <c r="L47"/>
  <c r="M47"/>
  <c r="N47" s="1"/>
  <c r="L48"/>
  <c r="M48"/>
  <c r="N48" s="1"/>
  <c r="L49"/>
  <c r="M49"/>
  <c r="N49" s="1"/>
  <c r="L50"/>
  <c r="M50"/>
  <c r="L51"/>
  <c r="M51"/>
  <c r="N51" s="1"/>
  <c r="L52"/>
  <c r="M52"/>
  <c r="L53"/>
  <c r="M53"/>
  <c r="N53" s="1"/>
  <c r="L54"/>
  <c r="M54"/>
  <c r="N54" s="1"/>
  <c r="L55"/>
  <c r="M55"/>
  <c r="N55" s="1"/>
  <c r="L56"/>
  <c r="M56"/>
  <c r="L57"/>
  <c r="M57"/>
  <c r="L58"/>
  <c r="M58"/>
  <c r="L59"/>
  <c r="M59"/>
  <c r="L60"/>
  <c r="M60"/>
  <c r="L61"/>
  <c r="M61"/>
  <c r="L62"/>
  <c r="M62"/>
  <c r="L63"/>
  <c r="M63"/>
  <c r="L64"/>
  <c r="M64"/>
  <c r="L65"/>
  <c r="M65"/>
  <c r="L66"/>
  <c r="M66"/>
  <c r="L67"/>
  <c r="M67"/>
  <c r="L68"/>
  <c r="M68"/>
  <c r="L69"/>
  <c r="M69"/>
  <c r="L70"/>
  <c r="M70"/>
  <c r="L71"/>
  <c r="M71"/>
  <c r="L72"/>
  <c r="M72"/>
  <c r="M2"/>
  <c r="L2"/>
  <c r="G3"/>
  <c r="P3" s="1"/>
  <c r="G4"/>
  <c r="P4" s="1"/>
  <c r="G5"/>
  <c r="P5" s="1"/>
  <c r="G6"/>
  <c r="P6" s="1"/>
  <c r="G7"/>
  <c r="G8"/>
  <c r="G9"/>
  <c r="P9" s="1"/>
  <c r="G10"/>
  <c r="P10" s="1"/>
  <c r="G11"/>
  <c r="P11" s="1"/>
  <c r="G12"/>
  <c r="P12" s="1"/>
  <c r="G13"/>
  <c r="P13" s="1"/>
  <c r="G14"/>
  <c r="P14" s="1"/>
  <c r="G15"/>
  <c r="P15" s="1"/>
  <c r="G16"/>
  <c r="P16" s="1"/>
  <c r="G17"/>
  <c r="P17" s="1"/>
  <c r="G18"/>
  <c r="P18" s="1"/>
  <c r="G19"/>
  <c r="P19" s="1"/>
  <c r="G20"/>
  <c r="P20" s="1"/>
  <c r="G21"/>
  <c r="P21" s="1"/>
  <c r="G22"/>
  <c r="P22" s="1"/>
  <c r="G23"/>
  <c r="P23" s="1"/>
  <c r="G24"/>
  <c r="P24" s="1"/>
  <c r="G25"/>
  <c r="P25" s="1"/>
  <c r="G26"/>
  <c r="P26" s="1"/>
  <c r="G27"/>
  <c r="P27" s="1"/>
  <c r="G28"/>
  <c r="P28" s="1"/>
  <c r="G29"/>
  <c r="P29" s="1"/>
  <c r="G30"/>
  <c r="P30" s="1"/>
  <c r="G31"/>
  <c r="P31" s="1"/>
  <c r="G32"/>
  <c r="P32" s="1"/>
  <c r="G33"/>
  <c r="P33" s="1"/>
  <c r="G34"/>
  <c r="P34" s="1"/>
  <c r="G35"/>
  <c r="P35" s="1"/>
  <c r="G36"/>
  <c r="P36" s="1"/>
  <c r="G37"/>
  <c r="P37" s="1"/>
  <c r="G38"/>
  <c r="P38" s="1"/>
  <c r="G39"/>
  <c r="P39" s="1"/>
  <c r="G40"/>
  <c r="P40" s="1"/>
  <c r="G41"/>
  <c r="P41" s="1"/>
  <c r="G42"/>
  <c r="P42" s="1"/>
  <c r="G43"/>
  <c r="P43" s="1"/>
  <c r="G44"/>
  <c r="P44" s="1"/>
  <c r="G45"/>
  <c r="P45" s="1"/>
  <c r="G46"/>
  <c r="P46" s="1"/>
  <c r="G47"/>
  <c r="P47" s="1"/>
  <c r="G48"/>
  <c r="P48" s="1"/>
  <c r="G49"/>
  <c r="P49" s="1"/>
  <c r="G50"/>
  <c r="P50" s="1"/>
  <c r="G51"/>
  <c r="P51" s="1"/>
  <c r="G52"/>
  <c r="P52" s="1"/>
  <c r="G53"/>
  <c r="P53" s="1"/>
  <c r="G54"/>
  <c r="P54" s="1"/>
  <c r="G55"/>
  <c r="P55" s="1"/>
  <c r="G56"/>
  <c r="P56" s="1"/>
  <c r="G57"/>
  <c r="P57" s="1"/>
  <c r="G58"/>
  <c r="P58" s="1"/>
  <c r="G59"/>
  <c r="P59" s="1"/>
  <c r="G60"/>
  <c r="P60" s="1"/>
  <c r="G61"/>
  <c r="P61" s="1"/>
  <c r="G62"/>
  <c r="P62" s="1"/>
  <c r="G63"/>
  <c r="P63" s="1"/>
  <c r="G64"/>
  <c r="P64" s="1"/>
  <c r="G65"/>
  <c r="P65" s="1"/>
  <c r="G66"/>
  <c r="P66" s="1"/>
  <c r="G67"/>
  <c r="P67" s="1"/>
  <c r="G68"/>
  <c r="P68" s="1"/>
  <c r="G69"/>
  <c r="P69" s="1"/>
  <c r="G70"/>
  <c r="P70" s="1"/>
  <c r="G71"/>
  <c r="P71" s="1"/>
  <c r="G72"/>
  <c r="P72" s="1"/>
  <c r="G2"/>
  <c r="P2" s="1"/>
  <c r="F3"/>
  <c r="O3" s="1"/>
  <c r="F4"/>
  <c r="O4" s="1"/>
  <c r="F5"/>
  <c r="O5" s="1"/>
  <c r="F6"/>
  <c r="O6" s="1"/>
  <c r="F7"/>
  <c r="O7" s="1"/>
  <c r="F8"/>
  <c r="O8" s="1"/>
  <c r="F9"/>
  <c r="O9" s="1"/>
  <c r="F10"/>
  <c r="O10" s="1"/>
  <c r="F11"/>
  <c r="O11" s="1"/>
  <c r="F12"/>
  <c r="O12" s="1"/>
  <c r="F13"/>
  <c r="F14"/>
  <c r="O14" s="1"/>
  <c r="F15"/>
  <c r="O15" s="1"/>
  <c r="F16"/>
  <c r="O16" s="1"/>
  <c r="F17"/>
  <c r="O17" s="1"/>
  <c r="F18"/>
  <c r="F19"/>
  <c r="O19" s="1"/>
  <c r="F20"/>
  <c r="F21"/>
  <c r="O21" s="1"/>
  <c r="F22"/>
  <c r="F23"/>
  <c r="O23" s="1"/>
  <c r="F24"/>
  <c r="F25"/>
  <c r="O25" s="1"/>
  <c r="F26"/>
  <c r="F27"/>
  <c r="O27" s="1"/>
  <c r="F28"/>
  <c r="F29"/>
  <c r="O29" s="1"/>
  <c r="F30"/>
  <c r="F31"/>
  <c r="O31" s="1"/>
  <c r="F32"/>
  <c r="F33"/>
  <c r="O33" s="1"/>
  <c r="F34"/>
  <c r="F35"/>
  <c r="O35" s="1"/>
  <c r="F36"/>
  <c r="F37"/>
  <c r="O37" s="1"/>
  <c r="F38"/>
  <c r="F39"/>
  <c r="O39" s="1"/>
  <c r="F40"/>
  <c r="F41"/>
  <c r="O41" s="1"/>
  <c r="F42"/>
  <c r="F43"/>
  <c r="O43" s="1"/>
  <c r="F44"/>
  <c r="F45"/>
  <c r="O45" s="1"/>
  <c r="F46"/>
  <c r="F47"/>
  <c r="O47" s="1"/>
  <c r="F48"/>
  <c r="F49"/>
  <c r="O49" s="1"/>
  <c r="F50"/>
  <c r="F51"/>
  <c r="O51" s="1"/>
  <c r="F52"/>
  <c r="F53"/>
  <c r="O53" s="1"/>
  <c r="F54"/>
  <c r="F55"/>
  <c r="O55" s="1"/>
  <c r="F56"/>
  <c r="O56" s="1"/>
  <c r="F57"/>
  <c r="O57" s="1"/>
  <c r="F58"/>
  <c r="O58" s="1"/>
  <c r="F59"/>
  <c r="O59" s="1"/>
  <c r="F60"/>
  <c r="O60" s="1"/>
  <c r="F61"/>
  <c r="O61" s="1"/>
  <c r="F62"/>
  <c r="O62" s="1"/>
  <c r="F63"/>
  <c r="O63" s="1"/>
  <c r="F64"/>
  <c r="O64" s="1"/>
  <c r="F65"/>
  <c r="O65" s="1"/>
  <c r="F66"/>
  <c r="O66" s="1"/>
  <c r="F67"/>
  <c r="O67" s="1"/>
  <c r="F68"/>
  <c r="O68" s="1"/>
  <c r="F69"/>
  <c r="O69" s="1"/>
  <c r="F70"/>
  <c r="O70" s="1"/>
  <c r="F71"/>
  <c r="O71" s="1"/>
  <c r="F72"/>
  <c r="O72" s="1"/>
  <c r="F2"/>
  <c r="O2" s="1"/>
  <c r="D135" i="4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F27"/>
  <c r="F36" s="1"/>
  <c r="F45" s="1"/>
  <c r="F54" s="1"/>
  <c r="F63" s="1"/>
  <c r="F72" s="1"/>
  <c r="F81" s="1"/>
  <c r="F90" s="1"/>
  <c r="F99" s="1"/>
  <c r="F108" s="1"/>
  <c r="F117" s="1"/>
  <c r="F126" s="1"/>
  <c r="F135" s="1"/>
  <c r="D27"/>
  <c r="D26"/>
  <c r="F25"/>
  <c r="F34" s="1"/>
  <c r="F43" s="1"/>
  <c r="F52" s="1"/>
  <c r="F61" s="1"/>
  <c r="F70" s="1"/>
  <c r="F79" s="1"/>
  <c r="F88" s="1"/>
  <c r="F97" s="1"/>
  <c r="F106" s="1"/>
  <c r="F115" s="1"/>
  <c r="F124" s="1"/>
  <c r="F133" s="1"/>
  <c r="D25"/>
  <c r="D24"/>
  <c r="F23"/>
  <c r="F32" s="1"/>
  <c r="F41" s="1"/>
  <c r="F50" s="1"/>
  <c r="F59" s="1"/>
  <c r="F68" s="1"/>
  <c r="F77" s="1"/>
  <c r="F86" s="1"/>
  <c r="F95" s="1"/>
  <c r="F104" s="1"/>
  <c r="F113" s="1"/>
  <c r="F122" s="1"/>
  <c r="F131" s="1"/>
  <c r="D23"/>
  <c r="D22"/>
  <c r="F21"/>
  <c r="F30" s="1"/>
  <c r="F39" s="1"/>
  <c r="F48" s="1"/>
  <c r="F57" s="1"/>
  <c r="F66" s="1"/>
  <c r="F75" s="1"/>
  <c r="F84" s="1"/>
  <c r="F93" s="1"/>
  <c r="F102" s="1"/>
  <c r="F111" s="1"/>
  <c r="F120" s="1"/>
  <c r="F129" s="1"/>
  <c r="D21"/>
  <c r="D20"/>
  <c r="F19"/>
  <c r="F28" s="1"/>
  <c r="F37" s="1"/>
  <c r="F46" s="1"/>
  <c r="F55" s="1"/>
  <c r="F64" s="1"/>
  <c r="F73" s="1"/>
  <c r="F82" s="1"/>
  <c r="F91" s="1"/>
  <c r="F100" s="1"/>
  <c r="F109" s="1"/>
  <c r="F118" s="1"/>
  <c r="F127" s="1"/>
  <c r="D19"/>
  <c r="F18"/>
  <c r="D18"/>
  <c r="F17"/>
  <c r="F26" s="1"/>
  <c r="F35" s="1"/>
  <c r="F44" s="1"/>
  <c r="F53" s="1"/>
  <c r="F62" s="1"/>
  <c r="F71" s="1"/>
  <c r="F80" s="1"/>
  <c r="F89" s="1"/>
  <c r="F98" s="1"/>
  <c r="F107" s="1"/>
  <c r="F116" s="1"/>
  <c r="F125" s="1"/>
  <c r="F134" s="1"/>
  <c r="D17"/>
  <c r="F16"/>
  <c r="D16"/>
  <c r="F15"/>
  <c r="F24" s="1"/>
  <c r="F33" s="1"/>
  <c r="F42" s="1"/>
  <c r="F51" s="1"/>
  <c r="F60" s="1"/>
  <c r="F69" s="1"/>
  <c r="F78" s="1"/>
  <c r="F87" s="1"/>
  <c r="F96" s="1"/>
  <c r="F105" s="1"/>
  <c r="F114" s="1"/>
  <c r="F123" s="1"/>
  <c r="F132" s="1"/>
  <c r="D15"/>
  <c r="F14"/>
  <c r="D14"/>
  <c r="F13"/>
  <c r="F22" s="1"/>
  <c r="F31" s="1"/>
  <c r="F40" s="1"/>
  <c r="F49" s="1"/>
  <c r="F58" s="1"/>
  <c r="F67" s="1"/>
  <c r="F76" s="1"/>
  <c r="F85" s="1"/>
  <c r="F94" s="1"/>
  <c r="F103" s="1"/>
  <c r="F112" s="1"/>
  <c r="F121" s="1"/>
  <c r="F130" s="1"/>
  <c r="D13"/>
  <c r="F12"/>
  <c r="D12"/>
  <c r="F11"/>
  <c r="F20" s="1"/>
  <c r="F29" s="1"/>
  <c r="F38" s="1"/>
  <c r="F47" s="1"/>
  <c r="F56" s="1"/>
  <c r="F65" s="1"/>
  <c r="F74" s="1"/>
  <c r="F83" s="1"/>
  <c r="F92" s="1"/>
  <c r="F101" s="1"/>
  <c r="F110" s="1"/>
  <c r="F119" s="1"/>
  <c r="F128" s="1"/>
  <c r="D11"/>
  <c r="F10"/>
  <c r="D10"/>
  <c r="D9"/>
  <c r="D8"/>
  <c r="D7"/>
  <c r="D6"/>
  <c r="D5"/>
  <c r="D4"/>
  <c r="D3"/>
  <c r="D2"/>
  <c r="D1"/>
  <c r="D41" i="2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5" i="3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F26"/>
  <c r="F35" s="1"/>
  <c r="F44" s="1"/>
  <c r="F53" s="1"/>
  <c r="F62" s="1"/>
  <c r="F71" s="1"/>
  <c r="F80" s="1"/>
  <c r="F89" s="1"/>
  <c r="F98" s="1"/>
  <c r="F107" s="1"/>
  <c r="F116" s="1"/>
  <c r="F125" s="1"/>
  <c r="F134" s="1"/>
  <c r="D26"/>
  <c r="D25"/>
  <c r="F24"/>
  <c r="F33" s="1"/>
  <c r="F42" s="1"/>
  <c r="F51" s="1"/>
  <c r="F60" s="1"/>
  <c r="F69" s="1"/>
  <c r="F78" s="1"/>
  <c r="F87" s="1"/>
  <c r="F96" s="1"/>
  <c r="F105" s="1"/>
  <c r="F114" s="1"/>
  <c r="F123" s="1"/>
  <c r="F132" s="1"/>
  <c r="D24"/>
  <c r="D23"/>
  <c r="F22"/>
  <c r="F31" s="1"/>
  <c r="F40" s="1"/>
  <c r="F49" s="1"/>
  <c r="F58" s="1"/>
  <c r="F67" s="1"/>
  <c r="F76" s="1"/>
  <c r="F85" s="1"/>
  <c r="F94" s="1"/>
  <c r="F103" s="1"/>
  <c r="F112" s="1"/>
  <c r="F121" s="1"/>
  <c r="F130" s="1"/>
  <c r="D22"/>
  <c r="D21"/>
  <c r="F20"/>
  <c r="F29" s="1"/>
  <c r="F38" s="1"/>
  <c r="F47" s="1"/>
  <c r="F56" s="1"/>
  <c r="F65" s="1"/>
  <c r="F74" s="1"/>
  <c r="F83" s="1"/>
  <c r="F92" s="1"/>
  <c r="F101" s="1"/>
  <c r="F110" s="1"/>
  <c r="F119" s="1"/>
  <c r="F128" s="1"/>
  <c r="D20"/>
  <c r="D19"/>
  <c r="F18"/>
  <c r="F27" s="1"/>
  <c r="F36" s="1"/>
  <c r="F45" s="1"/>
  <c r="F54" s="1"/>
  <c r="F63" s="1"/>
  <c r="F72" s="1"/>
  <c r="F81" s="1"/>
  <c r="F90" s="1"/>
  <c r="F99" s="1"/>
  <c r="F108" s="1"/>
  <c r="F117" s="1"/>
  <c r="F126" s="1"/>
  <c r="F135" s="1"/>
  <c r="D18"/>
  <c r="F17"/>
  <c r="D17"/>
  <c r="F16"/>
  <c r="F25" s="1"/>
  <c r="F34" s="1"/>
  <c r="F43" s="1"/>
  <c r="F52" s="1"/>
  <c r="F61" s="1"/>
  <c r="F70" s="1"/>
  <c r="F79" s="1"/>
  <c r="F88" s="1"/>
  <c r="F97" s="1"/>
  <c r="F106" s="1"/>
  <c r="F115" s="1"/>
  <c r="F124" s="1"/>
  <c r="F133" s="1"/>
  <c r="D16"/>
  <c r="F15"/>
  <c r="D15"/>
  <c r="F14"/>
  <c r="F23" s="1"/>
  <c r="F32" s="1"/>
  <c r="F41" s="1"/>
  <c r="F50" s="1"/>
  <c r="F59" s="1"/>
  <c r="F68" s="1"/>
  <c r="F77" s="1"/>
  <c r="F86" s="1"/>
  <c r="F95" s="1"/>
  <c r="F104" s="1"/>
  <c r="F113" s="1"/>
  <c r="F122" s="1"/>
  <c r="F131" s="1"/>
  <c r="D14"/>
  <c r="F13"/>
  <c r="D13"/>
  <c r="F12"/>
  <c r="F21" s="1"/>
  <c r="F30" s="1"/>
  <c r="F39" s="1"/>
  <c r="F48" s="1"/>
  <c r="F57" s="1"/>
  <c r="F66" s="1"/>
  <c r="F75" s="1"/>
  <c r="F84" s="1"/>
  <c r="F93" s="1"/>
  <c r="F102" s="1"/>
  <c r="F111" s="1"/>
  <c r="F120" s="1"/>
  <c r="F129" s="1"/>
  <c r="D12"/>
  <c r="F11"/>
  <c r="D11"/>
  <c r="F10"/>
  <c r="F19" s="1"/>
  <c r="F28" s="1"/>
  <c r="F37" s="1"/>
  <c r="F46" s="1"/>
  <c r="F55" s="1"/>
  <c r="F64" s="1"/>
  <c r="F73" s="1"/>
  <c r="F82" s="1"/>
  <c r="F91" s="1"/>
  <c r="F100" s="1"/>
  <c r="F109" s="1"/>
  <c r="F118" s="1"/>
  <c r="F127" s="1"/>
  <c r="D10"/>
  <c r="D9"/>
  <c r="D8"/>
  <c r="D7"/>
  <c r="D6"/>
  <c r="D5"/>
  <c r="D4"/>
  <c r="D3"/>
  <c r="D2"/>
  <c r="D1"/>
  <c r="D2" i="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1"/>
  <c r="F11"/>
  <c r="F20" s="1"/>
  <c r="F29" s="1"/>
  <c r="F38" s="1"/>
  <c r="F47" s="1"/>
  <c r="F56" s="1"/>
  <c r="F65" s="1"/>
  <c r="F74" s="1"/>
  <c r="F83" s="1"/>
  <c r="F92" s="1"/>
  <c r="F101" s="1"/>
  <c r="F110" s="1"/>
  <c r="F119" s="1"/>
  <c r="F128" s="1"/>
  <c r="F12"/>
  <c r="F21" s="1"/>
  <c r="F30" s="1"/>
  <c r="F39" s="1"/>
  <c r="F48" s="1"/>
  <c r="F57" s="1"/>
  <c r="F66" s="1"/>
  <c r="F75" s="1"/>
  <c r="F84" s="1"/>
  <c r="F93" s="1"/>
  <c r="F102" s="1"/>
  <c r="F111" s="1"/>
  <c r="F120" s="1"/>
  <c r="F129" s="1"/>
  <c r="F13"/>
  <c r="F22" s="1"/>
  <c r="F31" s="1"/>
  <c r="F40" s="1"/>
  <c r="F49" s="1"/>
  <c r="F58" s="1"/>
  <c r="F67" s="1"/>
  <c r="F76" s="1"/>
  <c r="F85" s="1"/>
  <c r="F94" s="1"/>
  <c r="F103" s="1"/>
  <c r="F112" s="1"/>
  <c r="F121" s="1"/>
  <c r="F130" s="1"/>
  <c r="F14"/>
  <c r="F23" s="1"/>
  <c r="F32" s="1"/>
  <c r="F41" s="1"/>
  <c r="F50" s="1"/>
  <c r="F59" s="1"/>
  <c r="F68" s="1"/>
  <c r="F77" s="1"/>
  <c r="F86" s="1"/>
  <c r="F95" s="1"/>
  <c r="F104" s="1"/>
  <c r="F113" s="1"/>
  <c r="F122" s="1"/>
  <c r="F131" s="1"/>
  <c r="F15"/>
  <c r="F24" s="1"/>
  <c r="F33" s="1"/>
  <c r="F42" s="1"/>
  <c r="F51" s="1"/>
  <c r="F60" s="1"/>
  <c r="F69" s="1"/>
  <c r="F78" s="1"/>
  <c r="F87" s="1"/>
  <c r="F96" s="1"/>
  <c r="F105" s="1"/>
  <c r="F114" s="1"/>
  <c r="F123" s="1"/>
  <c r="F132" s="1"/>
  <c r="F16"/>
  <c r="F25" s="1"/>
  <c r="F34" s="1"/>
  <c r="F43" s="1"/>
  <c r="F52" s="1"/>
  <c r="F61" s="1"/>
  <c r="F70" s="1"/>
  <c r="F79" s="1"/>
  <c r="F88" s="1"/>
  <c r="F97" s="1"/>
  <c r="F106" s="1"/>
  <c r="F115" s="1"/>
  <c r="F124" s="1"/>
  <c r="F133" s="1"/>
  <c r="F17"/>
  <c r="F26" s="1"/>
  <c r="F35" s="1"/>
  <c r="F44" s="1"/>
  <c r="F53" s="1"/>
  <c r="F62" s="1"/>
  <c r="F71" s="1"/>
  <c r="F80" s="1"/>
  <c r="F89" s="1"/>
  <c r="F98" s="1"/>
  <c r="F107" s="1"/>
  <c r="F116" s="1"/>
  <c r="F125" s="1"/>
  <c r="F134" s="1"/>
  <c r="F18"/>
  <c r="F27" s="1"/>
  <c r="F36" s="1"/>
  <c r="F45" s="1"/>
  <c r="F54" s="1"/>
  <c r="F63" s="1"/>
  <c r="F72" s="1"/>
  <c r="F81" s="1"/>
  <c r="F90" s="1"/>
  <c r="F99" s="1"/>
  <c r="F108" s="1"/>
  <c r="F117" s="1"/>
  <c r="F126" s="1"/>
  <c r="F135" s="1"/>
  <c r="F10"/>
  <c r="F19" s="1"/>
  <c r="F28" s="1"/>
  <c r="F37" s="1"/>
  <c r="F46" s="1"/>
  <c r="F55" s="1"/>
  <c r="F64" s="1"/>
  <c r="F73" s="1"/>
  <c r="F82" s="1"/>
  <c r="F91" s="1"/>
  <c r="F100" s="1"/>
  <c r="F109" s="1"/>
  <c r="F118" s="1"/>
  <c r="F127" s="1"/>
  <c r="C98" i="7" l="1"/>
  <c r="N52" i="5"/>
  <c r="N50"/>
  <c r="N46"/>
  <c r="N44"/>
  <c r="N42"/>
  <c r="N38"/>
  <c r="N36"/>
  <c r="N34"/>
  <c r="N32"/>
  <c r="N30"/>
  <c r="N28"/>
  <c r="N26"/>
  <c r="N10"/>
  <c r="Q10"/>
  <c r="Q50"/>
  <c r="Q18"/>
  <c r="Q13"/>
  <c r="Q5"/>
  <c r="Q55"/>
  <c r="Q47"/>
  <c r="Q39"/>
  <c r="Q31"/>
  <c r="Q23"/>
  <c r="Q32"/>
  <c r="Q24"/>
  <c r="Q11"/>
  <c r="Q3"/>
  <c r="Q16"/>
  <c r="Q12"/>
  <c r="Q8"/>
  <c r="Q4"/>
  <c r="N13"/>
  <c r="Q54"/>
  <c r="Q46"/>
  <c r="Q38"/>
  <c r="Q30"/>
  <c r="Q22"/>
  <c r="Q17"/>
  <c r="Q9"/>
  <c r="Q14"/>
  <c r="Q6"/>
  <c r="Q42"/>
  <c r="Q34"/>
  <c r="Q26"/>
  <c r="Q51"/>
  <c r="Q43"/>
  <c r="Q35"/>
  <c r="Q27"/>
  <c r="Q19"/>
  <c r="Q48"/>
  <c r="Q40"/>
  <c r="Q2"/>
  <c r="Q53"/>
  <c r="Q49"/>
  <c r="Q45"/>
  <c r="Q41"/>
  <c r="Q37"/>
  <c r="Q33"/>
  <c r="Q29"/>
  <c r="Q25"/>
  <c r="Q21"/>
  <c r="Q52"/>
  <c r="Q44"/>
  <c r="Q36"/>
  <c r="Q28"/>
  <c r="Q20"/>
  <c r="Q15"/>
  <c r="Q7"/>
  <c r="N56"/>
  <c r="Q57"/>
  <c r="N57"/>
  <c r="Q56"/>
  <c r="N58"/>
  <c r="N61"/>
  <c r="Q71"/>
  <c r="Q67"/>
  <c r="Q59"/>
  <c r="Q72"/>
  <c r="Q68"/>
  <c r="Q64"/>
  <c r="Q60"/>
  <c r="Q69"/>
  <c r="Q65"/>
  <c r="Q61"/>
  <c r="Q70"/>
  <c r="Q66"/>
  <c r="Q62"/>
  <c r="N72"/>
  <c r="N70"/>
  <c r="N68"/>
  <c r="N66"/>
  <c r="N64"/>
  <c r="N62"/>
  <c r="N60"/>
  <c r="Q63"/>
  <c r="Q58"/>
  <c r="N17"/>
  <c r="N15"/>
  <c r="N11"/>
  <c r="N9"/>
  <c r="N7"/>
  <c r="N5"/>
  <c r="N3"/>
  <c r="N71"/>
  <c r="N67"/>
  <c r="N63"/>
  <c r="N69"/>
  <c r="N65"/>
  <c r="N59"/>
  <c r="N2"/>
  <c r="C99" i="7" l="1"/>
  <c r="E112" i="1"/>
  <c r="E111"/>
  <c r="E110"/>
  <c r="E109"/>
  <c r="E108"/>
  <c r="E107"/>
  <c r="E106"/>
  <c r="E105"/>
  <c r="E104"/>
  <c r="E103"/>
  <c r="E102"/>
  <c r="E101"/>
  <c r="E100"/>
  <c r="E99"/>
  <c r="E98"/>
  <c r="E64"/>
  <c r="E63"/>
  <c r="E62"/>
  <c r="E61"/>
  <c r="E60"/>
  <c r="E59"/>
  <c r="E58"/>
  <c r="E57"/>
  <c r="E56"/>
  <c r="E55"/>
  <c r="E54"/>
  <c r="E53"/>
  <c r="E52"/>
  <c r="E51"/>
  <c r="E50"/>
  <c r="C100" i="7" l="1"/>
  <c r="C101" l="1"/>
  <c r="C102" l="1"/>
  <c r="C103" l="1"/>
  <c r="C104" l="1"/>
  <c r="C105" l="1"/>
  <c r="C106" l="1"/>
  <c r="C107" l="1"/>
  <c r="C108" l="1"/>
  <c r="C109" l="1"/>
  <c r="C110" l="1"/>
  <c r="C111" l="1"/>
  <c r="C112" l="1"/>
  <c r="C113" l="1"/>
  <c r="C114" l="1"/>
  <c r="C115" l="1"/>
  <c r="C116" l="1"/>
  <c r="C117" l="1"/>
  <c r="C118" l="1"/>
  <c r="C119" l="1"/>
  <c r="C120" l="1"/>
  <c r="C121" l="1"/>
  <c r="C122" l="1"/>
  <c r="C123" l="1"/>
  <c r="C124" l="1"/>
  <c r="C125" l="1"/>
  <c r="C126" l="1"/>
  <c r="C127" l="1"/>
  <c r="C128" l="1"/>
  <c r="C129" l="1"/>
  <c r="C130" l="1"/>
  <c r="C131" l="1"/>
  <c r="C132" l="1"/>
  <c r="C133" l="1"/>
  <c r="C134" l="1"/>
  <c r="C135" l="1"/>
  <c r="C136" l="1"/>
  <c r="C137" l="1"/>
  <c r="C138" l="1"/>
  <c r="C139" l="1"/>
  <c r="C140" l="1"/>
  <c r="C141" l="1"/>
  <c r="C142" l="1"/>
  <c r="C143" l="1"/>
  <c r="C144" l="1"/>
  <c r="C145" l="1"/>
  <c r="C146" l="1"/>
  <c r="C147" l="1"/>
  <c r="C148" l="1"/>
  <c r="C149" l="1"/>
  <c r="C150" l="1"/>
  <c r="C151" l="1"/>
  <c r="C152" l="1"/>
  <c r="C153" l="1"/>
  <c r="C154" l="1"/>
  <c r="C155" l="1"/>
  <c r="C156" l="1"/>
  <c r="C157" l="1"/>
  <c r="C158" l="1"/>
  <c r="C159" l="1"/>
  <c r="C160" l="1"/>
  <c r="C161" l="1"/>
  <c r="C162" l="1"/>
  <c r="C163" l="1"/>
  <c r="C164" l="1"/>
  <c r="C166" l="1"/>
  <c r="C167" l="1"/>
  <c r="C168" l="1"/>
  <c r="C169" l="1"/>
  <c r="C170" l="1"/>
  <c r="C171" l="1"/>
  <c r="C172" l="1"/>
  <c r="C173" l="1"/>
  <c r="C174" l="1"/>
  <c r="C175" l="1"/>
  <c r="C176" l="1"/>
  <c r="C177" l="1"/>
  <c r="C178" l="1"/>
  <c r="C179" l="1"/>
  <c r="C180" l="1"/>
  <c r="C181" l="1"/>
  <c r="C182" l="1"/>
  <c r="C183" l="1"/>
  <c r="C184" l="1"/>
  <c r="C185" l="1"/>
  <c r="C186" l="1"/>
  <c r="C187" l="1"/>
  <c r="C188" l="1"/>
  <c r="C189" l="1"/>
  <c r="C190" l="1"/>
  <c r="C191" l="1"/>
  <c r="C192" l="1"/>
  <c r="C193" l="1"/>
  <c r="C194" l="1"/>
  <c r="C195" l="1"/>
  <c r="C196" l="1"/>
  <c r="C197" l="1"/>
  <c r="C198" l="1"/>
  <c r="C199" l="1"/>
  <c r="C200" l="1"/>
  <c r="C201" l="1"/>
  <c r="C202" l="1"/>
  <c r="C203" l="1"/>
  <c r="C204" l="1"/>
  <c r="C205" l="1"/>
  <c r="C206" l="1"/>
  <c r="C207" l="1"/>
  <c r="C208" l="1"/>
  <c r="C209" l="1"/>
  <c r="C210" l="1"/>
  <c r="C211" l="1"/>
  <c r="C212" l="1"/>
  <c r="C213" l="1"/>
  <c r="C214" l="1"/>
  <c r="C215" l="1"/>
  <c r="C216" l="1"/>
  <c r="C217" l="1"/>
  <c r="C218" l="1"/>
  <c r="C219" l="1"/>
  <c r="C220" l="1"/>
  <c r="C221" l="1"/>
  <c r="C222" l="1"/>
  <c r="C223" l="1"/>
  <c r="C224" l="1"/>
  <c r="C225" l="1"/>
  <c r="C226" l="1"/>
  <c r="C227" l="1"/>
  <c r="C228" l="1"/>
  <c r="C229" l="1"/>
  <c r="C230" l="1"/>
  <c r="C231" l="1"/>
  <c r="C232" l="1"/>
  <c r="C233" l="1"/>
  <c r="C234" l="1"/>
  <c r="C235" l="1"/>
  <c r="C236" l="1"/>
  <c r="C237" l="1"/>
  <c r="C238" l="1"/>
  <c r="C239" l="1"/>
  <c r="C240" l="1"/>
  <c r="C241" l="1"/>
  <c r="C242" l="1"/>
  <c r="C243" l="1"/>
  <c r="C244" l="1"/>
  <c r="C245" l="1"/>
  <c r="C246" l="1"/>
  <c r="C247" l="1"/>
  <c r="C248" l="1"/>
  <c r="C249" l="1"/>
  <c r="C250" l="1"/>
  <c r="C251" l="1"/>
  <c r="C252" l="1"/>
  <c r="C253" l="1"/>
  <c r="C254" l="1"/>
  <c r="C255" l="1"/>
  <c r="C256" l="1"/>
  <c r="C257" l="1"/>
  <c r="C258" l="1"/>
  <c r="C259" l="1"/>
  <c r="C329"/>
  <c r="C260" l="1"/>
  <c r="C330"/>
  <c r="C261" l="1"/>
  <c r="C331"/>
  <c r="C262" l="1"/>
  <c r="C332"/>
  <c r="C263" l="1"/>
  <c r="C333"/>
  <c r="C264" l="1"/>
  <c r="C334"/>
  <c r="C265" l="1"/>
  <c r="C335"/>
  <c r="C266" l="1"/>
  <c r="C336"/>
  <c r="C267" l="1"/>
  <c r="C337"/>
  <c r="C268" l="1"/>
  <c r="C338"/>
  <c r="C269" l="1"/>
  <c r="C339"/>
  <c r="C270" l="1"/>
  <c r="C340"/>
  <c r="C271" l="1"/>
  <c r="C341"/>
  <c r="C272" l="1"/>
  <c r="C342"/>
  <c r="C273" l="1"/>
  <c r="C343"/>
  <c r="C274" l="1"/>
  <c r="C344"/>
  <c r="C275" l="1"/>
  <c r="C345"/>
  <c r="C276" l="1"/>
  <c r="C346"/>
  <c r="C277" l="1"/>
  <c r="C347"/>
  <c r="C278" l="1"/>
  <c r="C348"/>
  <c r="C279" l="1"/>
  <c r="C349"/>
  <c r="C280" l="1"/>
  <c r="C350"/>
  <c r="C281" l="1"/>
  <c r="C351"/>
  <c r="C282" l="1"/>
  <c r="C352"/>
  <c r="C283" l="1"/>
  <c r="C353"/>
  <c r="C284" l="1"/>
  <c r="C354"/>
  <c r="C285" l="1"/>
  <c r="C355"/>
  <c r="C286" l="1"/>
  <c r="C356"/>
  <c r="C287" l="1"/>
  <c r="C357"/>
  <c r="C288" l="1"/>
  <c r="C358"/>
  <c r="C289" l="1"/>
  <c r="C359"/>
  <c r="C290" l="1"/>
  <c r="C360"/>
  <c r="C291" l="1"/>
  <c r="C361"/>
  <c r="C292" l="1"/>
  <c r="C362"/>
  <c r="C293" l="1"/>
  <c r="C363"/>
  <c r="C294" l="1"/>
  <c r="C364"/>
  <c r="C295" l="1"/>
  <c r="C365"/>
  <c r="C296" l="1"/>
  <c r="C366"/>
  <c r="C297" l="1"/>
  <c r="C367"/>
  <c r="C298" l="1"/>
  <c r="C368"/>
  <c r="C299" l="1"/>
  <c r="C369"/>
  <c r="C300" l="1"/>
  <c r="C370"/>
  <c r="C301" l="1"/>
  <c r="C371"/>
  <c r="C302" l="1"/>
  <c r="C372"/>
  <c r="C303" l="1"/>
  <c r="C373"/>
  <c r="C304" l="1"/>
  <c r="C374"/>
  <c r="C305" l="1"/>
  <c r="C375"/>
  <c r="C306" l="1"/>
  <c r="C376"/>
  <c r="C307" l="1"/>
  <c r="C377"/>
  <c r="C308" l="1"/>
  <c r="C378"/>
  <c r="C309" l="1"/>
  <c r="C379"/>
  <c r="C310" l="1"/>
  <c r="C380"/>
  <c r="C311" l="1"/>
  <c r="C381"/>
  <c r="C312" l="1"/>
  <c r="C382"/>
  <c r="C313" l="1"/>
  <c r="C383"/>
  <c r="C314" l="1"/>
  <c r="C384"/>
  <c r="C315" l="1"/>
  <c r="C385"/>
  <c r="C316" l="1"/>
  <c r="C386"/>
  <c r="C317" l="1"/>
  <c r="C387"/>
  <c r="C318" l="1"/>
  <c r="C388"/>
  <c r="C319" l="1"/>
  <c r="C389"/>
  <c r="C320" l="1"/>
  <c r="C390"/>
  <c r="C321" l="1"/>
  <c r="C391"/>
  <c r="C322" l="1"/>
  <c r="C392"/>
  <c r="C323" l="1"/>
  <c r="C393"/>
  <c r="C324" l="1"/>
  <c r="C394"/>
  <c r="C325" l="1"/>
  <c r="C395"/>
  <c r="C326" l="1"/>
  <c r="C396"/>
  <c r="C327" l="1"/>
  <c r="C397"/>
  <c r="C398" l="1"/>
  <c r="C399" l="1"/>
  <c r="C400" l="1"/>
  <c r="C401" l="1"/>
  <c r="C402" l="1"/>
  <c r="C403" l="1"/>
  <c r="C404" l="1"/>
  <c r="C405" l="1"/>
  <c r="C406" l="1"/>
  <c r="C407" l="1"/>
  <c r="C408" l="1"/>
  <c r="C409" l="1"/>
  <c r="C410" l="1"/>
  <c r="C411" l="1"/>
  <c r="C412" l="1"/>
  <c r="C413" l="1"/>
  <c r="C414" l="1"/>
  <c r="C415" l="1"/>
  <c r="C416" l="1"/>
  <c r="C417" l="1"/>
  <c r="C418" l="1"/>
  <c r="C419" l="1"/>
  <c r="C420" l="1"/>
  <c r="C421" l="1"/>
  <c r="C422" l="1"/>
  <c r="C423" l="1"/>
  <c r="C424" l="1"/>
  <c r="C425" l="1"/>
  <c r="C426" l="1"/>
  <c r="C427" l="1"/>
  <c r="C428" l="1"/>
  <c r="C429" l="1"/>
  <c r="C430" l="1"/>
  <c r="C431" l="1"/>
  <c r="C432" l="1"/>
  <c r="C433" l="1"/>
  <c r="C434" l="1"/>
  <c r="C435" l="1"/>
  <c r="C436" l="1"/>
  <c r="C437" l="1"/>
  <c r="C438" l="1"/>
  <c r="C439" l="1"/>
  <c r="C440" l="1"/>
  <c r="C441" l="1"/>
  <c r="C442" l="1"/>
  <c r="C443" l="1"/>
  <c r="C444" l="1"/>
  <c r="C445" l="1"/>
  <c r="C446" l="1"/>
  <c r="C447" l="1"/>
  <c r="C448" l="1"/>
  <c r="C449" l="1"/>
  <c r="C450" l="1"/>
  <c r="C451" l="1"/>
  <c r="C452" l="1"/>
  <c r="C453" l="1"/>
  <c r="C454" l="1"/>
  <c r="C455" l="1"/>
  <c r="C456" l="1"/>
  <c r="C457" l="1"/>
  <c r="C458" l="1"/>
  <c r="C459" l="1"/>
  <c r="C460" l="1"/>
  <c r="C461" l="1"/>
  <c r="C462" l="1"/>
  <c r="C463" l="1"/>
  <c r="C464" l="1"/>
  <c r="C465" l="1"/>
  <c r="C466" l="1"/>
  <c r="C467" l="1"/>
  <c r="C468" l="1"/>
  <c r="C469" l="1"/>
  <c r="C470" l="1"/>
  <c r="C471" l="1"/>
  <c r="C472" l="1"/>
  <c r="C473" l="1"/>
  <c r="C474" l="1"/>
  <c r="C475" l="1"/>
  <c r="C476" l="1"/>
  <c r="C477" l="1"/>
  <c r="C478" l="1"/>
  <c r="C479" l="1"/>
  <c r="C480" l="1"/>
  <c r="C481" l="1"/>
  <c r="C482" l="1"/>
  <c r="C483" l="1"/>
  <c r="C484" l="1"/>
  <c r="C485" l="1"/>
  <c r="C486" l="1"/>
  <c r="C487" l="1"/>
  <c r="C488" l="1"/>
  <c r="C489" l="1"/>
  <c r="C490" l="1"/>
  <c r="F109" i="1" l="1"/>
  <c r="H109" s="1"/>
  <c r="F108"/>
  <c r="H108" s="1"/>
  <c r="F110"/>
  <c r="H110" s="1"/>
  <c r="F107"/>
  <c r="H107" s="1"/>
  <c r="F112"/>
  <c r="H112" s="1"/>
  <c r="F111"/>
  <c r="H111" s="1"/>
  <c r="AA111" l="1"/>
  <c r="B126" i="4" s="1"/>
  <c r="AA108" i="1"/>
  <c r="B99" i="4" s="1"/>
  <c r="AA109" i="1"/>
  <c r="B108" i="4" s="1"/>
  <c r="AA107" i="1"/>
  <c r="B90" i="4" s="1"/>
  <c r="AA112" i="1"/>
  <c r="B135" i="4" s="1"/>
  <c r="AA110" i="1"/>
  <c r="B117" i="4" s="1"/>
  <c r="D109" i="1"/>
  <c r="AB109" s="1"/>
  <c r="D111"/>
  <c r="AB111" s="1"/>
  <c r="D107"/>
  <c r="AB107" s="1"/>
  <c r="D108"/>
  <c r="AB108" s="1"/>
  <c r="D112"/>
  <c r="AB112" s="1"/>
  <c r="D110"/>
  <c r="AB110" s="1"/>
  <c r="P112" l="1"/>
  <c r="V112"/>
  <c r="C135" i="4"/>
  <c r="C108"/>
  <c r="V109" i="1"/>
  <c r="P109"/>
  <c r="U112"/>
  <c r="O112"/>
  <c r="M112" s="1"/>
  <c r="B128" i="4" s="1"/>
  <c r="U109" i="1"/>
  <c r="O109"/>
  <c r="O111"/>
  <c r="U111"/>
  <c r="V110"/>
  <c r="C117" i="4"/>
  <c r="P110" i="1"/>
  <c r="V111"/>
  <c r="P111"/>
  <c r="C126" i="4"/>
  <c r="M490" i="7"/>
  <c r="N490" s="1"/>
  <c r="M454"/>
  <c r="N454" s="1"/>
  <c r="M478"/>
  <c r="N478" s="1"/>
  <c r="V107" i="1"/>
  <c r="P107"/>
  <c r="C90" i="4"/>
  <c r="U110" i="1"/>
  <c r="O110"/>
  <c r="U107"/>
  <c r="O107"/>
  <c r="K107" s="1"/>
  <c r="B82" i="4" s="1"/>
  <c r="O108" i="1"/>
  <c r="K108" s="1"/>
  <c r="B91" i="4" s="1"/>
  <c r="U108" i="1"/>
  <c r="C99" i="4"/>
  <c r="P108" i="1"/>
  <c r="V108"/>
  <c r="M466" i="7"/>
  <c r="N466" s="1"/>
  <c r="M431"/>
  <c r="N431" s="1"/>
  <c r="M442"/>
  <c r="N442" s="1"/>
  <c r="M421" l="1"/>
  <c r="N421" s="1"/>
  <c r="W110" i="1"/>
  <c r="B115" i="4" s="1"/>
  <c r="Y110" i="1"/>
  <c r="B116" i="4" s="1"/>
  <c r="B114"/>
  <c r="K478" i="7"/>
  <c r="K466"/>
  <c r="K111" i="1"/>
  <c r="B118" i="4" s="1"/>
  <c r="S111" i="1"/>
  <c r="B122" i="4" s="1"/>
  <c r="Q111" i="1"/>
  <c r="B121" i="4" s="1"/>
  <c r="B120"/>
  <c r="C105"/>
  <c r="Z109" i="1"/>
  <c r="C107" i="4" s="1"/>
  <c r="X109" i="1"/>
  <c r="C106" i="4" s="1"/>
  <c r="N109" i="1"/>
  <c r="C101" i="4" s="1"/>
  <c r="R109" i="1"/>
  <c r="C103" i="4" s="1"/>
  <c r="C102"/>
  <c r="L109" i="1"/>
  <c r="C100" i="4" s="1"/>
  <c r="T109" i="1"/>
  <c r="C104" i="4" s="1"/>
  <c r="Z111" i="1"/>
  <c r="C125" i="4" s="1"/>
  <c r="C123"/>
  <c r="X111" i="1"/>
  <c r="C124" i="4" s="1"/>
  <c r="K109" i="1"/>
  <c r="B100" i="4" s="1"/>
  <c r="Q109" i="1"/>
  <c r="B103" i="4" s="1"/>
  <c r="B102"/>
  <c r="S109" i="1"/>
  <c r="B104" i="4" s="1"/>
  <c r="W112" i="1"/>
  <c r="B133" i="4" s="1"/>
  <c r="B132"/>
  <c r="Y112" i="1"/>
  <c r="B134" i="4" s="1"/>
  <c r="K490" i="7"/>
  <c r="M111" i="1"/>
  <c r="B119" i="4" s="1"/>
  <c r="M432" i="7"/>
  <c r="N432" s="1"/>
  <c r="M107" i="1"/>
  <c r="B83" i="4" s="1"/>
  <c r="B84"/>
  <c r="S107" i="1"/>
  <c r="B86" i="4" s="1"/>
  <c r="Q107" i="1"/>
  <c r="B85" i="4" s="1"/>
  <c r="M480" i="7"/>
  <c r="N480" s="1"/>
  <c r="L112" i="1"/>
  <c r="C127" i="4" s="1"/>
  <c r="C129"/>
  <c r="T112" i="1"/>
  <c r="C131" i="4" s="1"/>
  <c r="N112" i="1"/>
  <c r="C128" i="4" s="1"/>
  <c r="R112" i="1"/>
  <c r="C130" i="4" s="1"/>
  <c r="K442" i="7"/>
  <c r="M110" i="1"/>
  <c r="B110" i="4" s="1"/>
  <c r="S110" i="1"/>
  <c r="B113" i="4" s="1"/>
  <c r="Q110" i="1"/>
  <c r="B112" i="4" s="1"/>
  <c r="B111"/>
  <c r="C87"/>
  <c r="Z107" i="1"/>
  <c r="C89" i="4" s="1"/>
  <c r="X107" i="1"/>
  <c r="C88" i="4" s="1"/>
  <c r="L110" i="1"/>
  <c r="C109" i="4" s="1"/>
  <c r="R110" i="1"/>
  <c r="C112" i="4" s="1"/>
  <c r="C111"/>
  <c r="N110" i="1"/>
  <c r="C110" i="4" s="1"/>
  <c r="T110" i="1"/>
  <c r="C113" i="4" s="1"/>
  <c r="B123"/>
  <c r="Y111" i="1"/>
  <c r="B125" i="4" s="1"/>
  <c r="W111" i="1"/>
  <c r="B124" i="4" s="1"/>
  <c r="W109" i="1"/>
  <c r="B106" i="4" s="1"/>
  <c r="Y109" i="1"/>
  <c r="B107" i="4" s="1"/>
  <c r="B105"/>
  <c r="Z112" i="1"/>
  <c r="C134" i="4" s="1"/>
  <c r="X112" i="1"/>
  <c r="C133" i="4" s="1"/>
  <c r="C132"/>
  <c r="C93"/>
  <c r="T108" i="1"/>
  <c r="C95" i="4" s="1"/>
  <c r="L108" i="1"/>
  <c r="C91" i="4" s="1"/>
  <c r="N108" i="1"/>
  <c r="C92" i="4" s="1"/>
  <c r="R108" i="1"/>
  <c r="C94" i="4" s="1"/>
  <c r="M108" i="1"/>
  <c r="B92" i="4" s="1"/>
  <c r="B93"/>
  <c r="Q108" i="1"/>
  <c r="B94" i="4" s="1"/>
  <c r="S108" i="1"/>
  <c r="B95" i="4" s="1"/>
  <c r="N107" i="1"/>
  <c r="C83" i="4" s="1"/>
  <c r="T107" i="1"/>
  <c r="C86" i="4" s="1"/>
  <c r="L107" i="1"/>
  <c r="C82" i="4" s="1"/>
  <c r="R107" i="1"/>
  <c r="C85" i="4" s="1"/>
  <c r="C84"/>
  <c r="Z108" i="1"/>
  <c r="C98" i="4" s="1"/>
  <c r="X108" i="1"/>
  <c r="C97" i="4" s="1"/>
  <c r="C96"/>
  <c r="B96"/>
  <c r="W108" i="1"/>
  <c r="B97" i="4" s="1"/>
  <c r="Y108" i="1"/>
  <c r="B98" i="4" s="1"/>
  <c r="Y107" i="1"/>
  <c r="B89" i="4" s="1"/>
  <c r="B87"/>
  <c r="W107" i="1"/>
  <c r="B88" i="4" s="1"/>
  <c r="K431" i="7"/>
  <c r="T111" i="1"/>
  <c r="C122" i="4" s="1"/>
  <c r="L111" i="1"/>
  <c r="C118" i="4" s="1"/>
  <c r="N111" i="1"/>
  <c r="C119" i="4" s="1"/>
  <c r="C120"/>
  <c r="R111" i="1"/>
  <c r="C121" i="4" s="1"/>
  <c r="C114"/>
  <c r="Z110" i="1"/>
  <c r="C116" i="4" s="1"/>
  <c r="X110" i="1"/>
  <c r="C115" i="4" s="1"/>
  <c r="K112" i="1"/>
  <c r="B127" i="4" s="1"/>
  <c r="B129"/>
  <c r="S112" i="1"/>
  <c r="B131" i="4" s="1"/>
  <c r="Q112" i="1"/>
  <c r="B130" i="4" s="1"/>
  <c r="K454" i="7"/>
  <c r="K110" i="1"/>
  <c r="B109" i="4" s="1"/>
  <c r="M109" i="1"/>
  <c r="B101" i="4" s="1"/>
  <c r="K474" i="7" l="1"/>
  <c r="K473"/>
  <c r="K472"/>
  <c r="K471"/>
  <c r="M439"/>
  <c r="N439" s="1"/>
  <c r="K423"/>
  <c r="M433"/>
  <c r="N433" s="1"/>
  <c r="K438"/>
  <c r="M476"/>
  <c r="N476" s="1"/>
  <c r="K429"/>
  <c r="K481"/>
  <c r="L481" s="1"/>
  <c r="M424"/>
  <c r="N424" s="1"/>
  <c r="M425"/>
  <c r="N425" s="1"/>
  <c r="M426"/>
  <c r="N426" s="1"/>
  <c r="M488"/>
  <c r="N488" s="1"/>
  <c r="M443"/>
  <c r="N443" s="1"/>
  <c r="K450"/>
  <c r="K449"/>
  <c r="K447"/>
  <c r="K448"/>
  <c r="K444"/>
  <c r="M469"/>
  <c r="N469" s="1"/>
  <c r="M463"/>
  <c r="N463" s="1"/>
  <c r="M481"/>
  <c r="N481" s="1"/>
  <c r="K463"/>
  <c r="K467"/>
  <c r="M429"/>
  <c r="N429" s="1"/>
  <c r="M440"/>
  <c r="N440" s="1"/>
  <c r="K441"/>
  <c r="K427"/>
  <c r="M434"/>
  <c r="N434" s="1"/>
  <c r="K432"/>
  <c r="K488"/>
  <c r="M452"/>
  <c r="N452" s="1"/>
  <c r="K462"/>
  <c r="K461"/>
  <c r="K460"/>
  <c r="K459"/>
  <c r="K455"/>
  <c r="M457"/>
  <c r="N457" s="1"/>
  <c r="K483"/>
  <c r="K486"/>
  <c r="K485"/>
  <c r="K484"/>
  <c r="M422"/>
  <c r="N422" s="1"/>
  <c r="M487"/>
  <c r="N487" s="1"/>
  <c r="M446"/>
  <c r="N446" s="1"/>
  <c r="K477"/>
  <c r="K446"/>
  <c r="K451"/>
  <c r="M467"/>
  <c r="N467" s="1"/>
  <c r="M444"/>
  <c r="N444" s="1"/>
  <c r="K470"/>
  <c r="M428"/>
  <c r="N428" s="1"/>
  <c r="K422"/>
  <c r="K489"/>
  <c r="K456"/>
  <c r="M458"/>
  <c r="N458" s="1"/>
  <c r="M483"/>
  <c r="N483" s="1"/>
  <c r="M484"/>
  <c r="N484" s="1"/>
  <c r="M485"/>
  <c r="N485" s="1"/>
  <c r="M486"/>
  <c r="N486" s="1"/>
  <c r="K465"/>
  <c r="K468"/>
  <c r="M441"/>
  <c r="N441" s="1"/>
  <c r="K440"/>
  <c r="K421"/>
  <c r="M435"/>
  <c r="N435" s="1"/>
  <c r="M436"/>
  <c r="N436" s="1"/>
  <c r="M437"/>
  <c r="N437" s="1"/>
  <c r="K433"/>
  <c r="K487"/>
  <c r="M453"/>
  <c r="N453" s="1"/>
  <c r="M475"/>
  <c r="N475" s="1"/>
  <c r="K458"/>
  <c r="K428"/>
  <c r="M456"/>
  <c r="N456" s="1"/>
  <c r="K480"/>
  <c r="M423"/>
  <c r="N423" s="1"/>
  <c r="M468"/>
  <c r="N468" s="1"/>
  <c r="M489"/>
  <c r="N489" s="1"/>
  <c r="N445"/>
  <c r="M445"/>
  <c r="K475"/>
  <c r="K445"/>
  <c r="L445" s="1"/>
  <c r="K453"/>
  <c r="M471"/>
  <c r="N471" s="1"/>
  <c r="M472"/>
  <c r="N472" s="1"/>
  <c r="M473"/>
  <c r="N473" s="1"/>
  <c r="M474"/>
  <c r="N474" s="1"/>
  <c r="M464"/>
  <c r="N464" s="1"/>
  <c r="M479"/>
  <c r="N479" s="1"/>
  <c r="M455"/>
  <c r="N455" s="1"/>
  <c r="M482"/>
  <c r="N482" s="1"/>
  <c r="K464"/>
  <c r="K469"/>
  <c r="L469" s="1"/>
  <c r="M430"/>
  <c r="N430" s="1"/>
  <c r="K439"/>
  <c r="K426"/>
  <c r="K425"/>
  <c r="K424"/>
  <c r="M438"/>
  <c r="N438" s="1"/>
  <c r="K436"/>
  <c r="K435"/>
  <c r="K437"/>
  <c r="K434"/>
  <c r="M451"/>
  <c r="N451" s="1"/>
  <c r="M477"/>
  <c r="N477" s="1"/>
  <c r="K457"/>
  <c r="L457" s="1"/>
  <c r="K430"/>
  <c r="M459"/>
  <c r="N459" s="1"/>
  <c r="M460"/>
  <c r="N460" s="1"/>
  <c r="M461"/>
  <c r="N461" s="1"/>
  <c r="M462"/>
  <c r="N462" s="1"/>
  <c r="K482"/>
  <c r="K479"/>
  <c r="M427"/>
  <c r="N427" s="1"/>
  <c r="M447"/>
  <c r="N447" s="1"/>
  <c r="M448"/>
  <c r="N448" s="1"/>
  <c r="M449"/>
  <c r="N449" s="1"/>
  <c r="M450"/>
  <c r="N450" s="1"/>
  <c r="K476"/>
  <c r="K443"/>
  <c r="K452"/>
  <c r="M470"/>
  <c r="N470" s="1"/>
  <c r="M465"/>
  <c r="N465" s="1"/>
  <c r="F11" i="1" l="1"/>
  <c r="H11" s="1"/>
  <c r="F16"/>
  <c r="H16" s="1"/>
  <c r="F14"/>
  <c r="H14" s="1"/>
  <c r="F15"/>
  <c r="H15" s="1"/>
  <c r="AA11" l="1"/>
  <c r="T30" s="1"/>
  <c r="AA16"/>
  <c r="AA15"/>
  <c r="AA14"/>
  <c r="D16"/>
  <c r="D15"/>
  <c r="D11"/>
  <c r="D14"/>
  <c r="F13"/>
  <c r="H13" s="1"/>
  <c r="F12"/>
  <c r="H12" s="1"/>
  <c r="F59"/>
  <c r="H59" s="1"/>
  <c r="F60"/>
  <c r="H60" s="1"/>
  <c r="F64"/>
  <c r="H64" s="1"/>
  <c r="F61"/>
  <c r="H61" s="1"/>
  <c r="B90" i="2" l="1"/>
  <c r="O11" i="1"/>
  <c r="S11" s="1"/>
  <c r="B86" i="2" s="1"/>
  <c r="U11" i="1"/>
  <c r="B87" i="2" s="1"/>
  <c r="AB15" i="1"/>
  <c r="J15"/>
  <c r="B126" i="2"/>
  <c r="T34" i="1"/>
  <c r="AA61"/>
  <c r="B108" i="3" s="1"/>
  <c r="AA60" i="1"/>
  <c r="B99" i="3" s="1"/>
  <c r="AA12" i="1"/>
  <c r="AB11"/>
  <c r="J11"/>
  <c r="O14"/>
  <c r="M14" s="1"/>
  <c r="B110" i="2" s="1"/>
  <c r="U14" i="1"/>
  <c r="W11"/>
  <c r="B88" i="2" s="1"/>
  <c r="Y11" i="1"/>
  <c r="B89" i="2" s="1"/>
  <c r="M105" i="7"/>
  <c r="N105" s="1"/>
  <c r="AA59" i="1"/>
  <c r="B90" i="3" s="1"/>
  <c r="B84" i="2"/>
  <c r="Q11" i="1"/>
  <c r="B85" i="2" s="1"/>
  <c r="AB14" i="1"/>
  <c r="J14"/>
  <c r="T33"/>
  <c r="B117" i="2"/>
  <c r="U16" i="1"/>
  <c r="O16"/>
  <c r="M16" s="1"/>
  <c r="B128" i="2" s="1"/>
  <c r="K11" i="1"/>
  <c r="B82" i="2" s="1"/>
  <c r="AA64" i="1"/>
  <c r="B135" i="3" s="1"/>
  <c r="AA13" i="1"/>
  <c r="J16"/>
  <c r="AB16"/>
  <c r="U15"/>
  <c r="O15"/>
  <c r="M15" s="1"/>
  <c r="B119" i="2" s="1"/>
  <c r="T35" i="1"/>
  <c r="B135" i="2"/>
  <c r="D59" i="1"/>
  <c r="AB59" s="1"/>
  <c r="D61"/>
  <c r="AB61" s="1"/>
  <c r="D12"/>
  <c r="D64"/>
  <c r="AB64" s="1"/>
  <c r="D13"/>
  <c r="D60"/>
  <c r="AB60" s="1"/>
  <c r="F62"/>
  <c r="H62" s="1"/>
  <c r="F63"/>
  <c r="H63" s="1"/>
  <c r="M11" l="1"/>
  <c r="B83" i="2" s="1"/>
  <c r="M96" i="7" s="1"/>
  <c r="N96" s="1"/>
  <c r="M154"/>
  <c r="N154" s="1"/>
  <c r="AA62" i="1"/>
  <c r="B117" i="3" s="1"/>
  <c r="C108"/>
  <c r="P61" i="1"/>
  <c r="V61"/>
  <c r="O64"/>
  <c r="U64"/>
  <c r="Y16"/>
  <c r="B134" i="2" s="1"/>
  <c r="B132"/>
  <c r="W16" i="1"/>
  <c r="B133" i="2" s="1"/>
  <c r="AA63" i="1"/>
  <c r="B126" i="3" s="1"/>
  <c r="V64" i="1"/>
  <c r="C135" i="3"/>
  <c r="P64" i="1"/>
  <c r="M164" i="7"/>
  <c r="N164" s="1"/>
  <c r="Y15" i="1"/>
  <c r="B125" i="2" s="1"/>
  <c r="B123"/>
  <c r="W15" i="1"/>
  <c r="B124" i="2" s="1"/>
  <c r="O13" i="1"/>
  <c r="K13" s="1"/>
  <c r="B100" i="2" s="1"/>
  <c r="U13" i="1"/>
  <c r="M97" i="7"/>
  <c r="N97" s="1"/>
  <c r="O59" i="1"/>
  <c r="U59"/>
  <c r="M102" i="7"/>
  <c r="N102" s="1"/>
  <c r="K14" i="1"/>
  <c r="B109" i="2" s="1"/>
  <c r="S14" i="1"/>
  <c r="B113" i="2" s="1"/>
  <c r="Q14" i="1"/>
  <c r="B112" i="2" s="1"/>
  <c r="B111"/>
  <c r="U12" i="1"/>
  <c r="O12"/>
  <c r="O61"/>
  <c r="U61"/>
  <c r="P15"/>
  <c r="V15"/>
  <c r="C126" i="2"/>
  <c r="U34" i="1"/>
  <c r="V34" s="1"/>
  <c r="J13"/>
  <c r="AB13"/>
  <c r="P59"/>
  <c r="V59"/>
  <c r="C90" i="3"/>
  <c r="K15" i="1"/>
  <c r="B118" i="2" s="1"/>
  <c r="S15" i="1"/>
  <c r="B122" i="2" s="1"/>
  <c r="Q15" i="1"/>
  <c r="B121" i="2" s="1"/>
  <c r="B120"/>
  <c r="T32" i="1"/>
  <c r="B108" i="2"/>
  <c r="M95" i="7"/>
  <c r="N95" s="1"/>
  <c r="M140"/>
  <c r="N140" s="1"/>
  <c r="M98"/>
  <c r="N98" s="1"/>
  <c r="M99"/>
  <c r="N99" s="1"/>
  <c r="M100"/>
  <c r="N100" s="1"/>
  <c r="M268"/>
  <c r="N268" s="1"/>
  <c r="M104"/>
  <c r="N104" s="1"/>
  <c r="Y14" i="1"/>
  <c r="B116" i="2" s="1"/>
  <c r="B114"/>
  <c r="W14" i="1"/>
  <c r="B115" i="2" s="1"/>
  <c r="T31" i="1"/>
  <c r="B99" i="2"/>
  <c r="M291" i="7"/>
  <c r="N291" s="1"/>
  <c r="M130"/>
  <c r="N130" s="1"/>
  <c r="V11" i="1"/>
  <c r="U30"/>
  <c r="V30" s="1"/>
  <c r="P11"/>
  <c r="C90" i="2"/>
  <c r="O60" i="1"/>
  <c r="M60" s="1"/>
  <c r="B92" i="3" s="1"/>
  <c r="U60" i="1"/>
  <c r="M152" i="7"/>
  <c r="N152" s="1"/>
  <c r="V60" i="1"/>
  <c r="C99" i="3"/>
  <c r="P60" i="1"/>
  <c r="M142" i="7"/>
  <c r="N142" s="1"/>
  <c r="V14" i="1"/>
  <c r="P14"/>
  <c r="U33"/>
  <c r="V33" s="1"/>
  <c r="C117" i="2"/>
  <c r="AB12" i="1"/>
  <c r="J12"/>
  <c r="U35"/>
  <c r="V35" s="1"/>
  <c r="C135" i="2"/>
  <c r="P16" i="1"/>
  <c r="V16"/>
  <c r="M327" i="7"/>
  <c r="N327" s="1"/>
  <c r="K16" i="1"/>
  <c r="B127" i="2" s="1"/>
  <c r="S16" i="1"/>
  <c r="B131" i="2" s="1"/>
  <c r="B129"/>
  <c r="Q16" i="1"/>
  <c r="B130" i="2" s="1"/>
  <c r="M101" i="7"/>
  <c r="N101" s="1"/>
  <c r="M103"/>
  <c r="N103" s="1"/>
  <c r="M279"/>
  <c r="N279" s="1"/>
  <c r="D63" i="1"/>
  <c r="AB63" s="1"/>
  <c r="H126" i="2" l="1"/>
  <c r="K327" i="7"/>
  <c r="K291"/>
  <c r="K279"/>
  <c r="K268"/>
  <c r="K152"/>
  <c r="K140"/>
  <c r="K164"/>
  <c r="K105"/>
  <c r="M270"/>
  <c r="N270" s="1"/>
  <c r="Z60" i="1"/>
  <c r="C98" i="3" s="1"/>
  <c r="C96"/>
  <c r="X60" i="1"/>
  <c r="C97" i="3" s="1"/>
  <c r="B96"/>
  <c r="W60" i="1"/>
  <c r="B97" i="3" s="1"/>
  <c r="Y60" i="1"/>
  <c r="B98" i="3" s="1"/>
  <c r="M138" i="7"/>
  <c r="N138" s="1"/>
  <c r="M141"/>
  <c r="N141" s="1"/>
  <c r="U32" i="1"/>
  <c r="V32" s="1"/>
  <c r="C108" i="2"/>
  <c r="V13" i="1"/>
  <c r="P13"/>
  <c r="X15"/>
  <c r="C124" i="2" s="1"/>
  <c r="Z15" i="1"/>
  <c r="C125" i="2" s="1"/>
  <c r="C123"/>
  <c r="K61" i="1"/>
  <c r="B100" i="3" s="1"/>
  <c r="S61" i="1"/>
  <c r="B104" i="3" s="1"/>
  <c r="B102"/>
  <c r="Q61" i="1"/>
  <c r="B103" i="3" s="1"/>
  <c r="M131" i="7"/>
  <c r="N131" s="1"/>
  <c r="M59" i="1"/>
  <c r="B83" i="3" s="1"/>
  <c r="S59" i="1"/>
  <c r="B86" i="3" s="1"/>
  <c r="Q59" i="1"/>
  <c r="B85" i="3" s="1"/>
  <c r="B84"/>
  <c r="W13" i="1"/>
  <c r="B106" i="2" s="1"/>
  <c r="Y13" i="1"/>
  <c r="B107" i="2" s="1"/>
  <c r="B105"/>
  <c r="M151" i="7"/>
  <c r="N151" s="1"/>
  <c r="M163"/>
  <c r="N163" s="1"/>
  <c r="Q64" i="1"/>
  <c r="B130" i="3" s="1"/>
  <c r="B129"/>
  <c r="S64" i="1"/>
  <c r="B131" i="3" s="1"/>
  <c r="M303" i="7"/>
  <c r="N303" s="1"/>
  <c r="M153"/>
  <c r="N153" s="1"/>
  <c r="T16" i="1"/>
  <c r="C131" i="2" s="1"/>
  <c r="R16" i="1"/>
  <c r="C130" i="2" s="1"/>
  <c r="C129"/>
  <c r="N16" i="1"/>
  <c r="C128" i="2" s="1"/>
  <c r="L16" i="1"/>
  <c r="C127" i="2" s="1"/>
  <c r="V12" i="1"/>
  <c r="C99" i="2"/>
  <c r="P12" i="1"/>
  <c r="U31"/>
  <c r="V31" s="1"/>
  <c r="C114" i="2"/>
  <c r="X14" i="1"/>
  <c r="C115" i="2" s="1"/>
  <c r="Z14" i="1"/>
  <c r="C116" i="2" s="1"/>
  <c r="L11" i="1"/>
  <c r="C82" i="2" s="1"/>
  <c r="C84"/>
  <c r="R11" i="1"/>
  <c r="C85" i="2" s="1"/>
  <c r="N11" i="1"/>
  <c r="C83" i="2" s="1"/>
  <c r="T11" i="1"/>
  <c r="C86" i="2" s="1"/>
  <c r="M128" i="7"/>
  <c r="N128" s="1"/>
  <c r="M145"/>
  <c r="N145" s="1"/>
  <c r="M146"/>
  <c r="N146" s="1"/>
  <c r="M147"/>
  <c r="N147" s="1"/>
  <c r="M148"/>
  <c r="N148" s="1"/>
  <c r="C84" i="3"/>
  <c r="T59" i="1"/>
  <c r="C86" i="3" s="1"/>
  <c r="R59" i="1"/>
  <c r="C85" i="3" s="1"/>
  <c r="L59" i="1"/>
  <c r="C82" i="3" s="1"/>
  <c r="N59" i="1"/>
  <c r="C83" i="3" s="1"/>
  <c r="W61" i="1"/>
  <c r="B106" i="3" s="1"/>
  <c r="Y61" i="1"/>
  <c r="B107" i="3" s="1"/>
  <c r="B105"/>
  <c r="W12" i="1"/>
  <c r="B97" i="2" s="1"/>
  <c r="B96"/>
  <c r="Y12" i="1"/>
  <c r="B98" i="2" s="1"/>
  <c r="M129" i="7"/>
  <c r="N129" s="1"/>
  <c r="W59" i="1"/>
  <c r="B88" i="3" s="1"/>
  <c r="Y59" i="1"/>
  <c r="B89" i="3" s="1"/>
  <c r="B87"/>
  <c r="M117" i="7"/>
  <c r="N117" s="1"/>
  <c r="M149"/>
  <c r="N149" s="1"/>
  <c r="C129" i="3"/>
  <c r="T64" i="1"/>
  <c r="C131" i="3" s="1"/>
  <c r="N64" i="1"/>
  <c r="C128" i="3" s="1"/>
  <c r="R64" i="1"/>
  <c r="C130" i="3" s="1"/>
  <c r="L64" i="1"/>
  <c r="C127" i="3" s="1"/>
  <c r="O63" i="1"/>
  <c r="K63" s="1"/>
  <c r="B118" i="3" s="1"/>
  <c r="U63" i="1"/>
  <c r="M161" i="7"/>
  <c r="N161" s="1"/>
  <c r="B132" i="3"/>
  <c r="W64" i="1"/>
  <c r="B133" i="3" s="1"/>
  <c r="Y64" i="1"/>
  <c r="B134" i="3" s="1"/>
  <c r="H117" i="2"/>
  <c r="D62" i="1"/>
  <c r="AB62" s="1"/>
  <c r="M156" i="7"/>
  <c r="N156" s="1"/>
  <c r="M157"/>
  <c r="N157" s="1"/>
  <c r="M158"/>
  <c r="N158" s="1"/>
  <c r="M159"/>
  <c r="N159" s="1"/>
  <c r="M160"/>
  <c r="N160" s="1"/>
  <c r="X16" i="1"/>
  <c r="C133" i="2" s="1"/>
  <c r="C132"/>
  <c r="Z16" i="1"/>
  <c r="C134" i="2" s="1"/>
  <c r="T14" i="1"/>
  <c r="C113" i="2" s="1"/>
  <c r="N14" i="1"/>
  <c r="C110" i="2" s="1"/>
  <c r="C111"/>
  <c r="R14" i="1"/>
  <c r="C112" i="2" s="1"/>
  <c r="L14" i="1"/>
  <c r="C109" i="2" s="1"/>
  <c r="L60" i="1"/>
  <c r="C91" i="3" s="1"/>
  <c r="R60" i="1"/>
  <c r="C94" i="3" s="1"/>
  <c r="T60" i="1"/>
  <c r="C95" i="3" s="1"/>
  <c r="N60" i="1"/>
  <c r="C92" i="3" s="1"/>
  <c r="C93"/>
  <c r="H90" i="2"/>
  <c r="M116" i="7"/>
  <c r="N116" s="1"/>
  <c r="M139"/>
  <c r="N139" s="1"/>
  <c r="M144"/>
  <c r="N144" s="1"/>
  <c r="X59" i="1"/>
  <c r="C88" i="3" s="1"/>
  <c r="Z59" i="1"/>
  <c r="C89" i="3" s="1"/>
  <c r="C87"/>
  <c r="K12" i="1"/>
  <c r="B91" i="2" s="1"/>
  <c r="S12" i="1"/>
  <c r="B95" i="2" s="1"/>
  <c r="Q12" i="1"/>
  <c r="B94" i="2" s="1"/>
  <c r="B93"/>
  <c r="M133" i="7"/>
  <c r="N133" s="1"/>
  <c r="M134"/>
  <c r="N134" s="1"/>
  <c r="M135"/>
  <c r="N135" s="1"/>
  <c r="M136"/>
  <c r="N136" s="1"/>
  <c r="M150"/>
  <c r="N150" s="1"/>
  <c r="M315"/>
  <c r="N315" s="1"/>
  <c r="M162"/>
  <c r="N162" s="1"/>
  <c r="R61" i="1"/>
  <c r="C103" i="3" s="1"/>
  <c r="T61" i="1"/>
  <c r="C104" i="3" s="1"/>
  <c r="L61" i="1"/>
  <c r="C100" i="3" s="1"/>
  <c r="C102"/>
  <c r="N61" i="1"/>
  <c r="C101" i="3" s="1"/>
  <c r="M61" i="1"/>
  <c r="B101" i="3" s="1"/>
  <c r="K59" i="1"/>
  <c r="B82" i="3" s="1"/>
  <c r="M64" i="1"/>
  <c r="B128" i="3" s="1"/>
  <c r="V63" i="1"/>
  <c r="P63"/>
  <c r="C126" i="3"/>
  <c r="M155" i="7"/>
  <c r="N155" s="1"/>
  <c r="K60" i="1"/>
  <c r="B91" i="3" s="1"/>
  <c r="S60" i="1"/>
  <c r="B95" i="3" s="1"/>
  <c r="B93"/>
  <c r="Q60" i="1"/>
  <c r="B94" i="3" s="1"/>
  <c r="Z11" i="1"/>
  <c r="C89" i="2" s="1"/>
  <c r="X11" i="1"/>
  <c r="C88" i="2" s="1"/>
  <c r="C87"/>
  <c r="M137" i="7"/>
  <c r="N137" s="1"/>
  <c r="M143"/>
  <c r="N143" s="1"/>
  <c r="L15" i="1"/>
  <c r="C118" i="2" s="1"/>
  <c r="T15" i="1"/>
  <c r="C122" i="2" s="1"/>
  <c r="C120"/>
  <c r="R15" i="1"/>
  <c r="C121" i="2" s="1"/>
  <c r="N15" i="1"/>
  <c r="C119" i="2" s="1"/>
  <c r="M132" i="7"/>
  <c r="N132" s="1"/>
  <c r="M13" i="1"/>
  <c r="B101" i="2" s="1"/>
  <c r="B102"/>
  <c r="S13" i="1"/>
  <c r="B104" i="2" s="1"/>
  <c r="Q13" i="1"/>
  <c r="B103" i="2" s="1"/>
  <c r="C132" i="3"/>
  <c r="X64" i="1"/>
  <c r="C133" i="3" s="1"/>
  <c r="Z64" i="1"/>
  <c r="C134" i="3" s="1"/>
  <c r="C105"/>
  <c r="X61" i="1"/>
  <c r="C106" i="3" s="1"/>
  <c r="Z61" i="1"/>
  <c r="C107" i="3" s="1"/>
  <c r="U62" i="1"/>
  <c r="O62"/>
  <c r="M12"/>
  <c r="B92" i="2" s="1"/>
  <c r="H135"/>
  <c r="K64" i="1"/>
  <c r="B127" i="3" s="1"/>
  <c r="K315" i="7" l="1"/>
  <c r="K273"/>
  <c r="K290"/>
  <c r="K325"/>
  <c r="K144"/>
  <c r="K104"/>
  <c r="K281"/>
  <c r="K283"/>
  <c r="K129"/>
  <c r="K95"/>
  <c r="H131" i="2"/>
  <c r="H123"/>
  <c r="H118"/>
  <c r="K287" i="7"/>
  <c r="K317"/>
  <c r="K97"/>
  <c r="H114" i="2"/>
  <c r="H130"/>
  <c r="K289" i="7"/>
  <c r="K324"/>
  <c r="H120" i="2"/>
  <c r="K282" i="7"/>
  <c r="L282" s="1"/>
  <c r="K267"/>
  <c r="K275"/>
  <c r="H112" i="2"/>
  <c r="K163" i="7"/>
  <c r="K316"/>
  <c r="K318"/>
  <c r="K264"/>
  <c r="K96"/>
  <c r="H116" i="2"/>
  <c r="K154" i="7"/>
  <c r="H125" i="2"/>
  <c r="H108"/>
  <c r="K276" i="7"/>
  <c r="K265"/>
  <c r="K270"/>
  <c r="H113" i="2"/>
  <c r="K321" i="7"/>
  <c r="K262"/>
  <c r="K101"/>
  <c r="H127" i="2"/>
  <c r="K277" i="7"/>
  <c r="K326"/>
  <c r="K142"/>
  <c r="K103"/>
  <c r="K271"/>
  <c r="K269"/>
  <c r="K130"/>
  <c r="K162"/>
  <c r="K258"/>
  <c r="K288"/>
  <c r="K148"/>
  <c r="K102"/>
  <c r="K280"/>
  <c r="K266"/>
  <c r="K274"/>
  <c r="K131"/>
  <c r="L131" s="1"/>
  <c r="H132" i="2"/>
  <c r="K319" i="7"/>
  <c r="K259"/>
  <c r="K260"/>
  <c r="K100"/>
  <c r="K138"/>
  <c r="H99" i="2"/>
  <c r="H129"/>
  <c r="H124"/>
  <c r="K278" i="7"/>
  <c r="K320"/>
  <c r="K323"/>
  <c r="M63" i="1"/>
  <c r="B119" i="3" s="1"/>
  <c r="M305" i="7" s="1"/>
  <c r="N305" s="1"/>
  <c r="K286"/>
  <c r="K285"/>
  <c r="K322"/>
  <c r="K263"/>
  <c r="K272"/>
  <c r="K261"/>
  <c r="K284"/>
  <c r="K155"/>
  <c r="L155" s="1"/>
  <c r="K136"/>
  <c r="K99"/>
  <c r="K150"/>
  <c r="K98"/>
  <c r="K143"/>
  <c r="K134"/>
  <c r="K151"/>
  <c r="K147"/>
  <c r="K159"/>
  <c r="K141"/>
  <c r="K146"/>
  <c r="K139"/>
  <c r="K156"/>
  <c r="K161"/>
  <c r="K132"/>
  <c r="K116"/>
  <c r="K149"/>
  <c r="K153"/>
  <c r="K137"/>
  <c r="K145"/>
  <c r="K160"/>
  <c r="K133"/>
  <c r="K128"/>
  <c r="K135"/>
  <c r="K157"/>
  <c r="K158"/>
  <c r="Z63" i="1"/>
  <c r="C125" i="3" s="1"/>
  <c r="X63" i="1"/>
  <c r="C124" i="3" s="1"/>
  <c r="C123"/>
  <c r="M115" i="7"/>
  <c r="N115" s="1"/>
  <c r="H82" i="2"/>
  <c r="C102"/>
  <c r="R13" i="1"/>
  <c r="C103" i="2" s="1"/>
  <c r="N13" i="1"/>
  <c r="C101" i="2" s="1"/>
  <c r="L13" i="1"/>
  <c r="C100" i="2" s="1"/>
  <c r="T13" i="1"/>
  <c r="C104" i="2" s="1"/>
  <c r="M106" i="7"/>
  <c r="N106" s="1"/>
  <c r="W62" i="1"/>
  <c r="B115" i="3" s="1"/>
  <c r="B114"/>
  <c r="Y62" i="1"/>
  <c r="B116" i="3" s="1"/>
  <c r="M121" i="7"/>
  <c r="N121" s="1"/>
  <c r="M122"/>
  <c r="N122" s="1"/>
  <c r="M123"/>
  <c r="N123" s="1"/>
  <c r="M124"/>
  <c r="N124" s="1"/>
  <c r="H87" i="2"/>
  <c r="M271" i="7"/>
  <c r="N271" s="1"/>
  <c r="M317"/>
  <c r="N317" s="1"/>
  <c r="M109"/>
  <c r="N109" s="1"/>
  <c r="M110"/>
  <c r="N110" s="1"/>
  <c r="M111"/>
  <c r="N111" s="1"/>
  <c r="M326"/>
  <c r="N326" s="1"/>
  <c r="S63" i="1"/>
  <c r="B122" i="3" s="1"/>
  <c r="Q63" i="1"/>
  <c r="B121" i="3" s="1"/>
  <c r="B120"/>
  <c r="M266" i="7"/>
  <c r="N266" s="1"/>
  <c r="M113"/>
  <c r="N113" s="1"/>
  <c r="M289"/>
  <c r="N289" s="1"/>
  <c r="H83" i="2"/>
  <c r="X12" i="1"/>
  <c r="C97" i="2" s="1"/>
  <c r="C96"/>
  <c r="Z12" i="1"/>
  <c r="C98" i="2" s="1"/>
  <c r="M319" i="7"/>
  <c r="N319" s="1"/>
  <c r="M127"/>
  <c r="N127" s="1"/>
  <c r="M264"/>
  <c r="N264" s="1"/>
  <c r="M283"/>
  <c r="N283" s="1"/>
  <c r="Z13" i="1"/>
  <c r="C107" i="2" s="1"/>
  <c r="X13" i="1"/>
  <c r="C106" i="2" s="1"/>
  <c r="C105"/>
  <c r="M277" i="7"/>
  <c r="N277" s="1"/>
  <c r="H121" i="2"/>
  <c r="H133"/>
  <c r="H122"/>
  <c r="M316" i="7"/>
  <c r="N316" s="1"/>
  <c r="K62" i="1"/>
  <c r="B109" i="3" s="1"/>
  <c r="Q62" i="1"/>
  <c r="B112" i="3" s="1"/>
  <c r="S62" i="1"/>
  <c r="B113" i="3" s="1"/>
  <c r="B111"/>
  <c r="M120" i="7"/>
  <c r="N120" s="1"/>
  <c r="L143"/>
  <c r="M108"/>
  <c r="N108" s="1"/>
  <c r="V62" i="1"/>
  <c r="P62"/>
  <c r="C117" i="3"/>
  <c r="M267" i="7"/>
  <c r="N267" s="1"/>
  <c r="M290"/>
  <c r="N290" s="1"/>
  <c r="M261"/>
  <c r="N261" s="1"/>
  <c r="M262"/>
  <c r="N262" s="1"/>
  <c r="M263"/>
  <c r="N263" s="1"/>
  <c r="M278"/>
  <c r="N278" s="1"/>
  <c r="M118"/>
  <c r="N118" s="1"/>
  <c r="M288"/>
  <c r="N288" s="1"/>
  <c r="H84" i="2"/>
  <c r="T12" i="1"/>
  <c r="C95" i="2" s="1"/>
  <c r="N12" i="1"/>
  <c r="C92" i="2" s="1"/>
  <c r="C93"/>
  <c r="L12" i="1"/>
  <c r="C91" i="2" s="1"/>
  <c r="R12" i="1"/>
  <c r="C94" i="2" s="1"/>
  <c r="H128"/>
  <c r="M320" i="7"/>
  <c r="N320" s="1"/>
  <c r="M321"/>
  <c r="N321" s="1"/>
  <c r="M322"/>
  <c r="N322" s="1"/>
  <c r="M323"/>
  <c r="N323" s="1"/>
  <c r="M260"/>
  <c r="N260" s="1"/>
  <c r="M284"/>
  <c r="N284" s="1"/>
  <c r="M285"/>
  <c r="N285" s="1"/>
  <c r="M286"/>
  <c r="N286" s="1"/>
  <c r="M287"/>
  <c r="N287" s="1"/>
  <c r="H111" i="2"/>
  <c r="M272" i="7"/>
  <c r="N272" s="1"/>
  <c r="M273"/>
  <c r="N273" s="1"/>
  <c r="M274"/>
  <c r="N274" s="1"/>
  <c r="H110" i="2"/>
  <c r="H86"/>
  <c r="M318" i="7"/>
  <c r="N318" s="1"/>
  <c r="M125"/>
  <c r="N125" s="1"/>
  <c r="M280"/>
  <c r="N280" s="1"/>
  <c r="H89" i="2"/>
  <c r="M269" i="7"/>
  <c r="N269" s="1"/>
  <c r="C120" i="3"/>
  <c r="T63" i="1"/>
  <c r="C122" i="3" s="1"/>
  <c r="L63" i="1"/>
  <c r="C118" i="3" s="1"/>
  <c r="N63" i="1"/>
  <c r="C119" i="3" s="1"/>
  <c r="R63" i="1"/>
  <c r="C121" i="3" s="1"/>
  <c r="M281" i="7"/>
  <c r="N281" s="1"/>
  <c r="M324"/>
  <c r="N324" s="1"/>
  <c r="M304"/>
  <c r="N304" s="1"/>
  <c r="M265"/>
  <c r="N265" s="1"/>
  <c r="M107"/>
  <c r="N107" s="1"/>
  <c r="M119"/>
  <c r="N119" s="1"/>
  <c r="H119" i="2"/>
  <c r="H88"/>
  <c r="M275" i="7"/>
  <c r="N275" s="1"/>
  <c r="M258"/>
  <c r="N258" s="1"/>
  <c r="M112"/>
  <c r="N112" s="1"/>
  <c r="M325"/>
  <c r="N325" s="1"/>
  <c r="W63" i="1"/>
  <c r="B124" i="3" s="1"/>
  <c r="Y63" i="1"/>
  <c r="B125" i="3" s="1"/>
  <c r="B123"/>
  <c r="L318" i="7"/>
  <c r="M114"/>
  <c r="N114" s="1"/>
  <c r="H85" i="2"/>
  <c r="M126" i="7"/>
  <c r="N126" s="1"/>
  <c r="M259"/>
  <c r="N259" s="1"/>
  <c r="M282"/>
  <c r="N282" s="1"/>
  <c r="M276"/>
  <c r="N276" s="1"/>
  <c r="M62" i="1"/>
  <c r="B110" i="3" s="1"/>
  <c r="H109" i="2"/>
  <c r="H134"/>
  <c r="H115"/>
  <c r="K117" i="7" l="1"/>
  <c r="K314"/>
  <c r="K127"/>
  <c r="K307"/>
  <c r="K306"/>
  <c r="L306" s="1"/>
  <c r="K106"/>
  <c r="K304"/>
  <c r="K313"/>
  <c r="K305"/>
  <c r="K107"/>
  <c r="K303"/>
  <c r="K312"/>
  <c r="K309"/>
  <c r="K308"/>
  <c r="K311"/>
  <c r="K310"/>
  <c r="H106" i="2"/>
  <c r="K126" i="7"/>
  <c r="H93" i="2"/>
  <c r="K108" i="7"/>
  <c r="H101" i="2"/>
  <c r="K118" i="7"/>
  <c r="H98" i="2"/>
  <c r="K115" i="7"/>
  <c r="H97" i="2"/>
  <c r="K114" i="7"/>
  <c r="H103" i="2"/>
  <c r="K120" i="7"/>
  <c r="H105" i="2"/>
  <c r="K125" i="7"/>
  <c r="H96" i="2"/>
  <c r="K113" i="7"/>
  <c r="H94" i="2"/>
  <c r="K110" i="7"/>
  <c r="K109"/>
  <c r="K111"/>
  <c r="H95" i="2"/>
  <c r="K112" i="7"/>
  <c r="H104" i="2"/>
  <c r="K121" i="7"/>
  <c r="K124"/>
  <c r="K122"/>
  <c r="K123"/>
  <c r="H102" i="2"/>
  <c r="K119" i="7"/>
  <c r="L119" s="1"/>
  <c r="M292"/>
  <c r="N292" s="1"/>
  <c r="M308"/>
  <c r="N308" s="1"/>
  <c r="M309"/>
  <c r="N309" s="1"/>
  <c r="M310"/>
  <c r="N310" s="1"/>
  <c r="M311"/>
  <c r="N311" s="1"/>
  <c r="M300"/>
  <c r="N300" s="1"/>
  <c r="M293"/>
  <c r="N293" s="1"/>
  <c r="M314"/>
  <c r="N314" s="1"/>
  <c r="M295"/>
  <c r="N295" s="1"/>
  <c r="M307"/>
  <c r="N307" s="1"/>
  <c r="M302"/>
  <c r="N302" s="1"/>
  <c r="H92" i="2"/>
  <c r="H107"/>
  <c r="M313" i="7"/>
  <c r="N313" s="1"/>
  <c r="M312"/>
  <c r="N312" s="1"/>
  <c r="Z62" i="1"/>
  <c r="C116" i="3" s="1"/>
  <c r="X62" i="1"/>
  <c r="C115" i="3" s="1"/>
  <c r="C114"/>
  <c r="M296" i="7"/>
  <c r="N296" s="1"/>
  <c r="M297"/>
  <c r="N297" s="1"/>
  <c r="M298"/>
  <c r="N298" s="1"/>
  <c r="M299"/>
  <c r="N299" s="1"/>
  <c r="M306"/>
  <c r="N306" s="1"/>
  <c r="H91" i="2"/>
  <c r="C111" i="3"/>
  <c r="T62" i="1"/>
  <c r="C113" i="3" s="1"/>
  <c r="N62" i="1"/>
  <c r="C110" i="3" s="1"/>
  <c r="L62" i="1"/>
  <c r="C109" i="3" s="1"/>
  <c r="R62" i="1"/>
  <c r="C112" i="3" s="1"/>
  <c r="M294" i="7"/>
  <c r="N294" s="1"/>
  <c r="M301"/>
  <c r="N301" s="1"/>
  <c r="H100" i="2"/>
  <c r="K293" i="7" l="1"/>
  <c r="K292"/>
  <c r="K301"/>
  <c r="K302"/>
  <c r="K295"/>
  <c r="K294"/>
  <c r="L294" s="1"/>
  <c r="K300"/>
  <c r="K299"/>
  <c r="K297"/>
  <c r="K296"/>
  <c r="K298"/>
  <c r="F103" i="1" l="1"/>
  <c r="H103" s="1"/>
  <c r="F99"/>
  <c r="H99" s="1"/>
  <c r="F5"/>
  <c r="H5" s="1"/>
  <c r="F8"/>
  <c r="H8" s="1"/>
  <c r="F4"/>
  <c r="H4" s="1"/>
  <c r="AA99" l="1"/>
  <c r="B18" i="4" s="1"/>
  <c r="AA103" i="1"/>
  <c r="B54" i="4" s="1"/>
  <c r="D99" i="1"/>
  <c r="AB99" s="1"/>
  <c r="D4"/>
  <c r="D103"/>
  <c r="AB103" s="1"/>
  <c r="D8"/>
  <c r="D5"/>
  <c r="F104"/>
  <c r="H104" s="1"/>
  <c r="F105"/>
  <c r="H105" s="1"/>
  <c r="F98"/>
  <c r="H98" s="1"/>
  <c r="F106"/>
  <c r="H106" s="1"/>
  <c r="F100"/>
  <c r="H100" s="1"/>
  <c r="F102"/>
  <c r="H102" s="1"/>
  <c r="F101"/>
  <c r="H101" s="1"/>
  <c r="F9"/>
  <c r="H9" s="1"/>
  <c r="F7"/>
  <c r="H7" s="1"/>
  <c r="F3"/>
  <c r="H3" s="1"/>
  <c r="F6"/>
  <c r="H6" s="1"/>
  <c r="F10"/>
  <c r="H10" s="1"/>
  <c r="F2"/>
  <c r="H2" s="1"/>
  <c r="AB4" l="1"/>
  <c r="J4"/>
  <c r="AA102"/>
  <c r="B45" i="4" s="1"/>
  <c r="AA106" i="1"/>
  <c r="B81" i="4" s="1"/>
  <c r="AA105" i="1"/>
  <c r="B72" i="4" s="1"/>
  <c r="AB5" i="1"/>
  <c r="J5"/>
  <c r="C18" i="4"/>
  <c r="V99" i="1"/>
  <c r="P99"/>
  <c r="U99"/>
  <c r="O99"/>
  <c r="K99" s="1"/>
  <c r="B10" i="4" s="1"/>
  <c r="M99" i="1"/>
  <c r="B11" i="4" s="1"/>
  <c r="M347" i="7"/>
  <c r="N347" s="1"/>
  <c r="AA101" i="1"/>
  <c r="B36" i="4" s="1"/>
  <c r="AA100" i="1"/>
  <c r="B27" i="4" s="1"/>
  <c r="AA98" i="1"/>
  <c r="B9" i="4" s="1"/>
  <c r="AA104" i="1"/>
  <c r="B63" i="4" s="1"/>
  <c r="V103" i="1"/>
  <c r="P103"/>
  <c r="C54" i="4"/>
  <c r="O103" i="1"/>
  <c r="M103" s="1"/>
  <c r="B47" i="4" s="1"/>
  <c r="U103" i="1"/>
  <c r="J8"/>
  <c r="AB8"/>
  <c r="M387" i="7"/>
  <c r="N387" s="1"/>
  <c r="D6" i="1"/>
  <c r="D102"/>
  <c r="AB102" s="1"/>
  <c r="D105"/>
  <c r="AB105" s="1"/>
  <c r="D10"/>
  <c r="D2"/>
  <c r="D9"/>
  <c r="D3"/>
  <c r="D106"/>
  <c r="AB106" s="1"/>
  <c r="D7"/>
  <c r="D101"/>
  <c r="AB101" s="1"/>
  <c r="D100"/>
  <c r="AB100" s="1"/>
  <c r="D98"/>
  <c r="AB98" s="1"/>
  <c r="D104"/>
  <c r="AB104" s="1"/>
  <c r="K103" l="1"/>
  <c r="B46" i="4" s="1"/>
  <c r="M379" i="7"/>
  <c r="N379" s="1"/>
  <c r="AB3" i="1"/>
  <c r="J3"/>
  <c r="M378" i="7"/>
  <c r="N378" s="1"/>
  <c r="C48" i="4"/>
  <c r="N103" i="1"/>
  <c r="C47" i="4" s="1"/>
  <c r="T103" i="1"/>
  <c r="C50" i="4" s="1"/>
  <c r="R103" i="1"/>
  <c r="C49" i="4" s="1"/>
  <c r="L103" i="1"/>
  <c r="C46" i="4" s="1"/>
  <c r="M339" i="7"/>
  <c r="N339" s="1"/>
  <c r="U24" i="1"/>
  <c r="V5"/>
  <c r="P5"/>
  <c r="C36" i="2"/>
  <c r="P98" i="1"/>
  <c r="C9" i="4"/>
  <c r="V98" i="1"/>
  <c r="V106"/>
  <c r="P106"/>
  <c r="C81" i="4"/>
  <c r="AB10" i="1"/>
  <c r="J10"/>
  <c r="K387" i="7"/>
  <c r="U104" i="1"/>
  <c r="O104"/>
  <c r="O100"/>
  <c r="K100" s="1"/>
  <c r="B19" i="4" s="1"/>
  <c r="U100" i="1"/>
  <c r="W99"/>
  <c r="B16" i="4" s="1"/>
  <c r="B15"/>
  <c r="Y99" i="1"/>
  <c r="B17" i="4" s="1"/>
  <c r="M420" i="7"/>
  <c r="N420" s="1"/>
  <c r="V100" i="1"/>
  <c r="C27" i="4"/>
  <c r="P100" i="1"/>
  <c r="M367" i="7"/>
  <c r="N367" s="1"/>
  <c r="R99" i="1"/>
  <c r="C13" i="4" s="1"/>
  <c r="L99" i="1"/>
  <c r="C10" i="4" s="1"/>
  <c r="T99" i="1"/>
  <c r="C14" i="4" s="1"/>
  <c r="C12"/>
  <c r="N99" i="1"/>
  <c r="C11" i="4" s="1"/>
  <c r="V4" i="1"/>
  <c r="P4"/>
  <c r="C27" i="2"/>
  <c r="U23" i="1"/>
  <c r="P104"/>
  <c r="V104"/>
  <c r="C63" i="4"/>
  <c r="AB7" i="1"/>
  <c r="J7"/>
  <c r="J2"/>
  <c r="AB2"/>
  <c r="AB6"/>
  <c r="J6"/>
  <c r="S103"/>
  <c r="B50" i="4" s="1"/>
  <c r="Q103" i="1"/>
  <c r="B49" i="4" s="1"/>
  <c r="B48"/>
  <c r="M398" i="7"/>
  <c r="N398" s="1"/>
  <c r="M357"/>
  <c r="N357" s="1"/>
  <c r="B12" i="4"/>
  <c r="S99" i="1"/>
  <c r="B14" i="4" s="1"/>
  <c r="Q99" i="1"/>
  <c r="B13" i="4" s="1"/>
  <c r="K347" i="7"/>
  <c r="O105" i="1"/>
  <c r="U105"/>
  <c r="O102"/>
  <c r="K102" s="1"/>
  <c r="B37" i="4" s="1"/>
  <c r="U102" i="1"/>
  <c r="C72" i="4"/>
  <c r="P105" i="1"/>
  <c r="V105"/>
  <c r="M337" i="7"/>
  <c r="N337" s="1"/>
  <c r="O106" i="1"/>
  <c r="U106"/>
  <c r="P101"/>
  <c r="V101"/>
  <c r="C36" i="4"/>
  <c r="AB9" i="1"/>
  <c r="J9"/>
  <c r="C45" i="4"/>
  <c r="V102" i="1"/>
  <c r="P102"/>
  <c r="P8"/>
  <c r="C63" i="2"/>
  <c r="V8" i="1"/>
  <c r="U27"/>
  <c r="Y103"/>
  <c r="B53" i="4" s="1"/>
  <c r="B51"/>
  <c r="W103" i="1"/>
  <c r="B52" i="4" s="1"/>
  <c r="X103" i="1"/>
  <c r="C52" i="4" s="1"/>
  <c r="C51"/>
  <c r="Z103" i="1"/>
  <c r="C53" i="4" s="1"/>
  <c r="U98" i="1"/>
  <c r="O98"/>
  <c r="M98" s="1"/>
  <c r="B2" i="4" s="1"/>
  <c r="U101" i="1"/>
  <c r="O101"/>
  <c r="M338" i="7"/>
  <c r="N338" s="1"/>
  <c r="Z99" i="1"/>
  <c r="C17" i="4" s="1"/>
  <c r="X99" i="1"/>
  <c r="C16" i="4" s="1"/>
  <c r="C15"/>
  <c r="M409" i="7"/>
  <c r="N409" s="1"/>
  <c r="M377"/>
  <c r="N377" s="1"/>
  <c r="K72" l="1"/>
  <c r="K41"/>
  <c r="K31"/>
  <c r="M329"/>
  <c r="N329" s="1"/>
  <c r="K383"/>
  <c r="K384"/>
  <c r="R8" i="1"/>
  <c r="C58" i="2" s="1"/>
  <c r="C57"/>
  <c r="N8" i="1"/>
  <c r="C56" i="2" s="1"/>
  <c r="L8" i="1"/>
  <c r="C55" i="2" s="1"/>
  <c r="T8" i="1"/>
  <c r="C59" i="2" s="1"/>
  <c r="C30" i="4"/>
  <c r="T101" i="1"/>
  <c r="C32" i="4" s="1"/>
  <c r="N101" i="1"/>
  <c r="C29" i="4" s="1"/>
  <c r="R101" i="1"/>
  <c r="C31" i="4" s="1"/>
  <c r="L101" i="1"/>
  <c r="C28" i="4" s="1"/>
  <c r="C66"/>
  <c r="R105" i="1"/>
  <c r="C67" i="4" s="1"/>
  <c r="L105" i="1"/>
  <c r="C64" i="4" s="1"/>
  <c r="N105" i="1"/>
  <c r="C65" i="4" s="1"/>
  <c r="T105" i="1"/>
  <c r="C68" i="4" s="1"/>
  <c r="R104" i="1"/>
  <c r="C58" i="4" s="1"/>
  <c r="N104" i="1"/>
  <c r="C56" i="4" s="1"/>
  <c r="C57"/>
  <c r="L104" i="1"/>
  <c r="C55" i="4" s="1"/>
  <c r="T104" i="1"/>
  <c r="C59" i="4" s="1"/>
  <c r="X4" i="1"/>
  <c r="C25" i="2" s="1"/>
  <c r="C24"/>
  <c r="Z4" i="1"/>
  <c r="C26" i="2" s="1"/>
  <c r="C21" i="4"/>
  <c r="L100" i="1"/>
  <c r="C19" i="4" s="1"/>
  <c r="N100" i="1"/>
  <c r="C20" i="4" s="1"/>
  <c r="T100" i="1"/>
  <c r="C23" i="4" s="1"/>
  <c r="R100" i="1"/>
  <c r="C22" i="4" s="1"/>
  <c r="M348" i="7"/>
  <c r="N348" s="1"/>
  <c r="K382"/>
  <c r="K344"/>
  <c r="K343"/>
  <c r="M386"/>
  <c r="N386" s="1"/>
  <c r="S106" i="1"/>
  <c r="B77" i="4" s="1"/>
  <c r="B75"/>
  <c r="Q106" i="1"/>
  <c r="B76" i="4" s="1"/>
  <c r="M368" i="7"/>
  <c r="N368" s="1"/>
  <c r="M340"/>
  <c r="N340" s="1"/>
  <c r="K338"/>
  <c r="M104" i="1"/>
  <c r="B56" i="4" s="1"/>
  <c r="S104" i="1"/>
  <c r="B59" i="4" s="1"/>
  <c r="B57"/>
  <c r="Q104" i="1"/>
  <c r="B58" i="4" s="1"/>
  <c r="Z106" i="1"/>
  <c r="C80" i="4" s="1"/>
  <c r="C78"/>
  <c r="X106" i="1"/>
  <c r="C79" i="4" s="1"/>
  <c r="Y101" i="1"/>
  <c r="B35" i="4" s="1"/>
  <c r="B33"/>
  <c r="W101" i="1"/>
  <c r="B34" i="4" s="1"/>
  <c r="K386" i="7"/>
  <c r="M383"/>
  <c r="N383" s="1"/>
  <c r="M384"/>
  <c r="N384" s="1"/>
  <c r="K377"/>
  <c r="X101" i="1"/>
  <c r="C34" i="4" s="1"/>
  <c r="C33"/>
  <c r="Z101" i="1"/>
  <c r="C35" i="4" s="1"/>
  <c r="X105" i="1"/>
  <c r="C70" i="4" s="1"/>
  <c r="C69"/>
  <c r="Z105" i="1"/>
  <c r="C71" i="4" s="1"/>
  <c r="M102" i="1"/>
  <c r="B38" i="4" s="1"/>
  <c r="B39"/>
  <c r="S102" i="1"/>
  <c r="B41" i="4" s="1"/>
  <c r="Q102" i="1"/>
  <c r="B40" i="4" s="1"/>
  <c r="M105" i="1"/>
  <c r="B65" i="4" s="1"/>
  <c r="B66"/>
  <c r="Q105" i="1"/>
  <c r="B67" i="4" s="1"/>
  <c r="S105" i="1"/>
  <c r="B68" i="4" s="1"/>
  <c r="M342" i="7"/>
  <c r="N342" s="1"/>
  <c r="M382"/>
  <c r="N382" s="1"/>
  <c r="C60" i="4"/>
  <c r="Z104" i="1"/>
  <c r="C62" i="4" s="1"/>
  <c r="X104" i="1"/>
  <c r="C61" i="4" s="1"/>
  <c r="T4" i="1"/>
  <c r="C23" i="2" s="1"/>
  <c r="R4" i="1"/>
  <c r="C22" i="2" s="1"/>
  <c r="C21"/>
  <c r="L4" i="1"/>
  <c r="C19" i="2" s="1"/>
  <c r="N4" i="1"/>
  <c r="C20" i="2" s="1"/>
  <c r="K342" i="7"/>
  <c r="M345"/>
  <c r="N345" s="1"/>
  <c r="N106" i="1"/>
  <c r="C74" i="4" s="1"/>
  <c r="R106" i="1"/>
  <c r="C76" i="4" s="1"/>
  <c r="C75"/>
  <c r="T106" i="1"/>
  <c r="C77" i="4" s="1"/>
  <c r="L106" i="1"/>
  <c r="C73" i="4" s="1"/>
  <c r="C3"/>
  <c r="N98" i="1"/>
  <c r="C2" i="4" s="1"/>
  <c r="T98" i="1"/>
  <c r="C5" i="4" s="1"/>
  <c r="R98" i="1"/>
  <c r="C4" i="4" s="1"/>
  <c r="L98" i="1"/>
  <c r="C1" i="4" s="1"/>
  <c r="K381" i="7"/>
  <c r="K346"/>
  <c r="M101" i="1"/>
  <c r="B29" i="4" s="1"/>
  <c r="Q101" i="1"/>
  <c r="B31" i="4" s="1"/>
  <c r="S101" i="1"/>
  <c r="B32" i="4" s="1"/>
  <c r="B30"/>
  <c r="Y98" i="1"/>
  <c r="B8" i="4" s="1"/>
  <c r="B6"/>
  <c r="W98" i="1"/>
  <c r="B7" i="4" s="1"/>
  <c r="M385" i="7"/>
  <c r="N385" s="1"/>
  <c r="X8" i="1"/>
  <c r="C61" i="2" s="1"/>
  <c r="Z8" i="1"/>
  <c r="C62" i="2" s="1"/>
  <c r="C60"/>
  <c r="X102" i="1"/>
  <c r="C43" i="4" s="1"/>
  <c r="Z102" i="1"/>
  <c r="C44" i="4" s="1"/>
  <c r="C42"/>
  <c r="K367" i="7"/>
  <c r="Y106" i="1"/>
  <c r="B80" i="4" s="1"/>
  <c r="B78"/>
  <c r="W106" i="1"/>
  <c r="B79" i="4" s="1"/>
  <c r="B42"/>
  <c r="Y102" i="1"/>
  <c r="B44" i="4" s="1"/>
  <c r="W102" i="1"/>
  <c r="B43" i="4" s="1"/>
  <c r="W105" i="1"/>
  <c r="B70" i="4" s="1"/>
  <c r="Y105" i="1"/>
  <c r="B71" i="4" s="1"/>
  <c r="B69"/>
  <c r="M341" i="7"/>
  <c r="N341" s="1"/>
  <c r="M381"/>
  <c r="N381" s="1"/>
  <c r="U21" i="1"/>
  <c r="V2"/>
  <c r="P2"/>
  <c r="C9" i="2"/>
  <c r="K398" i="7"/>
  <c r="K340"/>
  <c r="C24" i="4"/>
  <c r="Z100" i="1"/>
  <c r="C26" i="4" s="1"/>
  <c r="X100" i="1"/>
  <c r="C25" i="4" s="1"/>
  <c r="M343" i="7"/>
  <c r="N343" s="1"/>
  <c r="M344"/>
  <c r="N344" s="1"/>
  <c r="M100" i="1"/>
  <c r="B20" i="4" s="1"/>
  <c r="Q100" i="1"/>
  <c r="B22" i="4" s="1"/>
  <c r="B21"/>
  <c r="S100" i="1"/>
  <c r="B23" i="4" s="1"/>
  <c r="K420" i="7"/>
  <c r="K337"/>
  <c r="X5" i="1"/>
  <c r="C34" i="2" s="1"/>
  <c r="C33"/>
  <c r="Z5" i="1"/>
  <c r="C35" i="2" s="1"/>
  <c r="K378" i="7"/>
  <c r="K380"/>
  <c r="V3" i="1"/>
  <c r="U22"/>
  <c r="P3"/>
  <c r="C18" i="2"/>
  <c r="K345" i="7"/>
  <c r="K98" i="1"/>
  <c r="B1" i="4" s="1"/>
  <c r="S98" i="1"/>
  <c r="B5" i="4" s="1"/>
  <c r="Q98" i="1"/>
  <c r="B4" i="4" s="1"/>
  <c r="B3"/>
  <c r="K385" i="7"/>
  <c r="L102" i="1"/>
  <c r="C37" i="4" s="1"/>
  <c r="R102" i="1"/>
  <c r="C40" i="4" s="1"/>
  <c r="C39"/>
  <c r="N102" i="1"/>
  <c r="C38" i="4" s="1"/>
  <c r="T102" i="1"/>
  <c r="C41" i="4" s="1"/>
  <c r="C72" i="2"/>
  <c r="U28" i="1"/>
  <c r="P9"/>
  <c r="V9"/>
  <c r="K409" i="7"/>
  <c r="M380"/>
  <c r="N380" s="1"/>
  <c r="C45" i="2"/>
  <c r="P6" i="1"/>
  <c r="V6"/>
  <c r="U25"/>
  <c r="U26"/>
  <c r="C54" i="2"/>
  <c r="V7" i="1"/>
  <c r="P7"/>
  <c r="K339" i="7"/>
  <c r="L339" s="1"/>
  <c r="K341"/>
  <c r="K357"/>
  <c r="M346"/>
  <c r="N346" s="1"/>
  <c r="W100" i="1"/>
  <c r="B25" i="4" s="1"/>
  <c r="Y100" i="1"/>
  <c r="B26" i="4" s="1"/>
  <c r="B24"/>
  <c r="B60"/>
  <c r="W104" i="1"/>
  <c r="B61" i="4" s="1"/>
  <c r="Y104" i="1"/>
  <c r="B62" i="4" s="1"/>
  <c r="U29" i="1"/>
  <c r="P10"/>
  <c r="V10"/>
  <c r="C81" i="2"/>
  <c r="C6" i="4"/>
  <c r="Z98" i="1"/>
  <c r="C8" i="4" s="1"/>
  <c r="X98" i="1"/>
  <c r="C7" i="4" s="1"/>
  <c r="C30" i="2"/>
  <c r="N5" i="1"/>
  <c r="C29" i="2" s="1"/>
  <c r="L5" i="1"/>
  <c r="C28" i="2" s="1"/>
  <c r="T5" i="1"/>
  <c r="C32" i="2" s="1"/>
  <c r="R5" i="1"/>
  <c r="C31" i="2" s="1"/>
  <c r="K379" i="7"/>
  <c r="L379" s="1"/>
  <c r="M106" i="1"/>
  <c r="B74" i="4" s="1"/>
  <c r="K104" i="1"/>
  <c r="B55" i="4" s="1"/>
  <c r="K101" i="1"/>
  <c r="B28" i="4" s="1"/>
  <c r="K106" i="1"/>
  <c r="B73" i="4" s="1"/>
  <c r="K105" i="1"/>
  <c r="B64" i="4" s="1"/>
  <c r="K32" i="7" l="1"/>
  <c r="K70"/>
  <c r="K51"/>
  <c r="K40"/>
  <c r="K68"/>
  <c r="K35"/>
  <c r="K34"/>
  <c r="K94"/>
  <c r="K61"/>
  <c r="K69"/>
  <c r="K25"/>
  <c r="K64"/>
  <c r="K22"/>
  <c r="K62"/>
  <c r="K36"/>
  <c r="K11"/>
  <c r="K71"/>
  <c r="K23"/>
  <c r="K26"/>
  <c r="K29"/>
  <c r="K33"/>
  <c r="L33" s="1"/>
  <c r="K83"/>
  <c r="K21"/>
  <c r="K39"/>
  <c r="K24"/>
  <c r="K30"/>
  <c r="K63"/>
  <c r="K37"/>
  <c r="K38"/>
  <c r="K27"/>
  <c r="K28"/>
  <c r="K66"/>
  <c r="K67"/>
  <c r="K65"/>
  <c r="M397"/>
  <c r="N397" s="1"/>
  <c r="M328"/>
  <c r="N328" s="1"/>
  <c r="C12" i="2"/>
  <c r="R3" i="1"/>
  <c r="C13" i="2" s="1"/>
  <c r="L3" i="1"/>
  <c r="C10" i="2" s="1"/>
  <c r="N3" i="1"/>
  <c r="C11" i="2" s="1"/>
  <c r="T3" i="1"/>
  <c r="C14" i="2" s="1"/>
  <c r="M351" i="7"/>
  <c r="N351" s="1"/>
  <c r="M375"/>
  <c r="N375" s="1"/>
  <c r="M417"/>
  <c r="N417" s="1"/>
  <c r="M335"/>
  <c r="N335" s="1"/>
  <c r="M362"/>
  <c r="N362" s="1"/>
  <c r="K332"/>
  <c r="M405"/>
  <c r="N405" s="1"/>
  <c r="K408"/>
  <c r="K364"/>
  <c r="K363"/>
  <c r="M366"/>
  <c r="N366" s="1"/>
  <c r="M391"/>
  <c r="N391" s="1"/>
  <c r="M392"/>
  <c r="N392" s="1"/>
  <c r="M393"/>
  <c r="N393" s="1"/>
  <c r="M416"/>
  <c r="N416" s="1"/>
  <c r="K351"/>
  <c r="K350"/>
  <c r="K394"/>
  <c r="K391"/>
  <c r="K393"/>
  <c r="K392"/>
  <c r="K403"/>
  <c r="K404"/>
  <c r="K402"/>
  <c r="K359"/>
  <c r="L359" s="1"/>
  <c r="M358"/>
  <c r="N358" s="1"/>
  <c r="K333"/>
  <c r="K334"/>
  <c r="M353"/>
  <c r="N353" s="1"/>
  <c r="M354"/>
  <c r="N354" s="1"/>
  <c r="C51" i="2"/>
  <c r="Z7" i="1"/>
  <c r="C53" i="2" s="1"/>
  <c r="X7" i="1"/>
  <c r="C52" i="2" s="1"/>
  <c r="Z6" i="1"/>
  <c r="C44" i="2" s="1"/>
  <c r="C42"/>
  <c r="X6" i="1"/>
  <c r="C43" i="2" s="1"/>
  <c r="L9" i="1"/>
  <c r="C64" i="2" s="1"/>
  <c r="R9" i="1"/>
  <c r="C67" i="2" s="1"/>
  <c r="C66"/>
  <c r="N9" i="1"/>
  <c r="C65" i="2" s="1"/>
  <c r="T9" i="1"/>
  <c r="C68" i="2" s="1"/>
  <c r="K369" i="7"/>
  <c r="L369" s="1"/>
  <c r="M332"/>
  <c r="N332" s="1"/>
  <c r="M350"/>
  <c r="N350" s="1"/>
  <c r="C6" i="2"/>
  <c r="Z2" i="1"/>
  <c r="C8" i="2" s="1"/>
  <c r="X2" i="1"/>
  <c r="C7" i="2" s="1"/>
  <c r="M407" i="7"/>
  <c r="N407" s="1"/>
  <c r="M418"/>
  <c r="N418" s="1"/>
  <c r="M360"/>
  <c r="N360" s="1"/>
  <c r="K331"/>
  <c r="K410"/>
  <c r="K411"/>
  <c r="K395"/>
  <c r="M400"/>
  <c r="N400" s="1"/>
  <c r="M369"/>
  <c r="N369" s="1"/>
  <c r="K366"/>
  <c r="M363"/>
  <c r="N363" s="1"/>
  <c r="M364"/>
  <c r="N364" s="1"/>
  <c r="K419"/>
  <c r="M389"/>
  <c r="N389" s="1"/>
  <c r="M412"/>
  <c r="N412" s="1"/>
  <c r="K348"/>
  <c r="K389"/>
  <c r="K399"/>
  <c r="K361"/>
  <c r="M388"/>
  <c r="N388" s="1"/>
  <c r="N356"/>
  <c r="M356"/>
  <c r="C39" i="2"/>
  <c r="T6" i="1"/>
  <c r="C41" i="2" s="1"/>
  <c r="N6" i="1"/>
  <c r="C38" i="2" s="1"/>
  <c r="L6" i="1"/>
  <c r="C37" i="2" s="1"/>
  <c r="R6" i="1"/>
  <c r="C40" i="2" s="1"/>
  <c r="K370" i="7"/>
  <c r="K355"/>
  <c r="K374"/>
  <c r="K373"/>
  <c r="K416"/>
  <c r="L23"/>
  <c r="M371"/>
  <c r="N371" s="1"/>
  <c r="M410"/>
  <c r="N410" s="1"/>
  <c r="K336"/>
  <c r="T10" i="1"/>
  <c r="C77" i="2" s="1"/>
  <c r="L10" i="1"/>
  <c r="C73" i="2" s="1"/>
  <c r="N10" i="1"/>
  <c r="C74" i="2" s="1"/>
  <c r="C75"/>
  <c r="R10" i="1"/>
  <c r="C76" i="2" s="1"/>
  <c r="M395" i="7"/>
  <c r="N395" s="1"/>
  <c r="N7" i="1"/>
  <c r="C47" i="2" s="1"/>
  <c r="T7" i="1"/>
  <c r="C50" i="2" s="1"/>
  <c r="L7" i="1"/>
  <c r="C46" i="2" s="1"/>
  <c r="C48"/>
  <c r="R7" i="1"/>
  <c r="C49" i="2" s="1"/>
  <c r="C69"/>
  <c r="X9" i="1"/>
  <c r="C70" i="2" s="1"/>
  <c r="Z9" i="1"/>
  <c r="C71" i="2" s="1"/>
  <c r="K372" i="7"/>
  <c r="K368"/>
  <c r="M331"/>
  <c r="N331" s="1"/>
  <c r="C15" i="2"/>
  <c r="Z3" i="1"/>
  <c r="C17" i="2" s="1"/>
  <c r="X3" i="1"/>
  <c r="C16" i="2" s="1"/>
  <c r="N352" i="7"/>
  <c r="M352"/>
  <c r="K354"/>
  <c r="K353"/>
  <c r="T2" i="1"/>
  <c r="C5" i="2" s="1"/>
  <c r="N2" i="1"/>
  <c r="C2" i="2" s="1"/>
  <c r="C3"/>
  <c r="R2" i="1"/>
  <c r="C4" i="2" s="1"/>
  <c r="L2" i="1"/>
  <c r="C1" i="2" s="1"/>
  <c r="M408" i="7"/>
  <c r="N408" s="1"/>
  <c r="M373"/>
  <c r="N373" s="1"/>
  <c r="M374"/>
  <c r="N374" s="1"/>
  <c r="K375"/>
  <c r="M336"/>
  <c r="N336" s="1"/>
  <c r="M359"/>
  <c r="N359" s="1"/>
  <c r="K328"/>
  <c r="K330"/>
  <c r="K414"/>
  <c r="K413"/>
  <c r="K415"/>
  <c r="K397"/>
  <c r="M401"/>
  <c r="N401" s="1"/>
  <c r="M370"/>
  <c r="N370" s="1"/>
  <c r="K407"/>
  <c r="M365"/>
  <c r="N365" s="1"/>
  <c r="K417"/>
  <c r="M394"/>
  <c r="N394" s="1"/>
  <c r="M413"/>
  <c r="N413" s="1"/>
  <c r="M414"/>
  <c r="N414" s="1"/>
  <c r="M415"/>
  <c r="N415" s="1"/>
  <c r="K349"/>
  <c r="L349" s="1"/>
  <c r="K390"/>
  <c r="K400"/>
  <c r="K358"/>
  <c r="K360"/>
  <c r="M399"/>
  <c r="N399" s="1"/>
  <c r="M411"/>
  <c r="N411" s="1"/>
  <c r="K335"/>
  <c r="Z10" i="1"/>
  <c r="C80" i="2" s="1"/>
  <c r="X10" i="1"/>
  <c r="C79" i="2" s="1"/>
  <c r="C78"/>
  <c r="M396" i="7"/>
  <c r="N396" s="1"/>
  <c r="M355"/>
  <c r="N355" s="1"/>
  <c r="K371"/>
  <c r="M330"/>
  <c r="N330" s="1"/>
  <c r="M349"/>
  <c r="N349" s="1"/>
  <c r="K356"/>
  <c r="M406"/>
  <c r="N406" s="1"/>
  <c r="M376"/>
  <c r="N376" s="1"/>
  <c r="M419"/>
  <c r="N419" s="1"/>
  <c r="K376"/>
  <c r="M333"/>
  <c r="N333" s="1"/>
  <c r="M334"/>
  <c r="N334" s="1"/>
  <c r="M361"/>
  <c r="N361" s="1"/>
  <c r="K329"/>
  <c r="L329" s="1"/>
  <c r="K412"/>
  <c r="K396"/>
  <c r="M402"/>
  <c r="N402" s="1"/>
  <c r="M403"/>
  <c r="N403" s="1"/>
  <c r="M404"/>
  <c r="N404" s="1"/>
  <c r="M372"/>
  <c r="N372" s="1"/>
  <c r="K406"/>
  <c r="K365"/>
  <c r="K418"/>
  <c r="M390"/>
  <c r="N390" s="1"/>
  <c r="K352"/>
  <c r="K388"/>
  <c r="K405"/>
  <c r="K401"/>
  <c r="K362"/>
  <c r="AA10" i="1"/>
  <c r="K6" i="7" l="1"/>
  <c r="K81"/>
  <c r="K52"/>
  <c r="K90"/>
  <c r="K43"/>
  <c r="L43" s="1"/>
  <c r="K74"/>
  <c r="K12"/>
  <c r="K82"/>
  <c r="K54"/>
  <c r="K84"/>
  <c r="K79"/>
  <c r="K13"/>
  <c r="K92"/>
  <c r="K5"/>
  <c r="K19"/>
  <c r="K80"/>
  <c r="K56"/>
  <c r="K86"/>
  <c r="K46"/>
  <c r="K9"/>
  <c r="K75"/>
  <c r="K15"/>
  <c r="K91"/>
  <c r="K2"/>
  <c r="K49"/>
  <c r="K60"/>
  <c r="K3"/>
  <c r="L3" s="1"/>
  <c r="K42"/>
  <c r="K73"/>
  <c r="K59"/>
  <c r="K93"/>
  <c r="K4"/>
  <c r="K20"/>
  <c r="K55"/>
  <c r="K53"/>
  <c r="K85"/>
  <c r="K45"/>
  <c r="K44"/>
  <c r="K10"/>
  <c r="K50"/>
  <c r="K16"/>
  <c r="K14"/>
  <c r="K48"/>
  <c r="K47"/>
  <c r="K58"/>
  <c r="K57"/>
  <c r="K8"/>
  <c r="K7"/>
  <c r="K87"/>
  <c r="K88"/>
  <c r="K89"/>
  <c r="K17"/>
  <c r="K18"/>
  <c r="K78"/>
  <c r="K77"/>
  <c r="K76"/>
  <c r="L13"/>
  <c r="T29" i="1"/>
  <c r="V29" s="1"/>
  <c r="B81" i="2"/>
  <c r="O10" i="1"/>
  <c r="U10"/>
  <c r="L53" i="7"/>
  <c r="AA4" i="1"/>
  <c r="AA2"/>
  <c r="AA5"/>
  <c r="AA9"/>
  <c r="AA7"/>
  <c r="AA3"/>
  <c r="AA6"/>
  <c r="AA8"/>
  <c r="F51"/>
  <c r="H51" s="1"/>
  <c r="F50"/>
  <c r="H50" s="1"/>
  <c r="F53"/>
  <c r="H53" s="1"/>
  <c r="F56"/>
  <c r="H56" s="1"/>
  <c r="F55"/>
  <c r="H55" s="1"/>
  <c r="F57"/>
  <c r="H57" s="1"/>
  <c r="F54"/>
  <c r="H54" s="1"/>
  <c r="F52"/>
  <c r="H52" s="1"/>
  <c r="F58"/>
  <c r="H58" s="1"/>
  <c r="AA58" l="1"/>
  <c r="B81" i="3" s="1"/>
  <c r="AA57" i="1"/>
  <c r="B72" i="3" s="1"/>
  <c r="AA56" i="1"/>
  <c r="B63" i="3" s="1"/>
  <c r="T26" i="1"/>
  <c r="V26" s="1"/>
  <c r="B54" i="2"/>
  <c r="O7" i="1"/>
  <c r="U7"/>
  <c r="AA55"/>
  <c r="B54" i="3" s="1"/>
  <c r="AA51" i="1"/>
  <c r="B18" i="3" s="1"/>
  <c r="T25" i="1"/>
  <c r="V25" s="1"/>
  <c r="B45" i="2"/>
  <c r="O6" i="1"/>
  <c r="U6"/>
  <c r="T28"/>
  <c r="V28" s="1"/>
  <c r="B72" i="2"/>
  <c r="O9" i="1"/>
  <c r="U9"/>
  <c r="B36" i="2"/>
  <c r="T24" i="1"/>
  <c r="V24" s="1"/>
  <c r="O5"/>
  <c r="U5"/>
  <c r="T23"/>
  <c r="V23" s="1"/>
  <c r="B27" i="2"/>
  <c r="U4" i="1"/>
  <c r="O4"/>
  <c r="AA53"/>
  <c r="B36" i="3" s="1"/>
  <c r="B63" i="2"/>
  <c r="T27" i="1"/>
  <c r="V27" s="1"/>
  <c r="O8"/>
  <c r="U8"/>
  <c r="B9" i="2"/>
  <c r="T21" i="1"/>
  <c r="V21" s="1"/>
  <c r="U2"/>
  <c r="O2"/>
  <c r="Q10"/>
  <c r="B76" i="2" s="1"/>
  <c r="B75"/>
  <c r="S10" i="1"/>
  <c r="B77" i="2" s="1"/>
  <c r="M10" i="1"/>
  <c r="B74" i="2" s="1"/>
  <c r="K10" i="1"/>
  <c r="B73" i="2" s="1"/>
  <c r="AA52" i="1"/>
  <c r="B27" i="3" s="1"/>
  <c r="AA54" i="1"/>
  <c r="B45" i="3" s="1"/>
  <c r="T22" i="1"/>
  <c r="V22" s="1"/>
  <c r="B18" i="2"/>
  <c r="O3" i="1"/>
  <c r="U3"/>
  <c r="W10"/>
  <c r="B79" i="2" s="1"/>
  <c r="Y10" i="1"/>
  <c r="B80" i="2" s="1"/>
  <c r="B78"/>
  <c r="AA50" i="1"/>
  <c r="B9" i="3" s="1"/>
  <c r="M94" i="7"/>
  <c r="N94" s="1"/>
  <c r="H81" i="2"/>
  <c r="D50" i="1"/>
  <c r="AB50" s="1"/>
  <c r="D54"/>
  <c r="AB54" s="1"/>
  <c r="D57"/>
  <c r="AB57" s="1"/>
  <c r="D52"/>
  <c r="AB52" s="1"/>
  <c r="D51"/>
  <c r="AB51" s="1"/>
  <c r="C27" i="3" l="1"/>
  <c r="V52" i="1"/>
  <c r="P52"/>
  <c r="M93" i="7"/>
  <c r="N93" s="1"/>
  <c r="H80" i="2"/>
  <c r="M21" i="7"/>
  <c r="N21" s="1"/>
  <c r="H18" i="2"/>
  <c r="M194" i="7"/>
  <c r="N194" s="1"/>
  <c r="M90"/>
  <c r="N90" s="1"/>
  <c r="H77" i="2"/>
  <c r="Y2" i="1"/>
  <c r="B8" i="2" s="1"/>
  <c r="B6"/>
  <c r="W2" i="1"/>
  <c r="B7" i="2" s="1"/>
  <c r="Q8" i="1"/>
  <c r="B58" i="2" s="1"/>
  <c r="B57"/>
  <c r="S8" i="1"/>
  <c r="B59" i="2" s="1"/>
  <c r="M8" i="1"/>
  <c r="B56" i="2" s="1"/>
  <c r="K8" i="1"/>
  <c r="B55" i="2" s="1"/>
  <c r="U53" i="1"/>
  <c r="O53"/>
  <c r="M41" i="7"/>
  <c r="N41" s="1"/>
  <c r="H36" i="2"/>
  <c r="M184" i="7"/>
  <c r="N184" s="1"/>
  <c r="B51" i="2"/>
  <c r="W7" i="1"/>
  <c r="B52" i="2" s="1"/>
  <c r="Y7" i="1"/>
  <c r="B53" i="2" s="1"/>
  <c r="M235" i="7"/>
  <c r="N235" s="1"/>
  <c r="O58" i="1"/>
  <c r="M58" s="1"/>
  <c r="B74" i="3" s="1"/>
  <c r="U58" i="1"/>
  <c r="K58"/>
  <c r="B73" i="3" s="1"/>
  <c r="D56" i="1"/>
  <c r="AB56" s="1"/>
  <c r="D53"/>
  <c r="AB53" s="1"/>
  <c r="D58"/>
  <c r="AB58" s="1"/>
  <c r="M91" i="7"/>
  <c r="N91" s="1"/>
  <c r="H78" i="2"/>
  <c r="Q3" i="1"/>
  <c r="B13" i="2" s="1"/>
  <c r="B12"/>
  <c r="S3" i="1"/>
  <c r="B14" i="2" s="1"/>
  <c r="K3" i="1"/>
  <c r="B10" i="2" s="1"/>
  <c r="M3" i="1"/>
  <c r="B11" i="2" s="1"/>
  <c r="U54" i="1"/>
  <c r="O54"/>
  <c r="M54" s="1"/>
  <c r="B38" i="3" s="1"/>
  <c r="M85" i="7"/>
  <c r="N85" s="1"/>
  <c r="H74" i="2"/>
  <c r="S2" i="1"/>
  <c r="B5" i="2" s="1"/>
  <c r="B3"/>
  <c r="Q2" i="1"/>
  <c r="B4" i="2" s="1"/>
  <c r="K2" i="1"/>
  <c r="B1" i="2" s="1"/>
  <c r="M2" i="1"/>
  <c r="B2" i="2" s="1"/>
  <c r="Y8" i="1"/>
  <c r="B62" i="2" s="1"/>
  <c r="B60"/>
  <c r="W8" i="1"/>
  <c r="B61" i="2" s="1"/>
  <c r="M204" i="7"/>
  <c r="N204" s="1"/>
  <c r="M31"/>
  <c r="N31" s="1"/>
  <c r="H27" i="2"/>
  <c r="H72"/>
  <c r="M83" i="7"/>
  <c r="N83" s="1"/>
  <c r="H45" i="2"/>
  <c r="M51" i="7"/>
  <c r="N51" s="1"/>
  <c r="O55" i="1"/>
  <c r="U55"/>
  <c r="U57"/>
  <c r="O57"/>
  <c r="M257" i="7"/>
  <c r="N257" s="1"/>
  <c r="D55" i="1"/>
  <c r="AB55" s="1"/>
  <c r="P54"/>
  <c r="C45" i="3"/>
  <c r="V54" i="1"/>
  <c r="C9" i="3"/>
  <c r="P50" i="1"/>
  <c r="V50"/>
  <c r="U50"/>
  <c r="O50"/>
  <c r="M50" s="1"/>
  <c r="B2" i="3" s="1"/>
  <c r="B15" i="2"/>
  <c r="W3" i="1"/>
  <c r="B16" i="2" s="1"/>
  <c r="Y3" i="1"/>
  <c r="B17" i="2" s="1"/>
  <c r="M214" i="7"/>
  <c r="N214" s="1"/>
  <c r="H73" i="2"/>
  <c r="M84" i="7"/>
  <c r="N84" s="1"/>
  <c r="M87"/>
  <c r="N87" s="1"/>
  <c r="M88"/>
  <c r="N88" s="1"/>
  <c r="M89"/>
  <c r="N89" s="1"/>
  <c r="H76" i="2"/>
  <c r="M11" i="7"/>
  <c r="N11" s="1"/>
  <c r="H9" i="2"/>
  <c r="H63"/>
  <c r="M72" i="7"/>
  <c r="N72" s="1"/>
  <c r="B24" i="2"/>
  <c r="W4" i="1"/>
  <c r="B25" i="2" s="1"/>
  <c r="Y4" i="1"/>
  <c r="B26" i="2" s="1"/>
  <c r="S5" i="1"/>
  <c r="B32" i="2" s="1"/>
  <c r="B30"/>
  <c r="Q5" i="1"/>
  <c r="B31" i="2" s="1"/>
  <c r="K5" i="1"/>
  <c r="B28" i="2" s="1"/>
  <c r="M5" i="1"/>
  <c r="B29" i="2" s="1"/>
  <c r="Q9" i="1"/>
  <c r="B67" i="2" s="1"/>
  <c r="S9" i="1"/>
  <c r="B68" i="2" s="1"/>
  <c r="B66"/>
  <c r="K9" i="1"/>
  <c r="B64" i="2" s="1"/>
  <c r="M9" i="1"/>
  <c r="B65" i="2" s="1"/>
  <c r="S6" i="1"/>
  <c r="B41" i="2" s="1"/>
  <c r="Q6" i="1"/>
  <c r="B40" i="2" s="1"/>
  <c r="B39"/>
  <c r="M6" i="1"/>
  <c r="B38" i="2" s="1"/>
  <c r="K6" i="1"/>
  <c r="B37" i="2" s="1"/>
  <c r="M224" i="7"/>
  <c r="N224" s="1"/>
  <c r="H54" i="2"/>
  <c r="M61" i="7"/>
  <c r="N61" s="1"/>
  <c r="M246"/>
  <c r="N246" s="1"/>
  <c r="V51" i="1"/>
  <c r="P51"/>
  <c r="C18" i="3"/>
  <c r="P57" i="1"/>
  <c r="C72" i="3"/>
  <c r="V57" i="1"/>
  <c r="M174" i="7"/>
  <c r="N174" s="1"/>
  <c r="M92"/>
  <c r="N92" s="1"/>
  <c r="H79" i="2"/>
  <c r="O52" i="1"/>
  <c r="M52" s="1"/>
  <c r="B20" i="3" s="1"/>
  <c r="U52" i="1"/>
  <c r="M86" i="7"/>
  <c r="N86" s="1"/>
  <c r="H75" i="2"/>
  <c r="S4" i="1"/>
  <c r="B23" i="2" s="1"/>
  <c r="B21"/>
  <c r="Q4" i="1"/>
  <c r="B22" i="2" s="1"/>
  <c r="M4" i="1"/>
  <c r="B20" i="2" s="1"/>
  <c r="K4" i="1"/>
  <c r="B19" i="2" s="1"/>
  <c r="Y5" i="1"/>
  <c r="B35" i="2" s="1"/>
  <c r="W5" i="1"/>
  <c r="B34" i="2" s="1"/>
  <c r="B33"/>
  <c r="W9" i="1"/>
  <c r="B70" i="2" s="1"/>
  <c r="B69"/>
  <c r="Y9" i="1"/>
  <c r="B71" i="2" s="1"/>
  <c r="B42"/>
  <c r="W6" i="1"/>
  <c r="B43" i="2" s="1"/>
  <c r="Y6" i="1"/>
  <c r="B44" i="2" s="1"/>
  <c r="K51" i="1"/>
  <c r="B10" i="3" s="1"/>
  <c r="O51" i="1"/>
  <c r="U51"/>
  <c r="S7"/>
  <c r="B50" i="2" s="1"/>
  <c r="B48"/>
  <c r="Q7" i="1"/>
  <c r="B49" i="2" s="1"/>
  <c r="K7" i="1"/>
  <c r="B46" i="2" s="1"/>
  <c r="M7" i="1"/>
  <c r="B47" i="2" s="1"/>
  <c r="O56" i="1"/>
  <c r="K56" s="1"/>
  <c r="B55" i="3" s="1"/>
  <c r="U56" i="1"/>
  <c r="K174" i="7" l="1"/>
  <c r="K214"/>
  <c r="K194"/>
  <c r="K246"/>
  <c r="K184"/>
  <c r="K50" i="1"/>
  <c r="B1" i="3" s="1"/>
  <c r="M165" i="7" s="1"/>
  <c r="N165" s="1"/>
  <c r="H47" i="2"/>
  <c r="M53" i="7"/>
  <c r="N53" s="1"/>
  <c r="H44" i="2"/>
  <c r="M50" i="7"/>
  <c r="N50" s="1"/>
  <c r="H69" i="2"/>
  <c r="M80" i="7"/>
  <c r="N80" s="1"/>
  <c r="M186"/>
  <c r="N186" s="1"/>
  <c r="X51" i="1"/>
  <c r="C16" i="3" s="1"/>
  <c r="Z51" i="1"/>
  <c r="C17" i="3" s="1"/>
  <c r="C15"/>
  <c r="H67" i="2"/>
  <c r="M77" i="7"/>
  <c r="N77" s="1"/>
  <c r="M78"/>
  <c r="N78" s="1"/>
  <c r="M76"/>
  <c r="N76" s="1"/>
  <c r="M34"/>
  <c r="N34" s="1"/>
  <c r="H30" i="2"/>
  <c r="M28" i="7"/>
  <c r="N28" s="1"/>
  <c r="M27"/>
  <c r="N27" s="1"/>
  <c r="H24" i="2"/>
  <c r="M225" i="7"/>
  <c r="N225" s="1"/>
  <c r="H46" i="2"/>
  <c r="M52" i="7"/>
  <c r="N52" s="1"/>
  <c r="Y51" i="1"/>
  <c r="B17" i="3" s="1"/>
  <c r="B15"/>
  <c r="W51" i="1"/>
  <c r="B16" i="3" s="1"/>
  <c r="H43" i="2"/>
  <c r="M49" i="7"/>
  <c r="N49" s="1"/>
  <c r="H70" i="2"/>
  <c r="M81" i="7"/>
  <c r="N81" s="1"/>
  <c r="M22"/>
  <c r="N22" s="1"/>
  <c r="H19" i="2"/>
  <c r="M26" i="7"/>
  <c r="N26" s="1"/>
  <c r="H23" i="2"/>
  <c r="B24" i="3"/>
  <c r="W52" i="1"/>
  <c r="B25" i="3" s="1"/>
  <c r="Y52" i="1"/>
  <c r="B26" i="3" s="1"/>
  <c r="R57" i="1"/>
  <c r="C67" i="3" s="1"/>
  <c r="T57" i="1"/>
  <c r="C68" i="3" s="1"/>
  <c r="L57" i="1"/>
  <c r="C64" i="3" s="1"/>
  <c r="C66"/>
  <c r="N57" i="1"/>
  <c r="C65" i="3" s="1"/>
  <c r="M44" i="7"/>
  <c r="N44" s="1"/>
  <c r="H39" i="2"/>
  <c r="H64"/>
  <c r="M73" i="7"/>
  <c r="N73" s="1"/>
  <c r="M33"/>
  <c r="N33" s="1"/>
  <c r="H29" i="2"/>
  <c r="M36" i="7"/>
  <c r="N36" s="1"/>
  <c r="H32" i="2"/>
  <c r="M20" i="7"/>
  <c r="N20" s="1"/>
  <c r="H17" i="2"/>
  <c r="M166" i="7"/>
  <c r="N166" s="1"/>
  <c r="R50" i="1"/>
  <c r="C4" i="3" s="1"/>
  <c r="T50" i="1"/>
  <c r="C5" i="3" s="1"/>
  <c r="L50" i="1"/>
  <c r="C1" i="3" s="1"/>
  <c r="C3"/>
  <c r="N50" i="1"/>
  <c r="C2" i="3" s="1"/>
  <c r="T54" i="1"/>
  <c r="C41" i="3" s="1"/>
  <c r="N54" i="1"/>
  <c r="C38" i="3" s="1"/>
  <c r="C39"/>
  <c r="L54" i="1"/>
  <c r="C37" i="3" s="1"/>
  <c r="R54" i="1"/>
  <c r="C40" i="3" s="1"/>
  <c r="B69"/>
  <c r="W57" i="1"/>
  <c r="B70" i="3" s="1"/>
  <c r="Y57" i="1"/>
  <c r="B71" i="3" s="1"/>
  <c r="B48"/>
  <c r="Q55" i="1"/>
  <c r="B49" i="3" s="1"/>
  <c r="S55" i="1"/>
  <c r="B50" i="3" s="1"/>
  <c r="M3" i="7"/>
  <c r="N3" s="1"/>
  <c r="H2" i="2"/>
  <c r="M6" i="7"/>
  <c r="N6" s="1"/>
  <c r="H5" i="2"/>
  <c r="K54" i="1"/>
  <c r="B37" i="3" s="1"/>
  <c r="Q54" i="1"/>
  <c r="B40" i="3" s="1"/>
  <c r="S54" i="1"/>
  <c r="B41" i="3" s="1"/>
  <c r="B39"/>
  <c r="M16" i="7"/>
  <c r="N16" s="1"/>
  <c r="H14" i="2"/>
  <c r="M248" i="7"/>
  <c r="N248" s="1"/>
  <c r="M53" i="1"/>
  <c r="B29" i="3" s="1"/>
  <c r="Q53" i="1"/>
  <c r="B31" i="3" s="1"/>
  <c r="S53" i="1"/>
  <c r="B32" i="3" s="1"/>
  <c r="B30"/>
  <c r="H56" i="2"/>
  <c r="M63" i="7"/>
  <c r="N63" s="1"/>
  <c r="M9"/>
  <c r="N9" s="1"/>
  <c r="H7" i="2"/>
  <c r="C24" i="3"/>
  <c r="Z52" i="1"/>
  <c r="C26" i="3" s="1"/>
  <c r="X52" i="1"/>
  <c r="C25" i="3" s="1"/>
  <c r="H50" i="2"/>
  <c r="M56" i="7"/>
  <c r="N56" s="1"/>
  <c r="M40"/>
  <c r="N40" s="1"/>
  <c r="H35" i="2"/>
  <c r="M24" i="7"/>
  <c r="N24" s="1"/>
  <c r="H21" i="2"/>
  <c r="M43" i="7"/>
  <c r="N43" s="1"/>
  <c r="H38" i="2"/>
  <c r="C6" i="3"/>
  <c r="X50" i="1"/>
  <c r="C7" i="3" s="1"/>
  <c r="Z50" i="1"/>
  <c r="C8" i="3" s="1"/>
  <c r="S57" i="1"/>
  <c r="B68" i="3" s="1"/>
  <c r="B66"/>
  <c r="Q57" i="1"/>
  <c r="B67" i="3" s="1"/>
  <c r="B51"/>
  <c r="Y55" i="1"/>
  <c r="B53" i="3" s="1"/>
  <c r="W55" i="1"/>
  <c r="B52" i="3" s="1"/>
  <c r="H62" i="2"/>
  <c r="M71" i="7"/>
  <c r="N71" s="1"/>
  <c r="M4"/>
  <c r="N4" s="1"/>
  <c r="H3" i="2"/>
  <c r="M12" i="7"/>
  <c r="N12" s="1"/>
  <c r="H10" i="2"/>
  <c r="M247" i="7"/>
  <c r="N247" s="1"/>
  <c r="H58" i="2"/>
  <c r="M65" i="7"/>
  <c r="N65" s="1"/>
  <c r="M66"/>
  <c r="N66" s="1"/>
  <c r="M67"/>
  <c r="N67" s="1"/>
  <c r="N52" i="1"/>
  <c r="C20" i="3" s="1"/>
  <c r="L52" i="1"/>
  <c r="C19" i="3" s="1"/>
  <c r="R52" i="1"/>
  <c r="C22" i="3" s="1"/>
  <c r="C21"/>
  <c r="T52" i="1"/>
  <c r="C23" i="3" s="1"/>
  <c r="M56" i="1"/>
  <c r="B56" i="3" s="1"/>
  <c r="Q56" i="1"/>
  <c r="B58" i="3" s="1"/>
  <c r="B57"/>
  <c r="S56" i="1"/>
  <c r="B59" i="3" s="1"/>
  <c r="H48" i="2"/>
  <c r="M54" i="7"/>
  <c r="N54" s="1"/>
  <c r="M175"/>
  <c r="N175" s="1"/>
  <c r="H71" i="2"/>
  <c r="M82" i="7"/>
  <c r="N82" s="1"/>
  <c r="M39"/>
  <c r="N39" s="1"/>
  <c r="H34" i="2"/>
  <c r="M25" i="7"/>
  <c r="N25" s="1"/>
  <c r="H22" i="2"/>
  <c r="Z57" i="1"/>
  <c r="C71" i="3" s="1"/>
  <c r="X57" i="1"/>
  <c r="C70" i="3" s="1"/>
  <c r="C69"/>
  <c r="R51" i="1"/>
  <c r="C13" i="3" s="1"/>
  <c r="N51" i="1"/>
  <c r="C11" i="3" s="1"/>
  <c r="L51" i="1"/>
  <c r="C10" i="3" s="1"/>
  <c r="C12"/>
  <c r="T51" i="1"/>
  <c r="C14" i="3" s="1"/>
  <c r="M42" i="7"/>
  <c r="N42" s="1"/>
  <c r="H37" i="2"/>
  <c r="H41"/>
  <c r="M46" i="7"/>
  <c r="N46" s="1"/>
  <c r="H68" i="2"/>
  <c r="M79" i="7"/>
  <c r="N79" s="1"/>
  <c r="M35"/>
  <c r="N35" s="1"/>
  <c r="H31" i="2"/>
  <c r="M29" i="7"/>
  <c r="N29" s="1"/>
  <c r="H25" i="2"/>
  <c r="M17" i="7"/>
  <c r="N17" s="1"/>
  <c r="M18"/>
  <c r="N18" s="1"/>
  <c r="H15" i="2"/>
  <c r="W50" i="1"/>
  <c r="B7" i="3" s="1"/>
  <c r="Y50" i="1"/>
  <c r="B8" i="3" s="1"/>
  <c r="B6"/>
  <c r="Z54" i="1"/>
  <c r="C44" i="3" s="1"/>
  <c r="X54" i="1"/>
  <c r="C43" i="3" s="1"/>
  <c r="C42"/>
  <c r="H60" i="2"/>
  <c r="M69" i="7"/>
  <c r="N69" s="1"/>
  <c r="M5"/>
  <c r="N5" s="1"/>
  <c r="H4" i="2"/>
  <c r="M13" i="7"/>
  <c r="N13" s="1"/>
  <c r="H11" i="2"/>
  <c r="M15" i="7"/>
  <c r="N15" s="1"/>
  <c r="H13" i="2"/>
  <c r="Q58" i="1"/>
  <c r="B76" i="3" s="1"/>
  <c r="S58" i="1"/>
  <c r="B77" i="3" s="1"/>
  <c r="B75"/>
  <c r="H52" i="2"/>
  <c r="M59" i="7"/>
  <c r="N59" s="1"/>
  <c r="H57" i="2"/>
  <c r="M64" i="7"/>
  <c r="N64" s="1"/>
  <c r="M10"/>
  <c r="N10" s="1"/>
  <c r="H8" i="2"/>
  <c r="M57" i="1"/>
  <c r="B65" i="3" s="1"/>
  <c r="M55" i="1"/>
  <c r="B47" i="3" s="1"/>
  <c r="K53" i="1"/>
  <c r="B28" i="3" s="1"/>
  <c r="H65" i="2"/>
  <c r="M74" i="7"/>
  <c r="N74" s="1"/>
  <c r="M206"/>
  <c r="N206" s="1"/>
  <c r="V53" i="1"/>
  <c r="C36" i="3"/>
  <c r="P53" i="1"/>
  <c r="H51" i="2"/>
  <c r="M57" i="7"/>
  <c r="N57" s="1"/>
  <c r="M58"/>
  <c r="N58" s="1"/>
  <c r="H55" i="2"/>
  <c r="M62" i="7"/>
  <c r="N62" s="1"/>
  <c r="W56" i="1"/>
  <c r="B61" i="3" s="1"/>
  <c r="Y56" i="1"/>
  <c r="B62" i="3" s="1"/>
  <c r="B60"/>
  <c r="H49" i="2"/>
  <c r="M55" i="7"/>
  <c r="N55" s="1"/>
  <c r="M51" i="1"/>
  <c r="B11" i="3" s="1"/>
  <c r="S51" i="1"/>
  <c r="B14" i="3" s="1"/>
  <c r="Q51" i="1"/>
  <c r="B13" i="3" s="1"/>
  <c r="B12"/>
  <c r="M48" i="7"/>
  <c r="N48" s="1"/>
  <c r="H42" i="2"/>
  <c r="M47" i="7"/>
  <c r="N47" s="1"/>
  <c r="M38"/>
  <c r="N38" s="1"/>
  <c r="M37"/>
  <c r="N37" s="1"/>
  <c r="H33" i="2"/>
  <c r="M23" i="7"/>
  <c r="N23" s="1"/>
  <c r="H20" i="2"/>
  <c r="K52" i="1"/>
  <c r="B19" i="3" s="1"/>
  <c r="S52" i="1"/>
  <c r="B23" i="3" s="1"/>
  <c r="B21"/>
  <c r="Q52" i="1"/>
  <c r="B22" i="3" s="1"/>
  <c r="M45" i="7"/>
  <c r="N45" s="1"/>
  <c r="H40" i="2"/>
  <c r="H66"/>
  <c r="M75" i="7"/>
  <c r="N75" s="1"/>
  <c r="M32"/>
  <c r="N32" s="1"/>
  <c r="H28" i="2"/>
  <c r="M30" i="7"/>
  <c r="N30" s="1"/>
  <c r="H26" i="2"/>
  <c r="M19" i="7"/>
  <c r="N19" s="1"/>
  <c r="H16" i="2"/>
  <c r="Q50" i="1"/>
  <c r="B4" i="3" s="1"/>
  <c r="S50" i="1"/>
  <c r="B5" i="3" s="1"/>
  <c r="B3"/>
  <c r="V55" i="1"/>
  <c r="C54" i="3"/>
  <c r="P55" i="1"/>
  <c r="H61" i="2"/>
  <c r="M70" i="7"/>
  <c r="N70" s="1"/>
  <c r="M2"/>
  <c r="N2" s="1"/>
  <c r="H1" i="2"/>
  <c r="Y54" i="1"/>
  <c r="B44" i="3" s="1"/>
  <c r="B42"/>
  <c r="W54" i="1"/>
  <c r="B43" i="3" s="1"/>
  <c r="M14" i="7"/>
  <c r="N14" s="1"/>
  <c r="H12" i="2"/>
  <c r="C81" i="3"/>
  <c r="P58" i="1"/>
  <c r="V58"/>
  <c r="C63" i="3"/>
  <c r="P56" i="1"/>
  <c r="V56"/>
  <c r="W58"/>
  <c r="B79" i="3" s="1"/>
  <c r="Y58" i="1"/>
  <c r="B80" i="3" s="1"/>
  <c r="B78"/>
  <c r="H53" i="2"/>
  <c r="M60" i="7"/>
  <c r="N60" s="1"/>
  <c r="W53" i="1"/>
  <c r="B34" i="3" s="1"/>
  <c r="Y53" i="1"/>
  <c r="B35" i="3" s="1"/>
  <c r="B33"/>
  <c r="H59" i="2"/>
  <c r="M68" i="7"/>
  <c r="N68" s="1"/>
  <c r="M8"/>
  <c r="N8" s="1"/>
  <c r="M7"/>
  <c r="N7" s="1"/>
  <c r="H6" i="2"/>
  <c r="K57" i="1"/>
  <c r="B64" i="3" s="1"/>
  <c r="K55" i="1"/>
  <c r="B46" i="3" s="1"/>
  <c r="K224" i="7" l="1"/>
  <c r="K212"/>
  <c r="K175"/>
  <c r="K244"/>
  <c r="K192"/>
  <c r="K209"/>
  <c r="K189"/>
  <c r="K206"/>
  <c r="K204"/>
  <c r="K179"/>
  <c r="K178"/>
  <c r="K185"/>
  <c r="K172"/>
  <c r="K207"/>
  <c r="K167"/>
  <c r="K238"/>
  <c r="K182"/>
  <c r="K187"/>
  <c r="K208"/>
  <c r="K169"/>
  <c r="K242"/>
  <c r="K177"/>
  <c r="K243"/>
  <c r="K186"/>
  <c r="K165"/>
  <c r="K236"/>
  <c r="K235"/>
  <c r="K257"/>
  <c r="K213"/>
  <c r="K176"/>
  <c r="L176" s="1"/>
  <c r="K245"/>
  <c r="K188"/>
  <c r="K173"/>
  <c r="K193"/>
  <c r="K205"/>
  <c r="K166"/>
  <c r="K168"/>
  <c r="K237"/>
  <c r="K183"/>
  <c r="K239"/>
  <c r="K240"/>
  <c r="K241"/>
  <c r="K211"/>
  <c r="K210"/>
  <c r="K170"/>
  <c r="K171"/>
  <c r="K191"/>
  <c r="K190"/>
  <c r="K181"/>
  <c r="K180"/>
  <c r="M236"/>
  <c r="N236" s="1"/>
  <c r="M200"/>
  <c r="N200" s="1"/>
  <c r="M201"/>
  <c r="N201" s="1"/>
  <c r="Z56" i="1"/>
  <c r="C62" i="3" s="1"/>
  <c r="X56" i="1"/>
  <c r="C61" i="3" s="1"/>
  <c r="C60"/>
  <c r="L58" i="1"/>
  <c r="C73" i="3" s="1"/>
  <c r="N58" i="1"/>
  <c r="C74" i="3" s="1"/>
  <c r="R58" i="1"/>
  <c r="C76" i="3" s="1"/>
  <c r="C75"/>
  <c r="T58" i="1"/>
  <c r="C77" i="3" s="1"/>
  <c r="M212" i="7"/>
  <c r="N212" s="1"/>
  <c r="M167"/>
  <c r="N167" s="1"/>
  <c r="M187"/>
  <c r="N187" s="1"/>
  <c r="M178"/>
  <c r="N178" s="1"/>
  <c r="M237"/>
  <c r="N237" s="1"/>
  <c r="M253"/>
  <c r="N253" s="1"/>
  <c r="M227"/>
  <c r="N227" s="1"/>
  <c r="M223"/>
  <c r="N223" s="1"/>
  <c r="M242"/>
  <c r="N242" s="1"/>
  <c r="M199"/>
  <c r="N199" s="1"/>
  <c r="M209"/>
  <c r="N209" s="1"/>
  <c r="M218"/>
  <c r="N218" s="1"/>
  <c r="M243"/>
  <c r="N243" s="1"/>
  <c r="L206"/>
  <c r="N193"/>
  <c r="M193"/>
  <c r="M180"/>
  <c r="N180" s="1"/>
  <c r="M181"/>
  <c r="N181" s="1"/>
  <c r="M215"/>
  <c r="N215" s="1"/>
  <c r="M255"/>
  <c r="N255" s="1"/>
  <c r="X58" i="1"/>
  <c r="C79" i="3" s="1"/>
  <c r="Z58" i="1"/>
  <c r="C80" i="3" s="1"/>
  <c r="C78"/>
  <c r="T55" i="1"/>
  <c r="C50" i="3" s="1"/>
  <c r="N55" i="1"/>
  <c r="C47" i="3" s="1"/>
  <c r="C48"/>
  <c r="L55" i="1"/>
  <c r="C46" i="3" s="1"/>
  <c r="R55" i="1"/>
  <c r="C49" i="3" s="1"/>
  <c r="M188" i="7"/>
  <c r="N188" s="1"/>
  <c r="M177"/>
  <c r="N177" s="1"/>
  <c r="M233"/>
  <c r="N233" s="1"/>
  <c r="Z53" i="1"/>
  <c r="C35" i="3" s="1"/>
  <c r="X53" i="1"/>
  <c r="C34" i="3" s="1"/>
  <c r="C33"/>
  <c r="M216" i="7"/>
  <c r="N216" s="1"/>
  <c r="M249"/>
  <c r="N249" s="1"/>
  <c r="M172"/>
  <c r="N172" s="1"/>
  <c r="M231"/>
  <c r="N231" s="1"/>
  <c r="M222"/>
  <c r="N222" s="1"/>
  <c r="M238"/>
  <c r="N238" s="1"/>
  <c r="M197"/>
  <c r="N197" s="1"/>
  <c r="M207"/>
  <c r="N207" s="1"/>
  <c r="M219"/>
  <c r="N219" s="1"/>
  <c r="M244"/>
  <c r="N244" s="1"/>
  <c r="M182"/>
  <c r="N182" s="1"/>
  <c r="M202"/>
  <c r="N202" s="1"/>
  <c r="M256"/>
  <c r="N256" s="1"/>
  <c r="M213"/>
  <c r="N213" s="1"/>
  <c r="M168"/>
  <c r="N168" s="1"/>
  <c r="M185"/>
  <c r="N185" s="1"/>
  <c r="M176"/>
  <c r="N176" s="1"/>
  <c r="M234"/>
  <c r="N234" s="1"/>
  <c r="M195"/>
  <c r="N195" s="1"/>
  <c r="M173"/>
  <c r="N173" s="1"/>
  <c r="N226"/>
  <c r="M226"/>
  <c r="L186"/>
  <c r="M239"/>
  <c r="N239" s="1"/>
  <c r="M240"/>
  <c r="N240" s="1"/>
  <c r="M241"/>
  <c r="N241" s="1"/>
  <c r="M196"/>
  <c r="N196" s="1"/>
  <c r="M205"/>
  <c r="N205" s="1"/>
  <c r="M245"/>
  <c r="N245" s="1"/>
  <c r="L166"/>
  <c r="M190"/>
  <c r="N190" s="1"/>
  <c r="M191"/>
  <c r="N191" s="1"/>
  <c r="N203"/>
  <c r="M203"/>
  <c r="M254"/>
  <c r="N254" s="1"/>
  <c r="R56" i="1"/>
  <c r="C58" i="3" s="1"/>
  <c r="N56" i="1"/>
  <c r="C56" i="3" s="1"/>
  <c r="L56" i="1"/>
  <c r="C55" i="3" s="1"/>
  <c r="C57"/>
  <c r="T56" i="1"/>
  <c r="C59" i="3" s="1"/>
  <c r="M210" i="7"/>
  <c r="N210" s="1"/>
  <c r="M211"/>
  <c r="N211" s="1"/>
  <c r="X55" i="1"/>
  <c r="C52" i="3" s="1"/>
  <c r="Z55" i="1"/>
  <c r="C53" i="3" s="1"/>
  <c r="C51"/>
  <c r="M169" i="7"/>
  <c r="N169" s="1"/>
  <c r="M189"/>
  <c r="N189" s="1"/>
  <c r="M179"/>
  <c r="N179" s="1"/>
  <c r="M232"/>
  <c r="N232" s="1"/>
  <c r="T53" i="1"/>
  <c r="C32" i="3" s="1"/>
  <c r="N53" i="1"/>
  <c r="C29" i="3" s="1"/>
  <c r="C30"/>
  <c r="L53" i="1"/>
  <c r="C28" i="3" s="1"/>
  <c r="R53" i="1"/>
  <c r="C31" i="3" s="1"/>
  <c r="M250" i="7"/>
  <c r="N250" s="1"/>
  <c r="M251"/>
  <c r="N251" s="1"/>
  <c r="M252"/>
  <c r="N252" s="1"/>
  <c r="M170"/>
  <c r="N170" s="1"/>
  <c r="M171"/>
  <c r="N171" s="1"/>
  <c r="M228"/>
  <c r="N228" s="1"/>
  <c r="M229"/>
  <c r="N229" s="1"/>
  <c r="M230"/>
  <c r="N230" s="1"/>
  <c r="M220"/>
  <c r="N220" s="1"/>
  <c r="M221"/>
  <c r="N221" s="1"/>
  <c r="M198"/>
  <c r="N198" s="1"/>
  <c r="M208"/>
  <c r="N208" s="1"/>
  <c r="M217"/>
  <c r="N217" s="1"/>
  <c r="M192"/>
  <c r="N192" s="1"/>
  <c r="M183"/>
  <c r="N183" s="1"/>
  <c r="K197" l="1"/>
  <c r="K226"/>
  <c r="K215"/>
  <c r="K254"/>
  <c r="K253"/>
  <c r="K247"/>
  <c r="K195"/>
  <c r="K225"/>
  <c r="K203"/>
  <c r="K218"/>
  <c r="K219"/>
  <c r="K248"/>
  <c r="K234"/>
  <c r="K198"/>
  <c r="K199"/>
  <c r="K222"/>
  <c r="K227"/>
  <c r="K202"/>
  <c r="K216"/>
  <c r="L216" s="1"/>
  <c r="K255"/>
  <c r="K233"/>
  <c r="K196"/>
  <c r="L196" s="1"/>
  <c r="K223"/>
  <c r="K231"/>
  <c r="K217"/>
  <c r="K256"/>
  <c r="K249"/>
  <c r="K232"/>
  <c r="K221"/>
  <c r="K220"/>
  <c r="K200"/>
  <c r="K201"/>
  <c r="K228"/>
  <c r="K229"/>
  <c r="K230"/>
  <c r="K250"/>
  <c r="K251"/>
  <c r="K252"/>
</calcChain>
</file>

<file path=xl/sharedStrings.xml><?xml version="1.0" encoding="utf-8"?>
<sst xmlns="http://schemas.openxmlformats.org/spreadsheetml/2006/main" count="287" uniqueCount="198">
  <si>
    <t>等级</t>
    <phoneticPr fontId="1" type="noConversion"/>
  </si>
  <si>
    <t>玩家DPS</t>
    <phoneticPr fontId="1" type="noConversion"/>
  </si>
  <si>
    <t>玩家EHP</t>
    <phoneticPr fontId="1" type="noConversion"/>
  </si>
  <si>
    <t>BOSSDPS</t>
    <phoneticPr fontId="1" type="noConversion"/>
  </si>
  <si>
    <t>BOSSEHP</t>
    <phoneticPr fontId="1" type="noConversion"/>
  </si>
  <si>
    <t>普通DPS</t>
    <phoneticPr fontId="1" type="noConversion"/>
  </si>
  <si>
    <t>普通EHP</t>
    <phoneticPr fontId="1" type="noConversion"/>
  </si>
  <si>
    <t>难度系数</t>
    <phoneticPr fontId="1" type="noConversion"/>
  </si>
  <si>
    <t>玩家HPS</t>
    <phoneticPr fontId="1" type="noConversion"/>
  </si>
  <si>
    <t>BOSS6</t>
    <phoneticPr fontId="1" type="noConversion"/>
  </si>
  <si>
    <t>BOSS3</t>
    <phoneticPr fontId="1" type="noConversion"/>
  </si>
  <si>
    <t>minor1</t>
    <phoneticPr fontId="1" type="noConversion"/>
  </si>
  <si>
    <t>minor2</t>
    <phoneticPr fontId="1" type="noConversion"/>
  </si>
  <si>
    <t>minor3</t>
    <phoneticPr fontId="1" type="noConversion"/>
  </si>
  <si>
    <t>minor4</t>
    <phoneticPr fontId="1" type="noConversion"/>
  </si>
  <si>
    <t>minor5</t>
    <phoneticPr fontId="1" type="noConversion"/>
  </si>
  <si>
    <t>minor6</t>
    <phoneticPr fontId="1" type="noConversion"/>
  </si>
  <si>
    <t>等级</t>
    <phoneticPr fontId="1" type="noConversion"/>
  </si>
  <si>
    <t>护甲穿透</t>
    <phoneticPr fontId="1" type="noConversion"/>
  </si>
  <si>
    <t>物抗穿透</t>
    <phoneticPr fontId="1" type="noConversion"/>
  </si>
  <si>
    <t>boss物抗</t>
    <phoneticPr fontId="1" type="noConversion"/>
  </si>
  <si>
    <t>boss护甲</t>
    <phoneticPr fontId="1" type="noConversion"/>
  </si>
  <si>
    <t>护甲减伤</t>
    <phoneticPr fontId="1" type="noConversion"/>
  </si>
  <si>
    <t>抗性减伤</t>
    <phoneticPr fontId="1" type="noConversion"/>
  </si>
  <si>
    <t>穿透后护甲减伤</t>
    <phoneticPr fontId="1" type="noConversion"/>
  </si>
  <si>
    <t>穿透后抗性减伤</t>
    <phoneticPr fontId="1" type="noConversion"/>
  </si>
  <si>
    <t>穿透后抗性</t>
    <phoneticPr fontId="1" type="noConversion"/>
  </si>
  <si>
    <t>穿透后护甲</t>
    <phoneticPr fontId="1" type="noConversion"/>
  </si>
  <si>
    <t>护甲参数</t>
    <phoneticPr fontId="1" type="noConversion"/>
  </si>
  <si>
    <t>抗性参数</t>
    <phoneticPr fontId="1" type="noConversion"/>
  </si>
  <si>
    <t>boss生命倍数</t>
    <phoneticPr fontId="1" type="noConversion"/>
  </si>
  <si>
    <t>穿透后boss生命倍数</t>
    <phoneticPr fontId="1" type="noConversion"/>
  </si>
  <si>
    <t>双BOSS</t>
    <phoneticPr fontId="1" type="noConversion"/>
  </si>
  <si>
    <t>战士</t>
    <phoneticPr fontId="1" type="noConversion"/>
  </si>
  <si>
    <t>法师</t>
    <phoneticPr fontId="1" type="noConversion"/>
  </si>
  <si>
    <t>猎人</t>
    <phoneticPr fontId="1" type="noConversion"/>
  </si>
  <si>
    <t>伤害衰减</t>
    <phoneticPr fontId="1" type="noConversion"/>
  </si>
  <si>
    <t>血量衰减</t>
    <phoneticPr fontId="1" type="noConversion"/>
  </si>
  <si>
    <t>三BOSS</t>
    <phoneticPr fontId="1" type="noConversion"/>
  </si>
  <si>
    <t>带小怪BOSS</t>
    <phoneticPr fontId="1" type="noConversion"/>
  </si>
  <si>
    <t>小怪血量为BOSS的20%</t>
    <phoneticPr fontId="1" type="noConversion"/>
  </si>
  <si>
    <t>怪物</t>
    <phoneticPr fontId="1" type="noConversion"/>
  </si>
  <si>
    <t>技能</t>
    <phoneticPr fontId="1" type="noConversion"/>
  </si>
  <si>
    <t>伤害系数</t>
    <phoneticPr fontId="1" type="noConversion"/>
  </si>
  <si>
    <t>血量系数</t>
    <phoneticPr fontId="1" type="noConversion"/>
  </si>
  <si>
    <t>法力风暴</t>
    <phoneticPr fontId="1" type="noConversion"/>
  </si>
  <si>
    <t>冥想、魔法盾</t>
    <phoneticPr fontId="1" type="noConversion"/>
  </si>
  <si>
    <t>备注</t>
    <phoneticPr fontId="1" type="noConversion"/>
  </si>
  <si>
    <t>MP足够抵挡较高伤害。</t>
    <phoneticPr fontId="1" type="noConversion"/>
  </si>
  <si>
    <t>致盲射击</t>
    <phoneticPr fontId="1" type="noConversion"/>
  </si>
  <si>
    <t>只是会闪避。。</t>
    <phoneticPr fontId="1" type="noConversion"/>
  </si>
  <si>
    <t>勇猛的卡拉</t>
    <phoneticPr fontId="1" type="noConversion"/>
  </si>
  <si>
    <t>拉兹</t>
    <phoneticPr fontId="1" type="noConversion"/>
  </si>
  <si>
    <t>狂暴</t>
    <phoneticPr fontId="1" type="noConversion"/>
  </si>
  <si>
    <t>拉兹打人。。</t>
    <phoneticPr fontId="1" type="noConversion"/>
  </si>
  <si>
    <t>命中%</t>
    <phoneticPr fontId="1" type="noConversion"/>
  </si>
  <si>
    <t>暴击%</t>
    <phoneticPr fontId="1" type="noConversion"/>
  </si>
  <si>
    <t>闪避%</t>
    <phoneticPr fontId="1" type="noConversion"/>
  </si>
  <si>
    <t>英勇打击</t>
    <phoneticPr fontId="1" type="noConversion"/>
  </si>
  <si>
    <t>莱恩的倒影</t>
    <phoneticPr fontId="1" type="noConversion"/>
  </si>
  <si>
    <t>菲德丝的倒影</t>
    <phoneticPr fontId="1" type="noConversion"/>
  </si>
  <si>
    <t>赛琳娜的倒影</t>
    <phoneticPr fontId="1" type="noConversion"/>
  </si>
  <si>
    <t>治疗</t>
    <phoneticPr fontId="1" type="noConversion"/>
  </si>
  <si>
    <t>卡雷</t>
    <phoneticPr fontId="1" type="noConversion"/>
  </si>
  <si>
    <t>战5渣</t>
    <phoneticPr fontId="1" type="noConversion"/>
  </si>
  <si>
    <t>沉默射击</t>
    <phoneticPr fontId="1" type="noConversion"/>
  </si>
  <si>
    <t>盾墙</t>
    <phoneticPr fontId="1" type="noConversion"/>
  </si>
  <si>
    <t>坚定的格雷格</t>
    <phoneticPr fontId="1" type="noConversion"/>
  </si>
  <si>
    <t>我有盾墙</t>
    <phoneticPr fontId="1" type="noConversion"/>
  </si>
  <si>
    <t>给个沉默</t>
    <phoneticPr fontId="1" type="noConversion"/>
  </si>
  <si>
    <t>冰霜新星、奥术冲击</t>
    <phoneticPr fontId="1" type="noConversion"/>
  </si>
  <si>
    <t>憾地者</t>
    <phoneticPr fontId="1" type="noConversion"/>
  </si>
  <si>
    <t>雷霆一击</t>
    <phoneticPr fontId="1" type="noConversion"/>
  </si>
  <si>
    <t>多重射击</t>
    <phoneticPr fontId="1" type="noConversion"/>
  </si>
  <si>
    <t>咒术大师</t>
    <phoneticPr fontId="1" type="noConversion"/>
  </si>
  <si>
    <t>幻术师艾莉</t>
    <phoneticPr fontId="1" type="noConversion"/>
  </si>
  <si>
    <t>伪装</t>
    <phoneticPr fontId="1" type="noConversion"/>
  </si>
  <si>
    <t>混乱的玛尔达</t>
    <phoneticPr fontId="1" type="noConversion"/>
  </si>
  <si>
    <t>风暴之锤、沉默射击、冰甲术</t>
    <phoneticPr fontId="1" type="noConversion"/>
  </si>
  <si>
    <t>A到死</t>
    <phoneticPr fontId="1" type="noConversion"/>
  </si>
  <si>
    <t>啥是狂暴</t>
    <phoneticPr fontId="1" type="noConversion"/>
  </si>
  <si>
    <t>暮光预言者</t>
    <phoneticPr fontId="1" type="noConversion"/>
  </si>
  <si>
    <t>吸取生命</t>
    <phoneticPr fontId="1" type="noConversion"/>
  </si>
  <si>
    <t>冰霜新星</t>
    <phoneticPr fontId="1" type="noConversion"/>
  </si>
  <si>
    <t>凝结水元素</t>
    <phoneticPr fontId="1" type="noConversion"/>
  </si>
  <si>
    <t>拨弄的赛亚</t>
    <phoneticPr fontId="1" type="noConversion"/>
  </si>
  <si>
    <t>给个控</t>
    <phoneticPr fontId="1" type="noConversion"/>
  </si>
  <si>
    <t>雄鹰守护、眼镜蛇射击、剑刃风暴</t>
    <phoneticPr fontId="1" type="noConversion"/>
  </si>
  <si>
    <t>火冲、烈焰、炎爆</t>
    <phoneticPr fontId="1" type="noConversion"/>
  </si>
  <si>
    <t>火焰之王</t>
    <phoneticPr fontId="1" type="noConversion"/>
  </si>
  <si>
    <t>圣光约书亚</t>
    <phoneticPr fontId="1" type="noConversion"/>
  </si>
  <si>
    <t>战斗怒吼</t>
    <phoneticPr fontId="1" type="noConversion"/>
  </si>
  <si>
    <t>破甲攻击</t>
    <phoneticPr fontId="1" type="noConversion"/>
  </si>
  <si>
    <t>烈焰风暴</t>
    <phoneticPr fontId="1" type="noConversion"/>
  </si>
  <si>
    <t>暴风雪</t>
    <phoneticPr fontId="1" type="noConversion"/>
  </si>
  <si>
    <t>驯兽师瓦纳</t>
    <phoneticPr fontId="1" type="noConversion"/>
  </si>
  <si>
    <t>多兰</t>
    <phoneticPr fontId="1" type="noConversion"/>
  </si>
  <si>
    <t>约翰</t>
    <phoneticPr fontId="1" type="noConversion"/>
  </si>
  <si>
    <t>就能奶两口</t>
    <phoneticPr fontId="1" type="noConversion"/>
  </si>
  <si>
    <t>F4</t>
    <phoneticPr fontId="1" type="noConversion"/>
  </si>
  <si>
    <t>舞钢者拜伦</t>
    <phoneticPr fontId="1" type="noConversion"/>
  </si>
  <si>
    <t>剑刃风暴</t>
    <phoneticPr fontId="1" type="noConversion"/>
  </si>
  <si>
    <t>塔克</t>
    <phoneticPr fontId="1" type="noConversion"/>
  </si>
  <si>
    <t>迪皮斯</t>
    <phoneticPr fontId="1" type="noConversion"/>
  </si>
  <si>
    <t>捍卫</t>
    <phoneticPr fontId="1" type="noConversion"/>
  </si>
  <si>
    <t>奥术射击、多重射击</t>
    <phoneticPr fontId="1" type="noConversion"/>
  </si>
  <si>
    <t>缺少治疗</t>
    <phoneticPr fontId="1" type="noConversion"/>
  </si>
  <si>
    <t>血之凯德拉</t>
    <phoneticPr fontId="1" type="noConversion"/>
  </si>
  <si>
    <t>雄鹰守护、吸取生命</t>
    <phoneticPr fontId="1" type="noConversion"/>
  </si>
  <si>
    <t>风暴之王</t>
    <phoneticPr fontId="1" type="noConversion"/>
  </si>
  <si>
    <t>风暴之锤</t>
    <phoneticPr fontId="1" type="noConversion"/>
  </si>
  <si>
    <t>狡猾的库勒</t>
    <phoneticPr fontId="1" type="noConversion"/>
  </si>
  <si>
    <t>毒蛇钉刺</t>
    <phoneticPr fontId="1" type="noConversion"/>
  </si>
  <si>
    <t>眼镜蛇射击</t>
    <phoneticPr fontId="1" type="noConversion"/>
  </si>
  <si>
    <t>狂野安东尼</t>
    <phoneticPr fontId="1" type="noConversion"/>
  </si>
  <si>
    <t>致死打击</t>
    <phoneticPr fontId="1" type="noConversion"/>
  </si>
  <si>
    <t>雷伊战争使者</t>
    <phoneticPr fontId="1" type="noConversion"/>
  </si>
  <si>
    <t>就是降治疗</t>
    <phoneticPr fontId="1" type="noConversion"/>
  </si>
  <si>
    <t>炎之安苏</t>
    <phoneticPr fontId="1" type="noConversion"/>
  </si>
  <si>
    <t>火焰冲击</t>
    <phoneticPr fontId="1" type="noConversion"/>
  </si>
  <si>
    <t>绝对不是乌鸦之神</t>
    <phoneticPr fontId="1" type="noConversion"/>
  </si>
  <si>
    <t>降霜者莫林</t>
    <phoneticPr fontId="1" type="noConversion"/>
  </si>
  <si>
    <t>惊人的盖亚</t>
    <phoneticPr fontId="1" type="noConversion"/>
  </si>
  <si>
    <t>狂暴、奥术射击、雄鹰守护、多重射击</t>
    <phoneticPr fontId="1" type="noConversion"/>
  </si>
  <si>
    <t>战斗法师埃兰</t>
    <phoneticPr fontId="1" type="noConversion"/>
  </si>
  <si>
    <t>火舞者</t>
    <phoneticPr fontId="1" type="noConversion"/>
  </si>
  <si>
    <t>炎爆术</t>
    <phoneticPr fontId="1" type="noConversion"/>
  </si>
  <si>
    <t>冥想</t>
    <phoneticPr fontId="1" type="noConversion"/>
  </si>
  <si>
    <t>魔法盾、雄鹰守护、炎爆术</t>
    <phoneticPr fontId="1" type="noConversion"/>
  </si>
  <si>
    <t>角斗士里奥</t>
    <phoneticPr fontId="1" type="noConversion"/>
  </si>
  <si>
    <t>巡林者瑞克</t>
    <phoneticPr fontId="1" type="noConversion"/>
  </si>
  <si>
    <t>奥术射击</t>
    <phoneticPr fontId="1" type="noConversion"/>
  </si>
  <si>
    <t>魔法盾、奥术冲击</t>
    <phoneticPr fontId="1" type="noConversion"/>
  </si>
  <si>
    <t>英勇打击、治疗</t>
    <phoneticPr fontId="1" type="noConversion"/>
  </si>
  <si>
    <t>奥术射击、震荡射击</t>
    <phoneticPr fontId="1" type="noConversion"/>
  </si>
  <si>
    <t>暴风雪、魔爆术</t>
    <phoneticPr fontId="1" type="noConversion"/>
  </si>
  <si>
    <t>监狱拷问者</t>
    <phoneticPr fontId="1" type="noConversion"/>
  </si>
  <si>
    <t>监狱长</t>
    <phoneticPr fontId="1" type="noConversion"/>
  </si>
  <si>
    <t>求回血</t>
    <phoneticPr fontId="1" type="noConversion"/>
  </si>
  <si>
    <t>迅捷的维恩</t>
    <phoneticPr fontId="1" type="noConversion"/>
  </si>
  <si>
    <t>巨蟒</t>
    <phoneticPr fontId="1" type="noConversion"/>
  </si>
  <si>
    <t>盾墙</t>
    <phoneticPr fontId="1" type="noConversion"/>
  </si>
  <si>
    <t>蛮力者幻象</t>
    <phoneticPr fontId="1" type="noConversion"/>
  </si>
  <si>
    <t>震荡射击</t>
    <phoneticPr fontId="1" type="noConversion"/>
  </si>
  <si>
    <t>火焰冲击</t>
    <phoneticPr fontId="1" type="noConversion"/>
  </si>
  <si>
    <t>夺魂者幻象</t>
    <phoneticPr fontId="1" type="noConversion"/>
  </si>
  <si>
    <t>吸取生命</t>
    <phoneticPr fontId="1" type="noConversion"/>
  </si>
  <si>
    <t>致死打击</t>
    <phoneticPr fontId="1" type="noConversion"/>
  </si>
  <si>
    <t>无</t>
    <phoneticPr fontId="1" type="noConversion"/>
  </si>
  <si>
    <t>试炼幻象</t>
    <phoneticPr fontId="1" type="noConversion"/>
  </si>
  <si>
    <t>荒野游侠</t>
    <phoneticPr fontId="1" type="noConversion"/>
  </si>
  <si>
    <t>影子武士</t>
    <phoneticPr fontId="1" type="noConversion"/>
  </si>
  <si>
    <t>高闪避</t>
    <phoneticPr fontId="1" type="noConversion"/>
  </si>
  <si>
    <t>暴君泰伦</t>
    <phoneticPr fontId="1" type="noConversion"/>
  </si>
  <si>
    <t>血誓审判者</t>
    <phoneticPr fontId="1" type="noConversion"/>
  </si>
  <si>
    <t>血誓召唤者</t>
    <phoneticPr fontId="1" type="noConversion"/>
  </si>
  <si>
    <t>血誓预言者</t>
    <phoneticPr fontId="1" type="noConversion"/>
  </si>
  <si>
    <t>血誓领主</t>
    <phoneticPr fontId="1" type="noConversion"/>
  </si>
  <si>
    <t>生命值(hp)</t>
  </si>
  <si>
    <t>魔法值(mp)</t>
  </si>
  <si>
    <t>最小伤害(minDmg)</t>
  </si>
  <si>
    <t>最大伤害(maxDmg)</t>
  </si>
  <si>
    <t>护甲(armor)</t>
  </si>
  <si>
    <t>物抗(phyDef)</t>
  </si>
  <si>
    <t>魔抗(magDef)</t>
  </si>
  <si>
    <t>暴击(critical)</t>
  </si>
  <si>
    <t>命中(hit)</t>
  </si>
  <si>
    <t>闪避(dodge)</t>
  </si>
  <si>
    <t>韧性(resilience)</t>
  </si>
  <si>
    <t>回合回魔</t>
    <phoneticPr fontId="6" type="noConversion"/>
  </si>
  <si>
    <t>怪物名字</t>
    <phoneticPr fontId="1" type="noConversion"/>
  </si>
  <si>
    <t>mp系数</t>
    <phoneticPr fontId="1" type="noConversion"/>
  </si>
  <si>
    <t>怪物组别</t>
    <phoneticPr fontId="1" type="noConversion"/>
  </si>
  <si>
    <t>战士幻象</t>
    <phoneticPr fontId="1" type="noConversion"/>
  </si>
  <si>
    <t>猎人幻象</t>
    <phoneticPr fontId="1" type="noConversion"/>
  </si>
  <si>
    <t>法师幻象</t>
    <phoneticPr fontId="1" type="noConversion"/>
  </si>
  <si>
    <t>狂暴、破甲</t>
    <phoneticPr fontId="1" type="noConversion"/>
  </si>
  <si>
    <t>日光弗雷尔</t>
  </si>
  <si>
    <t>疾风克鲁</t>
    <phoneticPr fontId="1" type="noConversion"/>
  </si>
  <si>
    <t>技能ID</t>
    <phoneticPr fontId="1" type="noConversion"/>
  </si>
  <si>
    <t>25,30</t>
    <phoneticPr fontId="1" type="noConversion"/>
  </si>
  <si>
    <t>22,27</t>
    <phoneticPr fontId="1" type="noConversion"/>
  </si>
  <si>
    <t>6,19,23</t>
    <phoneticPr fontId="1" type="noConversion"/>
  </si>
  <si>
    <t>17,18,8</t>
    <phoneticPr fontId="1" type="noConversion"/>
  </si>
  <si>
    <t>21,28,29</t>
    <phoneticPr fontId="1" type="noConversion"/>
  </si>
  <si>
    <t>17,13</t>
    <phoneticPr fontId="1" type="noConversion"/>
  </si>
  <si>
    <t>17,14</t>
    <phoneticPr fontId="1" type="noConversion"/>
  </si>
  <si>
    <t>10,15,17,14</t>
    <phoneticPr fontId="1" type="noConversion"/>
  </si>
  <si>
    <t>30,17,29</t>
    <phoneticPr fontId="1" type="noConversion"/>
  </si>
  <si>
    <t>30,27</t>
    <phoneticPr fontId="1" type="noConversion"/>
  </si>
  <si>
    <t>1,2</t>
    <phoneticPr fontId="1" type="noConversion"/>
  </si>
  <si>
    <t>15,11</t>
    <phoneticPr fontId="1" type="noConversion"/>
  </si>
  <si>
    <t>26,24</t>
    <phoneticPr fontId="1" type="noConversion"/>
  </si>
  <si>
    <t>10,9</t>
    <phoneticPr fontId="1" type="noConversion"/>
  </si>
  <si>
    <t>无佣兵玩家DPS</t>
    <phoneticPr fontId="1" type="noConversion"/>
  </si>
  <si>
    <t>无佣兵玩家EHP</t>
    <phoneticPr fontId="1" type="noConversion"/>
  </si>
  <si>
    <t>回合数</t>
    <phoneticPr fontId="1" type="noConversion"/>
  </si>
  <si>
    <t>标准MP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</si>
</sst>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0" xfId="1">
      <alignment vertical="center"/>
    </xf>
    <xf numFmtId="0" fontId="5" fillId="6" borderId="0" xfId="5">
      <alignment vertical="center"/>
    </xf>
    <xf numFmtId="0" fontId="5" fillId="5" borderId="0" xfId="4">
      <alignment vertical="center"/>
    </xf>
    <xf numFmtId="0" fontId="5" fillId="7" borderId="0" xfId="6">
      <alignment vertical="center"/>
    </xf>
    <xf numFmtId="0" fontId="3" fillId="3" borderId="0" xfId="2">
      <alignment vertical="center"/>
    </xf>
    <xf numFmtId="0" fontId="4" fillId="4" borderId="0" xfId="3">
      <alignment vertical="center"/>
    </xf>
    <xf numFmtId="0" fontId="0" fillId="0" borderId="0" xfId="0" applyAlignment="1">
      <alignment horizontal="right"/>
    </xf>
  </cellXfs>
  <cellStyles count="7">
    <cellStyle name="差" xfId="2" builtinId="27"/>
    <cellStyle name="常规" xfId="0" builtinId="0"/>
    <cellStyle name="好" xfId="1" builtinId="26"/>
    <cellStyle name="强调文字颜色 1" xfId="4" builtinId="29"/>
    <cellStyle name="强调文字颜色 3" xfId="5" builtinId="37"/>
    <cellStyle name="强调文字颜色 6" xfId="6" builtinId="49"/>
    <cellStyle name="适中" xfId="3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512;&#316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ua/Resource_Product/trunk/&#31574;&#21010;&#25968;&#25454;&#34920;/&#20851;&#21345;/2.4/2.4&#24618;&#2928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ua/Resource_Product/trunk/&#31574;&#21010;&#25968;&#25454;&#34920;/&#25112;&#26007;&#21442;&#25968;/&#25112;&#26007;&#21442;&#25968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天天挂机经验"/>
      <sheetName val="数值拟合"/>
      <sheetName val="特效"/>
      <sheetName val="经验值"/>
      <sheetName val="等级属性"/>
      <sheetName val="强化规则"/>
      <sheetName val="战斗力成长"/>
      <sheetName val="装备属性设计"/>
      <sheetName val="地图强度"/>
      <sheetName val="佣兵培养"/>
      <sheetName val="魔兽估算"/>
      <sheetName val="神器强度"/>
      <sheetName val="神器经验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K9">
            <v>3236.94</v>
          </cell>
          <cell r="Y9">
            <v>54098.228202848964</v>
          </cell>
          <cell r="AR9">
            <v>702.81013990404665</v>
          </cell>
          <cell r="AS9">
            <v>324.5893692170938</v>
          </cell>
          <cell r="AY9">
            <v>4774.2341282263487</v>
          </cell>
          <cell r="AZ9">
            <v>113020.16150751193</v>
          </cell>
        </row>
        <row r="10">
          <cell r="K10">
            <v>4829.6388000000015</v>
          </cell>
          <cell r="Y10">
            <v>91798.365515359561</v>
          </cell>
          <cell r="AR10">
            <v>1201.1987736695773</v>
          </cell>
          <cell r="AS10">
            <v>550.79019309215732</v>
          </cell>
          <cell r="AY10">
            <v>7137.332284657642</v>
          </cell>
          <cell r="AZ10">
            <v>204577.98624702753</v>
          </cell>
        </row>
        <row r="11">
          <cell r="K11">
            <v>7029.6</v>
          </cell>
          <cell r="Y11">
            <v>149316.9641096447</v>
          </cell>
          <cell r="AR11">
            <v>2655.6717863322315</v>
          </cell>
          <cell r="AS11">
            <v>1194.5357128771577</v>
          </cell>
          <cell r="AY11">
            <v>10111.16848573117</v>
          </cell>
          <cell r="AZ11">
            <v>339532.54217233532</v>
          </cell>
        </row>
        <row r="12">
          <cell r="K12">
            <v>9131.4068999999981</v>
          </cell>
          <cell r="Y12">
            <v>204195.64090314438</v>
          </cell>
          <cell r="AR12">
            <v>3608.8716868846941</v>
          </cell>
          <cell r="AS12">
            <v>1633.565127225155</v>
          </cell>
          <cell r="AY12">
            <v>13645.207480913814</v>
          </cell>
          <cell r="AZ12">
            <v>494848.24091036414</v>
          </cell>
        </row>
        <row r="13">
          <cell r="K13">
            <v>12461.85</v>
          </cell>
          <cell r="Y13">
            <v>320656.07988840103</v>
          </cell>
          <cell r="AR13">
            <v>5194.3314301031196</v>
          </cell>
          <cell r="AS13">
            <v>3206.5607988840102</v>
          </cell>
          <cell r="AY13">
            <v>18282.39390669185</v>
          </cell>
          <cell r="AZ13">
            <v>782209.84834050643</v>
          </cell>
        </row>
        <row r="14">
          <cell r="K14">
            <v>16367.7675</v>
          </cell>
          <cell r="Y14">
            <v>488683.58777498192</v>
          </cell>
          <cell r="AR14">
            <v>7936.152996291913</v>
          </cell>
          <cell r="AS14">
            <v>5864.2030532997824</v>
          </cell>
          <cell r="AY14">
            <v>23919.186821312709</v>
          </cell>
          <cell r="AZ14">
            <v>1208980.1267407408</v>
          </cell>
        </row>
        <row r="15">
          <cell r="K15">
            <v>23357.548800000004</v>
          </cell>
          <cell r="Y15">
            <v>702413.32207842183</v>
          </cell>
          <cell r="AR15">
            <v>13808.569369504319</v>
          </cell>
          <cell r="AS15">
            <v>9833.7865090979067</v>
          </cell>
          <cell r="AY15">
            <v>32701.485736534771</v>
          </cell>
          <cell r="AZ15">
            <v>1768860.6228407715</v>
          </cell>
        </row>
        <row r="16">
          <cell r="K16">
            <v>32879.503799999999</v>
          </cell>
          <cell r="Y16">
            <v>1099603.8709821678</v>
          </cell>
          <cell r="AR16">
            <v>24164.218045011221</v>
          </cell>
          <cell r="AS16">
            <v>17593.661935714685</v>
          </cell>
          <cell r="AY16">
            <v>43745.688984213644</v>
          </cell>
          <cell r="AZ16">
            <v>2664577.6928157876</v>
          </cell>
        </row>
        <row r="17">
          <cell r="K17">
            <v>44970.575999999994</v>
          </cell>
          <cell r="Y17">
            <v>1601097.2260419021</v>
          </cell>
          <cell r="AR17">
            <v>40529.455710715753</v>
          </cell>
          <cell r="AS17">
            <v>28819.750068754238</v>
          </cell>
          <cell r="AY17">
            <v>58655.35720708497</v>
          </cell>
          <cell r="AZ17">
            <v>3902724.8742428562</v>
          </cell>
        </row>
        <row r="18">
          <cell r="K18">
            <v>58730.616000000002</v>
          </cell>
          <cell r="Y18">
            <v>2237988.6832541334</v>
          </cell>
          <cell r="AR18">
            <v>65246.299878430509</v>
          </cell>
          <cell r="AS18">
            <v>44759.77366508267</v>
          </cell>
          <cell r="AY18">
            <v>79146.34873709883</v>
          </cell>
          <cell r="AZ18">
            <v>5841453.6931702914</v>
          </cell>
        </row>
        <row r="19">
          <cell r="K19">
            <v>74947.356</v>
          </cell>
          <cell r="Y19">
            <v>2912893.0127784857</v>
          </cell>
          <cell r="AR19">
            <v>99863.459322096271</v>
          </cell>
          <cell r="AS19">
            <v>64083.646281126683</v>
          </cell>
          <cell r="AY19">
            <v>103680.47672762045</v>
          </cell>
          <cell r="AZ19">
            <v>8069695.6037131557</v>
          </cell>
        </row>
        <row r="20">
          <cell r="K20">
            <v>94496.23139999999</v>
          </cell>
          <cell r="Y20">
            <v>3760131.561158793</v>
          </cell>
          <cell r="AR20">
            <v>149822.71647187721</v>
          </cell>
          <cell r="AS20">
            <v>90243.157467811034</v>
          </cell>
          <cell r="AY20">
            <v>132554.99866597157</v>
          </cell>
          <cell r="AZ20">
            <v>10788761.966540599</v>
          </cell>
        </row>
        <row r="21">
          <cell r="K21">
            <v>117856.20959999999</v>
          </cell>
          <cell r="Y21">
            <v>4661213.1398280337</v>
          </cell>
          <cell r="AR21">
            <v>195600.45370617363</v>
          </cell>
          <cell r="AS21">
            <v>121191.54163552888</v>
          </cell>
          <cell r="AY21">
            <v>167379.91568623847</v>
          </cell>
          <cell r="AZ21">
            <v>13802379.727387803</v>
          </cell>
        </row>
        <row r="22">
          <cell r="K22">
            <v>145549.17000000001</v>
          </cell>
          <cell r="Y22">
            <v>5769010.5477042608</v>
          </cell>
          <cell r="AR22">
            <v>262141.60217759819</v>
          </cell>
          <cell r="AS22">
            <v>161532.29533571927</v>
          </cell>
          <cell r="AY22">
            <v>206857.99006333764</v>
          </cell>
          <cell r="AZ22">
            <v>17315841.468884066</v>
          </cell>
        </row>
        <row r="23">
          <cell r="K23">
            <v>178141.70400000003</v>
          </cell>
          <cell r="Y23">
            <v>7169648.9504049597</v>
          </cell>
          <cell r="AR23">
            <v>359745.99693227164</v>
          </cell>
          <cell r="AS23">
            <v>215089.4685121488</v>
          </cell>
          <cell r="AY23">
            <v>256188.2839036973</v>
          </cell>
          <cell r="AZ23">
            <v>22528950.77202303</v>
          </cell>
        </row>
        <row r="57">
          <cell r="K57">
            <v>6832.097268206584</v>
          </cell>
          <cell r="Y57">
            <v>38123.163501614763</v>
          </cell>
          <cell r="AR57">
            <v>755.5528117198636</v>
          </cell>
          <cell r="AS57">
            <v>228.73898100968859</v>
          </cell>
          <cell r="AY57">
            <v>9036.4277439458638</v>
          </cell>
        </row>
        <row r="58">
          <cell r="K58">
            <v>10005.625628137041</v>
          </cell>
          <cell r="Y58">
            <v>60952.73782040098</v>
          </cell>
          <cell r="AR58">
            <v>1194.2442884133347</v>
          </cell>
          <cell r="AS58">
            <v>365.7164269224059</v>
          </cell>
          <cell r="AY58">
            <v>13463.490690623896</v>
          </cell>
        </row>
        <row r="59">
          <cell r="K59">
            <v>14778.89196033087</v>
          </cell>
          <cell r="Y59">
            <v>95812.556264619154</v>
          </cell>
          <cell r="AR59">
            <v>2582.1526093640837</v>
          </cell>
          <cell r="AS59">
            <v>766.50045011695317</v>
          </cell>
          <cell r="AY59">
            <v>19471.156732076801</v>
          </cell>
        </row>
        <row r="60">
          <cell r="K60">
            <v>18760.208602932562</v>
          </cell>
          <cell r="Y60">
            <v>120685.13974521276</v>
          </cell>
          <cell r="AR60">
            <v>3164.8701516859624</v>
          </cell>
          <cell r="AS60">
            <v>965.48111796170201</v>
          </cell>
          <cell r="AY60">
            <v>25460.921276108518</v>
          </cell>
        </row>
        <row r="61">
          <cell r="K61">
            <v>26032.124464077151</v>
          </cell>
          <cell r="Y61">
            <v>188491.95434398862</v>
          </cell>
          <cell r="AR61">
            <v>4598.2078566580403</v>
          </cell>
          <cell r="AS61">
            <v>1884.919543439886</v>
          </cell>
          <cell r="AY61">
            <v>35213.05377732178</v>
          </cell>
        </row>
        <row r="62">
          <cell r="K62">
            <v>34440.102870441195</v>
          </cell>
          <cell r="Y62">
            <v>276440.48148470261</v>
          </cell>
          <cell r="AR62">
            <v>6790.8161981856165</v>
          </cell>
          <cell r="AS62">
            <v>3317.2857778164316</v>
          </cell>
          <cell r="AY62">
            <v>47042.682477172086</v>
          </cell>
        </row>
        <row r="63">
          <cell r="K63">
            <v>50284.954704205869</v>
          </cell>
          <cell r="Y63">
            <v>388496.68497082248</v>
          </cell>
          <cell r="AR63">
            <v>11824.042374082715</v>
          </cell>
          <cell r="AS63">
            <v>5438.9535895915142</v>
          </cell>
          <cell r="AY63">
            <v>66461.307717699892</v>
          </cell>
        </row>
        <row r="64">
          <cell r="K64">
            <v>71465.907851041673</v>
          </cell>
          <cell r="Y64">
            <v>603334.19036934164</v>
          </cell>
          <cell r="AR64">
            <v>20783.625039161208</v>
          </cell>
          <cell r="AS64">
            <v>9653.347045909466</v>
          </cell>
          <cell r="AY64">
            <v>90690.257530305607</v>
          </cell>
        </row>
        <row r="65">
          <cell r="K65">
            <v>96511.10077098581</v>
          </cell>
          <cell r="Y65">
            <v>852862.69473032502</v>
          </cell>
          <cell r="AR65">
            <v>33509.049851318588</v>
          </cell>
          <cell r="AS65">
            <v>15351.52850514585</v>
          </cell>
          <cell r="AY65">
            <v>121334.34916810261</v>
          </cell>
        </row>
        <row r="66">
          <cell r="K66">
            <v>124722.04865584592</v>
          </cell>
          <cell r="Y66">
            <v>1208670.1607558222</v>
          </cell>
          <cell r="AR66">
            <v>54129.166698951885</v>
          </cell>
          <cell r="AS66">
            <v>24173.403215116447</v>
          </cell>
          <cell r="AY66">
            <v>160968.92464032612</v>
          </cell>
        </row>
        <row r="67">
          <cell r="K67">
            <v>157558.66318255817</v>
          </cell>
          <cell r="Y67">
            <v>1627295.8513706364</v>
          </cell>
          <cell r="AR67">
            <v>84646.214676137999</v>
          </cell>
          <cell r="AS67">
            <v>35800.508730153997</v>
          </cell>
          <cell r="AY67">
            <v>206963.89094327184</v>
          </cell>
        </row>
        <row r="68">
          <cell r="K68">
            <v>196811.83481698728</v>
          </cell>
          <cell r="Y68">
            <v>2201432.7062131111</v>
          </cell>
          <cell r="AR68">
            <v>132025.60247407659</v>
          </cell>
          <cell r="AS68">
            <v>52834.384949114668</v>
          </cell>
          <cell r="AY68">
            <v>260001.15056440106</v>
          </cell>
        </row>
        <row r="69">
          <cell r="K69">
            <v>243991.67637086948</v>
          </cell>
          <cell r="Y69">
            <v>2891963.3537888601</v>
          </cell>
          <cell r="AR69">
            <v>181101.66657150551</v>
          </cell>
          <cell r="AS69">
            <v>75191.047198510365</v>
          </cell>
          <cell r="AY69">
            <v>323593.02412135358</v>
          </cell>
        </row>
        <row r="70">
          <cell r="K70">
            <v>300028.42611715489</v>
          </cell>
          <cell r="Y70">
            <v>3732003.0263034101</v>
          </cell>
          <cell r="AR70">
            <v>251679.89996601758</v>
          </cell>
          <cell r="AS70">
            <v>104496.08473649548</v>
          </cell>
          <cell r="AY70">
            <v>396906.59534809488</v>
          </cell>
        </row>
        <row r="71">
          <cell r="K71">
            <v>365826.34518473549</v>
          </cell>
          <cell r="Y71">
            <v>4833843.0268190159</v>
          </cell>
          <cell r="AR71">
            <v>358519.1022631849</v>
          </cell>
          <cell r="AS71">
            <v>145015.29080457045</v>
          </cell>
          <cell r="AY71">
            <v>486407.09649288649</v>
          </cell>
        </row>
        <row r="105">
          <cell r="K105">
            <v>4121.52869635764</v>
          </cell>
          <cell r="Y105">
            <v>27554.368207673964</v>
          </cell>
          <cell r="AR105">
            <v>455.79453466044515</v>
          </cell>
          <cell r="AS105">
            <v>165.32620924604379</v>
          </cell>
          <cell r="AY105">
            <v>6376.3013439390988</v>
          </cell>
        </row>
        <row r="106">
          <cell r="K106">
            <v>7135.9398598534081</v>
          </cell>
          <cell r="Y106">
            <v>44053.827202587527</v>
          </cell>
          <cell r="AR106">
            <v>851.72639241327636</v>
          </cell>
          <cell r="AS106">
            <v>264.32296321552514</v>
          </cell>
          <cell r="AY106">
            <v>10510.296291444614</v>
          </cell>
        </row>
        <row r="107">
          <cell r="K107">
            <v>10746.125475589459</v>
          </cell>
          <cell r="Y107">
            <v>69056.632578722507</v>
          </cell>
          <cell r="AR107">
            <v>1877.551849748143</v>
          </cell>
          <cell r="AS107">
            <v>552.45306062978011</v>
          </cell>
          <cell r="AY107">
            <v>15509.252810124828</v>
          </cell>
        </row>
        <row r="108">
          <cell r="K108">
            <v>14202.838334058799</v>
          </cell>
          <cell r="Y108">
            <v>87162.756158576361</v>
          </cell>
          <cell r="AR108">
            <v>2396.0362096217486</v>
          </cell>
          <cell r="AS108">
            <v>697.30204926861086</v>
          </cell>
          <cell r="AY108">
            <v>20630.108791102328</v>
          </cell>
        </row>
        <row r="109">
          <cell r="K109">
            <v>20091.649314273742</v>
          </cell>
          <cell r="Y109">
            <v>135884.94053316693</v>
          </cell>
          <cell r="AR109">
            <v>3548.9066540688409</v>
          </cell>
          <cell r="AS109">
            <v>1358.8494053316695</v>
          </cell>
          <cell r="AY109">
            <v>28916.150118530168</v>
          </cell>
        </row>
        <row r="110">
          <cell r="K110">
            <v>26591.895914383003</v>
          </cell>
          <cell r="Y110">
            <v>198730.58237891848</v>
          </cell>
          <cell r="AR110">
            <v>5243.32572975107</v>
          </cell>
          <cell r="AS110">
            <v>2384.7669885470214</v>
          </cell>
          <cell r="AY110">
            <v>38645.101034189815</v>
          </cell>
        </row>
        <row r="111">
          <cell r="K111">
            <v>39350.427549836648</v>
          </cell>
          <cell r="Y111">
            <v>279382.52166034654</v>
          </cell>
          <cell r="AR111">
            <v>9252.8893686887222</v>
          </cell>
          <cell r="AS111">
            <v>3911.3553032448517</v>
          </cell>
          <cell r="AY111">
            <v>55453.761421023592</v>
          </cell>
        </row>
        <row r="112">
          <cell r="K112">
            <v>57118.716623222652</v>
          </cell>
          <cell r="Y112">
            <v>435122.11067776708</v>
          </cell>
          <cell r="AR112">
            <v>16611.193010932424</v>
          </cell>
          <cell r="AS112">
            <v>6961.9537708442731</v>
          </cell>
          <cell r="AY112">
            <v>78715.005232207623</v>
          </cell>
        </row>
        <row r="113">
          <cell r="K113">
            <v>77713.603958463602</v>
          </cell>
          <cell r="Y113">
            <v>616822.53010896745</v>
          </cell>
          <cell r="AR113">
            <v>26982.481894483393</v>
          </cell>
          <cell r="AS113">
            <v>11102.805541961414</v>
          </cell>
          <cell r="AY113">
            <v>104539.99440111119</v>
          </cell>
        </row>
        <row r="114">
          <cell r="K114">
            <v>101290.65355350699</v>
          </cell>
          <cell r="Y114">
            <v>874288.28624087095</v>
          </cell>
          <cell r="AR114">
            <v>43959.979252526289</v>
          </cell>
          <cell r="AS114">
            <v>17485.765724817418</v>
          </cell>
          <cell r="AY114">
            <v>140055.9716512505</v>
          </cell>
        </row>
        <row r="115">
          <cell r="K115">
            <v>129011.13747616319</v>
          </cell>
          <cell r="Y115">
            <v>1174463.4292496885</v>
          </cell>
          <cell r="AR115">
            <v>69309.450955210574</v>
          </cell>
          <cell r="AS115">
            <v>25838.195443493147</v>
          </cell>
          <cell r="AY115">
            <v>180977.44260211888</v>
          </cell>
        </row>
        <row r="116">
          <cell r="K116">
            <v>162358.50424233015</v>
          </cell>
          <cell r="Y116">
            <v>1590914.3895723277</v>
          </cell>
          <cell r="AR116">
            <v>108913.56893916531</v>
          </cell>
          <cell r="AS116">
            <v>38181.945349735863</v>
          </cell>
          <cell r="AY116">
            <v>227256.9105719325</v>
          </cell>
        </row>
        <row r="117">
          <cell r="K117">
            <v>197909.52074185316</v>
          </cell>
          <cell r="Y117">
            <v>2084630.1263896551</v>
          </cell>
          <cell r="AR117">
            <v>146897.4047386673</v>
          </cell>
          <cell r="AS117">
            <v>54200.383286131029</v>
          </cell>
          <cell r="AY117">
            <v>278181.61437115038</v>
          </cell>
        </row>
        <row r="118">
          <cell r="K118">
            <v>239244.51577583081</v>
          </cell>
          <cell r="Y118">
            <v>2686960.2743810713</v>
          </cell>
          <cell r="AR118">
            <v>200691.10309690272</v>
          </cell>
          <cell r="AS118">
            <v>75234.88768267</v>
          </cell>
          <cell r="AY118">
            <v>334629.45151922753</v>
          </cell>
        </row>
        <row r="119">
          <cell r="K119">
            <v>287012.50133139518</v>
          </cell>
          <cell r="Y119">
            <v>3479403.9000463951</v>
          </cell>
          <cell r="AR119">
            <v>281279.53514031548</v>
          </cell>
          <cell r="AS119">
            <v>104382.11700139186</v>
          </cell>
          <cell r="AY119">
            <v>403417.5580772977</v>
          </cell>
        </row>
      </sheetData>
      <sheetData sheetId="7">
        <row r="17">
          <cell r="A17">
            <v>70</v>
          </cell>
        </row>
      </sheetData>
      <sheetData sheetId="8">
        <row r="81">
          <cell r="K81">
            <v>80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nster.xml"/>
      <sheetName val="monster-客户端"/>
      <sheetName val="精英副本难度"/>
    </sheetNames>
    <sheetDataSet>
      <sheetData sheetId="0">
        <row r="347">
          <cell r="C347">
            <v>30</v>
          </cell>
          <cell r="D347" t="str">
            <v>战士幻象</v>
          </cell>
        </row>
        <row r="348">
          <cell r="C348">
            <v>30</v>
          </cell>
          <cell r="D348" t="str">
            <v>法力风暴</v>
          </cell>
        </row>
        <row r="349">
          <cell r="C349">
            <v>31</v>
          </cell>
          <cell r="D349" t="str">
            <v>角斗士里奥</v>
          </cell>
        </row>
        <row r="350">
          <cell r="C350">
            <v>31</v>
          </cell>
          <cell r="D350" t="str">
            <v>荒野游侠</v>
          </cell>
        </row>
        <row r="351">
          <cell r="C351">
            <v>31</v>
          </cell>
          <cell r="D351" t="str">
            <v>憾地者</v>
          </cell>
        </row>
        <row r="352">
          <cell r="C352">
            <v>32</v>
          </cell>
          <cell r="D352" t="str">
            <v>拉兹</v>
          </cell>
        </row>
        <row r="353">
          <cell r="C353">
            <v>32</v>
          </cell>
          <cell r="D353" t="str">
            <v>塔克</v>
          </cell>
        </row>
        <row r="354">
          <cell r="C354">
            <v>32</v>
          </cell>
          <cell r="D354" t="str">
            <v>迪皮斯</v>
          </cell>
        </row>
        <row r="355">
          <cell r="C355">
            <v>33</v>
          </cell>
          <cell r="D355" t="str">
            <v>狂野安东尼</v>
          </cell>
        </row>
        <row r="356">
          <cell r="C356">
            <v>34</v>
          </cell>
          <cell r="D356" t="str">
            <v>巡林者瑞克</v>
          </cell>
        </row>
        <row r="357">
          <cell r="C357">
            <v>35</v>
          </cell>
          <cell r="D357" t="str">
            <v>战士幻象</v>
          </cell>
        </row>
        <row r="358">
          <cell r="C358">
            <v>35</v>
          </cell>
          <cell r="D358" t="str">
            <v>法力风暴</v>
          </cell>
        </row>
        <row r="359">
          <cell r="C359">
            <v>36</v>
          </cell>
          <cell r="D359" t="str">
            <v>角斗士里奥</v>
          </cell>
        </row>
        <row r="360">
          <cell r="C360">
            <v>36</v>
          </cell>
          <cell r="D360" t="str">
            <v>荒野游侠</v>
          </cell>
        </row>
        <row r="361">
          <cell r="C361">
            <v>36</v>
          </cell>
          <cell r="D361" t="str">
            <v>憾地者</v>
          </cell>
        </row>
        <row r="362">
          <cell r="C362">
            <v>37</v>
          </cell>
          <cell r="D362" t="str">
            <v>拉兹</v>
          </cell>
        </row>
        <row r="363">
          <cell r="C363">
            <v>37</v>
          </cell>
          <cell r="D363" t="str">
            <v>塔克</v>
          </cell>
        </row>
        <row r="364">
          <cell r="C364">
            <v>37</v>
          </cell>
          <cell r="D364" t="str">
            <v>迪皮斯</v>
          </cell>
        </row>
        <row r="365">
          <cell r="C365">
            <v>38</v>
          </cell>
          <cell r="D365" t="str">
            <v>狂野安东尼</v>
          </cell>
        </row>
        <row r="366">
          <cell r="C366">
            <v>39</v>
          </cell>
          <cell r="D366" t="str">
            <v>巡林者瑞克</v>
          </cell>
        </row>
        <row r="367">
          <cell r="C367">
            <v>40</v>
          </cell>
          <cell r="D367" t="str">
            <v>战士幻象</v>
          </cell>
        </row>
        <row r="368">
          <cell r="C368">
            <v>40</v>
          </cell>
          <cell r="D368" t="str">
            <v>法力风暴</v>
          </cell>
        </row>
        <row r="369">
          <cell r="C369">
            <v>41</v>
          </cell>
          <cell r="D369" t="str">
            <v>角斗士里奥</v>
          </cell>
        </row>
        <row r="370">
          <cell r="C370">
            <v>41</v>
          </cell>
          <cell r="D370" t="str">
            <v>荒野游侠</v>
          </cell>
        </row>
        <row r="371">
          <cell r="C371">
            <v>41</v>
          </cell>
          <cell r="D371" t="str">
            <v>憾地者</v>
          </cell>
        </row>
        <row r="372">
          <cell r="C372">
            <v>42</v>
          </cell>
          <cell r="D372" t="str">
            <v>拉兹</v>
          </cell>
        </row>
        <row r="373">
          <cell r="C373">
            <v>42</v>
          </cell>
          <cell r="D373" t="str">
            <v>塔克</v>
          </cell>
        </row>
        <row r="374">
          <cell r="C374">
            <v>42</v>
          </cell>
          <cell r="D374" t="str">
            <v>迪皮斯</v>
          </cell>
        </row>
        <row r="375">
          <cell r="C375">
            <v>43</v>
          </cell>
          <cell r="D375" t="str">
            <v>狂野安东尼</v>
          </cell>
        </row>
        <row r="376">
          <cell r="C376">
            <v>44</v>
          </cell>
          <cell r="D376" t="str">
            <v>巡林者瑞克</v>
          </cell>
        </row>
        <row r="377">
          <cell r="C377">
            <v>45</v>
          </cell>
          <cell r="D377" t="str">
            <v>战士幻象</v>
          </cell>
        </row>
        <row r="378">
          <cell r="C378">
            <v>45</v>
          </cell>
          <cell r="D378" t="str">
            <v>法力风暴</v>
          </cell>
        </row>
        <row r="379">
          <cell r="C379">
            <v>46</v>
          </cell>
          <cell r="D379" t="str">
            <v>角斗士里奥</v>
          </cell>
        </row>
        <row r="380">
          <cell r="C380">
            <v>46</v>
          </cell>
          <cell r="D380" t="str">
            <v>荒野游侠</v>
          </cell>
        </row>
        <row r="381">
          <cell r="C381">
            <v>46</v>
          </cell>
          <cell r="D381" t="str">
            <v>憾地者</v>
          </cell>
        </row>
        <row r="382">
          <cell r="C382">
            <v>47</v>
          </cell>
          <cell r="D382" t="str">
            <v>拉兹</v>
          </cell>
        </row>
        <row r="383">
          <cell r="C383">
            <v>47</v>
          </cell>
          <cell r="D383" t="str">
            <v>塔克</v>
          </cell>
        </row>
        <row r="384">
          <cell r="C384">
            <v>47</v>
          </cell>
          <cell r="D384" t="str">
            <v>迪皮斯</v>
          </cell>
        </row>
        <row r="385">
          <cell r="C385">
            <v>48</v>
          </cell>
          <cell r="D385" t="str">
            <v>狂野安东尼</v>
          </cell>
        </row>
        <row r="386">
          <cell r="C386">
            <v>49</v>
          </cell>
          <cell r="D386" t="str">
            <v>巡林者瑞克</v>
          </cell>
        </row>
        <row r="387">
          <cell r="C387">
            <v>50</v>
          </cell>
          <cell r="D387" t="str">
            <v>战士幻象</v>
          </cell>
        </row>
        <row r="388">
          <cell r="C388">
            <v>50</v>
          </cell>
          <cell r="D388" t="str">
            <v>法力风暴</v>
          </cell>
        </row>
        <row r="389">
          <cell r="C389">
            <v>51</v>
          </cell>
          <cell r="D389" t="str">
            <v>角斗士里奥</v>
          </cell>
        </row>
        <row r="390">
          <cell r="C390">
            <v>51</v>
          </cell>
          <cell r="D390" t="str">
            <v>荒野游侠</v>
          </cell>
        </row>
        <row r="391">
          <cell r="C391">
            <v>51</v>
          </cell>
          <cell r="D391" t="str">
            <v>憾地者</v>
          </cell>
        </row>
        <row r="392">
          <cell r="C392">
            <v>52</v>
          </cell>
          <cell r="D392" t="str">
            <v>拉兹</v>
          </cell>
        </row>
        <row r="393">
          <cell r="C393">
            <v>52</v>
          </cell>
          <cell r="D393" t="str">
            <v>塔克</v>
          </cell>
        </row>
        <row r="394">
          <cell r="C394">
            <v>52</v>
          </cell>
          <cell r="D394" t="str">
            <v>迪皮斯</v>
          </cell>
        </row>
        <row r="395">
          <cell r="C395">
            <v>53</v>
          </cell>
          <cell r="D395" t="str">
            <v>狂野安东尼</v>
          </cell>
        </row>
        <row r="396">
          <cell r="C396">
            <v>54</v>
          </cell>
          <cell r="D396" t="str">
            <v>巡林者瑞克</v>
          </cell>
        </row>
        <row r="397">
          <cell r="C397">
            <v>55</v>
          </cell>
          <cell r="D397" t="str">
            <v>战士幻象</v>
          </cell>
        </row>
        <row r="398">
          <cell r="C398">
            <v>55</v>
          </cell>
          <cell r="D398" t="str">
            <v>法力风暴</v>
          </cell>
        </row>
        <row r="399">
          <cell r="C399">
            <v>56</v>
          </cell>
          <cell r="D399" t="str">
            <v>角斗士里奥</v>
          </cell>
        </row>
        <row r="400">
          <cell r="C400">
            <v>56</v>
          </cell>
          <cell r="D400" t="str">
            <v>荒野游侠</v>
          </cell>
        </row>
        <row r="401">
          <cell r="C401">
            <v>56</v>
          </cell>
          <cell r="D401" t="str">
            <v>憾地者</v>
          </cell>
        </row>
        <row r="402">
          <cell r="C402">
            <v>57</v>
          </cell>
          <cell r="D402" t="str">
            <v>拉兹</v>
          </cell>
        </row>
        <row r="403">
          <cell r="C403">
            <v>57</v>
          </cell>
          <cell r="D403" t="str">
            <v>塔克</v>
          </cell>
        </row>
        <row r="404">
          <cell r="C404">
            <v>57</v>
          </cell>
          <cell r="D404" t="str">
            <v>迪皮斯</v>
          </cell>
        </row>
        <row r="405">
          <cell r="C405">
            <v>58</v>
          </cell>
          <cell r="D405" t="str">
            <v>狂野安东尼</v>
          </cell>
        </row>
        <row r="406">
          <cell r="C406">
            <v>59</v>
          </cell>
          <cell r="D406" t="str">
            <v>巡林者瑞克</v>
          </cell>
        </row>
        <row r="407">
          <cell r="C407">
            <v>60</v>
          </cell>
          <cell r="D407" t="str">
            <v>坚定的格雷格</v>
          </cell>
        </row>
        <row r="408">
          <cell r="C408">
            <v>60</v>
          </cell>
          <cell r="D408" t="str">
            <v>莱恩的倒影</v>
          </cell>
        </row>
        <row r="409">
          <cell r="C409">
            <v>61</v>
          </cell>
          <cell r="D409" t="str">
            <v>混乱的玛尔达</v>
          </cell>
        </row>
        <row r="410">
          <cell r="C410">
            <v>61</v>
          </cell>
          <cell r="D410" t="str">
            <v>驯兽师瓦纳</v>
          </cell>
        </row>
        <row r="411">
          <cell r="C411">
            <v>61</v>
          </cell>
          <cell r="D411" t="str">
            <v>多兰</v>
          </cell>
        </row>
        <row r="412">
          <cell r="C412">
            <v>61</v>
          </cell>
          <cell r="D412" t="str">
            <v>约翰</v>
          </cell>
        </row>
        <row r="413">
          <cell r="C413">
            <v>61</v>
          </cell>
          <cell r="D413" t="str">
            <v>炎之安苏</v>
          </cell>
        </row>
        <row r="414">
          <cell r="C414">
            <v>62</v>
          </cell>
          <cell r="D414" t="str">
            <v>迅捷的维恩</v>
          </cell>
        </row>
        <row r="415">
          <cell r="C415">
            <v>62</v>
          </cell>
          <cell r="D415" t="str">
            <v>暮光预言者</v>
          </cell>
        </row>
        <row r="416">
          <cell r="C416">
            <v>63</v>
          </cell>
          <cell r="D416" t="str">
            <v>卡雷</v>
          </cell>
        </row>
        <row r="417">
          <cell r="C417">
            <v>64</v>
          </cell>
          <cell r="D417" t="str">
            <v>日光弗雷尔</v>
          </cell>
        </row>
        <row r="418">
          <cell r="C418">
            <v>65</v>
          </cell>
          <cell r="D418" t="str">
            <v>坚定的格雷格</v>
          </cell>
        </row>
        <row r="419">
          <cell r="C419">
            <v>65</v>
          </cell>
          <cell r="D419" t="str">
            <v>莱恩的倒影</v>
          </cell>
        </row>
        <row r="420">
          <cell r="C420">
            <v>66</v>
          </cell>
          <cell r="D420" t="str">
            <v>混乱的玛尔达</v>
          </cell>
        </row>
        <row r="421">
          <cell r="C421">
            <v>66</v>
          </cell>
          <cell r="D421" t="str">
            <v>驯兽师瓦纳</v>
          </cell>
        </row>
        <row r="422">
          <cell r="C422">
            <v>66</v>
          </cell>
          <cell r="D422" t="str">
            <v>多兰</v>
          </cell>
        </row>
        <row r="423">
          <cell r="C423">
            <v>66</v>
          </cell>
          <cell r="D423" t="str">
            <v>约翰</v>
          </cell>
        </row>
        <row r="424">
          <cell r="C424">
            <v>66</v>
          </cell>
          <cell r="D424" t="str">
            <v>炎之安苏</v>
          </cell>
        </row>
        <row r="425">
          <cell r="C425">
            <v>67</v>
          </cell>
          <cell r="D425" t="str">
            <v>迅捷的维恩</v>
          </cell>
        </row>
        <row r="426">
          <cell r="C426">
            <v>67</v>
          </cell>
          <cell r="D426" t="str">
            <v>暮光预言者</v>
          </cell>
        </row>
        <row r="427">
          <cell r="C427">
            <v>68</v>
          </cell>
          <cell r="D427" t="str">
            <v>卡雷</v>
          </cell>
        </row>
        <row r="428">
          <cell r="C428">
            <v>69</v>
          </cell>
          <cell r="D428" t="str">
            <v>日光弗雷尔</v>
          </cell>
        </row>
        <row r="429">
          <cell r="C429">
            <v>70</v>
          </cell>
          <cell r="D429" t="str">
            <v>坚定的格雷格</v>
          </cell>
        </row>
        <row r="430">
          <cell r="C430">
            <v>70</v>
          </cell>
          <cell r="D430" t="str">
            <v>莱恩的倒影</v>
          </cell>
        </row>
        <row r="431">
          <cell r="C431">
            <v>71</v>
          </cell>
          <cell r="D431" t="str">
            <v>混乱的玛尔达</v>
          </cell>
        </row>
        <row r="432">
          <cell r="C432">
            <v>71</v>
          </cell>
          <cell r="D432" t="str">
            <v>驯兽师瓦纳</v>
          </cell>
        </row>
        <row r="433">
          <cell r="C433">
            <v>71</v>
          </cell>
          <cell r="D433" t="str">
            <v>多兰</v>
          </cell>
        </row>
        <row r="434">
          <cell r="C434">
            <v>71</v>
          </cell>
          <cell r="D434" t="str">
            <v>约翰</v>
          </cell>
        </row>
        <row r="435">
          <cell r="C435">
            <v>71</v>
          </cell>
          <cell r="D435" t="str">
            <v>炎之安苏</v>
          </cell>
        </row>
        <row r="436">
          <cell r="C436">
            <v>72</v>
          </cell>
          <cell r="D436" t="str">
            <v>迅捷的维恩</v>
          </cell>
        </row>
        <row r="437">
          <cell r="C437">
            <v>72</v>
          </cell>
          <cell r="D437" t="str">
            <v>暮光预言者</v>
          </cell>
        </row>
        <row r="438">
          <cell r="C438">
            <v>73</v>
          </cell>
          <cell r="D438" t="str">
            <v>卡雷</v>
          </cell>
        </row>
        <row r="439">
          <cell r="C439">
            <v>74</v>
          </cell>
          <cell r="D439" t="str">
            <v>日光弗雷尔</v>
          </cell>
        </row>
        <row r="440">
          <cell r="C440">
            <v>75</v>
          </cell>
          <cell r="D440" t="str">
            <v>坚定的格雷格</v>
          </cell>
        </row>
        <row r="441">
          <cell r="C441">
            <v>75</v>
          </cell>
          <cell r="D441" t="str">
            <v>莱恩的倒影</v>
          </cell>
        </row>
        <row r="442">
          <cell r="C442">
            <v>76</v>
          </cell>
          <cell r="D442" t="str">
            <v>混乱的玛尔达</v>
          </cell>
        </row>
        <row r="443">
          <cell r="C443">
            <v>76</v>
          </cell>
          <cell r="D443" t="str">
            <v>驯兽师瓦纳</v>
          </cell>
        </row>
        <row r="444">
          <cell r="C444">
            <v>76</v>
          </cell>
          <cell r="D444" t="str">
            <v>多兰</v>
          </cell>
        </row>
        <row r="445">
          <cell r="C445">
            <v>76</v>
          </cell>
          <cell r="D445" t="str">
            <v>约翰</v>
          </cell>
        </row>
        <row r="446">
          <cell r="C446">
            <v>76</v>
          </cell>
          <cell r="D446" t="str">
            <v>炎之安苏</v>
          </cell>
        </row>
        <row r="447">
          <cell r="C447">
            <v>77</v>
          </cell>
          <cell r="D447" t="str">
            <v>迅捷的维恩</v>
          </cell>
        </row>
        <row r="448">
          <cell r="C448">
            <v>77</v>
          </cell>
          <cell r="D448" t="str">
            <v>暮光预言者</v>
          </cell>
        </row>
        <row r="449">
          <cell r="C449">
            <v>78</v>
          </cell>
          <cell r="D449" t="str">
            <v>卡雷</v>
          </cell>
        </row>
        <row r="450">
          <cell r="C450">
            <v>79</v>
          </cell>
          <cell r="D450" t="str">
            <v>日光弗雷尔</v>
          </cell>
        </row>
        <row r="451">
          <cell r="C451">
            <v>80</v>
          </cell>
          <cell r="D451" t="str">
            <v>坚定的格雷格</v>
          </cell>
        </row>
        <row r="452">
          <cell r="C452">
            <v>80</v>
          </cell>
          <cell r="D452" t="str">
            <v>莱恩的倒影</v>
          </cell>
        </row>
        <row r="453">
          <cell r="C453">
            <v>81</v>
          </cell>
          <cell r="D453" t="str">
            <v>混乱的玛尔达</v>
          </cell>
        </row>
        <row r="454">
          <cell r="C454">
            <v>81</v>
          </cell>
          <cell r="D454" t="str">
            <v>驯兽师瓦纳</v>
          </cell>
        </row>
        <row r="455">
          <cell r="C455">
            <v>81</v>
          </cell>
          <cell r="D455" t="str">
            <v>多兰</v>
          </cell>
        </row>
        <row r="456">
          <cell r="C456">
            <v>81</v>
          </cell>
          <cell r="D456" t="str">
            <v>约翰</v>
          </cell>
        </row>
        <row r="457">
          <cell r="C457">
            <v>81</v>
          </cell>
          <cell r="D457" t="str">
            <v>炎之安苏</v>
          </cell>
        </row>
        <row r="458">
          <cell r="C458">
            <v>82</v>
          </cell>
          <cell r="D458" t="str">
            <v>迅捷的维恩</v>
          </cell>
        </row>
        <row r="459">
          <cell r="C459">
            <v>82</v>
          </cell>
          <cell r="D459" t="str">
            <v>暮光预言者</v>
          </cell>
        </row>
        <row r="460">
          <cell r="C460">
            <v>83</v>
          </cell>
          <cell r="D460" t="str">
            <v>卡雷</v>
          </cell>
        </row>
        <row r="461">
          <cell r="C461">
            <v>84</v>
          </cell>
          <cell r="D461" t="str">
            <v>日光弗雷尔</v>
          </cell>
        </row>
        <row r="462">
          <cell r="C462">
            <v>85</v>
          </cell>
          <cell r="D462" t="str">
            <v>疾风克鲁</v>
          </cell>
        </row>
        <row r="463">
          <cell r="C463">
            <v>85</v>
          </cell>
          <cell r="D463" t="str">
            <v>拨弄的赛亚</v>
          </cell>
        </row>
        <row r="464">
          <cell r="C464">
            <v>86</v>
          </cell>
          <cell r="D464" t="str">
            <v>法力风暴</v>
          </cell>
        </row>
        <row r="465">
          <cell r="C465">
            <v>86</v>
          </cell>
          <cell r="D465" t="str">
            <v>火舞者</v>
          </cell>
        </row>
        <row r="466">
          <cell r="C466">
            <v>86</v>
          </cell>
          <cell r="D466" t="str">
            <v>血誓审判者</v>
          </cell>
        </row>
        <row r="467">
          <cell r="C467">
            <v>86</v>
          </cell>
          <cell r="D467" t="str">
            <v>血誓预言者</v>
          </cell>
        </row>
        <row r="468">
          <cell r="C468">
            <v>86</v>
          </cell>
          <cell r="D468" t="str">
            <v>血誓召唤者</v>
          </cell>
        </row>
        <row r="469">
          <cell r="C469">
            <v>86</v>
          </cell>
          <cell r="D469" t="str">
            <v>血誓领主</v>
          </cell>
        </row>
        <row r="470">
          <cell r="C470">
            <v>87</v>
          </cell>
          <cell r="D470" t="str">
            <v>舞钢者拜伦</v>
          </cell>
        </row>
        <row r="471">
          <cell r="C471">
            <v>87</v>
          </cell>
          <cell r="D471" t="str">
            <v>风暴之王</v>
          </cell>
        </row>
        <row r="472">
          <cell r="C472">
            <v>88</v>
          </cell>
          <cell r="D472" t="str">
            <v>雷伊战争使者</v>
          </cell>
        </row>
        <row r="473">
          <cell r="C473">
            <v>89</v>
          </cell>
          <cell r="D473" t="str">
            <v>暴君泰伦</v>
          </cell>
        </row>
        <row r="474">
          <cell r="C474">
            <v>90</v>
          </cell>
          <cell r="D474" t="str">
            <v>疾风克鲁</v>
          </cell>
        </row>
        <row r="475">
          <cell r="C475">
            <v>90</v>
          </cell>
          <cell r="D475" t="str">
            <v>拨弄的赛亚</v>
          </cell>
        </row>
        <row r="476">
          <cell r="C476">
            <v>91</v>
          </cell>
          <cell r="D476" t="str">
            <v>法力风暴</v>
          </cell>
        </row>
        <row r="477">
          <cell r="C477">
            <v>91</v>
          </cell>
          <cell r="D477" t="str">
            <v>火舞者</v>
          </cell>
        </row>
        <row r="478">
          <cell r="C478">
            <v>91</v>
          </cell>
          <cell r="D478" t="str">
            <v>血誓审判者</v>
          </cell>
        </row>
        <row r="479">
          <cell r="C479">
            <v>91</v>
          </cell>
          <cell r="D479" t="str">
            <v>血誓预言者</v>
          </cell>
        </row>
        <row r="480">
          <cell r="C480">
            <v>91</v>
          </cell>
          <cell r="D480" t="str">
            <v>血誓召唤者</v>
          </cell>
        </row>
        <row r="481">
          <cell r="C481">
            <v>91</v>
          </cell>
          <cell r="D481" t="str">
            <v>血誓领主</v>
          </cell>
        </row>
        <row r="482">
          <cell r="C482">
            <v>92</v>
          </cell>
          <cell r="D482" t="str">
            <v>舞钢者拜伦</v>
          </cell>
        </row>
        <row r="483">
          <cell r="C483">
            <v>92</v>
          </cell>
          <cell r="D483" t="str">
            <v>风暴之王</v>
          </cell>
        </row>
        <row r="484">
          <cell r="C484">
            <v>93</v>
          </cell>
          <cell r="D484" t="str">
            <v>雷伊战争使者</v>
          </cell>
        </row>
        <row r="485">
          <cell r="C485">
            <v>94</v>
          </cell>
          <cell r="D485" t="str">
            <v>暴君泰伦</v>
          </cell>
        </row>
        <row r="486">
          <cell r="C486">
            <v>95</v>
          </cell>
          <cell r="D486" t="str">
            <v>疾风克鲁</v>
          </cell>
        </row>
        <row r="487">
          <cell r="C487">
            <v>95</v>
          </cell>
          <cell r="D487" t="str">
            <v>拨弄的赛亚</v>
          </cell>
        </row>
        <row r="488">
          <cell r="C488">
            <v>96</v>
          </cell>
          <cell r="D488" t="str">
            <v>法力风暴</v>
          </cell>
        </row>
        <row r="489">
          <cell r="C489">
            <v>96</v>
          </cell>
          <cell r="D489" t="str">
            <v>火舞者</v>
          </cell>
        </row>
        <row r="490">
          <cell r="C490">
            <v>96</v>
          </cell>
          <cell r="D490" t="str">
            <v>血誓审判者</v>
          </cell>
        </row>
        <row r="491">
          <cell r="C491">
            <v>96</v>
          </cell>
          <cell r="D491" t="str">
            <v>血誓预言者</v>
          </cell>
        </row>
        <row r="492">
          <cell r="C492">
            <v>96</v>
          </cell>
          <cell r="D492" t="str">
            <v>血誓召唤者</v>
          </cell>
        </row>
        <row r="493">
          <cell r="C493">
            <v>96</v>
          </cell>
          <cell r="D493" t="str">
            <v>血誓领主</v>
          </cell>
        </row>
        <row r="494">
          <cell r="C494">
            <v>97</v>
          </cell>
          <cell r="D494" t="str">
            <v>舞钢者拜伦</v>
          </cell>
        </row>
        <row r="495">
          <cell r="C495">
            <v>97</v>
          </cell>
          <cell r="D495" t="str">
            <v>风暴之王</v>
          </cell>
        </row>
        <row r="496">
          <cell r="C496">
            <v>98</v>
          </cell>
          <cell r="D496" t="str">
            <v>雷伊战争使者</v>
          </cell>
        </row>
        <row r="497">
          <cell r="C497">
            <v>99</v>
          </cell>
          <cell r="D497" t="str">
            <v>暴君泰伦</v>
          </cell>
        </row>
        <row r="498">
          <cell r="C498">
            <v>100</v>
          </cell>
          <cell r="D498" t="str">
            <v>疾风克鲁</v>
          </cell>
        </row>
        <row r="499">
          <cell r="C499">
            <v>100</v>
          </cell>
          <cell r="D499" t="str">
            <v>拨弄的赛亚</v>
          </cell>
        </row>
        <row r="500">
          <cell r="C500">
            <v>101</v>
          </cell>
          <cell r="D500" t="str">
            <v>法力风暴</v>
          </cell>
        </row>
        <row r="501">
          <cell r="C501">
            <v>101</v>
          </cell>
          <cell r="D501" t="str">
            <v>火舞者</v>
          </cell>
        </row>
        <row r="502">
          <cell r="C502">
            <v>101</v>
          </cell>
          <cell r="D502" t="str">
            <v>血誓审判者</v>
          </cell>
        </row>
        <row r="503">
          <cell r="C503">
            <v>101</v>
          </cell>
          <cell r="D503" t="str">
            <v>血誓预言者</v>
          </cell>
        </row>
        <row r="504">
          <cell r="C504">
            <v>101</v>
          </cell>
          <cell r="D504" t="str">
            <v>血誓召唤者</v>
          </cell>
        </row>
        <row r="505">
          <cell r="C505">
            <v>101</v>
          </cell>
          <cell r="D505" t="str">
            <v>血誓领主</v>
          </cell>
        </row>
        <row r="506">
          <cell r="C506">
            <v>102</v>
          </cell>
          <cell r="D506" t="str">
            <v>舞钢者拜伦</v>
          </cell>
        </row>
        <row r="507">
          <cell r="C507">
            <v>102</v>
          </cell>
          <cell r="D507" t="str">
            <v>风暴之王</v>
          </cell>
        </row>
        <row r="508">
          <cell r="C508">
            <v>102</v>
          </cell>
          <cell r="D508" t="str">
            <v>雷伊战争使者</v>
          </cell>
        </row>
        <row r="509">
          <cell r="C509">
            <v>102</v>
          </cell>
          <cell r="D509" t="str">
            <v>暴君泰伦</v>
          </cell>
        </row>
        <row r="510">
          <cell r="C510">
            <v>30</v>
          </cell>
          <cell r="D510" t="str">
            <v>猎人幻象</v>
          </cell>
        </row>
        <row r="511">
          <cell r="C511">
            <v>30</v>
          </cell>
          <cell r="D511" t="str">
            <v>法力风暴</v>
          </cell>
        </row>
        <row r="512">
          <cell r="C512">
            <v>31</v>
          </cell>
          <cell r="D512" t="str">
            <v>角斗士里奥</v>
          </cell>
        </row>
        <row r="513">
          <cell r="C513">
            <v>31</v>
          </cell>
          <cell r="D513" t="str">
            <v>荒野游侠</v>
          </cell>
        </row>
        <row r="514">
          <cell r="C514">
            <v>31</v>
          </cell>
          <cell r="D514" t="str">
            <v>憾地者</v>
          </cell>
        </row>
        <row r="515">
          <cell r="C515">
            <v>32</v>
          </cell>
          <cell r="D515" t="str">
            <v>拉兹</v>
          </cell>
        </row>
        <row r="516">
          <cell r="C516">
            <v>32</v>
          </cell>
          <cell r="D516" t="str">
            <v>塔克</v>
          </cell>
        </row>
        <row r="517">
          <cell r="C517">
            <v>32</v>
          </cell>
          <cell r="D517" t="str">
            <v>迪皮斯</v>
          </cell>
        </row>
        <row r="518">
          <cell r="C518">
            <v>33</v>
          </cell>
          <cell r="D518" t="str">
            <v>狂野安东尼</v>
          </cell>
        </row>
        <row r="519">
          <cell r="C519">
            <v>34</v>
          </cell>
          <cell r="D519" t="str">
            <v>巡林者瑞克</v>
          </cell>
        </row>
        <row r="520">
          <cell r="C520">
            <v>35</v>
          </cell>
          <cell r="D520" t="str">
            <v>猎人幻象</v>
          </cell>
        </row>
        <row r="521">
          <cell r="C521">
            <v>35</v>
          </cell>
          <cell r="D521" t="str">
            <v>法力风暴</v>
          </cell>
        </row>
        <row r="522">
          <cell r="C522">
            <v>36</v>
          </cell>
          <cell r="D522" t="str">
            <v>角斗士里奥</v>
          </cell>
        </row>
        <row r="523">
          <cell r="C523">
            <v>36</v>
          </cell>
          <cell r="D523" t="str">
            <v>荒野游侠</v>
          </cell>
        </row>
        <row r="524">
          <cell r="C524">
            <v>36</v>
          </cell>
          <cell r="D524" t="str">
            <v>憾地者</v>
          </cell>
        </row>
        <row r="525">
          <cell r="C525">
            <v>37</v>
          </cell>
          <cell r="D525" t="str">
            <v>拉兹</v>
          </cell>
        </row>
        <row r="526">
          <cell r="C526">
            <v>37</v>
          </cell>
          <cell r="D526" t="str">
            <v>塔克</v>
          </cell>
        </row>
        <row r="527">
          <cell r="C527">
            <v>37</v>
          </cell>
          <cell r="D527" t="str">
            <v>迪皮斯</v>
          </cell>
        </row>
        <row r="528">
          <cell r="C528">
            <v>38</v>
          </cell>
          <cell r="D528" t="str">
            <v>狂野安东尼</v>
          </cell>
        </row>
        <row r="529">
          <cell r="C529">
            <v>39</v>
          </cell>
          <cell r="D529" t="str">
            <v>巡林者瑞克</v>
          </cell>
        </row>
        <row r="530">
          <cell r="C530">
            <v>40</v>
          </cell>
          <cell r="D530" t="str">
            <v>猎人幻象</v>
          </cell>
        </row>
        <row r="531">
          <cell r="C531">
            <v>40</v>
          </cell>
          <cell r="D531" t="str">
            <v>法力风暴</v>
          </cell>
        </row>
        <row r="532">
          <cell r="C532">
            <v>41</v>
          </cell>
          <cell r="D532" t="str">
            <v>角斗士里奥</v>
          </cell>
        </row>
        <row r="533">
          <cell r="C533">
            <v>41</v>
          </cell>
          <cell r="D533" t="str">
            <v>荒野游侠</v>
          </cell>
        </row>
        <row r="534">
          <cell r="C534">
            <v>41</v>
          </cell>
          <cell r="D534" t="str">
            <v>憾地者</v>
          </cell>
        </row>
        <row r="535">
          <cell r="C535">
            <v>42</v>
          </cell>
          <cell r="D535" t="str">
            <v>拉兹</v>
          </cell>
        </row>
        <row r="536">
          <cell r="C536">
            <v>42</v>
          </cell>
          <cell r="D536" t="str">
            <v>塔克</v>
          </cell>
        </row>
        <row r="537">
          <cell r="C537">
            <v>42</v>
          </cell>
          <cell r="D537" t="str">
            <v>迪皮斯</v>
          </cell>
        </row>
        <row r="538">
          <cell r="C538">
            <v>43</v>
          </cell>
          <cell r="D538" t="str">
            <v>狂野安东尼</v>
          </cell>
        </row>
        <row r="539">
          <cell r="C539">
            <v>44</v>
          </cell>
          <cell r="D539" t="str">
            <v>巡林者瑞克</v>
          </cell>
        </row>
        <row r="540">
          <cell r="C540">
            <v>45</v>
          </cell>
          <cell r="D540" t="str">
            <v>猎人幻象</v>
          </cell>
        </row>
        <row r="541">
          <cell r="C541">
            <v>45</v>
          </cell>
          <cell r="D541" t="str">
            <v>法力风暴</v>
          </cell>
        </row>
        <row r="542">
          <cell r="C542">
            <v>46</v>
          </cell>
          <cell r="D542" t="str">
            <v>角斗士里奥</v>
          </cell>
        </row>
        <row r="543">
          <cell r="C543">
            <v>46</v>
          </cell>
          <cell r="D543" t="str">
            <v>荒野游侠</v>
          </cell>
        </row>
        <row r="544">
          <cell r="C544">
            <v>46</v>
          </cell>
          <cell r="D544" t="str">
            <v>憾地者</v>
          </cell>
        </row>
        <row r="545">
          <cell r="C545">
            <v>47</v>
          </cell>
          <cell r="D545" t="str">
            <v>拉兹</v>
          </cell>
        </row>
        <row r="546">
          <cell r="C546">
            <v>47</v>
          </cell>
          <cell r="D546" t="str">
            <v>塔克</v>
          </cell>
        </row>
        <row r="547">
          <cell r="C547">
            <v>47</v>
          </cell>
          <cell r="D547" t="str">
            <v>迪皮斯</v>
          </cell>
        </row>
        <row r="548">
          <cell r="C548">
            <v>48</v>
          </cell>
          <cell r="D548" t="str">
            <v>狂野安东尼</v>
          </cell>
        </row>
        <row r="549">
          <cell r="C549">
            <v>49</v>
          </cell>
          <cell r="D549" t="str">
            <v>巡林者瑞克</v>
          </cell>
        </row>
        <row r="550">
          <cell r="C550">
            <v>50</v>
          </cell>
          <cell r="D550" t="str">
            <v>猎人幻象</v>
          </cell>
        </row>
        <row r="551">
          <cell r="C551">
            <v>50</v>
          </cell>
          <cell r="D551" t="str">
            <v>法力风暴</v>
          </cell>
        </row>
        <row r="552">
          <cell r="C552">
            <v>51</v>
          </cell>
          <cell r="D552" t="str">
            <v>角斗士里奥</v>
          </cell>
        </row>
        <row r="553">
          <cell r="C553">
            <v>51</v>
          </cell>
          <cell r="D553" t="str">
            <v>荒野游侠</v>
          </cell>
        </row>
        <row r="554">
          <cell r="C554">
            <v>51</v>
          </cell>
          <cell r="D554" t="str">
            <v>憾地者</v>
          </cell>
        </row>
        <row r="555">
          <cell r="C555">
            <v>52</v>
          </cell>
          <cell r="D555" t="str">
            <v>拉兹</v>
          </cell>
        </row>
        <row r="556">
          <cell r="C556">
            <v>52</v>
          </cell>
          <cell r="D556" t="str">
            <v>塔克</v>
          </cell>
        </row>
        <row r="557">
          <cell r="C557">
            <v>52</v>
          </cell>
          <cell r="D557" t="str">
            <v>迪皮斯</v>
          </cell>
        </row>
        <row r="558">
          <cell r="C558">
            <v>53</v>
          </cell>
          <cell r="D558" t="str">
            <v>狂野安东尼</v>
          </cell>
        </row>
        <row r="559">
          <cell r="C559">
            <v>54</v>
          </cell>
          <cell r="D559" t="str">
            <v>巡林者瑞克</v>
          </cell>
        </row>
        <row r="560">
          <cell r="C560">
            <v>55</v>
          </cell>
          <cell r="D560" t="str">
            <v>猎人幻象</v>
          </cell>
        </row>
        <row r="561">
          <cell r="C561">
            <v>55</v>
          </cell>
          <cell r="D561" t="str">
            <v>法力风暴</v>
          </cell>
        </row>
        <row r="562">
          <cell r="C562">
            <v>56</v>
          </cell>
          <cell r="D562" t="str">
            <v>角斗士里奥</v>
          </cell>
        </row>
        <row r="563">
          <cell r="C563">
            <v>56</v>
          </cell>
          <cell r="D563" t="str">
            <v>荒野游侠</v>
          </cell>
        </row>
        <row r="564">
          <cell r="C564">
            <v>56</v>
          </cell>
          <cell r="D564" t="str">
            <v>憾地者</v>
          </cell>
        </row>
        <row r="565">
          <cell r="C565">
            <v>57</v>
          </cell>
          <cell r="D565" t="str">
            <v>拉兹</v>
          </cell>
        </row>
        <row r="566">
          <cell r="C566">
            <v>57</v>
          </cell>
          <cell r="D566" t="str">
            <v>塔克</v>
          </cell>
        </row>
        <row r="567">
          <cell r="C567">
            <v>57</v>
          </cell>
          <cell r="D567" t="str">
            <v>迪皮斯</v>
          </cell>
        </row>
        <row r="568">
          <cell r="C568">
            <v>58</v>
          </cell>
          <cell r="D568" t="str">
            <v>狂野安东尼</v>
          </cell>
        </row>
        <row r="569">
          <cell r="C569">
            <v>59</v>
          </cell>
          <cell r="D569" t="str">
            <v>巡林者瑞克</v>
          </cell>
        </row>
        <row r="570">
          <cell r="C570">
            <v>60</v>
          </cell>
          <cell r="D570" t="str">
            <v>坚定的格雷格</v>
          </cell>
        </row>
        <row r="571">
          <cell r="C571">
            <v>60</v>
          </cell>
          <cell r="D571" t="str">
            <v>菲德丝的倒影</v>
          </cell>
        </row>
        <row r="572">
          <cell r="C572">
            <v>61</v>
          </cell>
          <cell r="D572" t="str">
            <v>惊人的盖亚</v>
          </cell>
        </row>
        <row r="573">
          <cell r="C573">
            <v>61</v>
          </cell>
          <cell r="D573" t="str">
            <v>驯兽师瓦纳</v>
          </cell>
        </row>
        <row r="574">
          <cell r="C574">
            <v>61</v>
          </cell>
          <cell r="D574" t="str">
            <v>多兰</v>
          </cell>
        </row>
        <row r="575">
          <cell r="C575">
            <v>61</v>
          </cell>
          <cell r="D575" t="str">
            <v>约翰</v>
          </cell>
        </row>
        <row r="576">
          <cell r="C576">
            <v>61</v>
          </cell>
          <cell r="D576" t="str">
            <v>炎之安苏</v>
          </cell>
        </row>
        <row r="577">
          <cell r="C577">
            <v>62</v>
          </cell>
          <cell r="D577" t="str">
            <v>迅捷的维恩</v>
          </cell>
        </row>
        <row r="578">
          <cell r="C578">
            <v>62</v>
          </cell>
          <cell r="D578" t="str">
            <v>暮光预言者</v>
          </cell>
        </row>
        <row r="579">
          <cell r="C579">
            <v>63</v>
          </cell>
          <cell r="D579" t="str">
            <v>卡雷</v>
          </cell>
        </row>
        <row r="580">
          <cell r="C580">
            <v>64</v>
          </cell>
          <cell r="D580" t="str">
            <v>日光弗雷尔</v>
          </cell>
        </row>
        <row r="581">
          <cell r="C581">
            <v>65</v>
          </cell>
          <cell r="D581" t="str">
            <v>坚定的格雷格</v>
          </cell>
        </row>
        <row r="582">
          <cell r="C582">
            <v>65</v>
          </cell>
          <cell r="D582" t="str">
            <v>菲德丝的倒影</v>
          </cell>
        </row>
        <row r="583">
          <cell r="C583">
            <v>66</v>
          </cell>
          <cell r="D583" t="str">
            <v>惊人的盖亚</v>
          </cell>
        </row>
        <row r="584">
          <cell r="C584">
            <v>66</v>
          </cell>
          <cell r="D584" t="str">
            <v>驯兽师瓦纳</v>
          </cell>
        </row>
        <row r="585">
          <cell r="C585">
            <v>66</v>
          </cell>
          <cell r="D585" t="str">
            <v>多兰</v>
          </cell>
        </row>
        <row r="586">
          <cell r="C586">
            <v>66</v>
          </cell>
          <cell r="D586" t="str">
            <v>约翰</v>
          </cell>
        </row>
        <row r="587">
          <cell r="C587">
            <v>66</v>
          </cell>
          <cell r="D587" t="str">
            <v>炎之安苏</v>
          </cell>
        </row>
        <row r="588">
          <cell r="C588">
            <v>67</v>
          </cell>
          <cell r="D588" t="str">
            <v>迅捷的维恩</v>
          </cell>
        </row>
        <row r="589">
          <cell r="C589">
            <v>67</v>
          </cell>
          <cell r="D589" t="str">
            <v>暮光预言者</v>
          </cell>
        </row>
        <row r="590">
          <cell r="C590">
            <v>68</v>
          </cell>
          <cell r="D590" t="str">
            <v>卡雷</v>
          </cell>
        </row>
        <row r="591">
          <cell r="C591">
            <v>69</v>
          </cell>
          <cell r="D591" t="str">
            <v>日光弗雷尔</v>
          </cell>
        </row>
        <row r="592">
          <cell r="C592">
            <v>70</v>
          </cell>
          <cell r="D592" t="str">
            <v>坚定的格雷格</v>
          </cell>
        </row>
        <row r="593">
          <cell r="C593">
            <v>70</v>
          </cell>
          <cell r="D593" t="str">
            <v>菲德丝的倒影</v>
          </cell>
        </row>
        <row r="594">
          <cell r="C594">
            <v>71</v>
          </cell>
          <cell r="D594" t="str">
            <v>惊人的盖亚</v>
          </cell>
        </row>
        <row r="595">
          <cell r="C595">
            <v>71</v>
          </cell>
          <cell r="D595" t="str">
            <v>驯兽师瓦纳</v>
          </cell>
        </row>
        <row r="596">
          <cell r="C596">
            <v>71</v>
          </cell>
          <cell r="D596" t="str">
            <v>多兰</v>
          </cell>
        </row>
        <row r="597">
          <cell r="C597">
            <v>71</v>
          </cell>
          <cell r="D597" t="str">
            <v>约翰</v>
          </cell>
        </row>
        <row r="598">
          <cell r="C598">
            <v>71</v>
          </cell>
          <cell r="D598" t="str">
            <v>炎之安苏</v>
          </cell>
        </row>
        <row r="599">
          <cell r="C599">
            <v>72</v>
          </cell>
          <cell r="D599" t="str">
            <v>迅捷的维恩</v>
          </cell>
        </row>
        <row r="600">
          <cell r="C600">
            <v>72</v>
          </cell>
          <cell r="D600" t="str">
            <v>暮光预言者</v>
          </cell>
        </row>
        <row r="601">
          <cell r="C601">
            <v>73</v>
          </cell>
          <cell r="D601" t="str">
            <v>卡雷</v>
          </cell>
        </row>
        <row r="602">
          <cell r="C602">
            <v>74</v>
          </cell>
          <cell r="D602" t="str">
            <v>日光弗雷尔</v>
          </cell>
        </row>
        <row r="603">
          <cell r="C603">
            <v>75</v>
          </cell>
          <cell r="D603" t="str">
            <v>坚定的格雷格</v>
          </cell>
        </row>
        <row r="604">
          <cell r="C604">
            <v>75</v>
          </cell>
          <cell r="D604" t="str">
            <v>菲德丝的倒影</v>
          </cell>
        </row>
        <row r="605">
          <cell r="C605">
            <v>76</v>
          </cell>
          <cell r="D605" t="str">
            <v>惊人的盖亚</v>
          </cell>
        </row>
        <row r="606">
          <cell r="C606">
            <v>76</v>
          </cell>
          <cell r="D606" t="str">
            <v>驯兽师瓦纳</v>
          </cell>
        </row>
        <row r="607">
          <cell r="C607">
            <v>76</v>
          </cell>
          <cell r="D607" t="str">
            <v>多兰</v>
          </cell>
        </row>
        <row r="608">
          <cell r="C608">
            <v>76</v>
          </cell>
          <cell r="D608" t="str">
            <v>约翰</v>
          </cell>
        </row>
        <row r="609">
          <cell r="C609">
            <v>76</v>
          </cell>
          <cell r="D609" t="str">
            <v>炎之安苏</v>
          </cell>
        </row>
        <row r="610">
          <cell r="C610">
            <v>77</v>
          </cell>
          <cell r="D610" t="str">
            <v>迅捷的维恩</v>
          </cell>
        </row>
        <row r="611">
          <cell r="C611">
            <v>77</v>
          </cell>
          <cell r="D611" t="str">
            <v>暮光预言者</v>
          </cell>
        </row>
        <row r="612">
          <cell r="C612">
            <v>78</v>
          </cell>
          <cell r="D612" t="str">
            <v>卡雷</v>
          </cell>
        </row>
        <row r="613">
          <cell r="C613">
            <v>79</v>
          </cell>
          <cell r="D613" t="str">
            <v>日光弗雷尔</v>
          </cell>
        </row>
        <row r="614">
          <cell r="C614">
            <v>80</v>
          </cell>
          <cell r="D614" t="str">
            <v>坚定的格雷格</v>
          </cell>
        </row>
        <row r="615">
          <cell r="C615">
            <v>80</v>
          </cell>
          <cell r="D615" t="str">
            <v>菲德丝的倒影</v>
          </cell>
        </row>
        <row r="616">
          <cell r="C616">
            <v>81</v>
          </cell>
          <cell r="D616" t="str">
            <v>惊人的盖亚</v>
          </cell>
        </row>
        <row r="617">
          <cell r="C617">
            <v>81</v>
          </cell>
          <cell r="D617" t="str">
            <v>驯兽师瓦纳</v>
          </cell>
        </row>
        <row r="618">
          <cell r="C618">
            <v>81</v>
          </cell>
          <cell r="D618" t="str">
            <v>多兰</v>
          </cell>
        </row>
        <row r="619">
          <cell r="C619">
            <v>81</v>
          </cell>
          <cell r="D619" t="str">
            <v>约翰</v>
          </cell>
        </row>
        <row r="620">
          <cell r="C620">
            <v>81</v>
          </cell>
          <cell r="D620" t="str">
            <v>炎之安苏</v>
          </cell>
        </row>
        <row r="621">
          <cell r="C621">
            <v>82</v>
          </cell>
          <cell r="D621" t="str">
            <v>迅捷的维恩</v>
          </cell>
        </row>
        <row r="622">
          <cell r="C622">
            <v>82</v>
          </cell>
          <cell r="D622" t="str">
            <v>暮光预言者</v>
          </cell>
        </row>
        <row r="623">
          <cell r="C623">
            <v>83</v>
          </cell>
          <cell r="D623" t="str">
            <v>卡雷</v>
          </cell>
        </row>
        <row r="624">
          <cell r="C624">
            <v>84</v>
          </cell>
          <cell r="D624" t="str">
            <v>日光弗雷尔</v>
          </cell>
        </row>
        <row r="625">
          <cell r="C625">
            <v>85</v>
          </cell>
          <cell r="D625" t="str">
            <v>咒术大师</v>
          </cell>
        </row>
        <row r="626">
          <cell r="C626">
            <v>85</v>
          </cell>
          <cell r="D626" t="str">
            <v>拨弄的赛亚</v>
          </cell>
        </row>
        <row r="627">
          <cell r="C627">
            <v>86</v>
          </cell>
          <cell r="D627" t="str">
            <v>法力风暴</v>
          </cell>
        </row>
        <row r="628">
          <cell r="C628">
            <v>86</v>
          </cell>
          <cell r="D628" t="str">
            <v>火舞者</v>
          </cell>
        </row>
        <row r="629">
          <cell r="C629">
            <v>86</v>
          </cell>
          <cell r="D629" t="str">
            <v>血誓审判者</v>
          </cell>
        </row>
        <row r="630">
          <cell r="C630">
            <v>86</v>
          </cell>
          <cell r="D630" t="str">
            <v>血誓预言者</v>
          </cell>
        </row>
        <row r="631">
          <cell r="C631">
            <v>86</v>
          </cell>
          <cell r="D631" t="str">
            <v>血誓召唤者</v>
          </cell>
        </row>
        <row r="632">
          <cell r="C632">
            <v>86</v>
          </cell>
          <cell r="D632" t="str">
            <v>血誓领主</v>
          </cell>
        </row>
        <row r="633">
          <cell r="C633">
            <v>87</v>
          </cell>
          <cell r="D633" t="str">
            <v>舞钢者拜伦</v>
          </cell>
        </row>
        <row r="634">
          <cell r="C634">
            <v>87</v>
          </cell>
          <cell r="D634" t="str">
            <v>风暴之王</v>
          </cell>
        </row>
        <row r="635">
          <cell r="C635">
            <v>88</v>
          </cell>
          <cell r="D635" t="str">
            <v>雷伊战争使者</v>
          </cell>
        </row>
        <row r="636">
          <cell r="C636">
            <v>89</v>
          </cell>
          <cell r="D636" t="str">
            <v>暴君泰伦</v>
          </cell>
        </row>
        <row r="637">
          <cell r="C637">
            <v>90</v>
          </cell>
          <cell r="D637" t="str">
            <v>咒术大师</v>
          </cell>
        </row>
        <row r="638">
          <cell r="C638">
            <v>90</v>
          </cell>
          <cell r="D638" t="str">
            <v>拨弄的赛亚</v>
          </cell>
        </row>
        <row r="639">
          <cell r="C639">
            <v>91</v>
          </cell>
          <cell r="D639" t="str">
            <v>法力风暴</v>
          </cell>
        </row>
        <row r="640">
          <cell r="C640">
            <v>91</v>
          </cell>
          <cell r="D640" t="str">
            <v>火舞者</v>
          </cell>
        </row>
        <row r="641">
          <cell r="C641">
            <v>91</v>
          </cell>
          <cell r="D641" t="str">
            <v>血誓审判者</v>
          </cell>
        </row>
        <row r="642">
          <cell r="C642">
            <v>91</v>
          </cell>
          <cell r="D642" t="str">
            <v>血誓预言者</v>
          </cell>
        </row>
        <row r="643">
          <cell r="C643">
            <v>91</v>
          </cell>
          <cell r="D643" t="str">
            <v>血誓召唤者</v>
          </cell>
        </row>
        <row r="644">
          <cell r="C644">
            <v>91</v>
          </cell>
          <cell r="D644" t="str">
            <v>血誓领主</v>
          </cell>
        </row>
        <row r="645">
          <cell r="C645">
            <v>92</v>
          </cell>
          <cell r="D645" t="str">
            <v>舞钢者拜伦</v>
          </cell>
        </row>
        <row r="646">
          <cell r="C646">
            <v>92</v>
          </cell>
          <cell r="D646" t="str">
            <v>风暴之王</v>
          </cell>
        </row>
        <row r="647">
          <cell r="C647">
            <v>93</v>
          </cell>
          <cell r="D647" t="str">
            <v>雷伊战争使者</v>
          </cell>
        </row>
        <row r="648">
          <cell r="C648">
            <v>94</v>
          </cell>
          <cell r="D648" t="str">
            <v>暴君泰伦</v>
          </cell>
        </row>
        <row r="649">
          <cell r="C649">
            <v>95</v>
          </cell>
          <cell r="D649" t="str">
            <v>咒术大师</v>
          </cell>
        </row>
        <row r="650">
          <cell r="C650">
            <v>95</v>
          </cell>
          <cell r="D650" t="str">
            <v>拨弄的赛亚</v>
          </cell>
        </row>
        <row r="651">
          <cell r="C651">
            <v>96</v>
          </cell>
          <cell r="D651" t="str">
            <v>法力风暴</v>
          </cell>
        </row>
        <row r="652">
          <cell r="C652">
            <v>96</v>
          </cell>
          <cell r="D652" t="str">
            <v>火舞者</v>
          </cell>
        </row>
        <row r="653">
          <cell r="C653">
            <v>96</v>
          </cell>
          <cell r="D653" t="str">
            <v>血誓审判者</v>
          </cell>
        </row>
        <row r="654">
          <cell r="C654">
            <v>96</v>
          </cell>
          <cell r="D654" t="str">
            <v>血誓预言者</v>
          </cell>
        </row>
        <row r="655">
          <cell r="C655">
            <v>96</v>
          </cell>
          <cell r="D655" t="str">
            <v>血誓召唤者</v>
          </cell>
        </row>
        <row r="656">
          <cell r="C656">
            <v>96</v>
          </cell>
          <cell r="D656" t="str">
            <v>血誓领主</v>
          </cell>
        </row>
        <row r="657">
          <cell r="C657">
            <v>97</v>
          </cell>
          <cell r="D657" t="str">
            <v>舞钢者拜伦</v>
          </cell>
        </row>
        <row r="658">
          <cell r="C658">
            <v>97</v>
          </cell>
          <cell r="D658" t="str">
            <v>风暴之王</v>
          </cell>
        </row>
        <row r="659">
          <cell r="C659">
            <v>98</v>
          </cell>
          <cell r="D659" t="str">
            <v>雷伊战争使者</v>
          </cell>
        </row>
        <row r="660">
          <cell r="C660">
            <v>99</v>
          </cell>
          <cell r="D660" t="str">
            <v>暴君泰伦</v>
          </cell>
        </row>
        <row r="661">
          <cell r="C661">
            <v>100</v>
          </cell>
          <cell r="D661" t="str">
            <v>咒术大师</v>
          </cell>
        </row>
        <row r="662">
          <cell r="C662">
            <v>100</v>
          </cell>
          <cell r="D662" t="str">
            <v>拨弄的赛亚</v>
          </cell>
        </row>
        <row r="663">
          <cell r="C663">
            <v>101</v>
          </cell>
          <cell r="D663" t="str">
            <v>法力风暴</v>
          </cell>
        </row>
        <row r="664">
          <cell r="C664">
            <v>101</v>
          </cell>
          <cell r="D664" t="str">
            <v>火舞者</v>
          </cell>
        </row>
        <row r="665">
          <cell r="C665">
            <v>101</v>
          </cell>
          <cell r="D665" t="str">
            <v>血誓审判者</v>
          </cell>
        </row>
        <row r="666">
          <cell r="C666">
            <v>101</v>
          </cell>
          <cell r="D666" t="str">
            <v>血誓预言者</v>
          </cell>
        </row>
        <row r="667">
          <cell r="C667">
            <v>101</v>
          </cell>
          <cell r="D667" t="str">
            <v>血誓召唤者</v>
          </cell>
        </row>
        <row r="668">
          <cell r="C668">
            <v>101</v>
          </cell>
          <cell r="D668" t="str">
            <v>血誓领主</v>
          </cell>
        </row>
        <row r="669">
          <cell r="C669">
            <v>102</v>
          </cell>
          <cell r="D669" t="str">
            <v>舞钢者拜伦</v>
          </cell>
        </row>
        <row r="670">
          <cell r="C670">
            <v>102</v>
          </cell>
          <cell r="D670" t="str">
            <v>风暴之王</v>
          </cell>
        </row>
        <row r="671">
          <cell r="C671">
            <v>102</v>
          </cell>
          <cell r="D671" t="str">
            <v>雷伊战争使者</v>
          </cell>
        </row>
        <row r="672">
          <cell r="C672">
            <v>102</v>
          </cell>
          <cell r="D672" t="str">
            <v>暴君泰伦</v>
          </cell>
        </row>
        <row r="673">
          <cell r="C673">
            <v>30</v>
          </cell>
          <cell r="D673" t="str">
            <v>法师幻象</v>
          </cell>
        </row>
        <row r="674">
          <cell r="C674">
            <v>30</v>
          </cell>
          <cell r="D674" t="str">
            <v>法力风暴</v>
          </cell>
        </row>
        <row r="675">
          <cell r="C675">
            <v>31</v>
          </cell>
          <cell r="D675" t="str">
            <v>角斗士里奥</v>
          </cell>
        </row>
        <row r="676">
          <cell r="C676">
            <v>31</v>
          </cell>
          <cell r="D676" t="str">
            <v>荒野游侠</v>
          </cell>
        </row>
        <row r="677">
          <cell r="C677">
            <v>31</v>
          </cell>
          <cell r="D677" t="str">
            <v>憾地者</v>
          </cell>
        </row>
        <row r="678">
          <cell r="C678">
            <v>32</v>
          </cell>
          <cell r="D678" t="str">
            <v>拉兹</v>
          </cell>
        </row>
        <row r="679">
          <cell r="C679">
            <v>32</v>
          </cell>
          <cell r="D679" t="str">
            <v>塔克</v>
          </cell>
        </row>
        <row r="680">
          <cell r="C680">
            <v>32</v>
          </cell>
          <cell r="D680" t="str">
            <v>迪皮斯</v>
          </cell>
        </row>
        <row r="681">
          <cell r="C681">
            <v>33</v>
          </cell>
          <cell r="D681" t="str">
            <v>狂野安东尼</v>
          </cell>
        </row>
        <row r="682">
          <cell r="C682">
            <v>34</v>
          </cell>
          <cell r="D682" t="str">
            <v>巡林者瑞克</v>
          </cell>
        </row>
        <row r="683">
          <cell r="C683">
            <v>35</v>
          </cell>
          <cell r="D683" t="str">
            <v>法师幻象</v>
          </cell>
        </row>
        <row r="684">
          <cell r="C684">
            <v>35</v>
          </cell>
          <cell r="D684" t="str">
            <v>法力风暴</v>
          </cell>
        </row>
        <row r="685">
          <cell r="C685">
            <v>36</v>
          </cell>
          <cell r="D685" t="str">
            <v>角斗士里奥</v>
          </cell>
        </row>
        <row r="686">
          <cell r="C686">
            <v>36</v>
          </cell>
          <cell r="D686" t="str">
            <v>荒野游侠</v>
          </cell>
        </row>
        <row r="687">
          <cell r="C687">
            <v>36</v>
          </cell>
          <cell r="D687" t="str">
            <v>憾地者</v>
          </cell>
        </row>
        <row r="688">
          <cell r="C688">
            <v>37</v>
          </cell>
          <cell r="D688" t="str">
            <v>拉兹</v>
          </cell>
        </row>
        <row r="689">
          <cell r="C689">
            <v>37</v>
          </cell>
          <cell r="D689" t="str">
            <v>塔克</v>
          </cell>
        </row>
        <row r="690">
          <cell r="C690">
            <v>37</v>
          </cell>
          <cell r="D690" t="str">
            <v>迪皮斯</v>
          </cell>
        </row>
        <row r="691">
          <cell r="C691">
            <v>38</v>
          </cell>
          <cell r="D691" t="str">
            <v>狂野安东尼</v>
          </cell>
        </row>
        <row r="692">
          <cell r="C692">
            <v>39</v>
          </cell>
          <cell r="D692" t="str">
            <v>巡林者瑞克</v>
          </cell>
        </row>
        <row r="693">
          <cell r="C693">
            <v>40</v>
          </cell>
          <cell r="D693" t="str">
            <v>法师幻象</v>
          </cell>
        </row>
        <row r="694">
          <cell r="C694">
            <v>40</v>
          </cell>
          <cell r="D694" t="str">
            <v>法力风暴</v>
          </cell>
        </row>
        <row r="695">
          <cell r="C695">
            <v>41</v>
          </cell>
          <cell r="D695" t="str">
            <v>角斗士里奥</v>
          </cell>
        </row>
        <row r="696">
          <cell r="C696">
            <v>41</v>
          </cell>
          <cell r="D696" t="str">
            <v>荒野游侠</v>
          </cell>
        </row>
        <row r="697">
          <cell r="C697">
            <v>41</v>
          </cell>
          <cell r="D697" t="str">
            <v>憾地者</v>
          </cell>
        </row>
        <row r="698">
          <cell r="C698">
            <v>42</v>
          </cell>
          <cell r="D698" t="str">
            <v>拉兹</v>
          </cell>
        </row>
        <row r="699">
          <cell r="C699">
            <v>42</v>
          </cell>
          <cell r="D699" t="str">
            <v>塔克</v>
          </cell>
        </row>
        <row r="700">
          <cell r="C700">
            <v>42</v>
          </cell>
          <cell r="D700" t="str">
            <v>迪皮斯</v>
          </cell>
        </row>
        <row r="701">
          <cell r="C701">
            <v>43</v>
          </cell>
          <cell r="D701" t="str">
            <v>狂野安东尼</v>
          </cell>
        </row>
        <row r="702">
          <cell r="C702">
            <v>44</v>
          </cell>
          <cell r="D702" t="str">
            <v>巡林者瑞克</v>
          </cell>
        </row>
        <row r="703">
          <cell r="C703">
            <v>45</v>
          </cell>
          <cell r="D703" t="str">
            <v>法师幻象</v>
          </cell>
        </row>
        <row r="704">
          <cell r="C704">
            <v>45</v>
          </cell>
          <cell r="D704" t="str">
            <v>法力风暴</v>
          </cell>
        </row>
        <row r="705">
          <cell r="C705">
            <v>46</v>
          </cell>
          <cell r="D705" t="str">
            <v>角斗士里奥</v>
          </cell>
        </row>
        <row r="706">
          <cell r="C706">
            <v>46</v>
          </cell>
          <cell r="D706" t="str">
            <v>荒野游侠</v>
          </cell>
        </row>
        <row r="707">
          <cell r="C707">
            <v>46</v>
          </cell>
          <cell r="D707" t="str">
            <v>憾地者</v>
          </cell>
        </row>
        <row r="708">
          <cell r="C708">
            <v>47</v>
          </cell>
          <cell r="D708" t="str">
            <v>拉兹</v>
          </cell>
        </row>
        <row r="709">
          <cell r="C709">
            <v>47</v>
          </cell>
          <cell r="D709" t="str">
            <v>塔克</v>
          </cell>
        </row>
        <row r="710">
          <cell r="C710">
            <v>47</v>
          </cell>
          <cell r="D710" t="str">
            <v>迪皮斯</v>
          </cell>
        </row>
        <row r="711">
          <cell r="C711">
            <v>48</v>
          </cell>
          <cell r="D711" t="str">
            <v>狂野安东尼</v>
          </cell>
        </row>
        <row r="712">
          <cell r="C712">
            <v>49</v>
          </cell>
          <cell r="D712" t="str">
            <v>巡林者瑞克</v>
          </cell>
        </row>
        <row r="713">
          <cell r="C713">
            <v>50</v>
          </cell>
          <cell r="D713" t="str">
            <v>法师幻象</v>
          </cell>
        </row>
        <row r="714">
          <cell r="C714">
            <v>50</v>
          </cell>
          <cell r="D714" t="str">
            <v>法力风暴</v>
          </cell>
        </row>
        <row r="715">
          <cell r="C715">
            <v>51</v>
          </cell>
          <cell r="D715" t="str">
            <v>角斗士里奥</v>
          </cell>
        </row>
        <row r="716">
          <cell r="C716">
            <v>51</v>
          </cell>
          <cell r="D716" t="str">
            <v>荒野游侠</v>
          </cell>
        </row>
        <row r="717">
          <cell r="C717">
            <v>51</v>
          </cell>
          <cell r="D717" t="str">
            <v>憾地者</v>
          </cell>
        </row>
        <row r="718">
          <cell r="C718">
            <v>52</v>
          </cell>
          <cell r="D718" t="str">
            <v>拉兹</v>
          </cell>
        </row>
        <row r="719">
          <cell r="C719">
            <v>52</v>
          </cell>
          <cell r="D719" t="str">
            <v>塔克</v>
          </cell>
        </row>
        <row r="720">
          <cell r="C720">
            <v>52</v>
          </cell>
          <cell r="D720" t="str">
            <v>迪皮斯</v>
          </cell>
        </row>
        <row r="721">
          <cell r="C721">
            <v>53</v>
          </cell>
          <cell r="D721" t="str">
            <v>狂野安东尼</v>
          </cell>
        </row>
        <row r="722">
          <cell r="C722">
            <v>54</v>
          </cell>
          <cell r="D722" t="str">
            <v>巡林者瑞克</v>
          </cell>
        </row>
        <row r="723">
          <cell r="C723">
            <v>55</v>
          </cell>
          <cell r="D723" t="str">
            <v>法师幻象</v>
          </cell>
        </row>
        <row r="724">
          <cell r="C724">
            <v>55</v>
          </cell>
          <cell r="D724" t="str">
            <v>法力风暴</v>
          </cell>
        </row>
        <row r="725">
          <cell r="C725">
            <v>56</v>
          </cell>
          <cell r="D725" t="str">
            <v>角斗士里奥</v>
          </cell>
        </row>
        <row r="726">
          <cell r="C726">
            <v>56</v>
          </cell>
          <cell r="D726" t="str">
            <v>荒野游侠</v>
          </cell>
        </row>
        <row r="727">
          <cell r="C727">
            <v>56</v>
          </cell>
          <cell r="D727" t="str">
            <v>憾地者</v>
          </cell>
        </row>
        <row r="728">
          <cell r="C728">
            <v>57</v>
          </cell>
          <cell r="D728" t="str">
            <v>拉兹</v>
          </cell>
        </row>
        <row r="729">
          <cell r="C729">
            <v>57</v>
          </cell>
          <cell r="D729" t="str">
            <v>塔克</v>
          </cell>
        </row>
        <row r="730">
          <cell r="C730">
            <v>57</v>
          </cell>
          <cell r="D730" t="str">
            <v>迪皮斯</v>
          </cell>
        </row>
        <row r="731">
          <cell r="C731">
            <v>58</v>
          </cell>
          <cell r="D731" t="str">
            <v>狂野安东尼</v>
          </cell>
        </row>
        <row r="732">
          <cell r="C732">
            <v>59</v>
          </cell>
          <cell r="D732" t="str">
            <v>巡林者瑞克</v>
          </cell>
        </row>
        <row r="733">
          <cell r="C733">
            <v>60</v>
          </cell>
          <cell r="D733" t="str">
            <v>坚定的格雷格</v>
          </cell>
        </row>
        <row r="734">
          <cell r="C734">
            <v>60</v>
          </cell>
          <cell r="D734" t="str">
            <v>赛琳娜的倒影</v>
          </cell>
        </row>
        <row r="735">
          <cell r="C735">
            <v>61</v>
          </cell>
          <cell r="D735" t="str">
            <v>幻术师艾莉</v>
          </cell>
        </row>
        <row r="736">
          <cell r="C736">
            <v>61</v>
          </cell>
          <cell r="D736" t="str">
            <v>驯兽师瓦纳</v>
          </cell>
        </row>
        <row r="737">
          <cell r="C737">
            <v>61</v>
          </cell>
          <cell r="D737" t="str">
            <v>多兰</v>
          </cell>
        </row>
        <row r="738">
          <cell r="C738">
            <v>61</v>
          </cell>
          <cell r="D738" t="str">
            <v>约翰</v>
          </cell>
        </row>
        <row r="739">
          <cell r="C739">
            <v>61</v>
          </cell>
          <cell r="D739" t="str">
            <v>炎之安苏</v>
          </cell>
        </row>
        <row r="740">
          <cell r="C740">
            <v>62</v>
          </cell>
          <cell r="D740" t="str">
            <v>迅捷的维恩</v>
          </cell>
        </row>
        <row r="741">
          <cell r="C741">
            <v>62</v>
          </cell>
          <cell r="D741" t="str">
            <v>暮光预言者</v>
          </cell>
        </row>
        <row r="742">
          <cell r="C742">
            <v>63</v>
          </cell>
          <cell r="D742" t="str">
            <v>卡雷</v>
          </cell>
        </row>
        <row r="743">
          <cell r="C743">
            <v>64</v>
          </cell>
          <cell r="D743" t="str">
            <v>日光弗雷尔</v>
          </cell>
        </row>
        <row r="744">
          <cell r="C744">
            <v>65</v>
          </cell>
          <cell r="D744" t="str">
            <v>坚定的格雷格</v>
          </cell>
        </row>
        <row r="745">
          <cell r="C745">
            <v>65</v>
          </cell>
          <cell r="D745" t="str">
            <v>赛琳娜的倒影</v>
          </cell>
        </row>
        <row r="746">
          <cell r="C746">
            <v>66</v>
          </cell>
          <cell r="D746" t="str">
            <v>幻术师艾莉</v>
          </cell>
        </row>
        <row r="747">
          <cell r="C747">
            <v>66</v>
          </cell>
          <cell r="D747" t="str">
            <v>驯兽师瓦纳</v>
          </cell>
        </row>
        <row r="748">
          <cell r="C748">
            <v>66</v>
          </cell>
          <cell r="D748" t="str">
            <v>多兰</v>
          </cell>
        </row>
        <row r="749">
          <cell r="C749">
            <v>66</v>
          </cell>
          <cell r="D749" t="str">
            <v>约翰</v>
          </cell>
        </row>
        <row r="750">
          <cell r="C750">
            <v>66</v>
          </cell>
          <cell r="D750" t="str">
            <v>炎之安苏</v>
          </cell>
        </row>
        <row r="751">
          <cell r="C751">
            <v>67</v>
          </cell>
          <cell r="D751" t="str">
            <v>迅捷的维恩</v>
          </cell>
        </row>
        <row r="752">
          <cell r="C752">
            <v>67</v>
          </cell>
          <cell r="D752" t="str">
            <v>暮光预言者</v>
          </cell>
        </row>
        <row r="753">
          <cell r="C753">
            <v>68</v>
          </cell>
          <cell r="D753" t="str">
            <v>卡雷</v>
          </cell>
        </row>
        <row r="754">
          <cell r="C754">
            <v>69</v>
          </cell>
          <cell r="D754" t="str">
            <v>日光弗雷尔</v>
          </cell>
        </row>
        <row r="755">
          <cell r="C755">
            <v>70</v>
          </cell>
          <cell r="D755" t="str">
            <v>坚定的格雷格</v>
          </cell>
        </row>
        <row r="756">
          <cell r="C756">
            <v>70</v>
          </cell>
          <cell r="D756" t="str">
            <v>赛琳娜的倒影</v>
          </cell>
        </row>
        <row r="757">
          <cell r="C757">
            <v>71</v>
          </cell>
          <cell r="D757" t="str">
            <v>幻术师艾莉</v>
          </cell>
        </row>
        <row r="758">
          <cell r="C758">
            <v>71</v>
          </cell>
          <cell r="D758" t="str">
            <v>驯兽师瓦纳</v>
          </cell>
        </row>
        <row r="759">
          <cell r="C759">
            <v>71</v>
          </cell>
          <cell r="D759" t="str">
            <v>多兰</v>
          </cell>
        </row>
        <row r="760">
          <cell r="C760">
            <v>71</v>
          </cell>
          <cell r="D760" t="str">
            <v>约翰</v>
          </cell>
        </row>
        <row r="761">
          <cell r="C761">
            <v>71</v>
          </cell>
          <cell r="D761" t="str">
            <v>炎之安苏</v>
          </cell>
        </row>
        <row r="762">
          <cell r="C762">
            <v>72</v>
          </cell>
          <cell r="D762" t="str">
            <v>迅捷的维恩</v>
          </cell>
        </row>
        <row r="763">
          <cell r="C763">
            <v>72</v>
          </cell>
          <cell r="D763" t="str">
            <v>暮光预言者</v>
          </cell>
        </row>
        <row r="764">
          <cell r="C764">
            <v>73</v>
          </cell>
          <cell r="D764" t="str">
            <v>卡雷</v>
          </cell>
        </row>
        <row r="765">
          <cell r="C765">
            <v>74</v>
          </cell>
          <cell r="D765" t="str">
            <v>日光弗雷尔</v>
          </cell>
        </row>
        <row r="766">
          <cell r="C766">
            <v>75</v>
          </cell>
          <cell r="D766" t="str">
            <v>坚定的格雷格</v>
          </cell>
        </row>
        <row r="767">
          <cell r="C767">
            <v>75</v>
          </cell>
          <cell r="D767" t="str">
            <v>赛琳娜的倒影</v>
          </cell>
        </row>
        <row r="768">
          <cell r="C768">
            <v>76</v>
          </cell>
          <cell r="D768" t="str">
            <v>幻术师艾莉</v>
          </cell>
        </row>
        <row r="769">
          <cell r="C769">
            <v>76</v>
          </cell>
          <cell r="D769" t="str">
            <v>驯兽师瓦纳</v>
          </cell>
        </row>
        <row r="770">
          <cell r="C770">
            <v>76</v>
          </cell>
          <cell r="D770" t="str">
            <v>多兰</v>
          </cell>
        </row>
        <row r="771">
          <cell r="C771">
            <v>76</v>
          </cell>
          <cell r="D771" t="str">
            <v>约翰</v>
          </cell>
        </row>
        <row r="772">
          <cell r="C772">
            <v>76</v>
          </cell>
          <cell r="D772" t="str">
            <v>炎之安苏</v>
          </cell>
        </row>
        <row r="773">
          <cell r="C773">
            <v>77</v>
          </cell>
          <cell r="D773" t="str">
            <v>迅捷的维恩</v>
          </cell>
        </row>
        <row r="774">
          <cell r="C774">
            <v>77</v>
          </cell>
          <cell r="D774" t="str">
            <v>暮光预言者</v>
          </cell>
        </row>
        <row r="775">
          <cell r="C775">
            <v>78</v>
          </cell>
          <cell r="D775" t="str">
            <v>卡雷</v>
          </cell>
        </row>
        <row r="776">
          <cell r="C776">
            <v>79</v>
          </cell>
          <cell r="D776" t="str">
            <v>日光弗雷尔</v>
          </cell>
        </row>
        <row r="777">
          <cell r="C777">
            <v>80</v>
          </cell>
          <cell r="D777" t="str">
            <v>坚定的格雷格</v>
          </cell>
        </row>
        <row r="778">
          <cell r="C778">
            <v>80</v>
          </cell>
          <cell r="D778" t="str">
            <v>赛琳娜的倒影</v>
          </cell>
        </row>
        <row r="779">
          <cell r="C779">
            <v>81</v>
          </cell>
          <cell r="D779" t="str">
            <v>幻术师艾莉</v>
          </cell>
        </row>
        <row r="780">
          <cell r="C780">
            <v>81</v>
          </cell>
          <cell r="D780" t="str">
            <v>驯兽师瓦纳</v>
          </cell>
        </row>
        <row r="781">
          <cell r="C781">
            <v>81</v>
          </cell>
          <cell r="D781" t="str">
            <v>多兰</v>
          </cell>
        </row>
        <row r="782">
          <cell r="C782">
            <v>81</v>
          </cell>
          <cell r="D782" t="str">
            <v>约翰</v>
          </cell>
        </row>
        <row r="783">
          <cell r="C783">
            <v>81</v>
          </cell>
          <cell r="D783" t="str">
            <v>炎之安苏</v>
          </cell>
        </row>
        <row r="784">
          <cell r="C784">
            <v>82</v>
          </cell>
          <cell r="D784" t="str">
            <v>迅捷的维恩</v>
          </cell>
        </row>
        <row r="785">
          <cell r="C785">
            <v>82</v>
          </cell>
          <cell r="D785" t="str">
            <v>暮光预言者</v>
          </cell>
        </row>
        <row r="786">
          <cell r="C786">
            <v>83</v>
          </cell>
          <cell r="D786" t="str">
            <v>卡雷</v>
          </cell>
        </row>
        <row r="787">
          <cell r="C787">
            <v>84</v>
          </cell>
          <cell r="D787" t="str">
            <v>日光弗雷尔</v>
          </cell>
        </row>
        <row r="788">
          <cell r="C788">
            <v>85</v>
          </cell>
          <cell r="D788" t="str">
            <v>影子武士</v>
          </cell>
        </row>
        <row r="789">
          <cell r="C789">
            <v>85</v>
          </cell>
          <cell r="D789" t="str">
            <v>拨弄的赛亚</v>
          </cell>
        </row>
        <row r="790">
          <cell r="C790">
            <v>86</v>
          </cell>
          <cell r="D790" t="str">
            <v>法力风暴</v>
          </cell>
        </row>
        <row r="791">
          <cell r="C791">
            <v>86</v>
          </cell>
          <cell r="D791" t="str">
            <v>火舞者</v>
          </cell>
        </row>
        <row r="792">
          <cell r="C792">
            <v>86</v>
          </cell>
          <cell r="D792" t="str">
            <v>血誓审判者</v>
          </cell>
        </row>
        <row r="793">
          <cell r="C793">
            <v>86</v>
          </cell>
          <cell r="D793" t="str">
            <v>血誓预言者</v>
          </cell>
        </row>
        <row r="794">
          <cell r="C794">
            <v>86</v>
          </cell>
          <cell r="D794" t="str">
            <v>血誓召唤者</v>
          </cell>
        </row>
        <row r="795">
          <cell r="C795">
            <v>86</v>
          </cell>
          <cell r="D795" t="str">
            <v>血誓领主</v>
          </cell>
        </row>
        <row r="796">
          <cell r="C796">
            <v>87</v>
          </cell>
          <cell r="D796" t="str">
            <v>舞钢者拜伦</v>
          </cell>
        </row>
        <row r="797">
          <cell r="C797">
            <v>87</v>
          </cell>
          <cell r="D797" t="str">
            <v>风暴之王</v>
          </cell>
        </row>
        <row r="798">
          <cell r="C798">
            <v>88</v>
          </cell>
          <cell r="D798" t="str">
            <v>雷伊战争使者</v>
          </cell>
        </row>
        <row r="799">
          <cell r="C799">
            <v>89</v>
          </cell>
          <cell r="D799" t="str">
            <v>暴君泰伦</v>
          </cell>
        </row>
        <row r="800">
          <cell r="C800">
            <v>90</v>
          </cell>
          <cell r="D800" t="str">
            <v>影子武士</v>
          </cell>
        </row>
        <row r="801">
          <cell r="C801">
            <v>90</v>
          </cell>
          <cell r="D801" t="str">
            <v>拨弄的赛亚</v>
          </cell>
        </row>
        <row r="802">
          <cell r="C802">
            <v>91</v>
          </cell>
          <cell r="D802" t="str">
            <v>法力风暴</v>
          </cell>
        </row>
        <row r="803">
          <cell r="C803">
            <v>91</v>
          </cell>
          <cell r="D803" t="str">
            <v>火舞者</v>
          </cell>
        </row>
        <row r="804">
          <cell r="C804">
            <v>91</v>
          </cell>
          <cell r="D804" t="str">
            <v>血誓审判者</v>
          </cell>
        </row>
        <row r="805">
          <cell r="C805">
            <v>91</v>
          </cell>
          <cell r="D805" t="str">
            <v>血誓预言者</v>
          </cell>
        </row>
        <row r="806">
          <cell r="C806">
            <v>91</v>
          </cell>
          <cell r="D806" t="str">
            <v>血誓召唤者</v>
          </cell>
        </row>
        <row r="807">
          <cell r="C807">
            <v>91</v>
          </cell>
          <cell r="D807" t="str">
            <v>血誓领主</v>
          </cell>
        </row>
        <row r="808">
          <cell r="C808">
            <v>92</v>
          </cell>
          <cell r="D808" t="str">
            <v>舞钢者拜伦</v>
          </cell>
        </row>
        <row r="809">
          <cell r="C809">
            <v>92</v>
          </cell>
          <cell r="D809" t="str">
            <v>风暴之王</v>
          </cell>
        </row>
        <row r="810">
          <cell r="C810">
            <v>93</v>
          </cell>
          <cell r="D810" t="str">
            <v>雷伊战争使者</v>
          </cell>
        </row>
        <row r="811">
          <cell r="C811">
            <v>94</v>
          </cell>
          <cell r="D811" t="str">
            <v>暴君泰伦</v>
          </cell>
        </row>
        <row r="812">
          <cell r="C812">
            <v>95</v>
          </cell>
          <cell r="D812" t="str">
            <v>影子武士</v>
          </cell>
        </row>
        <row r="813">
          <cell r="C813">
            <v>95</v>
          </cell>
          <cell r="D813" t="str">
            <v>拨弄的赛亚</v>
          </cell>
        </row>
        <row r="814">
          <cell r="C814">
            <v>96</v>
          </cell>
          <cell r="D814" t="str">
            <v>法力风暴</v>
          </cell>
        </row>
        <row r="815">
          <cell r="C815">
            <v>96</v>
          </cell>
          <cell r="D815" t="str">
            <v>火舞者</v>
          </cell>
        </row>
        <row r="816">
          <cell r="C816">
            <v>96</v>
          </cell>
          <cell r="D816" t="str">
            <v>血誓审判者</v>
          </cell>
        </row>
        <row r="817">
          <cell r="C817">
            <v>96</v>
          </cell>
          <cell r="D817" t="str">
            <v>血誓预言者</v>
          </cell>
        </row>
        <row r="818">
          <cell r="C818">
            <v>96</v>
          </cell>
          <cell r="D818" t="str">
            <v>血誓召唤者</v>
          </cell>
        </row>
        <row r="819">
          <cell r="C819">
            <v>96</v>
          </cell>
          <cell r="D819" t="str">
            <v>血誓领主</v>
          </cell>
        </row>
        <row r="820">
          <cell r="C820">
            <v>97</v>
          </cell>
          <cell r="D820" t="str">
            <v>舞钢者拜伦</v>
          </cell>
        </row>
        <row r="821">
          <cell r="C821">
            <v>97</v>
          </cell>
          <cell r="D821" t="str">
            <v>风暴之王</v>
          </cell>
        </row>
        <row r="822">
          <cell r="C822">
            <v>98</v>
          </cell>
          <cell r="D822" t="str">
            <v>雷伊战争使者</v>
          </cell>
        </row>
        <row r="823">
          <cell r="C823">
            <v>99</v>
          </cell>
          <cell r="D823" t="str">
            <v>暴君泰伦</v>
          </cell>
        </row>
        <row r="824">
          <cell r="C824">
            <v>100</v>
          </cell>
          <cell r="D824" t="str">
            <v>影子武士</v>
          </cell>
        </row>
        <row r="825">
          <cell r="C825">
            <v>100</v>
          </cell>
          <cell r="D825" t="str">
            <v>拨弄的赛亚</v>
          </cell>
        </row>
        <row r="826">
          <cell r="C826">
            <v>101</v>
          </cell>
          <cell r="D826" t="str">
            <v>法力风暴</v>
          </cell>
        </row>
        <row r="827">
          <cell r="C827">
            <v>101</v>
          </cell>
          <cell r="D827" t="str">
            <v>火舞者</v>
          </cell>
        </row>
        <row r="828">
          <cell r="C828">
            <v>101</v>
          </cell>
          <cell r="D828" t="str">
            <v>血誓审判者</v>
          </cell>
        </row>
        <row r="829">
          <cell r="C829">
            <v>101</v>
          </cell>
          <cell r="D829" t="str">
            <v>血誓预言者</v>
          </cell>
        </row>
        <row r="830">
          <cell r="C830">
            <v>101</v>
          </cell>
          <cell r="D830" t="str">
            <v>血誓召唤者</v>
          </cell>
        </row>
        <row r="831">
          <cell r="C831">
            <v>101</v>
          </cell>
          <cell r="D831" t="str">
            <v>血誓领主</v>
          </cell>
        </row>
        <row r="832">
          <cell r="C832">
            <v>102</v>
          </cell>
          <cell r="D832" t="str">
            <v>舞钢者拜伦</v>
          </cell>
        </row>
        <row r="833">
          <cell r="C833">
            <v>102</v>
          </cell>
          <cell r="D833" t="str">
            <v>风暴之王</v>
          </cell>
        </row>
        <row r="834">
          <cell r="C834">
            <v>102</v>
          </cell>
          <cell r="D834" t="str">
            <v>雷伊战争使者</v>
          </cell>
        </row>
        <row r="835">
          <cell r="C835">
            <v>102</v>
          </cell>
          <cell r="D835" t="str">
            <v>暴君泰伦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ttleParameter.xml"/>
      <sheetName val="battleParameter.txt"/>
      <sheetName val="抗性占比"/>
    </sheetNames>
    <sheetDataSet>
      <sheetData sheetId="0">
        <row r="6">
          <cell r="A6">
            <v>1</v>
          </cell>
          <cell r="B6">
            <v>60</v>
          </cell>
          <cell r="C6">
            <v>100</v>
          </cell>
          <cell r="D6">
            <v>100</v>
          </cell>
          <cell r="E6">
            <v>60</v>
          </cell>
          <cell r="F6">
            <v>120</v>
          </cell>
          <cell r="G6">
            <v>60</v>
          </cell>
          <cell r="H6">
            <v>15</v>
          </cell>
          <cell r="I6">
            <v>100</v>
          </cell>
          <cell r="J6">
            <v>100</v>
          </cell>
          <cell r="K6">
            <v>100</v>
          </cell>
        </row>
        <row r="7">
          <cell r="A7">
            <v>2</v>
          </cell>
          <cell r="B7">
            <v>71</v>
          </cell>
          <cell r="C7">
            <v>150</v>
          </cell>
          <cell r="D7">
            <v>150</v>
          </cell>
          <cell r="E7">
            <v>71</v>
          </cell>
          <cell r="F7">
            <v>142</v>
          </cell>
          <cell r="G7">
            <v>71</v>
          </cell>
          <cell r="H7">
            <v>17</v>
          </cell>
          <cell r="I7">
            <v>100</v>
          </cell>
          <cell r="J7">
            <v>100</v>
          </cell>
          <cell r="K7">
            <v>100</v>
          </cell>
        </row>
        <row r="8">
          <cell r="A8">
            <v>3</v>
          </cell>
          <cell r="B8">
            <v>88</v>
          </cell>
          <cell r="C8">
            <v>200</v>
          </cell>
          <cell r="D8">
            <v>200</v>
          </cell>
          <cell r="E8">
            <v>88</v>
          </cell>
          <cell r="F8">
            <v>176</v>
          </cell>
          <cell r="G8">
            <v>88</v>
          </cell>
          <cell r="H8">
            <v>22</v>
          </cell>
          <cell r="I8">
            <v>100</v>
          </cell>
          <cell r="J8">
            <v>100</v>
          </cell>
          <cell r="K8">
            <v>100</v>
          </cell>
        </row>
        <row r="9">
          <cell r="A9">
            <v>4</v>
          </cell>
          <cell r="B9">
            <v>111</v>
          </cell>
          <cell r="C9">
            <v>250</v>
          </cell>
          <cell r="D9">
            <v>250</v>
          </cell>
          <cell r="E9">
            <v>111</v>
          </cell>
          <cell r="F9">
            <v>222</v>
          </cell>
          <cell r="G9">
            <v>111</v>
          </cell>
          <cell r="H9">
            <v>27</v>
          </cell>
          <cell r="I9">
            <v>100</v>
          </cell>
          <cell r="J9">
            <v>100</v>
          </cell>
          <cell r="K9">
            <v>100</v>
          </cell>
        </row>
        <row r="10">
          <cell r="A10">
            <v>5</v>
          </cell>
          <cell r="B10">
            <v>140</v>
          </cell>
          <cell r="C10">
            <v>300</v>
          </cell>
          <cell r="D10">
            <v>300</v>
          </cell>
          <cell r="E10">
            <v>140</v>
          </cell>
          <cell r="F10">
            <v>280</v>
          </cell>
          <cell r="G10">
            <v>140</v>
          </cell>
          <cell r="H10">
            <v>35</v>
          </cell>
          <cell r="I10">
            <v>100</v>
          </cell>
          <cell r="J10">
            <v>100</v>
          </cell>
          <cell r="K10">
            <v>100</v>
          </cell>
        </row>
        <row r="11">
          <cell r="A11">
            <v>6</v>
          </cell>
          <cell r="B11">
            <v>175</v>
          </cell>
          <cell r="C11">
            <v>350</v>
          </cell>
          <cell r="D11">
            <v>350</v>
          </cell>
          <cell r="E11">
            <v>175</v>
          </cell>
          <cell r="F11">
            <v>350</v>
          </cell>
          <cell r="G11">
            <v>175</v>
          </cell>
          <cell r="H11">
            <v>43</v>
          </cell>
          <cell r="I11">
            <v>100</v>
          </cell>
          <cell r="J11">
            <v>100</v>
          </cell>
          <cell r="K11">
            <v>100</v>
          </cell>
        </row>
        <row r="12">
          <cell r="A12">
            <v>7</v>
          </cell>
          <cell r="B12">
            <v>216</v>
          </cell>
          <cell r="C12">
            <v>400</v>
          </cell>
          <cell r="D12">
            <v>400</v>
          </cell>
          <cell r="E12">
            <v>216</v>
          </cell>
          <cell r="F12">
            <v>432</v>
          </cell>
          <cell r="G12">
            <v>216</v>
          </cell>
          <cell r="H12">
            <v>54</v>
          </cell>
          <cell r="I12">
            <v>100</v>
          </cell>
          <cell r="J12">
            <v>100</v>
          </cell>
          <cell r="K12">
            <v>100</v>
          </cell>
        </row>
        <row r="13">
          <cell r="A13">
            <v>8</v>
          </cell>
          <cell r="B13">
            <v>263</v>
          </cell>
          <cell r="C13">
            <v>450</v>
          </cell>
          <cell r="D13">
            <v>450</v>
          </cell>
          <cell r="E13">
            <v>263</v>
          </cell>
          <cell r="F13">
            <v>526</v>
          </cell>
          <cell r="G13">
            <v>263</v>
          </cell>
          <cell r="H13">
            <v>65</v>
          </cell>
          <cell r="I13">
            <v>100</v>
          </cell>
          <cell r="J13">
            <v>100</v>
          </cell>
          <cell r="K13">
            <v>100</v>
          </cell>
        </row>
        <row r="14">
          <cell r="A14">
            <v>9</v>
          </cell>
          <cell r="B14">
            <v>316</v>
          </cell>
          <cell r="C14">
            <v>500</v>
          </cell>
          <cell r="D14">
            <v>500</v>
          </cell>
          <cell r="E14">
            <v>316</v>
          </cell>
          <cell r="F14">
            <v>632</v>
          </cell>
          <cell r="G14">
            <v>316</v>
          </cell>
          <cell r="H14">
            <v>79</v>
          </cell>
          <cell r="I14">
            <v>100</v>
          </cell>
          <cell r="J14">
            <v>100</v>
          </cell>
          <cell r="K14">
            <v>100</v>
          </cell>
        </row>
        <row r="15">
          <cell r="A15">
            <v>10</v>
          </cell>
          <cell r="B15">
            <v>375</v>
          </cell>
          <cell r="C15">
            <v>550</v>
          </cell>
          <cell r="D15">
            <v>550</v>
          </cell>
          <cell r="E15">
            <v>375</v>
          </cell>
          <cell r="F15">
            <v>750</v>
          </cell>
          <cell r="G15">
            <v>375</v>
          </cell>
          <cell r="H15">
            <v>93</v>
          </cell>
          <cell r="I15">
            <v>100</v>
          </cell>
          <cell r="J15">
            <v>100</v>
          </cell>
          <cell r="K15">
            <v>100</v>
          </cell>
        </row>
        <row r="16">
          <cell r="A16">
            <v>11</v>
          </cell>
          <cell r="B16">
            <v>440</v>
          </cell>
          <cell r="C16">
            <v>600</v>
          </cell>
          <cell r="D16">
            <v>600</v>
          </cell>
          <cell r="E16">
            <v>440</v>
          </cell>
          <cell r="F16">
            <v>880</v>
          </cell>
          <cell r="G16">
            <v>440</v>
          </cell>
          <cell r="H16">
            <v>110</v>
          </cell>
          <cell r="I16">
            <v>100</v>
          </cell>
          <cell r="J16">
            <v>100</v>
          </cell>
          <cell r="K16">
            <v>100</v>
          </cell>
        </row>
        <row r="17">
          <cell r="A17">
            <v>12</v>
          </cell>
          <cell r="B17">
            <v>511</v>
          </cell>
          <cell r="C17">
            <v>650</v>
          </cell>
          <cell r="D17">
            <v>650</v>
          </cell>
          <cell r="E17">
            <v>511</v>
          </cell>
          <cell r="F17">
            <v>1022</v>
          </cell>
          <cell r="G17">
            <v>511</v>
          </cell>
          <cell r="H17">
            <v>127</v>
          </cell>
          <cell r="I17">
            <v>100</v>
          </cell>
          <cell r="J17">
            <v>100</v>
          </cell>
          <cell r="K17">
            <v>100</v>
          </cell>
        </row>
        <row r="18">
          <cell r="A18">
            <v>13</v>
          </cell>
          <cell r="B18">
            <v>588</v>
          </cell>
          <cell r="C18">
            <v>700</v>
          </cell>
          <cell r="D18">
            <v>700</v>
          </cell>
          <cell r="E18">
            <v>588</v>
          </cell>
          <cell r="F18">
            <v>1176</v>
          </cell>
          <cell r="G18">
            <v>588</v>
          </cell>
          <cell r="H18">
            <v>147</v>
          </cell>
          <cell r="I18">
            <v>100</v>
          </cell>
          <cell r="J18">
            <v>100</v>
          </cell>
          <cell r="K18">
            <v>100</v>
          </cell>
        </row>
        <row r="19">
          <cell r="A19">
            <v>14</v>
          </cell>
          <cell r="B19">
            <v>671</v>
          </cell>
          <cell r="C19">
            <v>750</v>
          </cell>
          <cell r="D19">
            <v>750</v>
          </cell>
          <cell r="E19">
            <v>671</v>
          </cell>
          <cell r="F19">
            <v>1342</v>
          </cell>
          <cell r="G19">
            <v>671</v>
          </cell>
          <cell r="H19">
            <v>167</v>
          </cell>
          <cell r="I19">
            <v>100</v>
          </cell>
          <cell r="J19">
            <v>100</v>
          </cell>
          <cell r="K19">
            <v>100</v>
          </cell>
        </row>
        <row r="20">
          <cell r="A20">
            <v>15</v>
          </cell>
          <cell r="B20">
            <v>760</v>
          </cell>
          <cell r="C20">
            <v>800</v>
          </cell>
          <cell r="D20">
            <v>800</v>
          </cell>
          <cell r="E20">
            <v>760</v>
          </cell>
          <cell r="F20">
            <v>1520</v>
          </cell>
          <cell r="G20">
            <v>760</v>
          </cell>
          <cell r="H20">
            <v>190</v>
          </cell>
          <cell r="I20">
            <v>100</v>
          </cell>
          <cell r="J20">
            <v>100</v>
          </cell>
          <cell r="K20">
            <v>100</v>
          </cell>
        </row>
        <row r="21">
          <cell r="A21">
            <v>16</v>
          </cell>
          <cell r="B21">
            <v>855</v>
          </cell>
          <cell r="C21">
            <v>850</v>
          </cell>
          <cell r="D21">
            <v>850</v>
          </cell>
          <cell r="E21">
            <v>855</v>
          </cell>
          <cell r="F21">
            <v>1710</v>
          </cell>
          <cell r="G21">
            <v>855</v>
          </cell>
          <cell r="H21">
            <v>213</v>
          </cell>
          <cell r="I21">
            <v>100</v>
          </cell>
          <cell r="J21">
            <v>100</v>
          </cell>
          <cell r="K21">
            <v>100</v>
          </cell>
        </row>
        <row r="22">
          <cell r="A22">
            <v>17</v>
          </cell>
          <cell r="B22">
            <v>956</v>
          </cell>
          <cell r="C22">
            <v>900</v>
          </cell>
          <cell r="D22">
            <v>900</v>
          </cell>
          <cell r="E22">
            <v>956</v>
          </cell>
          <cell r="F22">
            <v>1912</v>
          </cell>
          <cell r="G22">
            <v>956</v>
          </cell>
          <cell r="H22">
            <v>239</v>
          </cell>
          <cell r="I22">
            <v>100</v>
          </cell>
          <cell r="J22">
            <v>100</v>
          </cell>
          <cell r="K22">
            <v>100</v>
          </cell>
        </row>
        <row r="23">
          <cell r="A23">
            <v>18</v>
          </cell>
          <cell r="B23">
            <v>1063</v>
          </cell>
          <cell r="C23">
            <v>950</v>
          </cell>
          <cell r="D23">
            <v>950</v>
          </cell>
          <cell r="E23">
            <v>1063</v>
          </cell>
          <cell r="F23">
            <v>2126</v>
          </cell>
          <cell r="G23">
            <v>1063</v>
          </cell>
          <cell r="H23">
            <v>265</v>
          </cell>
          <cell r="I23">
            <v>100</v>
          </cell>
          <cell r="J23">
            <v>100</v>
          </cell>
          <cell r="K23">
            <v>100</v>
          </cell>
        </row>
        <row r="24">
          <cell r="A24">
            <v>19</v>
          </cell>
          <cell r="B24">
            <v>1176</v>
          </cell>
          <cell r="C24">
            <v>1000</v>
          </cell>
          <cell r="D24">
            <v>1000</v>
          </cell>
          <cell r="E24">
            <v>1176</v>
          </cell>
          <cell r="F24">
            <v>2352</v>
          </cell>
          <cell r="G24">
            <v>1176</v>
          </cell>
          <cell r="H24">
            <v>294</v>
          </cell>
          <cell r="I24">
            <v>100</v>
          </cell>
          <cell r="J24">
            <v>100</v>
          </cell>
          <cell r="K24">
            <v>100</v>
          </cell>
        </row>
        <row r="25">
          <cell r="A25">
            <v>20</v>
          </cell>
          <cell r="B25">
            <v>1295</v>
          </cell>
          <cell r="C25">
            <v>1050</v>
          </cell>
          <cell r="D25">
            <v>1050</v>
          </cell>
          <cell r="E25">
            <v>1295</v>
          </cell>
          <cell r="F25">
            <v>2590</v>
          </cell>
          <cell r="G25">
            <v>1295</v>
          </cell>
          <cell r="H25">
            <v>323</v>
          </cell>
          <cell r="I25">
            <v>100</v>
          </cell>
          <cell r="J25">
            <v>100</v>
          </cell>
          <cell r="K25">
            <v>100</v>
          </cell>
        </row>
        <row r="26">
          <cell r="A26">
            <v>21</v>
          </cell>
          <cell r="B26">
            <v>1420</v>
          </cell>
          <cell r="C26">
            <v>1100</v>
          </cell>
          <cell r="D26">
            <v>1100</v>
          </cell>
          <cell r="E26">
            <v>1420</v>
          </cell>
          <cell r="F26">
            <v>2840</v>
          </cell>
          <cell r="G26">
            <v>1420</v>
          </cell>
          <cell r="H26">
            <v>355</v>
          </cell>
          <cell r="I26">
            <v>100</v>
          </cell>
          <cell r="J26">
            <v>100</v>
          </cell>
          <cell r="K26">
            <v>100</v>
          </cell>
        </row>
        <row r="27">
          <cell r="A27">
            <v>22</v>
          </cell>
          <cell r="B27">
            <v>1551</v>
          </cell>
          <cell r="C27">
            <v>1150</v>
          </cell>
          <cell r="D27">
            <v>1150</v>
          </cell>
          <cell r="E27">
            <v>1551</v>
          </cell>
          <cell r="F27">
            <v>3102</v>
          </cell>
          <cell r="G27">
            <v>1551</v>
          </cell>
          <cell r="H27">
            <v>387</v>
          </cell>
          <cell r="I27">
            <v>100</v>
          </cell>
          <cell r="J27">
            <v>100</v>
          </cell>
          <cell r="K27">
            <v>100</v>
          </cell>
        </row>
        <row r="28">
          <cell r="A28">
            <v>23</v>
          </cell>
          <cell r="B28">
            <v>1688</v>
          </cell>
          <cell r="C28">
            <v>1200</v>
          </cell>
          <cell r="D28">
            <v>1200</v>
          </cell>
          <cell r="E28">
            <v>1688</v>
          </cell>
          <cell r="F28">
            <v>3376</v>
          </cell>
          <cell r="G28">
            <v>1688</v>
          </cell>
          <cell r="H28">
            <v>422</v>
          </cell>
          <cell r="I28">
            <v>100</v>
          </cell>
          <cell r="J28">
            <v>100</v>
          </cell>
          <cell r="K28">
            <v>100</v>
          </cell>
        </row>
        <row r="29">
          <cell r="A29">
            <v>24</v>
          </cell>
          <cell r="B29">
            <v>1831</v>
          </cell>
          <cell r="C29">
            <v>1250</v>
          </cell>
          <cell r="D29">
            <v>1250</v>
          </cell>
          <cell r="E29">
            <v>1831</v>
          </cell>
          <cell r="F29">
            <v>3662</v>
          </cell>
          <cell r="G29">
            <v>1831</v>
          </cell>
          <cell r="H29">
            <v>457</v>
          </cell>
          <cell r="I29">
            <v>100</v>
          </cell>
          <cell r="J29">
            <v>100</v>
          </cell>
          <cell r="K29">
            <v>100</v>
          </cell>
        </row>
        <row r="30">
          <cell r="A30">
            <v>25</v>
          </cell>
          <cell r="B30">
            <v>1980</v>
          </cell>
          <cell r="C30">
            <v>1300</v>
          </cell>
          <cell r="D30">
            <v>1300</v>
          </cell>
          <cell r="E30">
            <v>1980</v>
          </cell>
          <cell r="F30">
            <v>3960</v>
          </cell>
          <cell r="G30">
            <v>1980</v>
          </cell>
          <cell r="H30">
            <v>495</v>
          </cell>
          <cell r="I30">
            <v>100</v>
          </cell>
          <cell r="J30">
            <v>100</v>
          </cell>
          <cell r="K30">
            <v>100</v>
          </cell>
        </row>
        <row r="31">
          <cell r="A31">
            <v>26</v>
          </cell>
          <cell r="B31">
            <v>2135</v>
          </cell>
          <cell r="C31">
            <v>1350</v>
          </cell>
          <cell r="D31">
            <v>1350</v>
          </cell>
          <cell r="E31">
            <v>2135</v>
          </cell>
          <cell r="F31">
            <v>4270</v>
          </cell>
          <cell r="G31">
            <v>2135</v>
          </cell>
          <cell r="H31">
            <v>533</v>
          </cell>
          <cell r="I31">
            <v>100</v>
          </cell>
          <cell r="J31">
            <v>100</v>
          </cell>
          <cell r="K31">
            <v>100</v>
          </cell>
        </row>
        <row r="32">
          <cell r="A32">
            <v>27</v>
          </cell>
          <cell r="B32">
            <v>2296</v>
          </cell>
          <cell r="C32">
            <v>1400</v>
          </cell>
          <cell r="D32">
            <v>1400</v>
          </cell>
          <cell r="E32">
            <v>2296</v>
          </cell>
          <cell r="F32">
            <v>4592</v>
          </cell>
          <cell r="G32">
            <v>2296</v>
          </cell>
          <cell r="H32">
            <v>574</v>
          </cell>
          <cell r="I32">
            <v>100</v>
          </cell>
          <cell r="J32">
            <v>100</v>
          </cell>
          <cell r="K32">
            <v>100</v>
          </cell>
        </row>
        <row r="33">
          <cell r="A33">
            <v>28</v>
          </cell>
          <cell r="B33">
            <v>2463</v>
          </cell>
          <cell r="C33">
            <v>1450</v>
          </cell>
          <cell r="D33">
            <v>1450</v>
          </cell>
          <cell r="E33">
            <v>2463</v>
          </cell>
          <cell r="F33">
            <v>4926</v>
          </cell>
          <cell r="G33">
            <v>2463</v>
          </cell>
          <cell r="H33">
            <v>615</v>
          </cell>
          <cell r="I33">
            <v>100</v>
          </cell>
          <cell r="J33">
            <v>100</v>
          </cell>
          <cell r="K33">
            <v>100</v>
          </cell>
        </row>
        <row r="34">
          <cell r="A34">
            <v>29</v>
          </cell>
          <cell r="B34">
            <v>2636</v>
          </cell>
          <cell r="C34">
            <v>1500</v>
          </cell>
          <cell r="D34">
            <v>1500</v>
          </cell>
          <cell r="E34">
            <v>2636</v>
          </cell>
          <cell r="F34">
            <v>5272</v>
          </cell>
          <cell r="G34">
            <v>2636</v>
          </cell>
          <cell r="H34">
            <v>659</v>
          </cell>
          <cell r="I34">
            <v>100</v>
          </cell>
          <cell r="J34">
            <v>100</v>
          </cell>
          <cell r="K34">
            <v>100</v>
          </cell>
        </row>
        <row r="35">
          <cell r="A35">
            <v>30</v>
          </cell>
          <cell r="B35">
            <v>2815</v>
          </cell>
          <cell r="C35">
            <v>1550</v>
          </cell>
          <cell r="D35">
            <v>1550</v>
          </cell>
          <cell r="E35">
            <v>2815</v>
          </cell>
          <cell r="F35">
            <v>5630</v>
          </cell>
          <cell r="G35">
            <v>2815</v>
          </cell>
          <cell r="H35">
            <v>703</v>
          </cell>
          <cell r="I35">
            <v>100</v>
          </cell>
          <cell r="J35">
            <v>100</v>
          </cell>
          <cell r="K35">
            <v>100</v>
          </cell>
        </row>
        <row r="36">
          <cell r="A36">
            <v>31</v>
          </cell>
          <cell r="B36">
            <v>3000</v>
          </cell>
          <cell r="C36">
            <v>1600</v>
          </cell>
          <cell r="D36">
            <v>1600</v>
          </cell>
          <cell r="E36">
            <v>3000</v>
          </cell>
          <cell r="F36">
            <v>6000</v>
          </cell>
          <cell r="G36">
            <v>3000</v>
          </cell>
          <cell r="H36">
            <v>750</v>
          </cell>
          <cell r="I36">
            <v>100</v>
          </cell>
          <cell r="J36">
            <v>100</v>
          </cell>
          <cell r="K36">
            <v>100</v>
          </cell>
        </row>
        <row r="37">
          <cell r="A37">
            <v>32</v>
          </cell>
          <cell r="B37">
            <v>3191</v>
          </cell>
          <cell r="C37">
            <v>1650</v>
          </cell>
          <cell r="D37">
            <v>1650</v>
          </cell>
          <cell r="E37">
            <v>3191</v>
          </cell>
          <cell r="F37">
            <v>6382</v>
          </cell>
          <cell r="G37">
            <v>3191</v>
          </cell>
          <cell r="H37">
            <v>797</v>
          </cell>
          <cell r="I37">
            <v>100</v>
          </cell>
          <cell r="J37">
            <v>100</v>
          </cell>
          <cell r="K37">
            <v>100</v>
          </cell>
        </row>
        <row r="38">
          <cell r="A38">
            <v>33</v>
          </cell>
          <cell r="B38">
            <v>3388</v>
          </cell>
          <cell r="C38">
            <v>1700</v>
          </cell>
          <cell r="D38">
            <v>1700</v>
          </cell>
          <cell r="E38">
            <v>3388</v>
          </cell>
          <cell r="F38">
            <v>6776</v>
          </cell>
          <cell r="G38">
            <v>3388</v>
          </cell>
          <cell r="H38">
            <v>847</v>
          </cell>
          <cell r="I38">
            <v>100</v>
          </cell>
          <cell r="J38">
            <v>100</v>
          </cell>
          <cell r="K38">
            <v>100</v>
          </cell>
        </row>
        <row r="39">
          <cell r="A39">
            <v>34</v>
          </cell>
          <cell r="B39">
            <v>3591</v>
          </cell>
          <cell r="C39">
            <v>1750</v>
          </cell>
          <cell r="D39">
            <v>1750</v>
          </cell>
          <cell r="E39">
            <v>3591</v>
          </cell>
          <cell r="F39">
            <v>7182</v>
          </cell>
          <cell r="G39">
            <v>3591</v>
          </cell>
          <cell r="H39">
            <v>897</v>
          </cell>
          <cell r="I39">
            <v>100</v>
          </cell>
          <cell r="J39">
            <v>100</v>
          </cell>
          <cell r="K39">
            <v>100</v>
          </cell>
        </row>
        <row r="40">
          <cell r="A40">
            <v>35</v>
          </cell>
          <cell r="B40">
            <v>3800</v>
          </cell>
          <cell r="C40">
            <v>1800</v>
          </cell>
          <cell r="D40">
            <v>1800</v>
          </cell>
          <cell r="E40">
            <v>3800</v>
          </cell>
          <cell r="F40">
            <v>7600</v>
          </cell>
          <cell r="G40">
            <v>3800</v>
          </cell>
          <cell r="H40">
            <v>950</v>
          </cell>
          <cell r="I40">
            <v>100</v>
          </cell>
          <cell r="J40">
            <v>100</v>
          </cell>
          <cell r="K40">
            <v>100</v>
          </cell>
        </row>
        <row r="41">
          <cell r="A41">
            <v>36</v>
          </cell>
          <cell r="B41">
            <v>4015</v>
          </cell>
          <cell r="C41">
            <v>1850</v>
          </cell>
          <cell r="D41">
            <v>1850</v>
          </cell>
          <cell r="E41">
            <v>4015</v>
          </cell>
          <cell r="F41">
            <v>8030</v>
          </cell>
          <cell r="G41">
            <v>4015</v>
          </cell>
          <cell r="H41">
            <v>1003</v>
          </cell>
          <cell r="I41">
            <v>100</v>
          </cell>
          <cell r="J41">
            <v>100</v>
          </cell>
          <cell r="K41">
            <v>100</v>
          </cell>
        </row>
        <row r="42">
          <cell r="A42">
            <v>37</v>
          </cell>
          <cell r="B42">
            <v>4236</v>
          </cell>
          <cell r="C42">
            <v>1900</v>
          </cell>
          <cell r="D42">
            <v>1900</v>
          </cell>
          <cell r="E42">
            <v>4236</v>
          </cell>
          <cell r="F42">
            <v>8472</v>
          </cell>
          <cell r="G42">
            <v>4236</v>
          </cell>
          <cell r="H42">
            <v>1059</v>
          </cell>
          <cell r="I42">
            <v>100</v>
          </cell>
          <cell r="J42">
            <v>100</v>
          </cell>
          <cell r="K42">
            <v>100</v>
          </cell>
        </row>
        <row r="43">
          <cell r="A43">
            <v>38</v>
          </cell>
          <cell r="B43">
            <v>4463</v>
          </cell>
          <cell r="C43">
            <v>1950</v>
          </cell>
          <cell r="D43">
            <v>1950</v>
          </cell>
          <cell r="E43">
            <v>4463</v>
          </cell>
          <cell r="F43">
            <v>8926</v>
          </cell>
          <cell r="G43">
            <v>4463</v>
          </cell>
          <cell r="H43">
            <v>1115</v>
          </cell>
          <cell r="I43">
            <v>100</v>
          </cell>
          <cell r="J43">
            <v>100</v>
          </cell>
          <cell r="K43">
            <v>100</v>
          </cell>
        </row>
        <row r="44">
          <cell r="A44">
            <v>39</v>
          </cell>
          <cell r="B44">
            <v>4696</v>
          </cell>
          <cell r="C44">
            <v>2000</v>
          </cell>
          <cell r="D44">
            <v>2000</v>
          </cell>
          <cell r="E44">
            <v>4696</v>
          </cell>
          <cell r="F44">
            <v>9392</v>
          </cell>
          <cell r="G44">
            <v>4696</v>
          </cell>
          <cell r="H44">
            <v>1174</v>
          </cell>
          <cell r="I44">
            <v>100</v>
          </cell>
          <cell r="J44">
            <v>100</v>
          </cell>
          <cell r="K44">
            <v>100</v>
          </cell>
        </row>
        <row r="45">
          <cell r="A45">
            <v>40</v>
          </cell>
          <cell r="B45">
            <v>4935</v>
          </cell>
          <cell r="C45">
            <v>2050</v>
          </cell>
          <cell r="D45">
            <v>2050</v>
          </cell>
          <cell r="E45">
            <v>4935</v>
          </cell>
          <cell r="F45">
            <v>9870</v>
          </cell>
          <cell r="G45">
            <v>4935</v>
          </cell>
          <cell r="H45">
            <v>1233</v>
          </cell>
          <cell r="I45">
            <v>100</v>
          </cell>
          <cell r="J45">
            <v>100</v>
          </cell>
          <cell r="K45">
            <v>100</v>
          </cell>
        </row>
        <row r="46">
          <cell r="A46">
            <v>41</v>
          </cell>
          <cell r="B46">
            <v>5180</v>
          </cell>
          <cell r="C46">
            <v>2100</v>
          </cell>
          <cell r="D46">
            <v>2100</v>
          </cell>
          <cell r="E46">
            <v>5180</v>
          </cell>
          <cell r="F46">
            <v>10360</v>
          </cell>
          <cell r="G46">
            <v>5180</v>
          </cell>
          <cell r="H46">
            <v>1295</v>
          </cell>
          <cell r="I46">
            <v>100</v>
          </cell>
          <cell r="J46">
            <v>100</v>
          </cell>
          <cell r="K46">
            <v>100</v>
          </cell>
        </row>
        <row r="47">
          <cell r="A47">
            <v>42</v>
          </cell>
          <cell r="B47">
            <v>5431</v>
          </cell>
          <cell r="C47">
            <v>2150</v>
          </cell>
          <cell r="D47">
            <v>2150</v>
          </cell>
          <cell r="E47">
            <v>5431</v>
          </cell>
          <cell r="F47">
            <v>10862</v>
          </cell>
          <cell r="G47">
            <v>5431</v>
          </cell>
          <cell r="H47">
            <v>1357</v>
          </cell>
          <cell r="I47">
            <v>100</v>
          </cell>
          <cell r="J47">
            <v>100</v>
          </cell>
          <cell r="K47">
            <v>100</v>
          </cell>
        </row>
        <row r="48">
          <cell r="A48">
            <v>43</v>
          </cell>
          <cell r="B48">
            <v>5688</v>
          </cell>
          <cell r="C48">
            <v>2200</v>
          </cell>
          <cell r="D48">
            <v>2200</v>
          </cell>
          <cell r="E48">
            <v>5688</v>
          </cell>
          <cell r="F48">
            <v>11376</v>
          </cell>
          <cell r="G48">
            <v>5688</v>
          </cell>
          <cell r="H48">
            <v>1422</v>
          </cell>
          <cell r="I48">
            <v>100</v>
          </cell>
          <cell r="J48">
            <v>100</v>
          </cell>
          <cell r="K48">
            <v>100</v>
          </cell>
        </row>
        <row r="49">
          <cell r="A49">
            <v>44</v>
          </cell>
          <cell r="B49">
            <v>5951</v>
          </cell>
          <cell r="C49">
            <v>2250</v>
          </cell>
          <cell r="D49">
            <v>2250</v>
          </cell>
          <cell r="E49">
            <v>5951</v>
          </cell>
          <cell r="F49">
            <v>11902</v>
          </cell>
          <cell r="G49">
            <v>5951</v>
          </cell>
          <cell r="H49">
            <v>1487</v>
          </cell>
          <cell r="I49">
            <v>100</v>
          </cell>
          <cell r="J49">
            <v>100</v>
          </cell>
          <cell r="K49">
            <v>100</v>
          </cell>
        </row>
        <row r="50">
          <cell r="A50">
            <v>45</v>
          </cell>
          <cell r="B50">
            <v>6220</v>
          </cell>
          <cell r="C50">
            <v>2300</v>
          </cell>
          <cell r="D50">
            <v>2300</v>
          </cell>
          <cell r="E50">
            <v>6220</v>
          </cell>
          <cell r="F50">
            <v>12440</v>
          </cell>
          <cell r="G50">
            <v>6220</v>
          </cell>
          <cell r="H50">
            <v>1555</v>
          </cell>
          <cell r="I50">
            <v>100</v>
          </cell>
          <cell r="J50">
            <v>100</v>
          </cell>
          <cell r="K50">
            <v>100</v>
          </cell>
        </row>
        <row r="51">
          <cell r="A51">
            <v>46</v>
          </cell>
          <cell r="B51">
            <v>6495</v>
          </cell>
          <cell r="C51">
            <v>2350</v>
          </cell>
          <cell r="D51">
            <v>2350</v>
          </cell>
          <cell r="E51">
            <v>6495</v>
          </cell>
          <cell r="F51">
            <v>12990</v>
          </cell>
          <cell r="G51">
            <v>6495</v>
          </cell>
          <cell r="H51">
            <v>1623</v>
          </cell>
          <cell r="I51">
            <v>100</v>
          </cell>
          <cell r="J51">
            <v>100</v>
          </cell>
          <cell r="K51">
            <v>100</v>
          </cell>
        </row>
        <row r="52">
          <cell r="A52">
            <v>47</v>
          </cell>
          <cell r="B52">
            <v>6776</v>
          </cell>
          <cell r="C52">
            <v>2400</v>
          </cell>
          <cell r="D52">
            <v>2400</v>
          </cell>
          <cell r="E52">
            <v>6776</v>
          </cell>
          <cell r="F52">
            <v>13552</v>
          </cell>
          <cell r="G52">
            <v>6776</v>
          </cell>
          <cell r="H52">
            <v>1694</v>
          </cell>
          <cell r="I52">
            <v>100</v>
          </cell>
          <cell r="J52">
            <v>100</v>
          </cell>
          <cell r="K52">
            <v>100</v>
          </cell>
        </row>
        <row r="53">
          <cell r="A53">
            <v>48</v>
          </cell>
          <cell r="B53">
            <v>7063</v>
          </cell>
          <cell r="C53">
            <v>2450</v>
          </cell>
          <cell r="D53">
            <v>2450</v>
          </cell>
          <cell r="E53">
            <v>7063</v>
          </cell>
          <cell r="F53">
            <v>14126</v>
          </cell>
          <cell r="G53">
            <v>7063</v>
          </cell>
          <cell r="H53">
            <v>1765</v>
          </cell>
          <cell r="I53">
            <v>100</v>
          </cell>
          <cell r="J53">
            <v>100</v>
          </cell>
          <cell r="K53">
            <v>100</v>
          </cell>
        </row>
        <row r="54">
          <cell r="A54">
            <v>49</v>
          </cell>
          <cell r="B54">
            <v>7356</v>
          </cell>
          <cell r="C54">
            <v>2500</v>
          </cell>
          <cell r="D54">
            <v>2500</v>
          </cell>
          <cell r="E54">
            <v>7356</v>
          </cell>
          <cell r="F54">
            <v>14712</v>
          </cell>
          <cell r="G54">
            <v>7356</v>
          </cell>
          <cell r="H54">
            <v>1839</v>
          </cell>
          <cell r="I54">
            <v>100</v>
          </cell>
          <cell r="J54">
            <v>100</v>
          </cell>
          <cell r="K54">
            <v>100</v>
          </cell>
        </row>
        <row r="55">
          <cell r="A55">
            <v>50</v>
          </cell>
          <cell r="B55">
            <v>7655</v>
          </cell>
          <cell r="C55">
            <v>2550</v>
          </cell>
          <cell r="D55">
            <v>2550</v>
          </cell>
          <cell r="E55">
            <v>7655</v>
          </cell>
          <cell r="F55">
            <v>15310</v>
          </cell>
          <cell r="G55">
            <v>7655</v>
          </cell>
          <cell r="H55">
            <v>1913</v>
          </cell>
          <cell r="I55">
            <v>100</v>
          </cell>
          <cell r="J55">
            <v>100</v>
          </cell>
          <cell r="K55">
            <v>100</v>
          </cell>
        </row>
        <row r="56">
          <cell r="A56">
            <v>51</v>
          </cell>
          <cell r="B56">
            <v>7960</v>
          </cell>
          <cell r="C56">
            <v>2600</v>
          </cell>
          <cell r="D56">
            <v>2600</v>
          </cell>
          <cell r="E56">
            <v>7960</v>
          </cell>
          <cell r="F56">
            <v>15920</v>
          </cell>
          <cell r="G56">
            <v>7960</v>
          </cell>
          <cell r="H56">
            <v>1990</v>
          </cell>
          <cell r="I56">
            <v>100</v>
          </cell>
          <cell r="J56">
            <v>100</v>
          </cell>
          <cell r="K56">
            <v>100</v>
          </cell>
        </row>
        <row r="57">
          <cell r="A57">
            <v>52</v>
          </cell>
          <cell r="B57">
            <v>8271</v>
          </cell>
          <cell r="C57">
            <v>2650</v>
          </cell>
          <cell r="D57">
            <v>2650</v>
          </cell>
          <cell r="E57">
            <v>8271</v>
          </cell>
          <cell r="F57">
            <v>16542</v>
          </cell>
          <cell r="G57">
            <v>8271</v>
          </cell>
          <cell r="H57">
            <v>2067</v>
          </cell>
          <cell r="I57">
            <v>100</v>
          </cell>
          <cell r="J57">
            <v>100</v>
          </cell>
          <cell r="K57">
            <v>100</v>
          </cell>
        </row>
        <row r="58">
          <cell r="A58">
            <v>53</v>
          </cell>
          <cell r="B58">
            <v>8588</v>
          </cell>
          <cell r="C58">
            <v>2700</v>
          </cell>
          <cell r="D58">
            <v>2700</v>
          </cell>
          <cell r="E58">
            <v>8588</v>
          </cell>
          <cell r="F58">
            <v>17176</v>
          </cell>
          <cell r="G58">
            <v>8588</v>
          </cell>
          <cell r="H58">
            <v>2147</v>
          </cell>
          <cell r="I58">
            <v>100</v>
          </cell>
          <cell r="J58">
            <v>100</v>
          </cell>
          <cell r="K58">
            <v>100</v>
          </cell>
        </row>
        <row r="59">
          <cell r="A59">
            <v>54</v>
          </cell>
          <cell r="B59">
            <v>8911</v>
          </cell>
          <cell r="C59">
            <v>2750</v>
          </cell>
          <cell r="D59">
            <v>2750</v>
          </cell>
          <cell r="E59">
            <v>8911</v>
          </cell>
          <cell r="F59">
            <v>17822</v>
          </cell>
          <cell r="G59">
            <v>8911</v>
          </cell>
          <cell r="H59">
            <v>2227</v>
          </cell>
          <cell r="I59">
            <v>100</v>
          </cell>
          <cell r="J59">
            <v>100</v>
          </cell>
          <cell r="K59">
            <v>100</v>
          </cell>
        </row>
        <row r="60">
          <cell r="A60">
            <v>55</v>
          </cell>
          <cell r="B60">
            <v>9240</v>
          </cell>
          <cell r="C60">
            <v>2800</v>
          </cell>
          <cell r="D60">
            <v>2800</v>
          </cell>
          <cell r="E60">
            <v>9240</v>
          </cell>
          <cell r="F60">
            <v>18480</v>
          </cell>
          <cell r="G60">
            <v>9240</v>
          </cell>
          <cell r="H60">
            <v>2310</v>
          </cell>
          <cell r="I60">
            <v>100</v>
          </cell>
          <cell r="J60">
            <v>100</v>
          </cell>
          <cell r="K60">
            <v>100</v>
          </cell>
        </row>
        <row r="61">
          <cell r="A61">
            <v>56</v>
          </cell>
          <cell r="B61">
            <v>9575</v>
          </cell>
          <cell r="C61">
            <v>2850</v>
          </cell>
          <cell r="D61">
            <v>2850</v>
          </cell>
          <cell r="E61">
            <v>9575</v>
          </cell>
          <cell r="F61">
            <v>19150</v>
          </cell>
          <cell r="G61">
            <v>9575</v>
          </cell>
          <cell r="H61">
            <v>2393</v>
          </cell>
          <cell r="I61">
            <v>100</v>
          </cell>
          <cell r="J61">
            <v>100</v>
          </cell>
          <cell r="K61">
            <v>100</v>
          </cell>
        </row>
        <row r="62">
          <cell r="A62">
            <v>57</v>
          </cell>
          <cell r="B62">
            <v>9916</v>
          </cell>
          <cell r="C62">
            <v>2900</v>
          </cell>
          <cell r="D62">
            <v>2900</v>
          </cell>
          <cell r="E62">
            <v>9916</v>
          </cell>
          <cell r="F62">
            <v>19832</v>
          </cell>
          <cell r="G62">
            <v>9916</v>
          </cell>
          <cell r="H62">
            <v>2479</v>
          </cell>
          <cell r="I62">
            <v>100</v>
          </cell>
          <cell r="J62">
            <v>100</v>
          </cell>
          <cell r="K62">
            <v>100</v>
          </cell>
        </row>
        <row r="63">
          <cell r="A63">
            <v>58</v>
          </cell>
          <cell r="B63">
            <v>10263</v>
          </cell>
          <cell r="C63">
            <v>2950</v>
          </cell>
          <cell r="D63">
            <v>2950</v>
          </cell>
          <cell r="E63">
            <v>10263</v>
          </cell>
          <cell r="F63">
            <v>20526</v>
          </cell>
          <cell r="G63">
            <v>10263</v>
          </cell>
          <cell r="H63">
            <v>2565</v>
          </cell>
          <cell r="I63">
            <v>100</v>
          </cell>
          <cell r="J63">
            <v>100</v>
          </cell>
          <cell r="K63">
            <v>100</v>
          </cell>
        </row>
        <row r="64">
          <cell r="A64">
            <v>59</v>
          </cell>
          <cell r="B64">
            <v>10616</v>
          </cell>
          <cell r="C64">
            <v>3000</v>
          </cell>
          <cell r="D64">
            <v>3000</v>
          </cell>
          <cell r="E64">
            <v>10616</v>
          </cell>
          <cell r="F64">
            <v>21232</v>
          </cell>
          <cell r="G64">
            <v>10616</v>
          </cell>
          <cell r="H64">
            <v>2654</v>
          </cell>
          <cell r="I64">
            <v>100</v>
          </cell>
          <cell r="J64">
            <v>100</v>
          </cell>
          <cell r="K64">
            <v>100</v>
          </cell>
        </row>
        <row r="65">
          <cell r="A65">
            <v>60</v>
          </cell>
          <cell r="B65">
            <v>10975</v>
          </cell>
          <cell r="C65">
            <v>3050</v>
          </cell>
          <cell r="D65">
            <v>3050</v>
          </cell>
          <cell r="E65">
            <v>10975</v>
          </cell>
          <cell r="F65">
            <v>21950</v>
          </cell>
          <cell r="G65">
            <v>10975</v>
          </cell>
          <cell r="H65">
            <v>2743</v>
          </cell>
          <cell r="I65">
            <v>100</v>
          </cell>
          <cell r="J65">
            <v>100</v>
          </cell>
          <cell r="K65">
            <v>100</v>
          </cell>
        </row>
        <row r="66">
          <cell r="A66">
            <v>61</v>
          </cell>
          <cell r="B66">
            <v>11340</v>
          </cell>
          <cell r="C66">
            <v>3100</v>
          </cell>
          <cell r="D66">
            <v>3100</v>
          </cell>
          <cell r="E66">
            <v>11340</v>
          </cell>
          <cell r="F66">
            <v>22680</v>
          </cell>
          <cell r="G66">
            <v>11340</v>
          </cell>
          <cell r="H66">
            <v>2835</v>
          </cell>
          <cell r="I66">
            <v>100</v>
          </cell>
          <cell r="J66">
            <v>100</v>
          </cell>
          <cell r="K66">
            <v>100</v>
          </cell>
        </row>
        <row r="67">
          <cell r="A67">
            <v>62</v>
          </cell>
          <cell r="B67">
            <v>11711</v>
          </cell>
          <cell r="C67">
            <v>3150</v>
          </cell>
          <cell r="D67">
            <v>3150</v>
          </cell>
          <cell r="E67">
            <v>11711</v>
          </cell>
          <cell r="F67">
            <v>23422</v>
          </cell>
          <cell r="G67">
            <v>11711</v>
          </cell>
          <cell r="H67">
            <v>2927</v>
          </cell>
          <cell r="I67">
            <v>100</v>
          </cell>
          <cell r="J67">
            <v>100</v>
          </cell>
          <cell r="K67">
            <v>100</v>
          </cell>
        </row>
        <row r="68">
          <cell r="A68">
            <v>63</v>
          </cell>
          <cell r="B68">
            <v>12088</v>
          </cell>
          <cell r="C68">
            <v>3200</v>
          </cell>
          <cell r="D68">
            <v>3200</v>
          </cell>
          <cell r="E68">
            <v>12088</v>
          </cell>
          <cell r="F68">
            <v>24176</v>
          </cell>
          <cell r="G68">
            <v>12088</v>
          </cell>
          <cell r="H68">
            <v>3022</v>
          </cell>
          <cell r="I68">
            <v>100</v>
          </cell>
          <cell r="J68">
            <v>100</v>
          </cell>
          <cell r="K68">
            <v>100</v>
          </cell>
        </row>
        <row r="69">
          <cell r="A69">
            <v>64</v>
          </cell>
          <cell r="B69">
            <v>12471</v>
          </cell>
          <cell r="C69">
            <v>3250</v>
          </cell>
          <cell r="D69">
            <v>3250</v>
          </cell>
          <cell r="E69">
            <v>12471</v>
          </cell>
          <cell r="F69">
            <v>24942</v>
          </cell>
          <cell r="G69">
            <v>12471</v>
          </cell>
          <cell r="H69">
            <v>3117</v>
          </cell>
          <cell r="I69">
            <v>100</v>
          </cell>
          <cell r="J69">
            <v>100</v>
          </cell>
          <cell r="K69">
            <v>100</v>
          </cell>
        </row>
        <row r="70">
          <cell r="A70">
            <v>65</v>
          </cell>
          <cell r="B70">
            <v>12860</v>
          </cell>
          <cell r="C70">
            <v>3300</v>
          </cell>
          <cell r="D70">
            <v>3300</v>
          </cell>
          <cell r="E70">
            <v>12860</v>
          </cell>
          <cell r="F70">
            <v>25720</v>
          </cell>
          <cell r="G70">
            <v>12860</v>
          </cell>
          <cell r="H70">
            <v>3215</v>
          </cell>
          <cell r="I70">
            <v>100</v>
          </cell>
          <cell r="J70">
            <v>100</v>
          </cell>
          <cell r="K70">
            <v>100</v>
          </cell>
        </row>
        <row r="71">
          <cell r="A71">
            <v>66</v>
          </cell>
          <cell r="B71">
            <v>13255</v>
          </cell>
          <cell r="C71">
            <v>3350</v>
          </cell>
          <cell r="D71">
            <v>3350</v>
          </cell>
          <cell r="E71">
            <v>13255</v>
          </cell>
          <cell r="F71">
            <v>26510</v>
          </cell>
          <cell r="G71">
            <v>13255</v>
          </cell>
          <cell r="H71">
            <v>3313</v>
          </cell>
          <cell r="I71">
            <v>100</v>
          </cell>
          <cell r="J71">
            <v>100</v>
          </cell>
          <cell r="K71">
            <v>100</v>
          </cell>
        </row>
        <row r="72">
          <cell r="A72">
            <v>67</v>
          </cell>
          <cell r="B72">
            <v>13656</v>
          </cell>
          <cell r="C72">
            <v>3400</v>
          </cell>
          <cell r="D72">
            <v>3400</v>
          </cell>
          <cell r="E72">
            <v>13656</v>
          </cell>
          <cell r="F72">
            <v>27312</v>
          </cell>
          <cell r="G72">
            <v>13656</v>
          </cell>
          <cell r="H72">
            <v>3414</v>
          </cell>
          <cell r="I72">
            <v>100</v>
          </cell>
          <cell r="J72">
            <v>100</v>
          </cell>
          <cell r="K72">
            <v>100</v>
          </cell>
        </row>
        <row r="73">
          <cell r="A73">
            <v>68</v>
          </cell>
          <cell r="B73">
            <v>14063</v>
          </cell>
          <cell r="C73">
            <v>3450</v>
          </cell>
          <cell r="D73">
            <v>3450</v>
          </cell>
          <cell r="E73">
            <v>14063</v>
          </cell>
          <cell r="F73">
            <v>28126</v>
          </cell>
          <cell r="G73">
            <v>14063</v>
          </cell>
          <cell r="H73">
            <v>3515</v>
          </cell>
          <cell r="I73">
            <v>100</v>
          </cell>
          <cell r="J73">
            <v>100</v>
          </cell>
          <cell r="K73">
            <v>100</v>
          </cell>
        </row>
        <row r="74">
          <cell r="A74">
            <v>69</v>
          </cell>
          <cell r="B74">
            <v>14476</v>
          </cell>
          <cell r="C74">
            <v>3500</v>
          </cell>
          <cell r="D74">
            <v>3500</v>
          </cell>
          <cell r="E74">
            <v>14476</v>
          </cell>
          <cell r="F74">
            <v>28952</v>
          </cell>
          <cell r="G74">
            <v>14476</v>
          </cell>
          <cell r="H74">
            <v>3619</v>
          </cell>
          <cell r="I74">
            <v>100</v>
          </cell>
          <cell r="J74">
            <v>100</v>
          </cell>
          <cell r="K74">
            <v>100</v>
          </cell>
        </row>
        <row r="75">
          <cell r="A75">
            <v>70</v>
          </cell>
          <cell r="B75">
            <v>14895</v>
          </cell>
          <cell r="C75">
            <v>3550</v>
          </cell>
          <cell r="D75">
            <v>3550</v>
          </cell>
          <cell r="E75">
            <v>14895</v>
          </cell>
          <cell r="F75">
            <v>29790</v>
          </cell>
          <cell r="G75">
            <v>14895</v>
          </cell>
          <cell r="H75">
            <v>3723</v>
          </cell>
          <cell r="I75">
            <v>100</v>
          </cell>
          <cell r="J75">
            <v>100</v>
          </cell>
          <cell r="K75">
            <v>100</v>
          </cell>
        </row>
        <row r="76">
          <cell r="A76">
            <v>71</v>
          </cell>
          <cell r="B76">
            <v>15320</v>
          </cell>
          <cell r="C76">
            <v>3610</v>
          </cell>
          <cell r="D76">
            <v>3610</v>
          </cell>
          <cell r="E76">
            <v>15320</v>
          </cell>
          <cell r="F76">
            <v>30640</v>
          </cell>
          <cell r="G76">
            <v>15320</v>
          </cell>
          <cell r="H76">
            <v>3830</v>
          </cell>
          <cell r="I76">
            <v>100</v>
          </cell>
          <cell r="J76">
            <v>100</v>
          </cell>
          <cell r="K76">
            <v>100</v>
          </cell>
        </row>
        <row r="77">
          <cell r="A77">
            <v>72</v>
          </cell>
          <cell r="B77">
            <v>15751</v>
          </cell>
          <cell r="C77">
            <v>3680</v>
          </cell>
          <cell r="D77">
            <v>3680</v>
          </cell>
          <cell r="E77">
            <v>15751</v>
          </cell>
          <cell r="F77">
            <v>31502</v>
          </cell>
          <cell r="G77">
            <v>15751</v>
          </cell>
          <cell r="H77">
            <v>3937</v>
          </cell>
          <cell r="I77">
            <v>100</v>
          </cell>
          <cell r="J77">
            <v>100</v>
          </cell>
          <cell r="K77">
            <v>100</v>
          </cell>
        </row>
        <row r="78">
          <cell r="A78">
            <v>73</v>
          </cell>
          <cell r="B78">
            <v>16188</v>
          </cell>
          <cell r="C78">
            <v>3760</v>
          </cell>
          <cell r="D78">
            <v>3760</v>
          </cell>
          <cell r="E78">
            <v>16188</v>
          </cell>
          <cell r="F78">
            <v>32376</v>
          </cell>
          <cell r="G78">
            <v>16188</v>
          </cell>
          <cell r="H78">
            <v>4047</v>
          </cell>
          <cell r="I78">
            <v>100</v>
          </cell>
          <cell r="J78">
            <v>100</v>
          </cell>
          <cell r="K78">
            <v>100</v>
          </cell>
        </row>
        <row r="79">
          <cell r="A79">
            <v>74</v>
          </cell>
          <cell r="B79">
            <v>16631</v>
          </cell>
          <cell r="C79">
            <v>3850</v>
          </cell>
          <cell r="D79">
            <v>3850</v>
          </cell>
          <cell r="E79">
            <v>16631</v>
          </cell>
          <cell r="F79">
            <v>33262</v>
          </cell>
          <cell r="G79">
            <v>16631</v>
          </cell>
          <cell r="H79">
            <v>4157</v>
          </cell>
          <cell r="I79">
            <v>100</v>
          </cell>
          <cell r="J79">
            <v>100</v>
          </cell>
          <cell r="K79">
            <v>100</v>
          </cell>
        </row>
        <row r="80">
          <cell r="A80">
            <v>75</v>
          </cell>
          <cell r="B80">
            <v>17080</v>
          </cell>
          <cell r="C80">
            <v>3950</v>
          </cell>
          <cell r="D80">
            <v>3950</v>
          </cell>
          <cell r="E80">
            <v>17080</v>
          </cell>
          <cell r="F80">
            <v>34160</v>
          </cell>
          <cell r="G80">
            <v>17080</v>
          </cell>
          <cell r="H80">
            <v>4270</v>
          </cell>
          <cell r="I80">
            <v>100</v>
          </cell>
          <cell r="J80">
            <v>100</v>
          </cell>
          <cell r="K80">
            <v>100</v>
          </cell>
        </row>
        <row r="81">
          <cell r="A81">
            <v>76</v>
          </cell>
          <cell r="B81">
            <v>17535</v>
          </cell>
          <cell r="C81">
            <v>4060</v>
          </cell>
          <cell r="D81">
            <v>4060</v>
          </cell>
          <cell r="E81">
            <v>17535</v>
          </cell>
          <cell r="F81">
            <v>35070</v>
          </cell>
          <cell r="G81">
            <v>17535</v>
          </cell>
          <cell r="H81">
            <v>4383</v>
          </cell>
          <cell r="I81">
            <v>100</v>
          </cell>
          <cell r="J81">
            <v>100</v>
          </cell>
          <cell r="K81">
            <v>100</v>
          </cell>
        </row>
        <row r="82">
          <cell r="A82">
            <v>77</v>
          </cell>
          <cell r="B82">
            <v>17996</v>
          </cell>
          <cell r="C82">
            <v>4180</v>
          </cell>
          <cell r="D82">
            <v>4180</v>
          </cell>
          <cell r="E82">
            <v>17996</v>
          </cell>
          <cell r="F82">
            <v>35992</v>
          </cell>
          <cell r="G82">
            <v>17996</v>
          </cell>
          <cell r="H82">
            <v>4499</v>
          </cell>
          <cell r="I82">
            <v>100</v>
          </cell>
          <cell r="J82">
            <v>100</v>
          </cell>
          <cell r="K82">
            <v>100</v>
          </cell>
        </row>
        <row r="83">
          <cell r="A83">
            <v>78</v>
          </cell>
          <cell r="B83">
            <v>18463</v>
          </cell>
          <cell r="C83">
            <v>4310</v>
          </cell>
          <cell r="D83">
            <v>4310</v>
          </cell>
          <cell r="E83">
            <v>18463</v>
          </cell>
          <cell r="F83">
            <v>36926</v>
          </cell>
          <cell r="G83">
            <v>18463</v>
          </cell>
          <cell r="H83">
            <v>4615</v>
          </cell>
          <cell r="I83">
            <v>100</v>
          </cell>
          <cell r="J83">
            <v>100</v>
          </cell>
          <cell r="K83">
            <v>100</v>
          </cell>
        </row>
        <row r="84">
          <cell r="A84">
            <v>79</v>
          </cell>
          <cell r="B84">
            <v>18936</v>
          </cell>
          <cell r="C84">
            <v>4450</v>
          </cell>
          <cell r="D84">
            <v>4450</v>
          </cell>
          <cell r="E84">
            <v>18936</v>
          </cell>
          <cell r="F84">
            <v>37872</v>
          </cell>
          <cell r="G84">
            <v>18936</v>
          </cell>
          <cell r="H84">
            <v>4734</v>
          </cell>
          <cell r="I84">
            <v>100</v>
          </cell>
          <cell r="J84">
            <v>100</v>
          </cell>
          <cell r="K84">
            <v>100</v>
          </cell>
        </row>
        <row r="85">
          <cell r="A85">
            <v>80</v>
          </cell>
          <cell r="B85">
            <v>19415</v>
          </cell>
          <cell r="C85">
            <v>4600</v>
          </cell>
          <cell r="D85">
            <v>4600</v>
          </cell>
          <cell r="E85">
            <v>19415</v>
          </cell>
          <cell r="F85">
            <v>38830</v>
          </cell>
          <cell r="G85">
            <v>19415</v>
          </cell>
          <cell r="H85">
            <v>4853</v>
          </cell>
          <cell r="I85">
            <v>100</v>
          </cell>
          <cell r="J85">
            <v>100</v>
          </cell>
          <cell r="K85">
            <v>100</v>
          </cell>
        </row>
        <row r="86">
          <cell r="A86">
            <v>81</v>
          </cell>
          <cell r="B86">
            <v>19900</v>
          </cell>
          <cell r="C86">
            <v>4760</v>
          </cell>
          <cell r="D86">
            <v>4760</v>
          </cell>
          <cell r="E86">
            <v>19900</v>
          </cell>
          <cell r="F86">
            <v>39800</v>
          </cell>
          <cell r="G86">
            <v>19900</v>
          </cell>
          <cell r="H86">
            <v>4975</v>
          </cell>
          <cell r="I86">
            <v>100</v>
          </cell>
          <cell r="J86">
            <v>100</v>
          </cell>
          <cell r="K86">
            <v>100</v>
          </cell>
        </row>
        <row r="87">
          <cell r="A87">
            <v>82</v>
          </cell>
          <cell r="B87">
            <v>20391</v>
          </cell>
          <cell r="C87">
            <v>4930</v>
          </cell>
          <cell r="D87">
            <v>4930</v>
          </cell>
          <cell r="E87">
            <v>20391</v>
          </cell>
          <cell r="F87">
            <v>40782</v>
          </cell>
          <cell r="G87">
            <v>20391</v>
          </cell>
          <cell r="H87">
            <v>5097</v>
          </cell>
          <cell r="I87">
            <v>100</v>
          </cell>
          <cell r="J87">
            <v>100</v>
          </cell>
          <cell r="K87">
            <v>100</v>
          </cell>
        </row>
        <row r="88">
          <cell r="A88">
            <v>83</v>
          </cell>
          <cell r="B88">
            <v>20888</v>
          </cell>
          <cell r="C88">
            <v>5110</v>
          </cell>
          <cell r="D88">
            <v>5110</v>
          </cell>
          <cell r="E88">
            <v>20888</v>
          </cell>
          <cell r="F88">
            <v>41776</v>
          </cell>
          <cell r="G88">
            <v>20888</v>
          </cell>
          <cell r="H88">
            <v>5222</v>
          </cell>
          <cell r="I88">
            <v>100</v>
          </cell>
          <cell r="J88">
            <v>100</v>
          </cell>
          <cell r="K88">
            <v>100</v>
          </cell>
        </row>
        <row r="89">
          <cell r="A89">
            <v>84</v>
          </cell>
          <cell r="B89">
            <v>21391</v>
          </cell>
          <cell r="C89">
            <v>5300</v>
          </cell>
          <cell r="D89">
            <v>5300</v>
          </cell>
          <cell r="E89">
            <v>21391</v>
          </cell>
          <cell r="F89">
            <v>42782</v>
          </cell>
          <cell r="G89">
            <v>21391</v>
          </cell>
          <cell r="H89">
            <v>5347</v>
          </cell>
          <cell r="I89">
            <v>100</v>
          </cell>
          <cell r="J89">
            <v>100</v>
          </cell>
          <cell r="K89">
            <v>100</v>
          </cell>
        </row>
        <row r="90">
          <cell r="A90">
            <v>85</v>
          </cell>
          <cell r="B90">
            <v>21900</v>
          </cell>
          <cell r="C90">
            <v>5500</v>
          </cell>
          <cell r="D90">
            <v>5500</v>
          </cell>
          <cell r="E90">
            <v>21900</v>
          </cell>
          <cell r="F90">
            <v>43800</v>
          </cell>
          <cell r="G90">
            <v>21900</v>
          </cell>
          <cell r="H90">
            <v>5475</v>
          </cell>
          <cell r="I90">
            <v>100</v>
          </cell>
          <cell r="J90">
            <v>100</v>
          </cell>
          <cell r="K90">
            <v>100</v>
          </cell>
        </row>
        <row r="91">
          <cell r="A91">
            <v>86</v>
          </cell>
          <cell r="B91">
            <v>22415</v>
          </cell>
          <cell r="C91">
            <v>5710</v>
          </cell>
          <cell r="D91">
            <v>5710</v>
          </cell>
          <cell r="E91">
            <v>22415</v>
          </cell>
          <cell r="F91">
            <v>44830</v>
          </cell>
          <cell r="G91">
            <v>22415</v>
          </cell>
          <cell r="H91">
            <v>5603</v>
          </cell>
          <cell r="I91">
            <v>100</v>
          </cell>
          <cell r="J91">
            <v>100</v>
          </cell>
          <cell r="K91">
            <v>100</v>
          </cell>
        </row>
        <row r="92">
          <cell r="A92">
            <v>87</v>
          </cell>
          <cell r="B92">
            <v>22936</v>
          </cell>
          <cell r="C92">
            <v>5930</v>
          </cell>
          <cell r="D92">
            <v>5930</v>
          </cell>
          <cell r="E92">
            <v>22936</v>
          </cell>
          <cell r="F92">
            <v>45872</v>
          </cell>
          <cell r="G92">
            <v>22936</v>
          </cell>
          <cell r="H92">
            <v>5734</v>
          </cell>
          <cell r="I92">
            <v>100</v>
          </cell>
          <cell r="J92">
            <v>100</v>
          </cell>
          <cell r="K92">
            <v>100</v>
          </cell>
        </row>
        <row r="93">
          <cell r="A93">
            <v>88</v>
          </cell>
          <cell r="B93">
            <v>23463</v>
          </cell>
          <cell r="C93">
            <v>6160</v>
          </cell>
          <cell r="D93">
            <v>6160</v>
          </cell>
          <cell r="E93">
            <v>23463</v>
          </cell>
          <cell r="F93">
            <v>46926</v>
          </cell>
          <cell r="G93">
            <v>23463</v>
          </cell>
          <cell r="H93">
            <v>5865</v>
          </cell>
          <cell r="I93">
            <v>100</v>
          </cell>
          <cell r="J93">
            <v>100</v>
          </cell>
          <cell r="K93">
            <v>100</v>
          </cell>
        </row>
        <row r="94">
          <cell r="A94">
            <v>89</v>
          </cell>
          <cell r="B94">
            <v>23996</v>
          </cell>
          <cell r="C94">
            <v>6400</v>
          </cell>
          <cell r="D94">
            <v>6400</v>
          </cell>
          <cell r="E94">
            <v>23996</v>
          </cell>
          <cell r="F94">
            <v>47992</v>
          </cell>
          <cell r="G94">
            <v>23996</v>
          </cell>
          <cell r="H94">
            <v>5999</v>
          </cell>
          <cell r="I94">
            <v>100</v>
          </cell>
          <cell r="J94">
            <v>100</v>
          </cell>
          <cell r="K94">
            <v>100</v>
          </cell>
        </row>
        <row r="95">
          <cell r="A95">
            <v>90</v>
          </cell>
          <cell r="B95">
            <v>24535</v>
          </cell>
          <cell r="C95">
            <v>6650</v>
          </cell>
          <cell r="D95">
            <v>6650</v>
          </cell>
          <cell r="E95">
            <v>24535</v>
          </cell>
          <cell r="F95">
            <v>49070</v>
          </cell>
          <cell r="G95">
            <v>24535</v>
          </cell>
          <cell r="H95">
            <v>6133</v>
          </cell>
          <cell r="I95">
            <v>100</v>
          </cell>
          <cell r="J95">
            <v>100</v>
          </cell>
          <cell r="K95">
            <v>100</v>
          </cell>
        </row>
        <row r="96">
          <cell r="A96">
            <v>91</v>
          </cell>
          <cell r="B96">
            <v>25080</v>
          </cell>
          <cell r="C96">
            <v>6910</v>
          </cell>
          <cell r="D96">
            <v>6910</v>
          </cell>
          <cell r="E96">
            <v>25080</v>
          </cell>
          <cell r="F96">
            <v>50160</v>
          </cell>
          <cell r="G96">
            <v>25080</v>
          </cell>
          <cell r="H96">
            <v>6270</v>
          </cell>
          <cell r="I96">
            <v>100</v>
          </cell>
          <cell r="J96">
            <v>100</v>
          </cell>
          <cell r="K96">
            <v>100</v>
          </cell>
        </row>
        <row r="97">
          <cell r="A97">
            <v>92</v>
          </cell>
          <cell r="B97">
            <v>25631</v>
          </cell>
          <cell r="C97">
            <v>7180</v>
          </cell>
          <cell r="D97">
            <v>7180</v>
          </cell>
          <cell r="E97">
            <v>25631</v>
          </cell>
          <cell r="F97">
            <v>51262</v>
          </cell>
          <cell r="G97">
            <v>25631</v>
          </cell>
          <cell r="H97">
            <v>6407</v>
          </cell>
          <cell r="I97">
            <v>100</v>
          </cell>
          <cell r="J97">
            <v>100</v>
          </cell>
          <cell r="K97">
            <v>100</v>
          </cell>
        </row>
        <row r="98">
          <cell r="A98">
            <v>93</v>
          </cell>
          <cell r="B98">
            <v>26188</v>
          </cell>
          <cell r="C98">
            <v>7460</v>
          </cell>
          <cell r="D98">
            <v>7460</v>
          </cell>
          <cell r="E98">
            <v>26188</v>
          </cell>
          <cell r="F98">
            <v>52376</v>
          </cell>
          <cell r="G98">
            <v>26188</v>
          </cell>
          <cell r="H98">
            <v>6547</v>
          </cell>
          <cell r="I98">
            <v>100</v>
          </cell>
          <cell r="J98">
            <v>100</v>
          </cell>
          <cell r="K98">
            <v>100</v>
          </cell>
        </row>
        <row r="99">
          <cell r="A99">
            <v>94</v>
          </cell>
          <cell r="B99">
            <v>26751</v>
          </cell>
          <cell r="C99">
            <v>7750</v>
          </cell>
          <cell r="D99">
            <v>7750</v>
          </cell>
          <cell r="E99">
            <v>26751</v>
          </cell>
          <cell r="F99">
            <v>53502</v>
          </cell>
          <cell r="G99">
            <v>26751</v>
          </cell>
          <cell r="H99">
            <v>6687</v>
          </cell>
          <cell r="I99">
            <v>100</v>
          </cell>
          <cell r="J99">
            <v>100</v>
          </cell>
          <cell r="K99">
            <v>100</v>
          </cell>
        </row>
        <row r="100">
          <cell r="A100">
            <v>95</v>
          </cell>
          <cell r="B100">
            <v>27320</v>
          </cell>
          <cell r="C100">
            <v>8050</v>
          </cell>
          <cell r="D100">
            <v>8050</v>
          </cell>
          <cell r="E100">
            <v>27320</v>
          </cell>
          <cell r="F100">
            <v>54640</v>
          </cell>
          <cell r="G100">
            <v>27320</v>
          </cell>
          <cell r="H100">
            <v>6830</v>
          </cell>
          <cell r="I100">
            <v>100</v>
          </cell>
          <cell r="J100">
            <v>100</v>
          </cell>
          <cell r="K100">
            <v>100</v>
          </cell>
        </row>
        <row r="101">
          <cell r="A101">
            <v>96</v>
          </cell>
          <cell r="B101">
            <v>27895</v>
          </cell>
          <cell r="C101">
            <v>8360</v>
          </cell>
          <cell r="D101">
            <v>8360</v>
          </cell>
          <cell r="E101">
            <v>27895</v>
          </cell>
          <cell r="F101">
            <v>55790</v>
          </cell>
          <cell r="G101">
            <v>27895</v>
          </cell>
          <cell r="H101">
            <v>6973</v>
          </cell>
          <cell r="I101">
            <v>100</v>
          </cell>
          <cell r="J101">
            <v>100</v>
          </cell>
          <cell r="K101">
            <v>100</v>
          </cell>
        </row>
        <row r="102">
          <cell r="A102">
            <v>97</v>
          </cell>
          <cell r="B102">
            <v>28476</v>
          </cell>
          <cell r="C102">
            <v>8680</v>
          </cell>
          <cell r="D102">
            <v>8680</v>
          </cell>
          <cell r="E102">
            <v>28476</v>
          </cell>
          <cell r="F102">
            <v>56952</v>
          </cell>
          <cell r="G102">
            <v>28476</v>
          </cell>
          <cell r="H102">
            <v>7119</v>
          </cell>
          <cell r="I102">
            <v>100</v>
          </cell>
          <cell r="J102">
            <v>100</v>
          </cell>
          <cell r="K102">
            <v>100</v>
          </cell>
        </row>
        <row r="103">
          <cell r="A103">
            <v>98</v>
          </cell>
          <cell r="B103">
            <v>29063</v>
          </cell>
          <cell r="C103">
            <v>9010</v>
          </cell>
          <cell r="D103">
            <v>9010</v>
          </cell>
          <cell r="E103">
            <v>29063</v>
          </cell>
          <cell r="F103">
            <v>58126</v>
          </cell>
          <cell r="G103">
            <v>29063</v>
          </cell>
          <cell r="H103">
            <v>7265</v>
          </cell>
          <cell r="I103">
            <v>100</v>
          </cell>
          <cell r="J103">
            <v>100</v>
          </cell>
          <cell r="K103">
            <v>100</v>
          </cell>
        </row>
        <row r="104">
          <cell r="A104">
            <v>99</v>
          </cell>
          <cell r="B104">
            <v>29656</v>
          </cell>
          <cell r="C104">
            <v>9350</v>
          </cell>
          <cell r="D104">
            <v>9350</v>
          </cell>
          <cell r="E104">
            <v>29656</v>
          </cell>
          <cell r="F104">
            <v>59312</v>
          </cell>
          <cell r="G104">
            <v>29656</v>
          </cell>
          <cell r="H104">
            <v>7414</v>
          </cell>
          <cell r="I104">
            <v>100</v>
          </cell>
          <cell r="J104">
            <v>100</v>
          </cell>
          <cell r="K104">
            <v>100</v>
          </cell>
        </row>
        <row r="105">
          <cell r="A105">
            <v>100</v>
          </cell>
          <cell r="B105">
            <v>30255</v>
          </cell>
          <cell r="C105">
            <v>9700</v>
          </cell>
          <cell r="D105">
            <v>9700</v>
          </cell>
          <cell r="E105">
            <v>30255</v>
          </cell>
          <cell r="F105">
            <v>60510</v>
          </cell>
          <cell r="G105">
            <v>30255</v>
          </cell>
          <cell r="H105">
            <v>7563</v>
          </cell>
          <cell r="I105">
            <v>100</v>
          </cell>
          <cell r="J105">
            <v>100</v>
          </cell>
          <cell r="K105">
            <v>100</v>
          </cell>
        </row>
        <row r="106">
          <cell r="A106">
            <v>101</v>
          </cell>
          <cell r="B106">
            <v>30860</v>
          </cell>
          <cell r="C106">
            <v>10060</v>
          </cell>
          <cell r="D106">
            <v>10060</v>
          </cell>
          <cell r="E106">
            <v>30860</v>
          </cell>
          <cell r="F106">
            <v>61720</v>
          </cell>
          <cell r="G106">
            <v>30860</v>
          </cell>
          <cell r="H106">
            <v>7715</v>
          </cell>
          <cell r="I106">
            <v>100</v>
          </cell>
          <cell r="J106">
            <v>100</v>
          </cell>
          <cell r="K106">
            <v>100</v>
          </cell>
        </row>
        <row r="107">
          <cell r="A107">
            <v>102</v>
          </cell>
          <cell r="B107">
            <v>31471</v>
          </cell>
          <cell r="C107">
            <v>10400</v>
          </cell>
          <cell r="D107">
            <v>10400</v>
          </cell>
          <cell r="E107">
            <v>31471</v>
          </cell>
          <cell r="F107">
            <v>62942</v>
          </cell>
          <cell r="G107">
            <v>31471</v>
          </cell>
          <cell r="H107">
            <v>7867</v>
          </cell>
          <cell r="I107">
            <v>100</v>
          </cell>
          <cell r="J107">
            <v>100</v>
          </cell>
          <cell r="K107">
            <v>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112"/>
  <sheetViews>
    <sheetView topLeftCell="A58" workbookViewId="0">
      <selection activeCell="K33" sqref="K33"/>
    </sheetView>
  </sheetViews>
  <sheetFormatPr defaultRowHeight="13.5"/>
  <cols>
    <col min="1" max="1" width="9" customWidth="1"/>
    <col min="2" max="3" width="12.75" customWidth="1"/>
    <col min="7" max="7" width="12.875" customWidth="1"/>
  </cols>
  <sheetData>
    <row r="1" spans="1:29">
      <c r="A1" t="s">
        <v>0</v>
      </c>
      <c r="B1" t="s">
        <v>194</v>
      </c>
      <c r="C1" t="s">
        <v>195</v>
      </c>
      <c r="D1" t="s">
        <v>1</v>
      </c>
      <c r="E1" t="s">
        <v>2</v>
      </c>
      <c r="F1" t="s">
        <v>8</v>
      </c>
      <c r="G1" t="s">
        <v>196</v>
      </c>
      <c r="H1" t="s">
        <v>5</v>
      </c>
      <c r="I1" t="s">
        <v>6</v>
      </c>
      <c r="K1" t="s">
        <v>11</v>
      </c>
      <c r="L1" t="s">
        <v>11</v>
      </c>
      <c r="M1" t="s">
        <v>12</v>
      </c>
      <c r="N1" t="s">
        <v>12</v>
      </c>
      <c r="O1" t="s">
        <v>10</v>
      </c>
      <c r="P1" t="s">
        <v>10</v>
      </c>
      <c r="Q1" t="s">
        <v>13</v>
      </c>
      <c r="R1" t="s">
        <v>13</v>
      </c>
      <c r="S1" t="s">
        <v>14</v>
      </c>
      <c r="T1" t="s">
        <v>14</v>
      </c>
      <c r="U1" t="s">
        <v>9</v>
      </c>
      <c r="V1" t="s">
        <v>9</v>
      </c>
      <c r="W1" t="s">
        <v>15</v>
      </c>
      <c r="X1" t="s">
        <v>15</v>
      </c>
      <c r="Y1" t="s">
        <v>16</v>
      </c>
      <c r="Z1" t="s">
        <v>16</v>
      </c>
      <c r="AA1" t="s">
        <v>3</v>
      </c>
      <c r="AB1" t="s">
        <v>4</v>
      </c>
      <c r="AC1" t="s">
        <v>7</v>
      </c>
    </row>
    <row r="2" spans="1:29">
      <c r="A2">
        <v>30</v>
      </c>
      <c r="B2">
        <f>ROUND([1]战斗力成长!$K9,0)</f>
        <v>3237</v>
      </c>
      <c r="C2">
        <f>ROUND([1]战斗力成长!$Y9,0)</f>
        <v>54098</v>
      </c>
      <c r="D2">
        <f>ROUND([1]战斗力成长!$AY9,0)</f>
        <v>4774</v>
      </c>
      <c r="E2">
        <f>ROUND([1]战斗力成长!$AZ9,0)</f>
        <v>113020</v>
      </c>
      <c r="F2">
        <f>ROUND([1]战斗力成长!$AR9*0.4+[1]战斗力成长!$AS9,0)</f>
        <v>606</v>
      </c>
      <c r="G2">
        <v>10</v>
      </c>
      <c r="H2">
        <f>ROUND(((F2+C2/G2)/2)*0.8,0)</f>
        <v>2406</v>
      </c>
      <c r="I2">
        <f>ROUND(G2*0.8*B2,0)</f>
        <v>25896</v>
      </c>
      <c r="J2">
        <f>I2/D2</f>
        <v>5.42438206954336</v>
      </c>
      <c r="K2">
        <f t="shared" ref="K2:K16" si="0">ROUND(H2*(O2/H2)^0.3,0)</f>
        <v>2549</v>
      </c>
      <c r="L2">
        <f t="shared" ref="L2:L16" si="1">ROUND(I2*(P2/I2)^0.3,0)</f>
        <v>32012</v>
      </c>
      <c r="M2">
        <f t="shared" ref="M2:M16" si="2">ROUND(H2*(O2/H2)^0.6,0)</f>
        <v>2700</v>
      </c>
      <c r="N2">
        <f t="shared" ref="N2:N16" si="3">ROUND(I2*(P2/I2)^0.6,0)</f>
        <v>39572</v>
      </c>
      <c r="O2">
        <f t="shared" ref="O2:O16" si="4">ROUND(H2*0.7+AA2*0.3,0)</f>
        <v>2915</v>
      </c>
      <c r="P2">
        <f t="shared" ref="P2:P16" si="5">ROUND(I2*0.7+AB2*0.3,0)</f>
        <v>52500</v>
      </c>
      <c r="Q2">
        <f t="shared" ref="Q2:Q16" si="6">ROUND(O2*(U2/O2)^0.3,0)</f>
        <v>3059</v>
      </c>
      <c r="R2">
        <f t="shared" ref="R2:R16" si="7">ROUND(P2*(V2/P2)^0.3,0)</f>
        <v>59371</v>
      </c>
      <c r="S2">
        <f t="shared" ref="S2:S16" si="8">ROUND(O2*(U2/O2)^0.6,0)</f>
        <v>3210</v>
      </c>
      <c r="T2">
        <f t="shared" ref="T2:T16" si="9">ROUND(P2*(V2/P2)^0.6,0)</f>
        <v>67140</v>
      </c>
      <c r="U2">
        <f t="shared" ref="U2:U16" si="10">ROUND(H2*0.4+0.6*AA2,0)</f>
        <v>3423</v>
      </c>
      <c r="V2">
        <f t="shared" ref="V2:V16" si="11">ROUND(I2*0.4+0.6*AB2,0)</f>
        <v>79104</v>
      </c>
      <c r="W2">
        <f t="shared" ref="W2:W16" si="12">ROUND(U2*(AA2/U2)^0.3,0)</f>
        <v>3614</v>
      </c>
      <c r="X2">
        <f t="shared" ref="X2:X16" si="13">ROUND(V2*(AB2/V2)^0.3,0)</f>
        <v>88403</v>
      </c>
      <c r="Y2">
        <f t="shared" ref="Y2:Y16" si="14">ROUND(U2*(AA2/U2)^0.6,0)</f>
        <v>3815</v>
      </c>
      <c r="Z2">
        <f t="shared" ref="Z2:Z16" si="15">ROUND(V2*(AB2/V2)^0.6,0)</f>
        <v>98795</v>
      </c>
      <c r="AA2">
        <f t="shared" ref="AA2:AA16" si="16">ROUND(E2/25*AC2+AC2*F2,0)</f>
        <v>4101</v>
      </c>
      <c r="AB2">
        <f t="shared" ref="AB2:AB16" si="17">ROUND(D2*30*AC2,0)</f>
        <v>114576</v>
      </c>
      <c r="AC2">
        <v>0.8</v>
      </c>
    </row>
    <row r="3" spans="1:29">
      <c r="A3">
        <v>35</v>
      </c>
      <c r="B3">
        <f>ROUND([1]战斗力成长!$K10,0)</f>
        <v>4830</v>
      </c>
      <c r="C3">
        <f>ROUND([1]战斗力成长!$Y10,0)</f>
        <v>91798</v>
      </c>
      <c r="D3">
        <f>ROUND([1]战斗力成长!$AY10,0)</f>
        <v>7137</v>
      </c>
      <c r="E3">
        <f>ROUND([1]战斗力成长!$AZ10,0)</f>
        <v>204578</v>
      </c>
      <c r="F3">
        <f>ROUND([1]战斗力成长!$AR10*0.4+[1]战斗力成长!$AS10,0)</f>
        <v>1031</v>
      </c>
      <c r="G3">
        <v>12</v>
      </c>
      <c r="H3">
        <f t="shared" ref="H3:H16" si="18">ROUND(((F3+C3/G3)/2)*0.8,0)</f>
        <v>3472</v>
      </c>
      <c r="I3">
        <f t="shared" ref="I3:I16" si="19">ROUND(G3*0.8*B3,0)</f>
        <v>46368</v>
      </c>
      <c r="J3">
        <f t="shared" ref="J3:J15" si="20">I3/D3</f>
        <v>6.496847414880202</v>
      </c>
      <c r="K3">
        <f t="shared" si="0"/>
        <v>3815</v>
      </c>
      <c r="L3">
        <f t="shared" si="1"/>
        <v>55889</v>
      </c>
      <c r="M3">
        <f t="shared" si="2"/>
        <v>4191</v>
      </c>
      <c r="N3">
        <f t="shared" si="3"/>
        <v>67365</v>
      </c>
      <c r="O3">
        <f t="shared" si="4"/>
        <v>4752</v>
      </c>
      <c r="P3">
        <f t="shared" si="5"/>
        <v>86413</v>
      </c>
      <c r="Q3">
        <f t="shared" si="6"/>
        <v>5105</v>
      </c>
      <c r="R3">
        <f t="shared" si="7"/>
        <v>96870</v>
      </c>
      <c r="S3">
        <f t="shared" si="8"/>
        <v>5484</v>
      </c>
      <c r="T3">
        <f t="shared" si="9"/>
        <v>108592</v>
      </c>
      <c r="U3">
        <f t="shared" si="10"/>
        <v>6033</v>
      </c>
      <c r="V3">
        <f t="shared" si="11"/>
        <v>126458</v>
      </c>
      <c r="W3">
        <f t="shared" si="12"/>
        <v>6501</v>
      </c>
      <c r="X3">
        <f t="shared" si="13"/>
        <v>140552</v>
      </c>
      <c r="Y3">
        <f t="shared" si="14"/>
        <v>7006</v>
      </c>
      <c r="Z3">
        <f t="shared" si="15"/>
        <v>156217</v>
      </c>
      <c r="AA3">
        <f t="shared" si="16"/>
        <v>7740</v>
      </c>
      <c r="AB3">
        <f t="shared" si="17"/>
        <v>179852</v>
      </c>
      <c r="AC3">
        <v>0.84</v>
      </c>
    </row>
    <row r="4" spans="1:29">
      <c r="A4">
        <v>40</v>
      </c>
      <c r="B4">
        <f>ROUND([1]战斗力成长!$K11,0)</f>
        <v>7030</v>
      </c>
      <c r="C4">
        <f>ROUND([1]战斗力成长!$Y11,0)</f>
        <v>149317</v>
      </c>
      <c r="D4">
        <f>ROUND([1]战斗力成长!$AY11,0)</f>
        <v>10111</v>
      </c>
      <c r="E4">
        <f>ROUND([1]战斗力成长!$AZ11,0)</f>
        <v>339533</v>
      </c>
      <c r="F4">
        <f>ROUND([1]战斗力成长!$AR11*0.4+[1]战斗力成长!$AS11,0)</f>
        <v>2257</v>
      </c>
      <c r="G4">
        <v>14</v>
      </c>
      <c r="H4">
        <f t="shared" si="18"/>
        <v>5169</v>
      </c>
      <c r="I4">
        <f t="shared" si="19"/>
        <v>78736</v>
      </c>
      <c r="J4">
        <f t="shared" si="20"/>
        <v>7.7871624962911676</v>
      </c>
      <c r="K4">
        <f t="shared" si="0"/>
        <v>5848</v>
      </c>
      <c r="L4">
        <f t="shared" si="1"/>
        <v>92599</v>
      </c>
      <c r="M4">
        <f t="shared" si="2"/>
        <v>6616</v>
      </c>
      <c r="N4">
        <f t="shared" si="3"/>
        <v>108904</v>
      </c>
      <c r="O4">
        <f t="shared" si="4"/>
        <v>7800</v>
      </c>
      <c r="P4">
        <f t="shared" si="5"/>
        <v>135194</v>
      </c>
      <c r="Q4">
        <f t="shared" si="6"/>
        <v>8510</v>
      </c>
      <c r="R4">
        <f t="shared" si="7"/>
        <v>150115</v>
      </c>
      <c r="S4">
        <f t="shared" si="8"/>
        <v>9286</v>
      </c>
      <c r="T4">
        <f t="shared" si="9"/>
        <v>166683</v>
      </c>
      <c r="U4">
        <f t="shared" si="10"/>
        <v>10430</v>
      </c>
      <c r="V4">
        <f t="shared" si="11"/>
        <v>191652</v>
      </c>
      <c r="W4">
        <f t="shared" si="12"/>
        <v>11378</v>
      </c>
      <c r="X4">
        <f t="shared" si="13"/>
        <v>211679</v>
      </c>
      <c r="Y4">
        <f t="shared" si="14"/>
        <v>12412</v>
      </c>
      <c r="Z4">
        <f t="shared" si="15"/>
        <v>233800</v>
      </c>
      <c r="AA4">
        <f t="shared" si="16"/>
        <v>13938</v>
      </c>
      <c r="AB4">
        <f t="shared" si="17"/>
        <v>266930</v>
      </c>
      <c r="AC4">
        <v>0.88</v>
      </c>
    </row>
    <row r="5" spans="1:29">
      <c r="A5">
        <v>45</v>
      </c>
      <c r="B5">
        <f>ROUND([1]战斗力成长!$K12,0)</f>
        <v>9131</v>
      </c>
      <c r="C5">
        <f>ROUND([1]战斗力成长!$Y12,0)</f>
        <v>204196</v>
      </c>
      <c r="D5">
        <f>ROUND([1]战斗力成长!$AY12,0)</f>
        <v>13645</v>
      </c>
      <c r="E5">
        <f>ROUND([1]战斗力成长!$AZ12,0)</f>
        <v>494848</v>
      </c>
      <c r="F5">
        <f>ROUND([1]战斗力成长!$AR12*0.4+[1]战斗力成长!$AS12,0)</f>
        <v>3077</v>
      </c>
      <c r="G5">
        <v>16</v>
      </c>
      <c r="H5">
        <f t="shared" si="18"/>
        <v>6336</v>
      </c>
      <c r="I5">
        <f t="shared" si="19"/>
        <v>116877</v>
      </c>
      <c r="J5">
        <f t="shared" si="20"/>
        <v>8.5655551484060091</v>
      </c>
      <c r="K5">
        <f t="shared" si="0"/>
        <v>7425</v>
      </c>
      <c r="L5">
        <f t="shared" si="1"/>
        <v>136233</v>
      </c>
      <c r="M5">
        <f t="shared" si="2"/>
        <v>8700</v>
      </c>
      <c r="N5">
        <f t="shared" si="3"/>
        <v>158796</v>
      </c>
      <c r="O5">
        <f t="shared" si="4"/>
        <v>10748</v>
      </c>
      <c r="P5">
        <f t="shared" si="5"/>
        <v>194795</v>
      </c>
      <c r="Q5">
        <f t="shared" si="6"/>
        <v>11916</v>
      </c>
      <c r="R5">
        <f t="shared" si="7"/>
        <v>215484</v>
      </c>
      <c r="S5">
        <f t="shared" si="8"/>
        <v>13211</v>
      </c>
      <c r="T5">
        <f t="shared" si="9"/>
        <v>238371</v>
      </c>
      <c r="U5">
        <f t="shared" si="10"/>
        <v>15159</v>
      </c>
      <c r="V5">
        <f t="shared" si="11"/>
        <v>272712</v>
      </c>
      <c r="W5">
        <f t="shared" si="12"/>
        <v>16726</v>
      </c>
      <c r="X5">
        <f t="shared" si="13"/>
        <v>300440</v>
      </c>
      <c r="Y5">
        <f t="shared" si="14"/>
        <v>18455</v>
      </c>
      <c r="Z5">
        <f t="shared" si="15"/>
        <v>330987</v>
      </c>
      <c r="AA5">
        <f t="shared" si="16"/>
        <v>21041</v>
      </c>
      <c r="AB5">
        <f t="shared" si="17"/>
        <v>376602</v>
      </c>
      <c r="AC5">
        <v>0.92</v>
      </c>
    </row>
    <row r="6" spans="1:29">
      <c r="A6">
        <v>50</v>
      </c>
      <c r="B6">
        <f>ROUND([1]战斗力成长!$K13,0)</f>
        <v>12462</v>
      </c>
      <c r="C6">
        <f>ROUND([1]战斗力成长!$Y13,0)</f>
        <v>320656</v>
      </c>
      <c r="D6">
        <f>ROUND([1]战斗力成长!$AY13,0)</f>
        <v>18282</v>
      </c>
      <c r="E6">
        <f>ROUND([1]战斗力成长!$AZ13,0)</f>
        <v>782210</v>
      </c>
      <c r="F6">
        <f>ROUND([1]战斗力成长!$AR13*0.4+[1]战斗力成长!$AS13,0)</f>
        <v>5284</v>
      </c>
      <c r="G6">
        <v>18</v>
      </c>
      <c r="H6">
        <f t="shared" si="18"/>
        <v>9239</v>
      </c>
      <c r="I6">
        <f t="shared" si="19"/>
        <v>179453</v>
      </c>
      <c r="J6">
        <f t="shared" si="20"/>
        <v>9.815829777923641</v>
      </c>
      <c r="K6">
        <f t="shared" si="0"/>
        <v>11094</v>
      </c>
      <c r="L6">
        <f t="shared" si="1"/>
        <v>205857</v>
      </c>
      <c r="M6">
        <f t="shared" si="2"/>
        <v>13320</v>
      </c>
      <c r="N6">
        <f t="shared" si="3"/>
        <v>236146</v>
      </c>
      <c r="O6">
        <f t="shared" si="4"/>
        <v>17000</v>
      </c>
      <c r="P6">
        <f t="shared" si="5"/>
        <v>283574</v>
      </c>
      <c r="Q6">
        <f t="shared" si="6"/>
        <v>19030</v>
      </c>
      <c r="R6">
        <f t="shared" si="7"/>
        <v>311468</v>
      </c>
      <c r="S6">
        <f t="shared" si="8"/>
        <v>21304</v>
      </c>
      <c r="T6">
        <f t="shared" si="9"/>
        <v>342105</v>
      </c>
      <c r="U6">
        <f t="shared" si="10"/>
        <v>24762</v>
      </c>
      <c r="V6">
        <f t="shared" si="11"/>
        <v>387694</v>
      </c>
      <c r="W6">
        <f t="shared" si="12"/>
        <v>27497</v>
      </c>
      <c r="X6">
        <f t="shared" si="13"/>
        <v>424979</v>
      </c>
      <c r="Y6">
        <f t="shared" si="14"/>
        <v>30533</v>
      </c>
      <c r="Z6">
        <f t="shared" si="15"/>
        <v>465849</v>
      </c>
      <c r="AA6">
        <f t="shared" si="16"/>
        <v>35110</v>
      </c>
      <c r="AB6">
        <f t="shared" si="17"/>
        <v>526522</v>
      </c>
      <c r="AC6">
        <v>0.96</v>
      </c>
    </row>
    <row r="7" spans="1:29">
      <c r="A7">
        <v>55</v>
      </c>
      <c r="B7">
        <f>ROUND([1]战斗力成长!$K14,0)</f>
        <v>16368</v>
      </c>
      <c r="C7">
        <f>ROUND([1]战斗力成长!$Y14,0)</f>
        <v>488684</v>
      </c>
      <c r="D7">
        <f>ROUND([1]战斗力成长!$AY14,0)</f>
        <v>23919</v>
      </c>
      <c r="E7">
        <f>ROUND([1]战斗力成长!$AZ14,0)</f>
        <v>1208980</v>
      </c>
      <c r="F7">
        <f>ROUND([1]战斗力成长!$AR14*0.4+[1]战斗力成长!$AS14,0)</f>
        <v>9039</v>
      </c>
      <c r="G7">
        <v>20</v>
      </c>
      <c r="H7">
        <f t="shared" si="18"/>
        <v>13389</v>
      </c>
      <c r="I7">
        <f t="shared" si="19"/>
        <v>261888</v>
      </c>
      <c r="J7">
        <f t="shared" si="20"/>
        <v>10.948952715414524</v>
      </c>
      <c r="K7">
        <f t="shared" si="0"/>
        <v>16449</v>
      </c>
      <c r="L7">
        <f t="shared" si="1"/>
        <v>297057</v>
      </c>
      <c r="M7">
        <f t="shared" si="2"/>
        <v>20209</v>
      </c>
      <c r="N7">
        <f t="shared" si="3"/>
        <v>336949</v>
      </c>
      <c r="O7">
        <f t="shared" si="4"/>
        <v>26592</v>
      </c>
      <c r="P7">
        <f t="shared" si="5"/>
        <v>398593</v>
      </c>
      <c r="Q7">
        <f t="shared" si="6"/>
        <v>30010</v>
      </c>
      <c r="R7">
        <f t="shared" si="7"/>
        <v>435461</v>
      </c>
      <c r="S7">
        <f t="shared" si="8"/>
        <v>33868</v>
      </c>
      <c r="T7">
        <f t="shared" si="9"/>
        <v>475739</v>
      </c>
      <c r="U7">
        <f t="shared" si="10"/>
        <v>39794</v>
      </c>
      <c r="V7">
        <f t="shared" si="11"/>
        <v>535297</v>
      </c>
      <c r="W7">
        <f t="shared" si="12"/>
        <v>44416</v>
      </c>
      <c r="X7">
        <f t="shared" si="13"/>
        <v>584488</v>
      </c>
      <c r="Y7">
        <f t="shared" si="14"/>
        <v>49575</v>
      </c>
      <c r="Z7">
        <f t="shared" si="15"/>
        <v>638200</v>
      </c>
      <c r="AA7">
        <f t="shared" si="16"/>
        <v>57398</v>
      </c>
      <c r="AB7">
        <f t="shared" si="17"/>
        <v>717570</v>
      </c>
      <c r="AC7">
        <v>1</v>
      </c>
    </row>
    <row r="8" spans="1:29">
      <c r="A8">
        <v>60</v>
      </c>
      <c r="B8">
        <f>ROUND([1]战斗力成长!$K15,0)</f>
        <v>23358</v>
      </c>
      <c r="C8">
        <f>ROUND([1]战斗力成长!$Y15,0)</f>
        <v>702413</v>
      </c>
      <c r="D8">
        <f>ROUND([1]战斗力成长!$AY15,0)</f>
        <v>32701</v>
      </c>
      <c r="E8">
        <f>ROUND([1]战斗力成长!$AZ15,0)</f>
        <v>1768861</v>
      </c>
      <c r="F8">
        <f>ROUND([1]战斗力成长!$AR15*0.4+[1]战斗力成长!$AS15,0)</f>
        <v>15357</v>
      </c>
      <c r="G8">
        <v>21</v>
      </c>
      <c r="H8">
        <f t="shared" si="18"/>
        <v>19522</v>
      </c>
      <c r="I8">
        <f t="shared" si="19"/>
        <v>392414</v>
      </c>
      <c r="J8">
        <f t="shared" si="20"/>
        <v>12.000061160209167</v>
      </c>
      <c r="K8">
        <f t="shared" si="0"/>
        <v>24306</v>
      </c>
      <c r="L8">
        <f t="shared" si="1"/>
        <v>441390</v>
      </c>
      <c r="M8">
        <f t="shared" si="2"/>
        <v>30261</v>
      </c>
      <c r="N8">
        <f t="shared" si="3"/>
        <v>496479</v>
      </c>
      <c r="O8">
        <f t="shared" si="4"/>
        <v>40532</v>
      </c>
      <c r="P8">
        <f t="shared" si="5"/>
        <v>580771</v>
      </c>
      <c r="Q8">
        <f t="shared" si="6"/>
        <v>45942</v>
      </c>
      <c r="R8">
        <f t="shared" si="7"/>
        <v>631834</v>
      </c>
      <c r="S8">
        <f t="shared" si="8"/>
        <v>52074</v>
      </c>
      <c r="T8">
        <f t="shared" si="9"/>
        <v>687387</v>
      </c>
      <c r="U8">
        <f t="shared" si="10"/>
        <v>61542</v>
      </c>
      <c r="V8">
        <f t="shared" si="11"/>
        <v>769128</v>
      </c>
      <c r="W8">
        <f t="shared" si="12"/>
        <v>68873</v>
      </c>
      <c r="X8">
        <f t="shared" si="13"/>
        <v>837170</v>
      </c>
      <c r="Y8">
        <f t="shared" si="14"/>
        <v>77077</v>
      </c>
      <c r="Z8">
        <f t="shared" si="15"/>
        <v>911232</v>
      </c>
      <c r="AA8">
        <f t="shared" si="16"/>
        <v>89556</v>
      </c>
      <c r="AB8">
        <f t="shared" si="17"/>
        <v>1020271</v>
      </c>
      <c r="AC8">
        <v>1.04</v>
      </c>
    </row>
    <row r="9" spans="1:29">
      <c r="A9">
        <v>65</v>
      </c>
      <c r="B9">
        <f>ROUND([1]战斗力成长!$K16,0)</f>
        <v>32880</v>
      </c>
      <c r="C9">
        <f>ROUND([1]战斗力成长!$Y16,0)</f>
        <v>1099604</v>
      </c>
      <c r="D9">
        <f>ROUND([1]战斗力成长!$AY16,0)</f>
        <v>43746</v>
      </c>
      <c r="E9">
        <f>ROUND([1]战斗力成长!$AZ16,0)</f>
        <v>2664578</v>
      </c>
      <c r="F9">
        <f>ROUND([1]战斗力成长!$AR16*0.4+[1]战斗力成长!$AS16,0)</f>
        <v>27259</v>
      </c>
      <c r="G9">
        <v>22</v>
      </c>
      <c r="H9">
        <f t="shared" si="18"/>
        <v>30896</v>
      </c>
      <c r="I9">
        <f t="shared" si="19"/>
        <v>578688</v>
      </c>
      <c r="J9">
        <f t="shared" si="20"/>
        <v>13.228363736113016</v>
      </c>
      <c r="K9">
        <f t="shared" si="0"/>
        <v>38618</v>
      </c>
      <c r="L9">
        <f t="shared" si="1"/>
        <v>644882</v>
      </c>
      <c r="M9">
        <f t="shared" si="2"/>
        <v>48270</v>
      </c>
      <c r="N9">
        <f t="shared" si="3"/>
        <v>718649</v>
      </c>
      <c r="O9">
        <f t="shared" si="4"/>
        <v>64992</v>
      </c>
      <c r="P9">
        <f t="shared" si="5"/>
        <v>830293</v>
      </c>
      <c r="Q9">
        <f t="shared" si="6"/>
        <v>73758</v>
      </c>
      <c r="R9">
        <f t="shared" si="7"/>
        <v>898913</v>
      </c>
      <c r="S9">
        <f t="shared" si="8"/>
        <v>83706</v>
      </c>
      <c r="T9">
        <f t="shared" si="9"/>
        <v>973204</v>
      </c>
      <c r="U9">
        <f t="shared" si="10"/>
        <v>99088</v>
      </c>
      <c r="V9">
        <f t="shared" si="11"/>
        <v>1081897</v>
      </c>
      <c r="W9">
        <f t="shared" si="12"/>
        <v>110973</v>
      </c>
      <c r="X9">
        <f t="shared" si="13"/>
        <v>1173208</v>
      </c>
      <c r="Y9">
        <f t="shared" si="14"/>
        <v>124285</v>
      </c>
      <c r="Z9">
        <f t="shared" si="15"/>
        <v>1272226</v>
      </c>
      <c r="AA9">
        <f t="shared" si="16"/>
        <v>144549</v>
      </c>
      <c r="AB9">
        <f t="shared" si="17"/>
        <v>1417370</v>
      </c>
      <c r="AC9">
        <v>1.08</v>
      </c>
    </row>
    <row r="10" spans="1:29">
      <c r="A10">
        <v>70</v>
      </c>
      <c r="B10">
        <f>ROUND([1]战斗力成长!$K17,0)</f>
        <v>44971</v>
      </c>
      <c r="C10">
        <f>ROUND([1]战斗力成长!$Y17,0)</f>
        <v>1601097</v>
      </c>
      <c r="D10">
        <f>ROUND([1]战斗力成长!$AY17,0)</f>
        <v>58655</v>
      </c>
      <c r="E10">
        <f>ROUND([1]战斗力成长!$AZ17,0)</f>
        <v>3902725</v>
      </c>
      <c r="F10">
        <f>ROUND([1]战斗力成长!$AR17*0.4+[1]战斗力成长!$AS17,0)</f>
        <v>45032</v>
      </c>
      <c r="G10">
        <v>23</v>
      </c>
      <c r="H10">
        <f t="shared" si="18"/>
        <v>45858</v>
      </c>
      <c r="I10">
        <f t="shared" si="19"/>
        <v>827466</v>
      </c>
      <c r="J10">
        <f t="shared" si="20"/>
        <v>14.107339527746996</v>
      </c>
      <c r="K10">
        <f t="shared" si="0"/>
        <v>57887</v>
      </c>
      <c r="L10">
        <f t="shared" si="1"/>
        <v>918191</v>
      </c>
      <c r="M10">
        <f t="shared" si="2"/>
        <v>73070</v>
      </c>
      <c r="N10">
        <f t="shared" si="3"/>
        <v>1018864</v>
      </c>
      <c r="O10">
        <f t="shared" si="4"/>
        <v>99684</v>
      </c>
      <c r="P10">
        <f t="shared" si="5"/>
        <v>1170469</v>
      </c>
      <c r="Q10">
        <f t="shared" si="6"/>
        <v>113469</v>
      </c>
      <c r="R10">
        <f t="shared" si="7"/>
        <v>1264283</v>
      </c>
      <c r="S10">
        <f t="shared" si="8"/>
        <v>129161</v>
      </c>
      <c r="T10">
        <f t="shared" si="9"/>
        <v>1365615</v>
      </c>
      <c r="U10">
        <f t="shared" si="10"/>
        <v>153510</v>
      </c>
      <c r="V10">
        <f t="shared" si="11"/>
        <v>1513471</v>
      </c>
      <c r="W10">
        <f t="shared" si="12"/>
        <v>172231</v>
      </c>
      <c r="X10">
        <f t="shared" si="13"/>
        <v>1638231</v>
      </c>
      <c r="Y10">
        <f t="shared" si="14"/>
        <v>193235</v>
      </c>
      <c r="Z10">
        <f t="shared" si="15"/>
        <v>1773276</v>
      </c>
      <c r="AA10">
        <f t="shared" si="16"/>
        <v>225278</v>
      </c>
      <c r="AB10">
        <f t="shared" si="17"/>
        <v>1970808</v>
      </c>
      <c r="AC10">
        <v>1.1200000000000001</v>
      </c>
    </row>
    <row r="11" spans="1:29">
      <c r="A11">
        <v>75</v>
      </c>
      <c r="B11">
        <f>ROUND([1]战斗力成长!$K18,0)</f>
        <v>58731</v>
      </c>
      <c r="C11">
        <f>ROUND([1]战斗力成长!$Y18,0)</f>
        <v>2237989</v>
      </c>
      <c r="D11">
        <f>ROUND([1]战斗力成长!$AY18,0)</f>
        <v>79146</v>
      </c>
      <c r="E11">
        <f>ROUND([1]战斗力成长!$AZ18,0)</f>
        <v>5841454</v>
      </c>
      <c r="F11">
        <f>ROUND([1]战斗力成长!$AR18*0.4+[1]战斗力成长!$AS18,0)</f>
        <v>70858</v>
      </c>
      <c r="G11">
        <v>24</v>
      </c>
      <c r="H11">
        <f t="shared" si="18"/>
        <v>65643</v>
      </c>
      <c r="I11">
        <f t="shared" si="19"/>
        <v>1127635</v>
      </c>
      <c r="J11">
        <f t="shared" si="20"/>
        <v>14.247529881484851</v>
      </c>
      <c r="K11">
        <f t="shared" si="0"/>
        <v>84434</v>
      </c>
      <c r="L11">
        <f t="shared" si="1"/>
        <v>1256089</v>
      </c>
      <c r="M11">
        <f t="shared" si="2"/>
        <v>108604</v>
      </c>
      <c r="N11">
        <f t="shared" si="3"/>
        <v>1399176</v>
      </c>
      <c r="O11">
        <f t="shared" si="4"/>
        <v>151922</v>
      </c>
      <c r="P11">
        <f t="shared" si="5"/>
        <v>1615629</v>
      </c>
      <c r="Q11">
        <f t="shared" si="6"/>
        <v>173867</v>
      </c>
      <c r="R11">
        <f t="shared" si="7"/>
        <v>1748757</v>
      </c>
      <c r="S11">
        <f t="shared" si="8"/>
        <v>198982</v>
      </c>
      <c r="T11">
        <f t="shared" si="9"/>
        <v>1892855</v>
      </c>
      <c r="U11">
        <f t="shared" si="10"/>
        <v>238201</v>
      </c>
      <c r="V11">
        <f t="shared" si="11"/>
        <v>2103623</v>
      </c>
      <c r="W11">
        <f t="shared" si="12"/>
        <v>268090</v>
      </c>
      <c r="X11">
        <f t="shared" si="13"/>
        <v>2280762</v>
      </c>
      <c r="Y11">
        <f t="shared" si="14"/>
        <v>301730</v>
      </c>
      <c r="Z11">
        <f t="shared" si="15"/>
        <v>2472818</v>
      </c>
      <c r="AA11">
        <f t="shared" si="16"/>
        <v>353239</v>
      </c>
      <c r="AB11">
        <f t="shared" si="17"/>
        <v>2754281</v>
      </c>
      <c r="AC11">
        <v>1.1599999999999999</v>
      </c>
    </row>
    <row r="12" spans="1:29">
      <c r="A12">
        <v>80</v>
      </c>
      <c r="B12">
        <f>ROUND([1]战斗力成长!$K19,0)</f>
        <v>74947</v>
      </c>
      <c r="C12">
        <f>ROUND([1]战斗力成长!$Y19,0)</f>
        <v>2912893</v>
      </c>
      <c r="D12">
        <f>ROUND([1]战斗力成长!$AY19,0)</f>
        <v>103680</v>
      </c>
      <c r="E12">
        <f>ROUND([1]战斗力成长!$AZ19,0)</f>
        <v>8069696</v>
      </c>
      <c r="F12">
        <f>ROUND([1]战斗力成长!$AR19*0.4+[1]战斗力成长!$AS19,0)</f>
        <v>104029</v>
      </c>
      <c r="G12">
        <v>25</v>
      </c>
      <c r="H12">
        <f t="shared" si="18"/>
        <v>88218</v>
      </c>
      <c r="I12">
        <f t="shared" si="19"/>
        <v>1498940</v>
      </c>
      <c r="J12">
        <f t="shared" si="20"/>
        <v>14.457368827160494</v>
      </c>
      <c r="K12">
        <f t="shared" si="0"/>
        <v>115310</v>
      </c>
      <c r="L12">
        <f t="shared" si="1"/>
        <v>1674661</v>
      </c>
      <c r="M12">
        <f t="shared" si="2"/>
        <v>150723</v>
      </c>
      <c r="N12">
        <f t="shared" si="3"/>
        <v>1870982</v>
      </c>
      <c r="O12">
        <f t="shared" si="4"/>
        <v>215407</v>
      </c>
      <c r="P12">
        <f t="shared" si="5"/>
        <v>2169002</v>
      </c>
      <c r="Q12">
        <f t="shared" si="6"/>
        <v>247580</v>
      </c>
      <c r="R12">
        <f t="shared" si="7"/>
        <v>2351443</v>
      </c>
      <c r="S12">
        <f t="shared" si="8"/>
        <v>284559</v>
      </c>
      <c r="T12">
        <f t="shared" si="9"/>
        <v>2549230</v>
      </c>
      <c r="U12">
        <f t="shared" si="10"/>
        <v>342595</v>
      </c>
      <c r="V12">
        <f t="shared" si="11"/>
        <v>2839064</v>
      </c>
      <c r="W12">
        <f t="shared" si="12"/>
        <v>386521</v>
      </c>
      <c r="X12">
        <f t="shared" si="13"/>
        <v>3081924</v>
      </c>
      <c r="Y12">
        <f t="shared" si="14"/>
        <v>436080</v>
      </c>
      <c r="Z12">
        <f t="shared" si="15"/>
        <v>3345558</v>
      </c>
      <c r="AA12">
        <f t="shared" si="16"/>
        <v>512180</v>
      </c>
      <c r="AB12">
        <f t="shared" si="17"/>
        <v>3732480</v>
      </c>
      <c r="AC12">
        <v>1.2</v>
      </c>
    </row>
    <row r="13" spans="1:29">
      <c r="A13">
        <v>85</v>
      </c>
      <c r="B13">
        <f>ROUND([1]战斗力成长!$K20,0)</f>
        <v>94496</v>
      </c>
      <c r="C13">
        <f>ROUND([1]战斗力成长!$Y20,0)</f>
        <v>3760132</v>
      </c>
      <c r="D13">
        <f>ROUND([1]战斗力成长!$AY20,0)</f>
        <v>132555</v>
      </c>
      <c r="E13">
        <f>ROUND([1]战斗力成长!$AZ20,0)</f>
        <v>10788762</v>
      </c>
      <c r="F13">
        <f>ROUND([1]战斗力成长!$AR20+[1]战斗力成长!$AS20,0)</f>
        <v>240066</v>
      </c>
      <c r="G13">
        <v>26</v>
      </c>
      <c r="H13">
        <f t="shared" si="18"/>
        <v>153875</v>
      </c>
      <c r="I13">
        <f t="shared" si="19"/>
        <v>1965517</v>
      </c>
      <c r="J13">
        <f t="shared" si="20"/>
        <v>14.827935573912715</v>
      </c>
      <c r="K13">
        <f t="shared" si="0"/>
        <v>198162</v>
      </c>
      <c r="L13">
        <f t="shared" si="1"/>
        <v>2198486</v>
      </c>
      <c r="M13">
        <f t="shared" si="2"/>
        <v>255195</v>
      </c>
      <c r="N13">
        <f t="shared" si="3"/>
        <v>2459068</v>
      </c>
      <c r="O13">
        <f t="shared" si="4"/>
        <v>357554</v>
      </c>
      <c r="P13">
        <f t="shared" si="5"/>
        <v>2855176</v>
      </c>
      <c r="Q13">
        <f t="shared" si="6"/>
        <v>409338</v>
      </c>
      <c r="R13">
        <f t="shared" si="7"/>
        <v>3097225</v>
      </c>
      <c r="S13">
        <f t="shared" si="8"/>
        <v>468621</v>
      </c>
      <c r="T13">
        <f t="shared" si="9"/>
        <v>3359794</v>
      </c>
      <c r="U13">
        <f t="shared" si="10"/>
        <v>561232</v>
      </c>
      <c r="V13">
        <f t="shared" si="11"/>
        <v>3744834</v>
      </c>
      <c r="W13">
        <f t="shared" si="12"/>
        <v>631775</v>
      </c>
      <c r="X13">
        <f t="shared" si="13"/>
        <v>4067097</v>
      </c>
      <c r="Y13">
        <f t="shared" si="14"/>
        <v>711185</v>
      </c>
      <c r="Z13">
        <f t="shared" si="15"/>
        <v>4417092</v>
      </c>
      <c r="AA13">
        <f t="shared" si="16"/>
        <v>832804</v>
      </c>
      <c r="AB13">
        <f t="shared" si="17"/>
        <v>4931046</v>
      </c>
      <c r="AC13">
        <v>1.24</v>
      </c>
    </row>
    <row r="14" spans="1:29">
      <c r="A14">
        <v>90</v>
      </c>
      <c r="B14">
        <f>ROUND([1]战斗力成长!$K21,0)</f>
        <v>117856</v>
      </c>
      <c r="C14">
        <f>ROUND([1]战斗力成长!$Y21,0)</f>
        <v>4661213</v>
      </c>
      <c r="D14">
        <f>ROUND([1]战斗力成长!$AY21,0)</f>
        <v>167380</v>
      </c>
      <c r="E14">
        <f>ROUND([1]战斗力成长!$AZ21,0)</f>
        <v>13802380</v>
      </c>
      <c r="F14">
        <f>ROUND([1]战斗力成长!$AR21+[1]战斗力成长!$AS21,0)</f>
        <v>316792</v>
      </c>
      <c r="G14">
        <v>27</v>
      </c>
      <c r="H14">
        <f t="shared" si="18"/>
        <v>195772</v>
      </c>
      <c r="I14">
        <f t="shared" si="19"/>
        <v>2545690</v>
      </c>
      <c r="J14">
        <f t="shared" si="20"/>
        <v>15.20904528617517</v>
      </c>
      <c r="K14">
        <f t="shared" si="0"/>
        <v>254710</v>
      </c>
      <c r="L14">
        <f t="shared" si="1"/>
        <v>2850251</v>
      </c>
      <c r="M14">
        <f t="shared" si="2"/>
        <v>331393</v>
      </c>
      <c r="N14">
        <f t="shared" si="3"/>
        <v>3191249</v>
      </c>
      <c r="O14">
        <f t="shared" si="4"/>
        <v>470693</v>
      </c>
      <c r="P14">
        <f t="shared" si="5"/>
        <v>3710201</v>
      </c>
      <c r="Q14">
        <f t="shared" si="6"/>
        <v>540344</v>
      </c>
      <c r="R14">
        <f t="shared" si="7"/>
        <v>4026826</v>
      </c>
      <c r="S14">
        <f t="shared" si="8"/>
        <v>620302</v>
      </c>
      <c r="T14">
        <f t="shared" si="9"/>
        <v>4370472</v>
      </c>
      <c r="U14">
        <f t="shared" si="10"/>
        <v>745614</v>
      </c>
      <c r="V14">
        <f t="shared" si="11"/>
        <v>4874711</v>
      </c>
      <c r="W14">
        <f t="shared" si="12"/>
        <v>840644</v>
      </c>
      <c r="X14">
        <f t="shared" si="13"/>
        <v>5296325</v>
      </c>
      <c r="Y14">
        <f t="shared" si="14"/>
        <v>947785</v>
      </c>
      <c r="Z14">
        <f t="shared" si="15"/>
        <v>5754405</v>
      </c>
      <c r="AA14">
        <f t="shared" si="16"/>
        <v>1112176</v>
      </c>
      <c r="AB14">
        <f t="shared" si="17"/>
        <v>6427392</v>
      </c>
      <c r="AC14">
        <v>1.28</v>
      </c>
    </row>
    <row r="15" spans="1:29">
      <c r="A15">
        <v>95</v>
      </c>
      <c r="B15">
        <f>ROUND([1]战斗力成长!$K22,0)</f>
        <v>145549</v>
      </c>
      <c r="C15">
        <f>ROUND([1]战斗力成长!$Y22,0)</f>
        <v>5769011</v>
      </c>
      <c r="D15">
        <f>ROUND([1]战斗力成长!$AY22,0)</f>
        <v>206858</v>
      </c>
      <c r="E15">
        <f>ROUND([1]战斗力成长!$AZ22,0)</f>
        <v>17315841</v>
      </c>
      <c r="F15">
        <f>ROUND([1]战斗力成长!$AR22+[1]战斗力成长!$AS22,0)</f>
        <v>423674</v>
      </c>
      <c r="G15">
        <v>28</v>
      </c>
      <c r="H15">
        <f t="shared" si="18"/>
        <v>251884</v>
      </c>
      <c r="I15">
        <f t="shared" si="19"/>
        <v>3260298</v>
      </c>
      <c r="J15">
        <f t="shared" si="20"/>
        <v>15.761043807829525</v>
      </c>
      <c r="K15">
        <f t="shared" si="0"/>
        <v>329774</v>
      </c>
      <c r="L15">
        <f t="shared" si="1"/>
        <v>3647580</v>
      </c>
      <c r="M15">
        <f t="shared" si="2"/>
        <v>431750</v>
      </c>
      <c r="N15">
        <f t="shared" si="3"/>
        <v>4080867</v>
      </c>
      <c r="O15">
        <f t="shared" si="4"/>
        <v>618377</v>
      </c>
      <c r="P15">
        <f t="shared" si="5"/>
        <v>4739682</v>
      </c>
      <c r="Q15">
        <f t="shared" si="6"/>
        <v>711035</v>
      </c>
      <c r="R15">
        <f t="shared" si="7"/>
        <v>5142117</v>
      </c>
      <c r="S15">
        <f t="shared" si="8"/>
        <v>817577</v>
      </c>
      <c r="T15">
        <f t="shared" si="9"/>
        <v>5578722</v>
      </c>
      <c r="U15">
        <f t="shared" si="10"/>
        <v>984869</v>
      </c>
      <c r="V15">
        <f t="shared" si="11"/>
        <v>6219065</v>
      </c>
      <c r="W15">
        <f t="shared" si="12"/>
        <v>1111405</v>
      </c>
      <c r="X15">
        <f t="shared" si="13"/>
        <v>6754883</v>
      </c>
      <c r="Y15">
        <f t="shared" si="14"/>
        <v>1254198</v>
      </c>
      <c r="Z15">
        <f t="shared" si="15"/>
        <v>7336865</v>
      </c>
      <c r="AA15">
        <f t="shared" si="16"/>
        <v>1473526</v>
      </c>
      <c r="AB15">
        <f t="shared" si="17"/>
        <v>8191577</v>
      </c>
      <c r="AC15">
        <v>1.32</v>
      </c>
    </row>
    <row r="16" spans="1:29">
      <c r="A16">
        <v>100</v>
      </c>
      <c r="B16">
        <f>ROUND([1]战斗力成长!$K23,0)</f>
        <v>178142</v>
      </c>
      <c r="C16">
        <f>ROUND([1]战斗力成长!$Y23,0)</f>
        <v>7169649</v>
      </c>
      <c r="D16">
        <f>ROUND([1]战斗力成长!$AY23,0)</f>
        <v>256188</v>
      </c>
      <c r="E16">
        <f>ROUND([1]战斗力成长!$AZ23,0)</f>
        <v>22528951</v>
      </c>
      <c r="F16">
        <f>ROUND([1]战斗力成长!$AR23+[1]战斗力成长!$AS23,0)</f>
        <v>574835</v>
      </c>
      <c r="G16">
        <v>29</v>
      </c>
      <c r="H16">
        <f t="shared" si="18"/>
        <v>328826</v>
      </c>
      <c r="I16">
        <f t="shared" si="19"/>
        <v>4132894</v>
      </c>
      <c r="J16">
        <f>I16/D16</f>
        <v>16.132270051680798</v>
      </c>
      <c r="K16">
        <f t="shared" si="0"/>
        <v>434484</v>
      </c>
      <c r="L16">
        <f t="shared" si="1"/>
        <v>4628567</v>
      </c>
      <c r="M16">
        <f t="shared" si="2"/>
        <v>574091</v>
      </c>
      <c r="N16">
        <f t="shared" si="3"/>
        <v>5183687</v>
      </c>
      <c r="O16">
        <f t="shared" si="4"/>
        <v>832384</v>
      </c>
      <c r="P16">
        <f t="shared" si="5"/>
        <v>6028767</v>
      </c>
      <c r="Q16">
        <f t="shared" si="6"/>
        <v>959318</v>
      </c>
      <c r="R16">
        <f t="shared" si="7"/>
        <v>6544159</v>
      </c>
      <c r="S16">
        <f t="shared" si="8"/>
        <v>1105610</v>
      </c>
      <c r="T16">
        <f t="shared" si="9"/>
        <v>7103610</v>
      </c>
      <c r="U16">
        <f t="shared" si="10"/>
        <v>1335941</v>
      </c>
      <c r="V16">
        <f t="shared" si="11"/>
        <v>7924640</v>
      </c>
      <c r="W16">
        <f t="shared" si="12"/>
        <v>1509517</v>
      </c>
      <c r="X16">
        <f t="shared" si="13"/>
        <v>8610956</v>
      </c>
      <c r="Y16">
        <f t="shared" si="14"/>
        <v>1705646</v>
      </c>
      <c r="Z16">
        <f t="shared" si="15"/>
        <v>9356710</v>
      </c>
      <c r="AA16">
        <f t="shared" si="16"/>
        <v>2007351</v>
      </c>
      <c r="AB16">
        <f t="shared" si="17"/>
        <v>10452470</v>
      </c>
      <c r="AC16">
        <v>1.36</v>
      </c>
    </row>
    <row r="21" spans="20:22">
      <c r="T21">
        <f>AA2/H2</f>
        <v>1.7044887780548628</v>
      </c>
      <c r="U21">
        <f>AB2/I2</f>
        <v>4.4244670991658941</v>
      </c>
      <c r="V21">
        <f>U21*T21</f>
        <v>7.5414545194012179</v>
      </c>
    </row>
    <row r="22" spans="20:22">
      <c r="T22">
        <f t="shared" ref="T22:T35" si="21">AA3/H3</f>
        <v>2.2292626728110601</v>
      </c>
      <c r="U22">
        <f t="shared" ref="U22:U35" si="22">AB3/I3</f>
        <v>3.8787957211870254</v>
      </c>
      <c r="V22">
        <f t="shared" ref="V22:V35" si="23">U22*T22</f>
        <v>8.6468545167014916</v>
      </c>
    </row>
    <row r="23" spans="20:22">
      <c r="T23">
        <f t="shared" si="21"/>
        <v>2.6964596633778295</v>
      </c>
      <c r="U23">
        <f t="shared" si="22"/>
        <v>3.3901900020321074</v>
      </c>
      <c r="V23">
        <f t="shared" si="23"/>
        <v>9.1415105916663801</v>
      </c>
    </row>
    <row r="24" spans="20:22">
      <c r="T24">
        <f t="shared" si="21"/>
        <v>3.3208648989898988</v>
      </c>
      <c r="U24">
        <f t="shared" si="22"/>
        <v>3.2222079622166895</v>
      </c>
      <c r="V24">
        <f t="shared" si="23"/>
        <v>10.700517318971174</v>
      </c>
    </row>
    <row r="25" spans="20:22">
      <c r="T25">
        <f t="shared" si="21"/>
        <v>3.8001948262799004</v>
      </c>
      <c r="U25">
        <f t="shared" si="22"/>
        <v>2.9340384390341763</v>
      </c>
      <c r="V25">
        <f t="shared" si="23"/>
        <v>11.149917696124032</v>
      </c>
    </row>
    <row r="26" spans="20:22">
      <c r="T26">
        <f t="shared" si="21"/>
        <v>4.2869519755022782</v>
      </c>
      <c r="U26">
        <f t="shared" si="22"/>
        <v>2.7399880865102637</v>
      </c>
      <c r="V26">
        <f t="shared" si="23"/>
        <v>11.746197340317883</v>
      </c>
    </row>
    <row r="27" spans="20:22">
      <c r="T27">
        <f t="shared" si="21"/>
        <v>4.5874398114947237</v>
      </c>
      <c r="U27">
        <f t="shared" si="22"/>
        <v>2.5999862390230724</v>
      </c>
      <c r="V27">
        <f t="shared" si="23"/>
        <v>11.927280382232878</v>
      </c>
    </row>
    <row r="28" spans="20:22">
      <c r="T28">
        <f t="shared" si="21"/>
        <v>4.6785668047643707</v>
      </c>
      <c r="U28">
        <f t="shared" si="22"/>
        <v>2.4492818237115683</v>
      </c>
      <c r="V28">
        <f t="shared" si="23"/>
        <v>11.459128635929684</v>
      </c>
    </row>
    <row r="29" spans="20:22">
      <c r="T29">
        <f t="shared" si="21"/>
        <v>4.9125125387064417</v>
      </c>
      <c r="U29">
        <f t="shared" si="22"/>
        <v>2.3817389475821362</v>
      </c>
      <c r="V29">
        <f t="shared" si="23"/>
        <v>11.700322443922728</v>
      </c>
    </row>
    <row r="30" spans="20:22">
      <c r="T30">
        <f t="shared" si="21"/>
        <v>5.3812135338116782</v>
      </c>
      <c r="U30">
        <f t="shared" si="22"/>
        <v>2.442528832467953</v>
      </c>
      <c r="V30">
        <f t="shared" si="23"/>
        <v>13.143769210001786</v>
      </c>
    </row>
    <row r="31" spans="20:22">
      <c r="T31">
        <f t="shared" si="21"/>
        <v>5.8058446122106604</v>
      </c>
      <c r="U31">
        <f t="shared" si="22"/>
        <v>2.4900796562904453</v>
      </c>
      <c r="V31">
        <f t="shared" si="23"/>
        <v>14.457015556449255</v>
      </c>
    </row>
    <row r="32" spans="20:22">
      <c r="T32">
        <f t="shared" si="21"/>
        <v>5.4122112103980502</v>
      </c>
      <c r="U32">
        <f t="shared" si="22"/>
        <v>2.5087780975692402</v>
      </c>
      <c r="V32">
        <f t="shared" si="23"/>
        <v>13.578036944065335</v>
      </c>
    </row>
    <row r="33" spans="20:22">
      <c r="T33">
        <f t="shared" si="21"/>
        <v>5.6809758290256012</v>
      </c>
      <c r="U33">
        <f t="shared" si="22"/>
        <v>2.5248133119115055</v>
      </c>
      <c r="V33">
        <f t="shared" si="23"/>
        <v>14.343403397771338</v>
      </c>
    </row>
    <row r="34" spans="20:22">
      <c r="T34">
        <f t="shared" si="21"/>
        <v>5.8500182623747436</v>
      </c>
      <c r="U34">
        <f t="shared" si="22"/>
        <v>2.5125240085415506</v>
      </c>
      <c r="V34">
        <f t="shared" si="23"/>
        <v>14.698311334623067</v>
      </c>
    </row>
    <row r="35" spans="20:22">
      <c r="T35">
        <f t="shared" si="21"/>
        <v>6.1045993929920384</v>
      </c>
      <c r="U35">
        <f t="shared" si="22"/>
        <v>2.5290922051230931</v>
      </c>
      <c r="V35">
        <f t="shared" si="23"/>
        <v>15.43909474021533</v>
      </c>
    </row>
    <row r="49" spans="1:29">
      <c r="A49" t="s">
        <v>0</v>
      </c>
      <c r="B49" t="s">
        <v>194</v>
      </c>
      <c r="C49" t="s">
        <v>195</v>
      </c>
      <c r="D49" t="s">
        <v>1</v>
      </c>
      <c r="E49" t="s">
        <v>2</v>
      </c>
      <c r="F49" t="s">
        <v>8</v>
      </c>
      <c r="G49" t="s">
        <v>196</v>
      </c>
      <c r="H49" t="s">
        <v>5</v>
      </c>
      <c r="I49" t="s">
        <v>6</v>
      </c>
      <c r="K49" t="s">
        <v>11</v>
      </c>
      <c r="L49" t="s">
        <v>11</v>
      </c>
      <c r="M49" t="s">
        <v>12</v>
      </c>
      <c r="N49" t="s">
        <v>12</v>
      </c>
      <c r="O49" t="s">
        <v>10</v>
      </c>
      <c r="P49" t="s">
        <v>10</v>
      </c>
      <c r="Q49" t="s">
        <v>13</v>
      </c>
      <c r="R49" t="s">
        <v>13</v>
      </c>
      <c r="S49" t="s">
        <v>14</v>
      </c>
      <c r="T49" t="s">
        <v>14</v>
      </c>
      <c r="U49" t="s">
        <v>9</v>
      </c>
      <c r="V49" t="s">
        <v>9</v>
      </c>
      <c r="W49" t="s">
        <v>15</v>
      </c>
      <c r="X49" t="s">
        <v>15</v>
      </c>
      <c r="Y49" t="s">
        <v>16</v>
      </c>
      <c r="Z49" t="s">
        <v>16</v>
      </c>
      <c r="AA49" t="s">
        <v>3</v>
      </c>
      <c r="AB49" t="s">
        <v>4</v>
      </c>
      <c r="AC49" t="s">
        <v>7</v>
      </c>
    </row>
    <row r="50" spans="1:29">
      <c r="A50">
        <v>30</v>
      </c>
      <c r="B50">
        <f>ROUND([1]战斗力成长!$K57,0)</f>
        <v>6832</v>
      </c>
      <c r="C50">
        <f>ROUND([1]战斗力成长!$Y57,0)</f>
        <v>38123</v>
      </c>
      <c r="D50">
        <f>ROUND([1]战斗力成长!$AY57,0)</f>
        <v>9036</v>
      </c>
      <c r="E50">
        <f>ROUND([1]战斗力成长!$Y57,0)</f>
        <v>38123</v>
      </c>
      <c r="F50">
        <f>ROUND([1]战斗力成长!$AR57*0.4*0.8+[1]战斗力成长!$AS57,0)</f>
        <v>471</v>
      </c>
      <c r="G50">
        <v>10</v>
      </c>
      <c r="H50">
        <f>ROUND(((F50+C50/G50)/2)*MIN(AC50,1),0)</f>
        <v>1713</v>
      </c>
      <c r="I50">
        <f>ROUND(G50*MIN(AC50,1)*B50,0)</f>
        <v>54656</v>
      </c>
      <c r="K50">
        <f t="shared" ref="K50:K64" si="24">ROUND(H50*(O50/H50)^0.3,0)</f>
        <v>1702</v>
      </c>
      <c r="L50">
        <f t="shared" ref="L50:L64" si="25">ROUND(I50*(P50/I50)^0.3,0)</f>
        <v>66161</v>
      </c>
      <c r="M50">
        <f t="shared" ref="M50:M64" si="26">ROUND(H50*(O50/H50)^0.6,0)</f>
        <v>1692</v>
      </c>
      <c r="N50">
        <f t="shared" ref="N50:N64" si="27">ROUND(I50*(P50/I50)^0.6,0)</f>
        <v>80087</v>
      </c>
      <c r="O50">
        <f t="shared" ref="O50:O64" si="28">ROUND(H50*0.7+AA50*0.3,0)</f>
        <v>1678</v>
      </c>
      <c r="P50">
        <f t="shared" ref="P50:P64" si="29">ROUND(I50*0.7+AB50*0.3,0)</f>
        <v>103318</v>
      </c>
      <c r="Q50">
        <f t="shared" ref="Q50:Q64" si="30">ROUND(O50*(U50/O50)^0.3,0)</f>
        <v>1667</v>
      </c>
      <c r="R50">
        <f t="shared" ref="R50:R64" si="31">ROUND(P50*(V50/P50)^0.3,0)</f>
        <v>116001</v>
      </c>
      <c r="S50">
        <f t="shared" ref="S50:S64" si="32">ROUND(O50*(U50/O50)^0.6,0)</f>
        <v>1657</v>
      </c>
      <c r="T50">
        <f t="shared" ref="T50:T64" si="33">ROUND(P50*(V50/P50)^0.6,0)</f>
        <v>130240</v>
      </c>
      <c r="U50">
        <f t="shared" ref="U50:U64" si="34">ROUND(H50*0.4+0.6*AA50,0)</f>
        <v>1643</v>
      </c>
      <c r="V50">
        <f t="shared" ref="V50:V64" si="35">ROUND(I50*0.4+0.6*AB50,0)</f>
        <v>151981</v>
      </c>
      <c r="W50">
        <f t="shared" ref="W50:W64" si="36">ROUND(U50*(AA50/U50)^0.3,0)</f>
        <v>1629</v>
      </c>
      <c r="X50">
        <f t="shared" ref="X50:X64" si="37">ROUND(V50*(AB50/V50)^0.3,0)</f>
        <v>169086</v>
      </c>
      <c r="Y50">
        <f t="shared" ref="Y50:Y64" si="38">ROUND(U50*(AA50/U50)^0.6,0)</f>
        <v>1615</v>
      </c>
      <c r="Z50">
        <f t="shared" ref="Z50:Z64" si="39">ROUND(V50*(AB50/V50)^0.6,0)</f>
        <v>188117</v>
      </c>
      <c r="AA50">
        <f t="shared" ref="AA50:AA64" si="40">ROUND(E50/25*AC50+AC50*F50,0)</f>
        <v>1597</v>
      </c>
      <c r="AB50">
        <f t="shared" ref="AB50:AB64" si="41">ROUND(D50*30*AC50,0)</f>
        <v>216864</v>
      </c>
      <c r="AC50">
        <v>0.8</v>
      </c>
    </row>
    <row r="51" spans="1:29">
      <c r="A51">
        <v>35</v>
      </c>
      <c r="B51">
        <f>ROUND([1]战斗力成长!$K58,0)</f>
        <v>10006</v>
      </c>
      <c r="C51">
        <f>ROUND([1]战斗力成长!$Y58,0)</f>
        <v>60953</v>
      </c>
      <c r="D51">
        <f>ROUND([1]战斗力成长!$AY58,0)</f>
        <v>13463</v>
      </c>
      <c r="E51">
        <f>ROUND([1]战斗力成长!$Y58,0)</f>
        <v>60953</v>
      </c>
      <c r="F51">
        <f>ROUND([1]战斗力成长!$AR58*0.4*0.8+[1]战斗力成长!$AS58,0)</f>
        <v>748</v>
      </c>
      <c r="G51">
        <v>12</v>
      </c>
      <c r="H51">
        <f t="shared" ref="H51:H64" si="42">ROUND(((F51+C51/G51)/2)*MIN(AC51,1),0)</f>
        <v>2448</v>
      </c>
      <c r="I51">
        <f t="shared" ref="I51:I64" si="43">ROUND(G51*MIN(AC51,1)*B51,0)</f>
        <v>100860</v>
      </c>
      <c r="K51">
        <f t="shared" si="24"/>
        <v>2468</v>
      </c>
      <c r="L51">
        <f t="shared" si="25"/>
        <v>118454</v>
      </c>
      <c r="M51">
        <f t="shared" si="26"/>
        <v>2489</v>
      </c>
      <c r="N51">
        <f t="shared" si="27"/>
        <v>139118</v>
      </c>
      <c r="O51">
        <f t="shared" si="28"/>
        <v>2516</v>
      </c>
      <c r="P51">
        <f t="shared" si="29"/>
        <v>172382</v>
      </c>
      <c r="Q51">
        <f t="shared" si="30"/>
        <v>2537</v>
      </c>
      <c r="R51">
        <f t="shared" si="31"/>
        <v>191298</v>
      </c>
      <c r="S51">
        <f t="shared" si="32"/>
        <v>2557</v>
      </c>
      <c r="T51">
        <f t="shared" si="33"/>
        <v>212290</v>
      </c>
      <c r="U51">
        <f t="shared" si="34"/>
        <v>2585</v>
      </c>
      <c r="V51">
        <f t="shared" si="35"/>
        <v>243905</v>
      </c>
      <c r="W51">
        <f t="shared" si="36"/>
        <v>2612</v>
      </c>
      <c r="X51">
        <f t="shared" si="37"/>
        <v>269288</v>
      </c>
      <c r="Y51">
        <f t="shared" si="38"/>
        <v>2639</v>
      </c>
      <c r="Z51">
        <f t="shared" si="39"/>
        <v>297313</v>
      </c>
      <c r="AA51">
        <f t="shared" si="40"/>
        <v>2676</v>
      </c>
      <c r="AB51">
        <f t="shared" si="41"/>
        <v>339268</v>
      </c>
      <c r="AC51">
        <v>0.84</v>
      </c>
    </row>
    <row r="52" spans="1:29">
      <c r="A52">
        <v>40</v>
      </c>
      <c r="B52">
        <f>ROUND([1]战斗力成长!$K59,0)</f>
        <v>14779</v>
      </c>
      <c r="C52">
        <f>ROUND([1]战斗力成长!$Y59,0)</f>
        <v>95813</v>
      </c>
      <c r="D52">
        <f>ROUND([1]战斗力成长!$AY59,0)</f>
        <v>19471</v>
      </c>
      <c r="E52">
        <f>ROUND([1]战斗力成长!$Y59,0)</f>
        <v>95813</v>
      </c>
      <c r="F52">
        <f>ROUND([1]战斗力成长!$AR59*0.4*0.8+[1]战斗力成长!$AS59,0)</f>
        <v>1593</v>
      </c>
      <c r="G52">
        <v>14</v>
      </c>
      <c r="H52">
        <f t="shared" si="42"/>
        <v>3712</v>
      </c>
      <c r="I52">
        <f t="shared" si="43"/>
        <v>182077</v>
      </c>
      <c r="K52">
        <f t="shared" si="24"/>
        <v>3805</v>
      </c>
      <c r="L52">
        <f t="shared" si="25"/>
        <v>207538</v>
      </c>
      <c r="M52">
        <f t="shared" si="26"/>
        <v>3900</v>
      </c>
      <c r="N52">
        <f t="shared" si="27"/>
        <v>236560</v>
      </c>
      <c r="O52">
        <f t="shared" si="28"/>
        <v>4031</v>
      </c>
      <c r="P52">
        <f t="shared" si="29"/>
        <v>281664</v>
      </c>
      <c r="Q52">
        <f t="shared" si="30"/>
        <v>4124</v>
      </c>
      <c r="R52">
        <f t="shared" si="31"/>
        <v>308443</v>
      </c>
      <c r="S52">
        <f t="shared" si="32"/>
        <v>4219</v>
      </c>
      <c r="T52">
        <f t="shared" si="33"/>
        <v>337768</v>
      </c>
      <c r="U52">
        <f t="shared" si="34"/>
        <v>4349</v>
      </c>
      <c r="V52">
        <f t="shared" si="35"/>
        <v>381251</v>
      </c>
      <c r="W52">
        <f t="shared" si="36"/>
        <v>4472</v>
      </c>
      <c r="X52">
        <f t="shared" si="37"/>
        <v>417009</v>
      </c>
      <c r="Y52">
        <f t="shared" si="38"/>
        <v>4599</v>
      </c>
      <c r="Z52">
        <f t="shared" si="39"/>
        <v>456120</v>
      </c>
      <c r="AA52">
        <f t="shared" si="40"/>
        <v>4774</v>
      </c>
      <c r="AB52">
        <f t="shared" si="41"/>
        <v>514034</v>
      </c>
      <c r="AC52">
        <v>0.88</v>
      </c>
    </row>
    <row r="53" spans="1:29">
      <c r="A53">
        <v>45</v>
      </c>
      <c r="B53">
        <f>ROUND([1]战斗力成长!$K60,0)</f>
        <v>18760</v>
      </c>
      <c r="C53">
        <f>ROUND([1]战斗力成长!$Y60,0)</f>
        <v>120685</v>
      </c>
      <c r="D53">
        <f>ROUND([1]战斗力成长!$AY60,0)</f>
        <v>25461</v>
      </c>
      <c r="E53">
        <f>ROUND([1]战斗力成长!$Y60,0)</f>
        <v>120685</v>
      </c>
      <c r="F53">
        <f>ROUND([1]战斗力成长!$AR60*0.4*0.8+[1]战斗力成长!$AS60,0)</f>
        <v>1978</v>
      </c>
      <c r="G53">
        <v>16</v>
      </c>
      <c r="H53">
        <f t="shared" si="42"/>
        <v>4380</v>
      </c>
      <c r="I53">
        <f t="shared" si="43"/>
        <v>276147</v>
      </c>
      <c r="K53">
        <f t="shared" si="24"/>
        <v>4542</v>
      </c>
      <c r="L53">
        <f t="shared" si="25"/>
        <v>309565</v>
      </c>
      <c r="M53">
        <f t="shared" si="26"/>
        <v>4710</v>
      </c>
      <c r="N53">
        <f t="shared" si="27"/>
        <v>347026</v>
      </c>
      <c r="O53">
        <f t="shared" si="28"/>
        <v>4944</v>
      </c>
      <c r="P53">
        <f t="shared" si="29"/>
        <v>404120</v>
      </c>
      <c r="Q53">
        <f t="shared" si="30"/>
        <v>5107</v>
      </c>
      <c r="R53">
        <f t="shared" si="31"/>
        <v>438888</v>
      </c>
      <c r="S53">
        <f t="shared" si="32"/>
        <v>5276</v>
      </c>
      <c r="T53">
        <f t="shared" si="33"/>
        <v>476647</v>
      </c>
      <c r="U53">
        <f t="shared" si="34"/>
        <v>5509</v>
      </c>
      <c r="V53">
        <f t="shared" si="35"/>
        <v>532093</v>
      </c>
      <c r="W53">
        <f t="shared" si="36"/>
        <v>5725</v>
      </c>
      <c r="X53">
        <f t="shared" si="37"/>
        <v>578398</v>
      </c>
      <c r="Y53">
        <f t="shared" si="38"/>
        <v>5949</v>
      </c>
      <c r="Z53">
        <f t="shared" si="39"/>
        <v>628732</v>
      </c>
      <c r="AA53">
        <f t="shared" si="40"/>
        <v>6261</v>
      </c>
      <c r="AB53">
        <f t="shared" si="41"/>
        <v>702724</v>
      </c>
      <c r="AC53">
        <v>0.92</v>
      </c>
    </row>
    <row r="54" spans="1:29">
      <c r="A54">
        <v>50</v>
      </c>
      <c r="B54">
        <f>ROUND([1]战斗力成长!$K61,0)</f>
        <v>26032</v>
      </c>
      <c r="C54">
        <f>ROUND([1]战斗力成长!$Y61,0)</f>
        <v>188492</v>
      </c>
      <c r="D54">
        <f>ROUND([1]战斗力成长!$AY61,0)</f>
        <v>35213</v>
      </c>
      <c r="E54">
        <f>ROUND([1]战斗力成长!$Y61,0)</f>
        <v>188492</v>
      </c>
      <c r="F54">
        <f>ROUND([1]战斗力成长!$AR61*0.4*0.8+[1]战斗力成长!$AS61,0)</f>
        <v>3356</v>
      </c>
      <c r="G54">
        <v>18</v>
      </c>
      <c r="H54">
        <f t="shared" si="42"/>
        <v>6637</v>
      </c>
      <c r="I54">
        <f t="shared" si="43"/>
        <v>449833</v>
      </c>
      <c r="K54">
        <f t="shared" si="24"/>
        <v>6962</v>
      </c>
      <c r="L54">
        <f t="shared" si="25"/>
        <v>495073</v>
      </c>
      <c r="M54">
        <f t="shared" si="26"/>
        <v>7303</v>
      </c>
      <c r="N54">
        <f t="shared" si="27"/>
        <v>544862</v>
      </c>
      <c r="O54">
        <f t="shared" si="28"/>
        <v>7784</v>
      </c>
      <c r="P54">
        <f t="shared" si="29"/>
        <v>619123</v>
      </c>
      <c r="Q54">
        <f t="shared" si="30"/>
        <v>8112</v>
      </c>
      <c r="R54">
        <f t="shared" si="31"/>
        <v>665687</v>
      </c>
      <c r="S54">
        <f t="shared" si="32"/>
        <v>8453</v>
      </c>
      <c r="T54">
        <f t="shared" si="33"/>
        <v>715753</v>
      </c>
      <c r="U54">
        <f t="shared" si="34"/>
        <v>8931</v>
      </c>
      <c r="V54">
        <f t="shared" si="35"/>
        <v>788414</v>
      </c>
      <c r="W54">
        <f t="shared" si="36"/>
        <v>9365</v>
      </c>
      <c r="X54">
        <f t="shared" si="37"/>
        <v>850270</v>
      </c>
      <c r="Y54">
        <f t="shared" si="38"/>
        <v>9819</v>
      </c>
      <c r="Z54">
        <f t="shared" si="39"/>
        <v>916978</v>
      </c>
      <c r="AA54">
        <f t="shared" si="40"/>
        <v>10460</v>
      </c>
      <c r="AB54">
        <f t="shared" si="41"/>
        <v>1014134</v>
      </c>
      <c r="AC54">
        <v>0.96</v>
      </c>
    </row>
    <row r="55" spans="1:29">
      <c r="A55">
        <v>55</v>
      </c>
      <c r="B55">
        <f>ROUND([1]战斗力成长!$K62,0)</f>
        <v>34440</v>
      </c>
      <c r="C55">
        <f>ROUND([1]战斗力成长!$Y62,0)</f>
        <v>276440</v>
      </c>
      <c r="D55">
        <f>ROUND([1]战斗力成长!$AY62,0)</f>
        <v>47043</v>
      </c>
      <c r="E55">
        <f>ROUND([1]战斗力成长!$Y62,0)</f>
        <v>276440</v>
      </c>
      <c r="F55">
        <f>ROUND([1]战斗力成长!$AR62*0.4*0.8+[1]战斗力成长!$AS62,0)</f>
        <v>5490</v>
      </c>
      <c r="G55">
        <v>20</v>
      </c>
      <c r="H55">
        <f t="shared" si="42"/>
        <v>9656</v>
      </c>
      <c r="I55">
        <f t="shared" si="43"/>
        <v>688800</v>
      </c>
      <c r="K55">
        <f t="shared" si="24"/>
        <v>10235</v>
      </c>
      <c r="L55">
        <f t="shared" si="25"/>
        <v>747719</v>
      </c>
      <c r="M55">
        <f t="shared" si="26"/>
        <v>10848</v>
      </c>
      <c r="N55">
        <f t="shared" si="27"/>
        <v>811678</v>
      </c>
      <c r="O55">
        <f t="shared" si="28"/>
        <v>11724</v>
      </c>
      <c r="P55">
        <f t="shared" si="29"/>
        <v>905547</v>
      </c>
      <c r="Q55">
        <f t="shared" si="30"/>
        <v>12309</v>
      </c>
      <c r="R55">
        <f t="shared" si="31"/>
        <v>965761</v>
      </c>
      <c r="S55">
        <f t="shared" si="32"/>
        <v>12924</v>
      </c>
      <c r="T55">
        <f t="shared" si="33"/>
        <v>1029979</v>
      </c>
      <c r="U55">
        <f t="shared" si="34"/>
        <v>13791</v>
      </c>
      <c r="V55">
        <f t="shared" si="35"/>
        <v>1122294</v>
      </c>
      <c r="W55">
        <f t="shared" si="36"/>
        <v>14566</v>
      </c>
      <c r="X55">
        <f t="shared" si="37"/>
        <v>1202152</v>
      </c>
      <c r="Y55">
        <f t="shared" si="38"/>
        <v>15385</v>
      </c>
      <c r="Z55">
        <f t="shared" si="39"/>
        <v>1287693</v>
      </c>
      <c r="AA55">
        <f t="shared" si="40"/>
        <v>16548</v>
      </c>
      <c r="AB55">
        <f t="shared" si="41"/>
        <v>1411290</v>
      </c>
      <c r="AC55">
        <v>1</v>
      </c>
    </row>
    <row r="56" spans="1:29">
      <c r="A56">
        <v>60</v>
      </c>
      <c r="B56">
        <f>ROUND([1]战斗力成长!$K63,0)</f>
        <v>50285</v>
      </c>
      <c r="C56">
        <f>ROUND([1]战斗力成长!$Y63,0)</f>
        <v>388497</v>
      </c>
      <c r="D56">
        <f>ROUND([1]战斗力成长!$AY63,0)</f>
        <v>66461</v>
      </c>
      <c r="E56">
        <f>ROUND([1]战斗力成长!$Y63,0)</f>
        <v>388497</v>
      </c>
      <c r="F56">
        <f>ROUND([1]战斗力成长!$AR63*0.4*0.8+[1]战斗力成长!$AS63,0)</f>
        <v>9223</v>
      </c>
      <c r="G56">
        <v>21</v>
      </c>
      <c r="H56">
        <f t="shared" si="42"/>
        <v>13861</v>
      </c>
      <c r="I56">
        <f t="shared" si="43"/>
        <v>1055985</v>
      </c>
      <c r="K56">
        <f t="shared" si="24"/>
        <v>14847</v>
      </c>
      <c r="L56">
        <f t="shared" si="25"/>
        <v>1139576</v>
      </c>
      <c r="M56">
        <f t="shared" si="26"/>
        <v>15903</v>
      </c>
      <c r="N56">
        <f t="shared" si="27"/>
        <v>1229783</v>
      </c>
      <c r="O56">
        <f t="shared" si="28"/>
        <v>17429</v>
      </c>
      <c r="P56">
        <f t="shared" si="29"/>
        <v>1361264</v>
      </c>
      <c r="Q56">
        <f t="shared" si="30"/>
        <v>18430</v>
      </c>
      <c r="R56">
        <f t="shared" si="31"/>
        <v>1446454</v>
      </c>
      <c r="S56">
        <f t="shared" si="32"/>
        <v>19489</v>
      </c>
      <c r="T56">
        <f t="shared" si="33"/>
        <v>1536976</v>
      </c>
      <c r="U56">
        <f t="shared" si="34"/>
        <v>20996</v>
      </c>
      <c r="V56">
        <f t="shared" si="35"/>
        <v>1666544</v>
      </c>
      <c r="W56">
        <f t="shared" si="36"/>
        <v>22323</v>
      </c>
      <c r="X56">
        <f t="shared" si="37"/>
        <v>1779460</v>
      </c>
      <c r="Y56">
        <f t="shared" si="38"/>
        <v>23733</v>
      </c>
      <c r="Z56">
        <f t="shared" si="39"/>
        <v>1900026</v>
      </c>
      <c r="AA56">
        <f t="shared" si="40"/>
        <v>25753</v>
      </c>
      <c r="AB56">
        <f t="shared" si="41"/>
        <v>2073583</v>
      </c>
      <c r="AC56">
        <v>1.04</v>
      </c>
    </row>
    <row r="57" spans="1:29">
      <c r="A57">
        <v>65</v>
      </c>
      <c r="B57">
        <f>ROUND([1]战斗力成长!$K64,0)</f>
        <v>71466</v>
      </c>
      <c r="C57">
        <f>ROUND([1]战斗力成长!$Y64,0)</f>
        <v>603334</v>
      </c>
      <c r="D57">
        <f>ROUND([1]战斗力成长!$AY64,0)</f>
        <v>90690</v>
      </c>
      <c r="E57">
        <f>ROUND([1]战斗力成长!$Y64,0)</f>
        <v>603334</v>
      </c>
      <c r="F57">
        <f>ROUND([1]战斗力成长!$AR64*0.4*0.8+[1]战斗力成长!$AS64,0)</f>
        <v>16304</v>
      </c>
      <c r="G57">
        <v>22</v>
      </c>
      <c r="H57">
        <f t="shared" si="42"/>
        <v>21864</v>
      </c>
      <c r="I57">
        <f t="shared" si="43"/>
        <v>1572252</v>
      </c>
      <c r="K57">
        <f t="shared" si="24"/>
        <v>23650</v>
      </c>
      <c r="L57">
        <f t="shared" si="25"/>
        <v>1685396</v>
      </c>
      <c r="M57">
        <f t="shared" si="26"/>
        <v>25582</v>
      </c>
      <c r="N57">
        <f t="shared" si="27"/>
        <v>1806683</v>
      </c>
      <c r="O57">
        <f t="shared" si="28"/>
        <v>28406</v>
      </c>
      <c r="P57">
        <f t="shared" si="29"/>
        <v>1982083</v>
      </c>
      <c r="Q57">
        <f t="shared" si="30"/>
        <v>30229</v>
      </c>
      <c r="R57">
        <f t="shared" si="31"/>
        <v>2097051</v>
      </c>
      <c r="S57">
        <f t="shared" si="32"/>
        <v>32168</v>
      </c>
      <c r="T57">
        <f t="shared" si="33"/>
        <v>2218687</v>
      </c>
      <c r="U57">
        <f t="shared" si="34"/>
        <v>34949</v>
      </c>
      <c r="V57">
        <f t="shared" si="35"/>
        <v>2391914</v>
      </c>
      <c r="W57">
        <f t="shared" si="36"/>
        <v>37365</v>
      </c>
      <c r="X57">
        <f t="shared" si="37"/>
        <v>2544212</v>
      </c>
      <c r="Y57">
        <f t="shared" si="38"/>
        <v>39948</v>
      </c>
      <c r="Z57">
        <f t="shared" si="39"/>
        <v>2706206</v>
      </c>
      <c r="AA57">
        <f t="shared" si="40"/>
        <v>43672</v>
      </c>
      <c r="AB57">
        <f t="shared" si="41"/>
        <v>2938356</v>
      </c>
      <c r="AC57">
        <v>1.08</v>
      </c>
    </row>
    <row r="58" spans="1:29">
      <c r="A58">
        <v>70</v>
      </c>
      <c r="B58">
        <f>ROUND([1]战斗力成长!$K65,0)</f>
        <v>96511</v>
      </c>
      <c r="C58">
        <f>ROUND([1]战斗力成长!$Y65,0)</f>
        <v>852863</v>
      </c>
      <c r="D58">
        <f>ROUND([1]战斗力成长!$AY65,0)</f>
        <v>121334</v>
      </c>
      <c r="E58">
        <f>ROUND([1]战斗力成长!$Y65,0)</f>
        <v>852863</v>
      </c>
      <c r="F58">
        <f>ROUND([1]战斗力成长!$AR65*0.4*0.8+[1]战斗力成长!$AS65,0)</f>
        <v>26074</v>
      </c>
      <c r="G58">
        <v>23</v>
      </c>
      <c r="H58">
        <f t="shared" si="42"/>
        <v>31578</v>
      </c>
      <c r="I58">
        <f t="shared" si="43"/>
        <v>2219753</v>
      </c>
      <c r="K58">
        <f t="shared" si="24"/>
        <v>34479</v>
      </c>
      <c r="L58">
        <f t="shared" si="25"/>
        <v>2373997</v>
      </c>
      <c r="M58">
        <f t="shared" si="26"/>
        <v>37647</v>
      </c>
      <c r="N58">
        <f t="shared" si="27"/>
        <v>2538958</v>
      </c>
      <c r="O58">
        <f t="shared" si="28"/>
        <v>42328</v>
      </c>
      <c r="P58">
        <f t="shared" si="29"/>
        <v>2776874</v>
      </c>
      <c r="Q58">
        <f t="shared" si="30"/>
        <v>45302</v>
      </c>
      <c r="R58">
        <f t="shared" si="31"/>
        <v>2933451</v>
      </c>
      <c r="S58">
        <f t="shared" si="32"/>
        <v>48484</v>
      </c>
      <c r="T58">
        <f t="shared" si="33"/>
        <v>3098856</v>
      </c>
      <c r="U58">
        <f t="shared" si="34"/>
        <v>53078</v>
      </c>
      <c r="V58">
        <f t="shared" si="35"/>
        <v>3333994</v>
      </c>
      <c r="W58">
        <f t="shared" si="36"/>
        <v>57024</v>
      </c>
      <c r="X58">
        <f t="shared" si="37"/>
        <v>3541375</v>
      </c>
      <c r="Y58">
        <f t="shared" si="38"/>
        <v>61264</v>
      </c>
      <c r="Z58">
        <f t="shared" si="39"/>
        <v>3761655</v>
      </c>
      <c r="AA58">
        <f t="shared" si="40"/>
        <v>67411</v>
      </c>
      <c r="AB58">
        <f t="shared" si="41"/>
        <v>4076822</v>
      </c>
      <c r="AC58">
        <v>1.1200000000000001</v>
      </c>
    </row>
    <row r="59" spans="1:29">
      <c r="A59">
        <v>75</v>
      </c>
      <c r="B59">
        <f>ROUND([1]战斗力成长!$K66,0)</f>
        <v>124722</v>
      </c>
      <c r="C59">
        <f>ROUND([1]战斗力成长!$Y66,0)</f>
        <v>1208670</v>
      </c>
      <c r="D59">
        <f>ROUND([1]战斗力成长!$AY66,0)</f>
        <v>160969</v>
      </c>
      <c r="E59">
        <f>ROUND([1]战斗力成长!$Y66,0)</f>
        <v>1208670</v>
      </c>
      <c r="F59">
        <f>ROUND([1]战斗力成长!$AR66*0.4*0.8+[1]战斗力成长!$AS66,0)</f>
        <v>41495</v>
      </c>
      <c r="G59">
        <v>24</v>
      </c>
      <c r="H59">
        <f t="shared" si="42"/>
        <v>45928</v>
      </c>
      <c r="I59">
        <f t="shared" si="43"/>
        <v>2993328</v>
      </c>
      <c r="K59">
        <f t="shared" si="24"/>
        <v>50595</v>
      </c>
      <c r="L59">
        <f t="shared" si="25"/>
        <v>3209315</v>
      </c>
      <c r="M59">
        <f t="shared" si="26"/>
        <v>55737</v>
      </c>
      <c r="N59">
        <f t="shared" si="27"/>
        <v>3440886</v>
      </c>
      <c r="O59">
        <f t="shared" si="28"/>
        <v>63414</v>
      </c>
      <c r="P59">
        <f t="shared" si="29"/>
        <v>3775846</v>
      </c>
      <c r="Q59">
        <f t="shared" si="30"/>
        <v>68221</v>
      </c>
      <c r="R59">
        <f t="shared" si="31"/>
        <v>3995330</v>
      </c>
      <c r="S59">
        <f t="shared" si="32"/>
        <v>73392</v>
      </c>
      <c r="T59">
        <f t="shared" si="33"/>
        <v>4227573</v>
      </c>
      <c r="U59">
        <f t="shared" si="34"/>
        <v>80901</v>
      </c>
      <c r="V59">
        <f t="shared" si="35"/>
        <v>4558364</v>
      </c>
      <c r="W59">
        <f t="shared" si="36"/>
        <v>87287</v>
      </c>
      <c r="X59">
        <f t="shared" si="37"/>
        <v>4849118</v>
      </c>
      <c r="Y59">
        <f t="shared" si="38"/>
        <v>94176</v>
      </c>
      <c r="Z59">
        <f t="shared" si="39"/>
        <v>5158417</v>
      </c>
      <c r="AA59">
        <f t="shared" si="40"/>
        <v>104216</v>
      </c>
      <c r="AB59">
        <f t="shared" si="41"/>
        <v>5601721</v>
      </c>
      <c r="AC59">
        <v>1.1599999999999999</v>
      </c>
    </row>
    <row r="60" spans="1:29">
      <c r="A60">
        <v>80</v>
      </c>
      <c r="B60">
        <f>ROUND([1]战斗力成长!$K67,0)</f>
        <v>157559</v>
      </c>
      <c r="C60">
        <f>ROUND([1]战斗力成长!$Y67,0)</f>
        <v>1627296</v>
      </c>
      <c r="D60">
        <f>ROUND([1]战斗力成长!$AY67,0)</f>
        <v>206964</v>
      </c>
      <c r="E60">
        <f>ROUND([1]战斗力成长!$Y67,0)</f>
        <v>1627296</v>
      </c>
      <c r="F60">
        <f>ROUND([1]战斗力成长!$AR67*0.4*0.8+[1]战斗力成长!$AS67,0)</f>
        <v>62887</v>
      </c>
      <c r="G60">
        <v>25</v>
      </c>
      <c r="H60">
        <f t="shared" si="42"/>
        <v>63989</v>
      </c>
      <c r="I60">
        <f t="shared" si="43"/>
        <v>3938975</v>
      </c>
      <c r="K60">
        <f t="shared" si="24"/>
        <v>71087</v>
      </c>
      <c r="L60">
        <f t="shared" si="25"/>
        <v>4229252</v>
      </c>
      <c r="M60">
        <f t="shared" si="26"/>
        <v>78973</v>
      </c>
      <c r="N60">
        <f t="shared" si="27"/>
        <v>4540920</v>
      </c>
      <c r="O60">
        <f t="shared" si="28"/>
        <v>90865</v>
      </c>
      <c r="P60">
        <f t="shared" si="29"/>
        <v>4992494</v>
      </c>
      <c r="Q60">
        <f t="shared" si="30"/>
        <v>98210</v>
      </c>
      <c r="R60">
        <f t="shared" si="31"/>
        <v>5287653</v>
      </c>
      <c r="S60">
        <f t="shared" si="32"/>
        <v>106149</v>
      </c>
      <c r="T60">
        <f t="shared" si="33"/>
        <v>5600263</v>
      </c>
      <c r="U60">
        <f t="shared" si="34"/>
        <v>117741</v>
      </c>
      <c r="V60">
        <f t="shared" si="35"/>
        <v>6046012</v>
      </c>
      <c r="W60">
        <f t="shared" si="36"/>
        <v>127510</v>
      </c>
      <c r="X60">
        <f t="shared" si="37"/>
        <v>6437059</v>
      </c>
      <c r="Y60">
        <f t="shared" si="38"/>
        <v>138090</v>
      </c>
      <c r="Z60">
        <f t="shared" si="39"/>
        <v>6853399</v>
      </c>
      <c r="AA60">
        <f t="shared" si="40"/>
        <v>153575</v>
      </c>
      <c r="AB60">
        <f t="shared" si="41"/>
        <v>7450704</v>
      </c>
      <c r="AC60">
        <v>1.2</v>
      </c>
    </row>
    <row r="61" spans="1:29">
      <c r="A61">
        <v>85</v>
      </c>
      <c r="B61">
        <f>ROUND([1]战斗力成长!$K68,0)</f>
        <v>196812</v>
      </c>
      <c r="C61">
        <f>ROUND([1]战斗力成长!$Y68,0)</f>
        <v>2201433</v>
      </c>
      <c r="D61">
        <f>ROUND([1]战斗力成长!$AY68,0)</f>
        <v>260001</v>
      </c>
      <c r="E61">
        <f>ROUND([1]战斗力成长!$Y68,0)</f>
        <v>2201433</v>
      </c>
      <c r="F61">
        <f>ROUND([1]战斗力成长!$AR68+[1]战斗力成长!$AS68,0)</f>
        <v>184860</v>
      </c>
      <c r="G61">
        <v>26</v>
      </c>
      <c r="H61">
        <f t="shared" si="42"/>
        <v>134765</v>
      </c>
      <c r="I61">
        <f t="shared" si="43"/>
        <v>5117112</v>
      </c>
      <c r="K61">
        <f t="shared" si="24"/>
        <v>150761</v>
      </c>
      <c r="L61">
        <f t="shared" si="25"/>
        <v>5493664</v>
      </c>
      <c r="M61">
        <f t="shared" si="26"/>
        <v>168655</v>
      </c>
      <c r="N61">
        <f t="shared" si="27"/>
        <v>5897926</v>
      </c>
      <c r="O61">
        <f t="shared" si="28"/>
        <v>195861</v>
      </c>
      <c r="P61">
        <f t="shared" si="29"/>
        <v>6483590</v>
      </c>
      <c r="Q61">
        <f t="shared" si="30"/>
        <v>212482</v>
      </c>
      <c r="R61">
        <f t="shared" si="31"/>
        <v>6866460</v>
      </c>
      <c r="S61">
        <f t="shared" si="32"/>
        <v>230512</v>
      </c>
      <c r="T61">
        <f t="shared" si="33"/>
        <v>7271939</v>
      </c>
      <c r="U61">
        <f t="shared" si="34"/>
        <v>256956</v>
      </c>
      <c r="V61">
        <f t="shared" si="35"/>
        <v>7850067</v>
      </c>
      <c r="W61">
        <f t="shared" si="36"/>
        <v>279085</v>
      </c>
      <c r="X61">
        <f t="shared" si="37"/>
        <v>8357314</v>
      </c>
      <c r="Y61">
        <f t="shared" si="38"/>
        <v>303120</v>
      </c>
      <c r="Z61">
        <f t="shared" si="39"/>
        <v>8897339</v>
      </c>
      <c r="AA61">
        <f t="shared" si="40"/>
        <v>338417</v>
      </c>
      <c r="AB61">
        <f t="shared" si="41"/>
        <v>9672037</v>
      </c>
      <c r="AC61">
        <v>1.24</v>
      </c>
    </row>
    <row r="62" spans="1:29">
      <c r="A62">
        <v>90</v>
      </c>
      <c r="B62">
        <f>ROUND([1]战斗力成长!$K69,0)</f>
        <v>243992</v>
      </c>
      <c r="C62">
        <f>ROUND([1]战斗力成长!$Y69,0)</f>
        <v>2891963</v>
      </c>
      <c r="D62">
        <f>ROUND([1]战斗力成长!$AY69,0)</f>
        <v>323593</v>
      </c>
      <c r="E62">
        <f>ROUND([1]战斗力成长!$Y69,0)</f>
        <v>2891963</v>
      </c>
      <c r="F62">
        <f>ROUND([1]战斗力成长!$AR69+[1]战斗力成长!$AS69,0)</f>
        <v>256293</v>
      </c>
      <c r="G62">
        <v>27</v>
      </c>
      <c r="H62">
        <f t="shared" si="42"/>
        <v>181701</v>
      </c>
      <c r="I62">
        <f t="shared" si="43"/>
        <v>6587784</v>
      </c>
      <c r="K62">
        <f t="shared" si="24"/>
        <v>204632</v>
      </c>
      <c r="L62">
        <f t="shared" si="25"/>
        <v>7070587</v>
      </c>
      <c r="M62">
        <f t="shared" si="26"/>
        <v>230456</v>
      </c>
      <c r="N62">
        <f t="shared" si="27"/>
        <v>7588774</v>
      </c>
      <c r="O62">
        <f t="shared" si="28"/>
        <v>270028</v>
      </c>
      <c r="P62">
        <f t="shared" si="29"/>
        <v>8339240</v>
      </c>
      <c r="Q62">
        <f t="shared" si="30"/>
        <v>293955</v>
      </c>
      <c r="R62">
        <f t="shared" si="31"/>
        <v>8830085</v>
      </c>
      <c r="S62">
        <f t="shared" si="32"/>
        <v>320001</v>
      </c>
      <c r="T62">
        <f t="shared" si="33"/>
        <v>9349820</v>
      </c>
      <c r="U62">
        <f t="shared" si="34"/>
        <v>358355</v>
      </c>
      <c r="V62">
        <f t="shared" si="35"/>
        <v>10090696</v>
      </c>
      <c r="W62">
        <f t="shared" si="36"/>
        <v>390243</v>
      </c>
      <c r="X62">
        <f t="shared" si="37"/>
        <v>10740979</v>
      </c>
      <c r="Y62">
        <f t="shared" si="38"/>
        <v>424969</v>
      </c>
      <c r="Z62">
        <f t="shared" si="39"/>
        <v>11433170</v>
      </c>
      <c r="AA62">
        <f t="shared" si="40"/>
        <v>476124</v>
      </c>
      <c r="AB62">
        <f t="shared" si="41"/>
        <v>12425971</v>
      </c>
      <c r="AC62">
        <v>1.28</v>
      </c>
    </row>
    <row r="63" spans="1:29">
      <c r="A63">
        <v>95</v>
      </c>
      <c r="B63">
        <f>ROUND([1]战斗力成长!$K70,0)</f>
        <v>300028</v>
      </c>
      <c r="C63">
        <f>ROUND([1]战斗力成长!$Y70,0)</f>
        <v>3732003</v>
      </c>
      <c r="D63">
        <f>ROUND([1]战斗力成长!$AY70,0)</f>
        <v>396907</v>
      </c>
      <c r="E63">
        <f>ROUND([1]战斗力成长!$Y70,0)</f>
        <v>3732003</v>
      </c>
      <c r="F63">
        <f>ROUND([1]战斗力成长!$AR70+[1]战斗力成长!$AS70,0)</f>
        <v>356176</v>
      </c>
      <c r="G63">
        <v>28</v>
      </c>
      <c r="H63">
        <f t="shared" si="42"/>
        <v>244731</v>
      </c>
      <c r="I63">
        <f t="shared" si="43"/>
        <v>8400784</v>
      </c>
      <c r="K63">
        <f t="shared" si="24"/>
        <v>277370</v>
      </c>
      <c r="L63">
        <f t="shared" si="25"/>
        <v>9006666</v>
      </c>
      <c r="M63">
        <f t="shared" si="26"/>
        <v>314363</v>
      </c>
      <c r="N63">
        <f t="shared" si="27"/>
        <v>9656245</v>
      </c>
      <c r="O63">
        <f t="shared" si="28"/>
        <v>371472</v>
      </c>
      <c r="P63">
        <f t="shared" si="29"/>
        <v>10595804</v>
      </c>
      <c r="Q63">
        <f t="shared" si="30"/>
        <v>405670</v>
      </c>
      <c r="R63">
        <f t="shared" si="31"/>
        <v>11211489</v>
      </c>
      <c r="S63">
        <f t="shared" si="32"/>
        <v>443017</v>
      </c>
      <c r="T63">
        <f t="shared" si="33"/>
        <v>11862949</v>
      </c>
      <c r="U63">
        <f t="shared" si="34"/>
        <v>498214</v>
      </c>
      <c r="V63">
        <f t="shared" si="35"/>
        <v>12790824</v>
      </c>
      <c r="W63">
        <f t="shared" si="36"/>
        <v>543836</v>
      </c>
      <c r="X63">
        <f t="shared" si="37"/>
        <v>13606429</v>
      </c>
      <c r="Y63">
        <f t="shared" si="38"/>
        <v>593637</v>
      </c>
      <c r="Z63">
        <f t="shared" si="39"/>
        <v>14474040</v>
      </c>
      <c r="AA63">
        <f t="shared" si="40"/>
        <v>667202</v>
      </c>
      <c r="AB63">
        <f t="shared" si="41"/>
        <v>15717517</v>
      </c>
      <c r="AC63">
        <v>1.32</v>
      </c>
    </row>
    <row r="64" spans="1:29">
      <c r="A64">
        <v>100</v>
      </c>
      <c r="B64">
        <f>ROUND([1]战斗力成长!$K71,0)</f>
        <v>365826</v>
      </c>
      <c r="C64">
        <f>ROUND([1]战斗力成长!$Y71,0)</f>
        <v>4833843</v>
      </c>
      <c r="D64">
        <f>ROUND([1]战斗力成长!$AY71,0)</f>
        <v>486407</v>
      </c>
      <c r="E64">
        <f>ROUND([1]战斗力成长!$Y71,0)</f>
        <v>4833843</v>
      </c>
      <c r="F64">
        <f>ROUND([1]战斗力成长!$AR71+[1]战斗力成长!$AS71,0)</f>
        <v>503534</v>
      </c>
      <c r="G64">
        <v>29</v>
      </c>
      <c r="H64">
        <f t="shared" si="42"/>
        <v>335109</v>
      </c>
      <c r="I64">
        <f t="shared" si="43"/>
        <v>10608954</v>
      </c>
      <c r="K64">
        <f t="shared" si="24"/>
        <v>382082</v>
      </c>
      <c r="L64">
        <f t="shared" si="25"/>
        <v>11373825</v>
      </c>
      <c r="M64">
        <f t="shared" si="26"/>
        <v>435640</v>
      </c>
      <c r="N64">
        <f t="shared" si="27"/>
        <v>12193842</v>
      </c>
      <c r="O64">
        <f t="shared" si="28"/>
        <v>518906</v>
      </c>
      <c r="P64">
        <f t="shared" si="29"/>
        <v>13379890</v>
      </c>
      <c r="Q64">
        <f t="shared" si="30"/>
        <v>568321</v>
      </c>
      <c r="R64">
        <f t="shared" si="31"/>
        <v>14157129</v>
      </c>
      <c r="S64">
        <f t="shared" si="32"/>
        <v>622442</v>
      </c>
      <c r="T64">
        <f t="shared" si="33"/>
        <v>14979518</v>
      </c>
      <c r="U64">
        <f t="shared" si="34"/>
        <v>702704</v>
      </c>
      <c r="V64">
        <f t="shared" si="35"/>
        <v>16150825</v>
      </c>
      <c r="W64">
        <f t="shared" si="36"/>
        <v>768690</v>
      </c>
      <c r="X64">
        <f t="shared" si="37"/>
        <v>17180440</v>
      </c>
      <c r="Y64">
        <f t="shared" si="38"/>
        <v>840872</v>
      </c>
      <c r="Z64">
        <f t="shared" si="39"/>
        <v>18275694</v>
      </c>
      <c r="AA64">
        <f t="shared" si="40"/>
        <v>947767</v>
      </c>
      <c r="AB64">
        <f t="shared" si="41"/>
        <v>19845406</v>
      </c>
      <c r="AC64">
        <v>1.36</v>
      </c>
    </row>
    <row r="97" spans="1:29">
      <c r="A97" t="s">
        <v>0</v>
      </c>
      <c r="B97" t="s">
        <v>194</v>
      </c>
      <c r="C97" t="s">
        <v>195</v>
      </c>
      <c r="D97" t="s">
        <v>1</v>
      </c>
      <c r="E97" t="s">
        <v>2</v>
      </c>
      <c r="F97" t="s">
        <v>8</v>
      </c>
      <c r="G97" t="s">
        <v>196</v>
      </c>
      <c r="H97" t="s">
        <v>5</v>
      </c>
      <c r="I97" t="s">
        <v>6</v>
      </c>
      <c r="K97" t="s">
        <v>11</v>
      </c>
      <c r="L97" t="s">
        <v>11</v>
      </c>
      <c r="M97" t="s">
        <v>12</v>
      </c>
      <c r="N97" t="s">
        <v>12</v>
      </c>
      <c r="O97" t="s">
        <v>10</v>
      </c>
      <c r="P97" t="s">
        <v>10</v>
      </c>
      <c r="Q97" t="s">
        <v>13</v>
      </c>
      <c r="R97" t="s">
        <v>13</v>
      </c>
      <c r="S97" t="s">
        <v>14</v>
      </c>
      <c r="T97" t="s">
        <v>14</v>
      </c>
      <c r="U97" t="s">
        <v>9</v>
      </c>
      <c r="V97" t="s">
        <v>9</v>
      </c>
      <c r="W97" t="s">
        <v>15</v>
      </c>
      <c r="X97" t="s">
        <v>15</v>
      </c>
      <c r="Y97" t="s">
        <v>16</v>
      </c>
      <c r="Z97" t="s">
        <v>16</v>
      </c>
      <c r="AA97" t="s">
        <v>3</v>
      </c>
      <c r="AB97" t="s">
        <v>4</v>
      </c>
      <c r="AC97" t="s">
        <v>7</v>
      </c>
    </row>
    <row r="98" spans="1:29">
      <c r="A98">
        <v>30</v>
      </c>
      <c r="B98">
        <f>ROUND([1]战斗力成长!$K105,0)</f>
        <v>4122</v>
      </c>
      <c r="C98">
        <f>ROUND([1]战斗力成长!$Y105,0)</f>
        <v>27554</v>
      </c>
      <c r="D98">
        <f>ROUND([1]战斗力成长!$AY105,0)</f>
        <v>6376</v>
      </c>
      <c r="E98">
        <f>ROUND([1]战斗力成长!$Y105,0)</f>
        <v>27554</v>
      </c>
      <c r="F98">
        <f>ROUND([1]战斗力成长!$AR105*0.4+[1]战斗力成长!$AS105,0)</f>
        <v>348</v>
      </c>
      <c r="G98">
        <v>10</v>
      </c>
      <c r="H98">
        <f>ROUND(((F98+C98/G98)/2)*MIN(AC98,1),0)</f>
        <v>1241</v>
      </c>
      <c r="I98">
        <f>ROUND(G98*MIN(AC98,1)*B98,0)</f>
        <v>32976</v>
      </c>
      <c r="K98">
        <f t="shared" ref="K98:K112" si="44">ROUND(H98*(O98/H98)^0.3,0)</f>
        <v>1234</v>
      </c>
      <c r="L98">
        <f t="shared" ref="L98:L112" si="45">ROUND(I98*(P98/I98)^0.3,0)</f>
        <v>41150</v>
      </c>
      <c r="M98">
        <f t="shared" ref="M98:M112" si="46">ROUND(H98*(O98/H98)^0.6,0)</f>
        <v>1227</v>
      </c>
      <c r="N98">
        <f t="shared" ref="N98:N112" si="47">ROUND(I98*(P98/I98)^0.6,0)</f>
        <v>51351</v>
      </c>
      <c r="O98">
        <f t="shared" ref="O98:O112" si="48">ROUND(H98*0.7+AA98*0.3,0)</f>
        <v>1217</v>
      </c>
      <c r="P98">
        <f t="shared" ref="P98:P112" si="49">ROUND(I98*0.7+AB98*0.3,0)</f>
        <v>68990</v>
      </c>
      <c r="Q98">
        <f t="shared" ref="Q98:Q112" si="50">ROUND(O98*(U98/O98)^0.3,0)</f>
        <v>1209</v>
      </c>
      <c r="R98">
        <f t="shared" ref="R98:R112" si="51">ROUND(P98*(V98/P98)^0.3,0)</f>
        <v>78255</v>
      </c>
      <c r="S98">
        <f t="shared" ref="S98:S112" si="52">ROUND(O98*(U98/O98)^0.6,0)</f>
        <v>1202</v>
      </c>
      <c r="T98">
        <f t="shared" ref="T98:T112" si="53">ROUND(P98*(V98/P98)^0.6,0)</f>
        <v>88765</v>
      </c>
      <c r="U98">
        <f t="shared" ref="U98:U112" si="54">ROUND(H98*0.4+0.6*AA98,0)</f>
        <v>1192</v>
      </c>
      <c r="V98">
        <f t="shared" ref="V98:V112" si="55">ROUND(I98*0.4+0.6*AB98,0)</f>
        <v>105005</v>
      </c>
      <c r="W98">
        <f t="shared" ref="W98:W112" si="56">ROUND(U98*(AA98/U98)^0.3,0)</f>
        <v>1182</v>
      </c>
      <c r="X98">
        <f t="shared" ref="X98:X112" si="57">ROUND(V98*(AB98/V98)^0.3,0)</f>
        <v>117564</v>
      </c>
      <c r="Y98">
        <f t="shared" ref="Y98:Y112" si="58">ROUND(U98*(AA98/U98)^0.6,0)</f>
        <v>1173</v>
      </c>
      <c r="Z98">
        <f t="shared" ref="Z98:Z112" si="59">ROUND(V98*(AB98/V98)^0.6,0)</f>
        <v>131625</v>
      </c>
      <c r="AA98">
        <f t="shared" ref="AA98:AA112" si="60">ROUND(E98/25*AC98+AC98*F98,0)</f>
        <v>1160</v>
      </c>
      <c r="AB98">
        <f t="shared" ref="AB98:AB112" si="61">ROUND(D98*30*AC98,0)</f>
        <v>153024</v>
      </c>
      <c r="AC98">
        <v>0.8</v>
      </c>
    </row>
    <row r="99" spans="1:29">
      <c r="A99">
        <v>35</v>
      </c>
      <c r="B99">
        <f>ROUND([1]战斗力成长!$K106,0)</f>
        <v>7136</v>
      </c>
      <c r="C99">
        <f>ROUND([1]战斗力成长!$Y106,0)</f>
        <v>44054</v>
      </c>
      <c r="D99">
        <f>ROUND([1]战斗力成长!$AY106,0)</f>
        <v>10510</v>
      </c>
      <c r="E99">
        <f>ROUND([1]战斗力成长!$Y106,0)</f>
        <v>44054</v>
      </c>
      <c r="F99">
        <f>ROUND([1]战斗力成长!$AR106*0.4+[1]战斗力成长!$AS106,0)</f>
        <v>605</v>
      </c>
      <c r="G99">
        <v>12</v>
      </c>
      <c r="H99">
        <f t="shared" ref="H99:H112" si="62">ROUND(((F99+C99/G99)/2)*MIN(AC99,1),0)</f>
        <v>1796</v>
      </c>
      <c r="I99">
        <f t="shared" ref="I99:I112" si="63">ROUND(G99*MIN(AC99,1)*B99,0)</f>
        <v>71931</v>
      </c>
      <c r="K99">
        <f t="shared" si="44"/>
        <v>1813</v>
      </c>
      <c r="L99">
        <f t="shared" si="45"/>
        <v>85868</v>
      </c>
      <c r="M99">
        <f t="shared" si="46"/>
        <v>1831</v>
      </c>
      <c r="N99">
        <f t="shared" si="47"/>
        <v>102505</v>
      </c>
      <c r="O99">
        <f t="shared" si="48"/>
        <v>1854</v>
      </c>
      <c r="P99">
        <f t="shared" si="49"/>
        <v>129807</v>
      </c>
      <c r="Q99">
        <f t="shared" si="50"/>
        <v>1871</v>
      </c>
      <c r="R99">
        <f t="shared" si="51"/>
        <v>144990</v>
      </c>
      <c r="S99">
        <f t="shared" si="52"/>
        <v>1888</v>
      </c>
      <c r="T99">
        <f t="shared" si="53"/>
        <v>161948</v>
      </c>
      <c r="U99">
        <f t="shared" si="54"/>
        <v>1911</v>
      </c>
      <c r="V99">
        <f t="shared" si="55"/>
        <v>187684</v>
      </c>
      <c r="W99">
        <f t="shared" si="56"/>
        <v>1934</v>
      </c>
      <c r="X99">
        <f t="shared" si="57"/>
        <v>208113</v>
      </c>
      <c r="Y99">
        <f t="shared" si="58"/>
        <v>1957</v>
      </c>
      <c r="Z99">
        <f t="shared" si="59"/>
        <v>230767</v>
      </c>
      <c r="AA99">
        <f t="shared" si="60"/>
        <v>1988</v>
      </c>
      <c r="AB99">
        <f t="shared" si="61"/>
        <v>264852</v>
      </c>
      <c r="AC99">
        <v>0.84</v>
      </c>
    </row>
    <row r="100" spans="1:29">
      <c r="A100">
        <v>40</v>
      </c>
      <c r="B100">
        <f>ROUND([1]战斗力成长!$K107,0)</f>
        <v>10746</v>
      </c>
      <c r="C100">
        <f>ROUND([1]战斗力成长!$Y107,0)</f>
        <v>69057</v>
      </c>
      <c r="D100">
        <f>ROUND([1]战斗力成长!$AY107,0)</f>
        <v>15509</v>
      </c>
      <c r="E100">
        <f>ROUND([1]战斗力成长!$Y107,0)</f>
        <v>69057</v>
      </c>
      <c r="F100">
        <f>ROUND([1]战斗力成长!$AR107*0.4+[1]战斗力成长!$AS107,0)</f>
        <v>1303</v>
      </c>
      <c r="G100">
        <v>14</v>
      </c>
      <c r="H100">
        <f t="shared" si="62"/>
        <v>2744</v>
      </c>
      <c r="I100">
        <f t="shared" si="63"/>
        <v>132391</v>
      </c>
      <c r="K100">
        <f t="shared" si="44"/>
        <v>2817</v>
      </c>
      <c r="L100">
        <f t="shared" si="45"/>
        <v>153228</v>
      </c>
      <c r="M100">
        <f t="shared" si="46"/>
        <v>2891</v>
      </c>
      <c r="N100">
        <f t="shared" si="47"/>
        <v>177345</v>
      </c>
      <c r="O100">
        <f t="shared" si="48"/>
        <v>2994</v>
      </c>
      <c r="P100">
        <f t="shared" si="49"/>
        <v>215505</v>
      </c>
      <c r="Q100">
        <f t="shared" si="50"/>
        <v>3067</v>
      </c>
      <c r="R100">
        <f t="shared" si="51"/>
        <v>237660</v>
      </c>
      <c r="S100">
        <f t="shared" si="52"/>
        <v>3142</v>
      </c>
      <c r="T100">
        <f t="shared" si="53"/>
        <v>262092</v>
      </c>
      <c r="U100">
        <f t="shared" si="54"/>
        <v>3244</v>
      </c>
      <c r="V100">
        <f t="shared" si="55"/>
        <v>298619</v>
      </c>
      <c r="W100">
        <f t="shared" si="56"/>
        <v>3341</v>
      </c>
      <c r="X100">
        <f t="shared" si="57"/>
        <v>328276</v>
      </c>
      <c r="Y100">
        <f t="shared" si="58"/>
        <v>3440</v>
      </c>
      <c r="Z100">
        <f t="shared" si="59"/>
        <v>360878</v>
      </c>
      <c r="AA100">
        <f t="shared" si="60"/>
        <v>3577</v>
      </c>
      <c r="AB100">
        <f t="shared" si="61"/>
        <v>409438</v>
      </c>
      <c r="AC100">
        <v>0.88</v>
      </c>
    </row>
    <row r="101" spans="1:29">
      <c r="A101">
        <v>45</v>
      </c>
      <c r="B101">
        <f>ROUND([1]战斗力成长!$K108,0)</f>
        <v>14203</v>
      </c>
      <c r="C101">
        <f>ROUND([1]战斗力成长!$Y108,0)</f>
        <v>87163</v>
      </c>
      <c r="D101">
        <f>ROUND([1]战斗力成长!$AY108,0)</f>
        <v>20630</v>
      </c>
      <c r="E101">
        <f>ROUND([1]战斗力成长!$Y108,0)</f>
        <v>87163</v>
      </c>
      <c r="F101">
        <f>ROUND([1]战斗力成长!$AR108*0.4+[1]战斗力成长!$AS108,0)</f>
        <v>1656</v>
      </c>
      <c r="G101">
        <v>16</v>
      </c>
      <c r="H101">
        <f t="shared" si="62"/>
        <v>3268</v>
      </c>
      <c r="I101">
        <f t="shared" si="63"/>
        <v>209068</v>
      </c>
      <c r="K101">
        <f t="shared" si="44"/>
        <v>3394</v>
      </c>
      <c r="L101">
        <f t="shared" si="45"/>
        <v>236912</v>
      </c>
      <c r="M101">
        <f t="shared" si="46"/>
        <v>3525</v>
      </c>
      <c r="N101">
        <f t="shared" si="47"/>
        <v>268464</v>
      </c>
      <c r="O101">
        <f t="shared" si="48"/>
        <v>3707</v>
      </c>
      <c r="P101">
        <f t="shared" si="49"/>
        <v>317164</v>
      </c>
      <c r="Q101">
        <f t="shared" si="50"/>
        <v>3834</v>
      </c>
      <c r="R101">
        <f t="shared" si="51"/>
        <v>346334</v>
      </c>
      <c r="S101">
        <f t="shared" si="52"/>
        <v>3964</v>
      </c>
      <c r="T101">
        <f t="shared" si="53"/>
        <v>378187</v>
      </c>
      <c r="U101">
        <f t="shared" si="54"/>
        <v>4146</v>
      </c>
      <c r="V101">
        <f t="shared" si="55"/>
        <v>425260</v>
      </c>
      <c r="W101">
        <f t="shared" si="56"/>
        <v>4313</v>
      </c>
      <c r="X101">
        <f t="shared" si="57"/>
        <v>464174</v>
      </c>
      <c r="Y101">
        <f t="shared" si="58"/>
        <v>4488</v>
      </c>
      <c r="Z101">
        <f t="shared" si="59"/>
        <v>506649</v>
      </c>
      <c r="AA101">
        <f t="shared" si="60"/>
        <v>4731</v>
      </c>
      <c r="AB101">
        <f t="shared" si="61"/>
        <v>569388</v>
      </c>
      <c r="AC101">
        <v>0.92</v>
      </c>
    </row>
    <row r="102" spans="1:29">
      <c r="A102">
        <v>50</v>
      </c>
      <c r="B102">
        <f>ROUND([1]战斗力成长!$K109,0)</f>
        <v>20092</v>
      </c>
      <c r="C102">
        <f>ROUND([1]战斗力成长!$Y109,0)</f>
        <v>135885</v>
      </c>
      <c r="D102">
        <f>ROUND([1]战斗力成长!$AY109,0)</f>
        <v>28916</v>
      </c>
      <c r="E102">
        <f>ROUND([1]战斗力成长!$Y109,0)</f>
        <v>135885</v>
      </c>
      <c r="F102">
        <f>ROUND([1]战斗力成长!$AR109*0.4+[1]战斗力成长!$AS109,0)</f>
        <v>2778</v>
      </c>
      <c r="G102">
        <v>18</v>
      </c>
      <c r="H102">
        <f t="shared" si="62"/>
        <v>4957</v>
      </c>
      <c r="I102">
        <f t="shared" si="63"/>
        <v>347190</v>
      </c>
      <c r="K102">
        <f t="shared" si="44"/>
        <v>5206</v>
      </c>
      <c r="L102">
        <f t="shared" si="45"/>
        <v>385670</v>
      </c>
      <c r="M102">
        <f t="shared" si="46"/>
        <v>5467</v>
      </c>
      <c r="N102">
        <f t="shared" si="47"/>
        <v>428415</v>
      </c>
      <c r="O102">
        <f t="shared" si="48"/>
        <v>5835</v>
      </c>
      <c r="P102">
        <f t="shared" si="49"/>
        <v>492867</v>
      </c>
      <c r="Q102">
        <f t="shared" si="50"/>
        <v>6086</v>
      </c>
      <c r="R102">
        <f t="shared" si="51"/>
        <v>532682</v>
      </c>
      <c r="S102">
        <f t="shared" si="52"/>
        <v>6348</v>
      </c>
      <c r="T102">
        <f t="shared" si="53"/>
        <v>575714</v>
      </c>
      <c r="U102">
        <f t="shared" si="54"/>
        <v>6714</v>
      </c>
      <c r="V102">
        <f t="shared" si="55"/>
        <v>638545</v>
      </c>
      <c r="W102">
        <f t="shared" si="56"/>
        <v>7046</v>
      </c>
      <c r="X102">
        <f t="shared" si="57"/>
        <v>691502</v>
      </c>
      <c r="Y102">
        <f t="shared" si="58"/>
        <v>7394</v>
      </c>
      <c r="Z102">
        <f t="shared" si="59"/>
        <v>748850</v>
      </c>
      <c r="AA102">
        <f t="shared" si="60"/>
        <v>7885</v>
      </c>
      <c r="AB102">
        <f t="shared" si="61"/>
        <v>832781</v>
      </c>
      <c r="AC102">
        <v>0.96</v>
      </c>
    </row>
    <row r="103" spans="1:29">
      <c r="A103">
        <v>55</v>
      </c>
      <c r="B103">
        <f>ROUND([1]战斗力成长!$K110,0)</f>
        <v>26592</v>
      </c>
      <c r="C103">
        <f>ROUND([1]战斗力成长!$Y110,0)</f>
        <v>198731</v>
      </c>
      <c r="D103">
        <f>ROUND([1]战斗力成长!$AY110,0)</f>
        <v>38645</v>
      </c>
      <c r="E103">
        <f>ROUND([1]战斗力成长!$Y110,0)</f>
        <v>198731</v>
      </c>
      <c r="F103">
        <f>ROUND([1]战斗力成长!$AR110*0.4+[1]战斗力成长!$AS110,0)</f>
        <v>4482</v>
      </c>
      <c r="G103">
        <v>20</v>
      </c>
      <c r="H103">
        <f t="shared" si="62"/>
        <v>7209</v>
      </c>
      <c r="I103">
        <f t="shared" si="63"/>
        <v>531840</v>
      </c>
      <c r="K103">
        <f t="shared" si="44"/>
        <v>7647</v>
      </c>
      <c r="L103">
        <f t="shared" si="45"/>
        <v>582456</v>
      </c>
      <c r="M103">
        <f t="shared" si="46"/>
        <v>8112</v>
      </c>
      <c r="N103">
        <f t="shared" si="47"/>
        <v>637890</v>
      </c>
      <c r="O103">
        <f t="shared" si="48"/>
        <v>8776</v>
      </c>
      <c r="P103">
        <f t="shared" si="49"/>
        <v>720093</v>
      </c>
      <c r="Q103">
        <f t="shared" si="50"/>
        <v>9219</v>
      </c>
      <c r="R103">
        <f t="shared" si="51"/>
        <v>772054</v>
      </c>
      <c r="S103">
        <f t="shared" si="52"/>
        <v>9685</v>
      </c>
      <c r="T103">
        <f t="shared" si="53"/>
        <v>827763</v>
      </c>
      <c r="U103">
        <f t="shared" si="54"/>
        <v>10342</v>
      </c>
      <c r="V103">
        <f t="shared" si="55"/>
        <v>908346</v>
      </c>
      <c r="W103">
        <f t="shared" si="56"/>
        <v>10929</v>
      </c>
      <c r="X103">
        <f t="shared" si="57"/>
        <v>977328</v>
      </c>
      <c r="Y103">
        <f t="shared" si="58"/>
        <v>11549</v>
      </c>
      <c r="Z103">
        <f t="shared" si="59"/>
        <v>1051548</v>
      </c>
      <c r="AA103">
        <f t="shared" si="60"/>
        <v>12431</v>
      </c>
      <c r="AB103">
        <f t="shared" si="61"/>
        <v>1159350</v>
      </c>
      <c r="AC103">
        <v>1</v>
      </c>
    </row>
    <row r="104" spans="1:29">
      <c r="A104">
        <v>60</v>
      </c>
      <c r="B104">
        <f>ROUND([1]战斗力成长!$K111,0)</f>
        <v>39350</v>
      </c>
      <c r="C104">
        <f>ROUND([1]战斗力成长!$Y111,0)</f>
        <v>279383</v>
      </c>
      <c r="D104">
        <f>ROUND([1]战斗力成长!$AY111,0)</f>
        <v>55454</v>
      </c>
      <c r="E104">
        <f>ROUND([1]战斗力成长!$Y111,0)</f>
        <v>279383</v>
      </c>
      <c r="F104">
        <f>ROUND([1]战斗力成长!$AR111*0.4+[1]战斗力成长!$AS111,0)</f>
        <v>7613</v>
      </c>
      <c r="G104">
        <v>21</v>
      </c>
      <c r="H104">
        <f t="shared" si="62"/>
        <v>10458</v>
      </c>
      <c r="I104">
        <f t="shared" si="63"/>
        <v>826350</v>
      </c>
      <c r="K104">
        <f t="shared" si="44"/>
        <v>11210</v>
      </c>
      <c r="L104">
        <f t="shared" si="45"/>
        <v>899778</v>
      </c>
      <c r="M104">
        <f t="shared" si="46"/>
        <v>12017</v>
      </c>
      <c r="N104">
        <f t="shared" si="47"/>
        <v>979732</v>
      </c>
      <c r="O104">
        <f t="shared" si="48"/>
        <v>13183</v>
      </c>
      <c r="P104">
        <f t="shared" si="49"/>
        <v>1097495</v>
      </c>
      <c r="Q104">
        <f t="shared" si="50"/>
        <v>13947</v>
      </c>
      <c r="R104">
        <f t="shared" si="51"/>
        <v>1172650</v>
      </c>
      <c r="S104">
        <f t="shared" si="52"/>
        <v>14756</v>
      </c>
      <c r="T104">
        <f t="shared" si="53"/>
        <v>1252952</v>
      </c>
      <c r="U104">
        <f t="shared" si="54"/>
        <v>15907</v>
      </c>
      <c r="V104">
        <f t="shared" si="55"/>
        <v>1368639</v>
      </c>
      <c r="W104">
        <f t="shared" si="56"/>
        <v>16920</v>
      </c>
      <c r="X104">
        <f t="shared" si="57"/>
        <v>1468346</v>
      </c>
      <c r="Y104">
        <f t="shared" si="58"/>
        <v>17997</v>
      </c>
      <c r="Z104">
        <f t="shared" si="59"/>
        <v>1575317</v>
      </c>
      <c r="AA104">
        <f t="shared" si="60"/>
        <v>19540</v>
      </c>
      <c r="AB104">
        <f t="shared" si="61"/>
        <v>1730165</v>
      </c>
      <c r="AC104">
        <v>1.04</v>
      </c>
    </row>
    <row r="105" spans="1:29">
      <c r="A105">
        <v>65</v>
      </c>
      <c r="B105">
        <f>ROUND([1]战斗力成长!$K112,0)</f>
        <v>57119</v>
      </c>
      <c r="C105">
        <f>ROUND([1]战斗力成长!$Y112,0)</f>
        <v>435122</v>
      </c>
      <c r="D105">
        <f>ROUND([1]战斗力成长!$AY112,0)</f>
        <v>78715</v>
      </c>
      <c r="E105">
        <f>ROUND([1]战斗力成长!$Y112,0)</f>
        <v>435122</v>
      </c>
      <c r="F105">
        <f>ROUND([1]战斗力成长!$AR112*0.4+[1]战斗力成长!$AS112,0)</f>
        <v>13606</v>
      </c>
      <c r="G105">
        <v>22</v>
      </c>
      <c r="H105">
        <f t="shared" si="62"/>
        <v>16692</v>
      </c>
      <c r="I105">
        <f t="shared" si="63"/>
        <v>1256618</v>
      </c>
      <c r="K105">
        <f t="shared" si="44"/>
        <v>18067</v>
      </c>
      <c r="L105">
        <f t="shared" si="45"/>
        <v>1362296</v>
      </c>
      <c r="M105">
        <f t="shared" si="46"/>
        <v>19555</v>
      </c>
      <c r="N105">
        <f t="shared" si="47"/>
        <v>1476862</v>
      </c>
      <c r="O105">
        <f t="shared" si="48"/>
        <v>21732</v>
      </c>
      <c r="P105">
        <f t="shared" si="49"/>
        <v>1644742</v>
      </c>
      <c r="Q105">
        <f t="shared" si="50"/>
        <v>23135</v>
      </c>
      <c r="R105">
        <f t="shared" si="51"/>
        <v>1752674</v>
      </c>
      <c r="S105">
        <f t="shared" si="52"/>
        <v>24629</v>
      </c>
      <c r="T105">
        <f t="shared" si="53"/>
        <v>1867689</v>
      </c>
      <c r="U105">
        <f t="shared" si="54"/>
        <v>26772</v>
      </c>
      <c r="V105">
        <f t="shared" si="55"/>
        <v>2032867</v>
      </c>
      <c r="W105">
        <f t="shared" si="56"/>
        <v>28632</v>
      </c>
      <c r="X105">
        <f t="shared" si="57"/>
        <v>2175991</v>
      </c>
      <c r="Y105">
        <f t="shared" si="58"/>
        <v>30622</v>
      </c>
      <c r="Z105">
        <f t="shared" si="59"/>
        <v>2329191</v>
      </c>
      <c r="AA105">
        <f t="shared" si="60"/>
        <v>33492</v>
      </c>
      <c r="AB105">
        <f t="shared" si="61"/>
        <v>2550366</v>
      </c>
      <c r="AC105">
        <v>1.08</v>
      </c>
    </row>
    <row r="106" spans="1:29">
      <c r="A106">
        <v>70</v>
      </c>
      <c r="B106">
        <f>ROUND([1]战斗力成长!$K113,0)</f>
        <v>77714</v>
      </c>
      <c r="C106">
        <f>ROUND([1]战斗力成长!$Y113,0)</f>
        <v>616823</v>
      </c>
      <c r="D106">
        <f>ROUND([1]战斗力成长!$AY113,0)</f>
        <v>104540</v>
      </c>
      <c r="E106">
        <f>ROUND([1]战斗力成长!$Y113,0)</f>
        <v>616823</v>
      </c>
      <c r="F106">
        <f>ROUND([1]战斗力成长!$AR113*0.4+[1]战斗力成长!$AS113,0)</f>
        <v>21896</v>
      </c>
      <c r="G106">
        <v>23</v>
      </c>
      <c r="H106">
        <f t="shared" si="62"/>
        <v>24357</v>
      </c>
      <c r="I106">
        <f t="shared" si="63"/>
        <v>1787422</v>
      </c>
      <c r="K106">
        <f t="shared" si="44"/>
        <v>26607</v>
      </c>
      <c r="L106">
        <f t="shared" si="45"/>
        <v>1929114</v>
      </c>
      <c r="M106">
        <f t="shared" si="46"/>
        <v>29064</v>
      </c>
      <c r="N106">
        <f t="shared" si="47"/>
        <v>2082039</v>
      </c>
      <c r="O106">
        <f t="shared" si="48"/>
        <v>32697</v>
      </c>
      <c r="P106">
        <f t="shared" si="49"/>
        <v>2304959</v>
      </c>
      <c r="Q106">
        <f t="shared" si="50"/>
        <v>35003</v>
      </c>
      <c r="R106">
        <f t="shared" si="51"/>
        <v>2449369</v>
      </c>
      <c r="S106">
        <f t="shared" si="52"/>
        <v>37472</v>
      </c>
      <c r="T106">
        <f t="shared" si="53"/>
        <v>2602826</v>
      </c>
      <c r="U106">
        <f t="shared" si="54"/>
        <v>41037</v>
      </c>
      <c r="V106">
        <f t="shared" si="55"/>
        <v>2822495</v>
      </c>
      <c r="W106">
        <f t="shared" si="56"/>
        <v>44098</v>
      </c>
      <c r="X106">
        <f t="shared" si="57"/>
        <v>3013906</v>
      </c>
      <c r="Y106">
        <f t="shared" si="58"/>
        <v>47387</v>
      </c>
      <c r="Z106">
        <f t="shared" si="59"/>
        <v>3218299</v>
      </c>
      <c r="AA106">
        <f t="shared" si="60"/>
        <v>52157</v>
      </c>
      <c r="AB106">
        <f t="shared" si="61"/>
        <v>3512544</v>
      </c>
      <c r="AC106">
        <v>1.1200000000000001</v>
      </c>
    </row>
    <row r="107" spans="1:29">
      <c r="A107">
        <v>75</v>
      </c>
      <c r="B107">
        <f>ROUND([1]战斗力成长!$K114,0)</f>
        <v>101291</v>
      </c>
      <c r="C107">
        <f>ROUND([1]战斗力成长!$Y114,0)</f>
        <v>874288</v>
      </c>
      <c r="D107">
        <f>ROUND([1]战斗力成长!$AY114,0)</f>
        <v>140056</v>
      </c>
      <c r="E107">
        <f>ROUND([1]战斗力成长!$Y114,0)</f>
        <v>874288</v>
      </c>
      <c r="F107">
        <f>ROUND([1]战斗力成长!$AR114*0.4+[1]战斗力成长!$AS114,0)</f>
        <v>35070</v>
      </c>
      <c r="G107">
        <v>24</v>
      </c>
      <c r="H107">
        <f t="shared" si="62"/>
        <v>35749</v>
      </c>
      <c r="I107">
        <f t="shared" si="63"/>
        <v>2430984</v>
      </c>
      <c r="K107">
        <f t="shared" si="44"/>
        <v>39391</v>
      </c>
      <c r="L107">
        <f t="shared" si="45"/>
        <v>2630954</v>
      </c>
      <c r="M107">
        <f t="shared" si="46"/>
        <v>43405</v>
      </c>
      <c r="N107">
        <f t="shared" si="47"/>
        <v>2847373</v>
      </c>
      <c r="O107">
        <f t="shared" si="48"/>
        <v>49399</v>
      </c>
      <c r="P107">
        <f t="shared" si="49"/>
        <v>3163874</v>
      </c>
      <c r="Q107">
        <f t="shared" si="50"/>
        <v>53150</v>
      </c>
      <c r="R107">
        <f t="shared" si="51"/>
        <v>3367942</v>
      </c>
      <c r="S107">
        <f t="shared" si="52"/>
        <v>57186</v>
      </c>
      <c r="T107">
        <f t="shared" si="53"/>
        <v>3585173</v>
      </c>
      <c r="U107">
        <f t="shared" si="54"/>
        <v>63048</v>
      </c>
      <c r="V107">
        <f t="shared" si="55"/>
        <v>3896763</v>
      </c>
      <c r="W107">
        <f t="shared" si="56"/>
        <v>68032</v>
      </c>
      <c r="X107">
        <f t="shared" si="57"/>
        <v>4167322</v>
      </c>
      <c r="Y107">
        <f t="shared" si="58"/>
        <v>73410</v>
      </c>
      <c r="Z107">
        <f t="shared" si="59"/>
        <v>4456667</v>
      </c>
      <c r="AA107">
        <f t="shared" si="60"/>
        <v>81248</v>
      </c>
      <c r="AB107">
        <f t="shared" si="61"/>
        <v>4873949</v>
      </c>
      <c r="AC107">
        <v>1.1599999999999999</v>
      </c>
    </row>
    <row r="108" spans="1:29">
      <c r="A108">
        <v>80</v>
      </c>
      <c r="B108">
        <f>ROUND([1]战斗力成长!$K115,0)</f>
        <v>129011</v>
      </c>
      <c r="C108">
        <f>ROUND([1]战斗力成长!$Y115,0)</f>
        <v>1174463</v>
      </c>
      <c r="D108">
        <f>ROUND([1]战斗力成长!$AY115,0)</f>
        <v>180977</v>
      </c>
      <c r="E108">
        <f>ROUND([1]战斗力成长!$Y115,0)</f>
        <v>1174463</v>
      </c>
      <c r="F108">
        <f>ROUND([1]战斗力成长!$AR115*0.4+[1]战斗力成长!$AS115,0)</f>
        <v>53562</v>
      </c>
      <c r="G108">
        <v>25</v>
      </c>
      <c r="H108">
        <f t="shared" si="62"/>
        <v>50270</v>
      </c>
      <c r="I108">
        <f t="shared" si="63"/>
        <v>3225275</v>
      </c>
      <c r="K108">
        <f t="shared" si="44"/>
        <v>55847</v>
      </c>
      <c r="L108">
        <f t="shared" si="45"/>
        <v>3494224</v>
      </c>
      <c r="M108">
        <f t="shared" si="46"/>
        <v>62042</v>
      </c>
      <c r="N108">
        <f t="shared" si="47"/>
        <v>3785601</v>
      </c>
      <c r="O108">
        <f t="shared" si="48"/>
        <v>71384</v>
      </c>
      <c r="P108">
        <f t="shared" si="49"/>
        <v>4212244</v>
      </c>
      <c r="Q108">
        <f t="shared" si="50"/>
        <v>77154</v>
      </c>
      <c r="R108">
        <f t="shared" si="51"/>
        <v>4486842</v>
      </c>
      <c r="S108">
        <f t="shared" si="52"/>
        <v>83391</v>
      </c>
      <c r="T108">
        <f t="shared" si="53"/>
        <v>4779341</v>
      </c>
      <c r="U108">
        <f t="shared" si="54"/>
        <v>92497</v>
      </c>
      <c r="V108">
        <f t="shared" si="55"/>
        <v>5199213</v>
      </c>
      <c r="W108">
        <f t="shared" si="56"/>
        <v>100172</v>
      </c>
      <c r="X108">
        <f t="shared" si="57"/>
        <v>5563321</v>
      </c>
      <c r="Y108">
        <f t="shared" si="58"/>
        <v>108484</v>
      </c>
      <c r="Z108">
        <f t="shared" si="59"/>
        <v>5952927</v>
      </c>
      <c r="AA108">
        <f t="shared" si="60"/>
        <v>120649</v>
      </c>
      <c r="AB108">
        <f t="shared" si="61"/>
        <v>6515172</v>
      </c>
      <c r="AC108">
        <v>1.2</v>
      </c>
    </row>
    <row r="109" spans="1:29">
      <c r="A109">
        <v>85</v>
      </c>
      <c r="B109">
        <f>ROUND([1]战斗力成长!$K116,0)</f>
        <v>162359</v>
      </c>
      <c r="C109">
        <f>ROUND([1]战斗力成长!$Y116,0)</f>
        <v>1590914</v>
      </c>
      <c r="D109">
        <f>ROUND([1]战斗力成长!$AY116,0)</f>
        <v>227257</v>
      </c>
      <c r="E109">
        <f>ROUND([1]战斗力成长!$Y116,0)</f>
        <v>1590914</v>
      </c>
      <c r="F109">
        <f>ROUND([1]战斗力成长!$AR116+[1]战斗力成长!$AS116,0)</f>
        <v>147096</v>
      </c>
      <c r="G109">
        <v>26</v>
      </c>
      <c r="H109">
        <f t="shared" si="62"/>
        <v>104143</v>
      </c>
      <c r="I109">
        <f t="shared" si="63"/>
        <v>4221334</v>
      </c>
      <c r="K109">
        <f t="shared" si="44"/>
        <v>116489</v>
      </c>
      <c r="L109">
        <f t="shared" si="45"/>
        <v>4567864</v>
      </c>
      <c r="M109">
        <f t="shared" si="46"/>
        <v>130300</v>
      </c>
      <c r="N109">
        <f t="shared" si="47"/>
        <v>4942840</v>
      </c>
      <c r="O109">
        <f t="shared" si="48"/>
        <v>151293</v>
      </c>
      <c r="P109">
        <f t="shared" si="49"/>
        <v>5491122</v>
      </c>
      <c r="Q109">
        <f t="shared" si="50"/>
        <v>164121</v>
      </c>
      <c r="R109">
        <f t="shared" si="51"/>
        <v>5844728</v>
      </c>
      <c r="S109">
        <f t="shared" si="52"/>
        <v>178036</v>
      </c>
      <c r="T109">
        <f t="shared" si="53"/>
        <v>6221105</v>
      </c>
      <c r="U109">
        <f t="shared" si="54"/>
        <v>198442</v>
      </c>
      <c r="V109">
        <f t="shared" si="55"/>
        <v>6760910</v>
      </c>
      <c r="W109">
        <f t="shared" si="56"/>
        <v>215521</v>
      </c>
      <c r="X109">
        <f t="shared" si="57"/>
        <v>7229723</v>
      </c>
      <c r="Y109">
        <f t="shared" si="58"/>
        <v>234070</v>
      </c>
      <c r="Z109">
        <f t="shared" si="59"/>
        <v>7731045</v>
      </c>
      <c r="AA109">
        <f t="shared" si="60"/>
        <v>261308</v>
      </c>
      <c r="AB109">
        <f t="shared" si="61"/>
        <v>8453960</v>
      </c>
      <c r="AC109">
        <v>1.24</v>
      </c>
    </row>
    <row r="110" spans="1:29">
      <c r="A110">
        <v>90</v>
      </c>
      <c r="B110">
        <f>ROUND([1]战斗力成长!$K117,0)</f>
        <v>197910</v>
      </c>
      <c r="C110">
        <f>ROUND([1]战斗力成长!$Y117,0)</f>
        <v>2084630</v>
      </c>
      <c r="D110">
        <f>ROUND([1]战斗力成长!$AY117,0)</f>
        <v>278182</v>
      </c>
      <c r="E110">
        <f>ROUND([1]战斗力成长!$Y117,0)</f>
        <v>2084630</v>
      </c>
      <c r="F110">
        <f>ROUND([1]战斗力成长!$AR117+[1]战斗力成长!$AS117,0)</f>
        <v>201098</v>
      </c>
      <c r="G110">
        <v>27</v>
      </c>
      <c r="H110">
        <f t="shared" si="62"/>
        <v>139153</v>
      </c>
      <c r="I110">
        <f t="shared" si="63"/>
        <v>5343570</v>
      </c>
      <c r="K110">
        <f t="shared" si="44"/>
        <v>156680</v>
      </c>
      <c r="L110">
        <f t="shared" si="45"/>
        <v>5780783</v>
      </c>
      <c r="M110">
        <f t="shared" si="46"/>
        <v>176416</v>
      </c>
      <c r="N110">
        <f t="shared" si="47"/>
        <v>6253769</v>
      </c>
      <c r="O110">
        <f t="shared" si="48"/>
        <v>206649</v>
      </c>
      <c r="P110">
        <f t="shared" si="49"/>
        <v>6945156</v>
      </c>
      <c r="Q110">
        <f t="shared" si="50"/>
        <v>224935</v>
      </c>
      <c r="R110">
        <f t="shared" si="51"/>
        <v>7391244</v>
      </c>
      <c r="S110">
        <f t="shared" si="52"/>
        <v>244839</v>
      </c>
      <c r="T110">
        <f t="shared" si="53"/>
        <v>7865985</v>
      </c>
      <c r="U110">
        <f t="shared" si="54"/>
        <v>274144</v>
      </c>
      <c r="V110">
        <f t="shared" si="55"/>
        <v>8546741</v>
      </c>
      <c r="W110">
        <f t="shared" si="56"/>
        <v>298514</v>
      </c>
      <c r="X110">
        <f t="shared" si="57"/>
        <v>9138154</v>
      </c>
      <c r="Y110">
        <f t="shared" si="58"/>
        <v>325051</v>
      </c>
      <c r="Z110">
        <f t="shared" si="59"/>
        <v>9770491</v>
      </c>
      <c r="AA110">
        <f t="shared" si="60"/>
        <v>364138</v>
      </c>
      <c r="AB110">
        <f t="shared" si="61"/>
        <v>10682189</v>
      </c>
      <c r="AC110">
        <v>1.28</v>
      </c>
    </row>
    <row r="111" spans="1:29">
      <c r="A111">
        <v>95</v>
      </c>
      <c r="B111">
        <f>ROUND([1]战斗力成长!$K118,0)</f>
        <v>239245</v>
      </c>
      <c r="C111">
        <f>ROUND([1]战斗力成长!$Y118,0)</f>
        <v>2686960</v>
      </c>
      <c r="D111">
        <f>ROUND([1]战斗力成长!$AY118,0)</f>
        <v>334629</v>
      </c>
      <c r="E111">
        <f>ROUND([1]战斗力成长!$Y118,0)</f>
        <v>2686960</v>
      </c>
      <c r="F111">
        <f>ROUND([1]战斗力成长!$AR118+[1]战斗力成长!$AS118,0)</f>
        <v>275926</v>
      </c>
      <c r="G111">
        <v>28</v>
      </c>
      <c r="H111">
        <f t="shared" si="62"/>
        <v>185944</v>
      </c>
      <c r="I111">
        <f t="shared" si="63"/>
        <v>6698860</v>
      </c>
      <c r="K111">
        <f t="shared" si="44"/>
        <v>210687</v>
      </c>
      <c r="L111">
        <f t="shared" si="45"/>
        <v>7236442</v>
      </c>
      <c r="M111">
        <f t="shared" si="46"/>
        <v>238722</v>
      </c>
      <c r="N111">
        <f t="shared" si="47"/>
        <v>7817165</v>
      </c>
      <c r="O111">
        <f t="shared" si="48"/>
        <v>281989</v>
      </c>
      <c r="P111">
        <f t="shared" si="49"/>
        <v>8664594</v>
      </c>
      <c r="Q111">
        <f t="shared" si="50"/>
        <v>307909</v>
      </c>
      <c r="R111">
        <f t="shared" si="51"/>
        <v>9212718</v>
      </c>
      <c r="S111">
        <f t="shared" si="52"/>
        <v>336211</v>
      </c>
      <c r="T111">
        <f t="shared" si="53"/>
        <v>9795516</v>
      </c>
      <c r="U111">
        <f t="shared" si="54"/>
        <v>378034</v>
      </c>
      <c r="V111">
        <f t="shared" si="55"/>
        <v>10630329</v>
      </c>
      <c r="W111">
        <f t="shared" si="56"/>
        <v>412611</v>
      </c>
      <c r="X111">
        <f t="shared" si="57"/>
        <v>11356914</v>
      </c>
      <c r="Y111">
        <f t="shared" si="58"/>
        <v>450351</v>
      </c>
      <c r="Z111">
        <f t="shared" si="59"/>
        <v>12133160</v>
      </c>
      <c r="AA111">
        <f t="shared" si="60"/>
        <v>506094</v>
      </c>
      <c r="AB111">
        <f t="shared" si="61"/>
        <v>13251308</v>
      </c>
      <c r="AC111">
        <v>1.32</v>
      </c>
    </row>
    <row r="112" spans="1:29">
      <c r="A112">
        <v>100</v>
      </c>
      <c r="B112">
        <f>ROUND([1]战斗力成长!$K119,0)</f>
        <v>287013</v>
      </c>
      <c r="C112">
        <f>ROUND([1]战斗力成长!$Y119,0)</f>
        <v>3479404</v>
      </c>
      <c r="D112">
        <f>ROUND([1]战斗力成长!$AY119,0)</f>
        <v>403418</v>
      </c>
      <c r="E112">
        <f>ROUND([1]战斗力成长!$Y119,0)</f>
        <v>3479404</v>
      </c>
      <c r="F112">
        <f>ROUND([1]战斗力成长!$AR119+[1]战斗力成长!$AS119,0)</f>
        <v>385662</v>
      </c>
      <c r="G112">
        <v>29</v>
      </c>
      <c r="H112">
        <f t="shared" si="62"/>
        <v>252821</v>
      </c>
      <c r="I112">
        <f t="shared" si="63"/>
        <v>8323377</v>
      </c>
      <c r="K112">
        <f t="shared" si="44"/>
        <v>288176</v>
      </c>
      <c r="L112">
        <f t="shared" si="45"/>
        <v>8990922</v>
      </c>
      <c r="M112">
        <f t="shared" si="46"/>
        <v>328476</v>
      </c>
      <c r="N112">
        <f t="shared" si="47"/>
        <v>9712005</v>
      </c>
      <c r="O112">
        <f t="shared" si="48"/>
        <v>391109</v>
      </c>
      <c r="P112">
        <f t="shared" si="49"/>
        <v>10764200</v>
      </c>
      <c r="Q112">
        <f t="shared" si="50"/>
        <v>428295</v>
      </c>
      <c r="R112">
        <f t="shared" si="51"/>
        <v>11444820</v>
      </c>
      <c r="S112">
        <f t="shared" si="52"/>
        <v>469016</v>
      </c>
      <c r="T112">
        <f t="shared" si="53"/>
        <v>12168476</v>
      </c>
      <c r="U112">
        <f t="shared" si="54"/>
        <v>529396</v>
      </c>
      <c r="V112">
        <f t="shared" si="55"/>
        <v>13205023</v>
      </c>
      <c r="W112">
        <f t="shared" si="56"/>
        <v>579050</v>
      </c>
      <c r="X112">
        <f t="shared" si="57"/>
        <v>14107240</v>
      </c>
      <c r="Y112">
        <f t="shared" si="58"/>
        <v>633360</v>
      </c>
      <c r="Z112">
        <f t="shared" si="59"/>
        <v>15071099</v>
      </c>
      <c r="AA112">
        <f t="shared" si="60"/>
        <v>713780</v>
      </c>
      <c r="AB112">
        <f t="shared" si="61"/>
        <v>16459454</v>
      </c>
      <c r="AC112">
        <v>1.36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135"/>
  <sheetViews>
    <sheetView workbookViewId="0">
      <selection activeCell="H125" sqref="H125"/>
    </sheetView>
  </sheetViews>
  <sheetFormatPr defaultRowHeight="13.5"/>
  <cols>
    <col min="8" max="8" width="9.5" bestFit="1" customWidth="1"/>
  </cols>
  <sheetData>
    <row r="1" spans="1:8">
      <c r="A1">
        <v>1</v>
      </c>
      <c r="B1">
        <f>INDEX(Sheet1!$K$2:$AC$16,战士难度!F1,战士难度!D1)</f>
        <v>2549</v>
      </c>
      <c r="C1">
        <f>INDEX(Sheet1!$K$2:$AC$16,战士难度!F1,战士难度!E1)</f>
        <v>32012</v>
      </c>
      <c r="D1">
        <f>E1-1</f>
        <v>1</v>
      </c>
      <c r="E1">
        <v>2</v>
      </c>
      <c r="F1">
        <v>1</v>
      </c>
      <c r="H1">
        <f>B1*C1</f>
        <v>81598588</v>
      </c>
    </row>
    <row r="2" spans="1:8">
      <c r="A2">
        <f>A1+1</f>
        <v>2</v>
      </c>
      <c r="B2">
        <f>INDEX(Sheet1!$K$2:$AC$16,战士难度!F2,战士难度!D2)</f>
        <v>2700</v>
      </c>
      <c r="C2">
        <f>INDEX(Sheet1!$K$2:$AC$16,战士难度!F2,战士难度!E2)</f>
        <v>39572</v>
      </c>
      <c r="D2">
        <f t="shared" ref="D2:D7" si="0">E2-1</f>
        <v>3</v>
      </c>
      <c r="E2">
        <v>4</v>
      </c>
      <c r="F2">
        <v>1</v>
      </c>
      <c r="H2">
        <f t="shared" ref="H2:H65" si="1">B2*C2</f>
        <v>106844400</v>
      </c>
    </row>
    <row r="3" spans="1:8">
      <c r="A3">
        <f t="shared" ref="A3:A66" si="2">A2+1</f>
        <v>3</v>
      </c>
      <c r="B3">
        <f>INDEX(Sheet1!$K$2:$AC$16,战士难度!F3,战士难度!D3)</f>
        <v>2915</v>
      </c>
      <c r="C3">
        <f>INDEX(Sheet1!$K$2:$AC$16,战士难度!F3,战士难度!E3)</f>
        <v>52500</v>
      </c>
      <c r="D3">
        <f t="shared" si="0"/>
        <v>5</v>
      </c>
      <c r="E3">
        <v>6</v>
      </c>
      <c r="F3">
        <v>1</v>
      </c>
      <c r="H3">
        <f t="shared" si="1"/>
        <v>153037500</v>
      </c>
    </row>
    <row r="4" spans="1:8">
      <c r="A4">
        <f t="shared" si="2"/>
        <v>4</v>
      </c>
      <c r="B4">
        <f>INDEX(Sheet1!$K$2:$AC$16,战士难度!F4,战士难度!D4)</f>
        <v>3059</v>
      </c>
      <c r="C4">
        <f>INDEX(Sheet1!$K$2:$AC$16,战士难度!F4,战士难度!E4)</f>
        <v>59371</v>
      </c>
      <c r="D4">
        <f t="shared" si="0"/>
        <v>7</v>
      </c>
      <c r="E4">
        <v>8</v>
      </c>
      <c r="F4">
        <v>1</v>
      </c>
      <c r="H4">
        <f t="shared" si="1"/>
        <v>181615889</v>
      </c>
    </row>
    <row r="5" spans="1:8">
      <c r="A5">
        <f t="shared" si="2"/>
        <v>5</v>
      </c>
      <c r="B5">
        <f>INDEX(Sheet1!$K$2:$AC$16,战士难度!F5,战士难度!D5)</f>
        <v>3210</v>
      </c>
      <c r="C5">
        <f>INDEX(Sheet1!$K$2:$AC$16,战士难度!F5,战士难度!E5)</f>
        <v>67140</v>
      </c>
      <c r="D5">
        <f t="shared" si="0"/>
        <v>9</v>
      </c>
      <c r="E5">
        <v>10</v>
      </c>
      <c r="F5">
        <v>1</v>
      </c>
      <c r="H5">
        <f t="shared" si="1"/>
        <v>215519400</v>
      </c>
    </row>
    <row r="6" spans="1:8">
      <c r="A6">
        <f t="shared" si="2"/>
        <v>6</v>
      </c>
      <c r="B6">
        <f>INDEX(Sheet1!$K$2:$AC$16,战士难度!F6,战士难度!D6)</f>
        <v>3423</v>
      </c>
      <c r="C6">
        <f>INDEX(Sheet1!$K$2:$AC$16,战士难度!F6,战士难度!E6)</f>
        <v>79104</v>
      </c>
      <c r="D6">
        <f t="shared" si="0"/>
        <v>11</v>
      </c>
      <c r="E6">
        <v>12</v>
      </c>
      <c r="F6">
        <v>1</v>
      </c>
      <c r="H6">
        <f t="shared" si="1"/>
        <v>270772992</v>
      </c>
    </row>
    <row r="7" spans="1:8">
      <c r="A7">
        <f t="shared" si="2"/>
        <v>7</v>
      </c>
      <c r="B7">
        <f>INDEX(Sheet1!$K$2:$AC$16,战士难度!F7,战士难度!D7)</f>
        <v>3614</v>
      </c>
      <c r="C7">
        <f>INDEX(Sheet1!$K$2:$AC$16,战士难度!F7,战士难度!E7)</f>
        <v>88403</v>
      </c>
      <c r="D7">
        <f t="shared" si="0"/>
        <v>13</v>
      </c>
      <c r="E7">
        <v>14</v>
      </c>
      <c r="F7">
        <v>1</v>
      </c>
      <c r="H7">
        <f t="shared" si="1"/>
        <v>319488442</v>
      </c>
    </row>
    <row r="8" spans="1:8">
      <c r="A8">
        <f t="shared" si="2"/>
        <v>8</v>
      </c>
      <c r="B8">
        <f>INDEX(Sheet1!$K$2:$AC$16,战士难度!F8,战士难度!D8)</f>
        <v>3815</v>
      </c>
      <c r="C8">
        <f>INDEX(Sheet1!$K$2:$AC$16,战士难度!F8,战士难度!E8)</f>
        <v>98795</v>
      </c>
      <c r="D8">
        <f t="shared" ref="D8:D39" si="3">E8-1</f>
        <v>15</v>
      </c>
      <c r="E8">
        <v>16</v>
      </c>
      <c r="F8">
        <v>1</v>
      </c>
      <c r="H8">
        <f t="shared" si="1"/>
        <v>376902925</v>
      </c>
    </row>
    <row r="9" spans="1:8">
      <c r="A9">
        <f t="shared" si="2"/>
        <v>9</v>
      </c>
      <c r="B9">
        <f>INDEX(Sheet1!$K$2:$AC$16,战士难度!F9,战士难度!D9)</f>
        <v>4101</v>
      </c>
      <c r="C9">
        <f>INDEX(Sheet1!$K$2:$AC$16,战士难度!F9,战士难度!E9)</f>
        <v>114576</v>
      </c>
      <c r="D9">
        <f t="shared" si="3"/>
        <v>17</v>
      </c>
      <c r="E9">
        <v>18</v>
      </c>
      <c r="F9">
        <v>1</v>
      </c>
      <c r="H9">
        <f t="shared" si="1"/>
        <v>469876176</v>
      </c>
    </row>
    <row r="10" spans="1:8">
      <c r="A10">
        <f t="shared" si="2"/>
        <v>10</v>
      </c>
      <c r="B10">
        <f>INDEX(Sheet1!$K$2:$AC$16,战士难度!F10,战士难度!D10)</f>
        <v>3815</v>
      </c>
      <c r="C10">
        <f>INDEX(Sheet1!$K$2:$AC$16,战士难度!F10,战士难度!E10)</f>
        <v>55889</v>
      </c>
      <c r="D10">
        <f t="shared" si="3"/>
        <v>1</v>
      </c>
      <c r="E10">
        <v>2</v>
      </c>
      <c r="F10">
        <f t="shared" ref="F10:F41" si="4">F1+1</f>
        <v>2</v>
      </c>
      <c r="H10">
        <f t="shared" si="1"/>
        <v>213216535</v>
      </c>
    </row>
    <row r="11" spans="1:8">
      <c r="A11">
        <f t="shared" si="2"/>
        <v>11</v>
      </c>
      <c r="B11">
        <f>INDEX(Sheet1!$K$2:$AC$16,战士难度!F11,战士难度!D11)</f>
        <v>4191</v>
      </c>
      <c r="C11">
        <f>INDEX(Sheet1!$K$2:$AC$16,战士难度!F11,战士难度!E11)</f>
        <v>67365</v>
      </c>
      <c r="D11">
        <f t="shared" si="3"/>
        <v>3</v>
      </c>
      <c r="E11">
        <v>4</v>
      </c>
      <c r="F11">
        <f t="shared" si="4"/>
        <v>2</v>
      </c>
      <c r="H11">
        <f t="shared" si="1"/>
        <v>282326715</v>
      </c>
    </row>
    <row r="12" spans="1:8">
      <c r="A12">
        <f t="shared" si="2"/>
        <v>12</v>
      </c>
      <c r="B12">
        <f>INDEX(Sheet1!$K$2:$AC$16,战士难度!F12,战士难度!D12)</f>
        <v>4752</v>
      </c>
      <c r="C12">
        <f>INDEX(Sheet1!$K$2:$AC$16,战士难度!F12,战士难度!E12)</f>
        <v>86413</v>
      </c>
      <c r="D12">
        <f t="shared" si="3"/>
        <v>5</v>
      </c>
      <c r="E12">
        <v>6</v>
      </c>
      <c r="F12">
        <f t="shared" si="4"/>
        <v>2</v>
      </c>
      <c r="H12">
        <f t="shared" si="1"/>
        <v>410634576</v>
      </c>
    </row>
    <row r="13" spans="1:8">
      <c r="A13">
        <f t="shared" si="2"/>
        <v>13</v>
      </c>
      <c r="B13">
        <f>INDEX(Sheet1!$K$2:$AC$16,战士难度!F13,战士难度!D13)</f>
        <v>5105</v>
      </c>
      <c r="C13">
        <f>INDEX(Sheet1!$K$2:$AC$16,战士难度!F13,战士难度!E13)</f>
        <v>96870</v>
      </c>
      <c r="D13">
        <f t="shared" si="3"/>
        <v>7</v>
      </c>
      <c r="E13">
        <v>8</v>
      </c>
      <c r="F13">
        <f t="shared" si="4"/>
        <v>2</v>
      </c>
      <c r="H13">
        <f t="shared" si="1"/>
        <v>494521350</v>
      </c>
    </row>
    <row r="14" spans="1:8">
      <c r="A14">
        <f t="shared" si="2"/>
        <v>14</v>
      </c>
      <c r="B14">
        <f>INDEX(Sheet1!$K$2:$AC$16,战士难度!F14,战士难度!D14)</f>
        <v>5484</v>
      </c>
      <c r="C14">
        <f>INDEX(Sheet1!$K$2:$AC$16,战士难度!F14,战士难度!E14)</f>
        <v>108592</v>
      </c>
      <c r="D14">
        <f t="shared" si="3"/>
        <v>9</v>
      </c>
      <c r="E14">
        <v>10</v>
      </c>
      <c r="F14">
        <f t="shared" si="4"/>
        <v>2</v>
      </c>
      <c r="H14">
        <f t="shared" si="1"/>
        <v>595518528</v>
      </c>
    </row>
    <row r="15" spans="1:8">
      <c r="A15">
        <f t="shared" si="2"/>
        <v>15</v>
      </c>
      <c r="B15">
        <f>INDEX(Sheet1!$K$2:$AC$16,战士难度!F15,战士难度!D15)</f>
        <v>6033</v>
      </c>
      <c r="C15">
        <f>INDEX(Sheet1!$K$2:$AC$16,战士难度!F15,战士难度!E15)</f>
        <v>126458</v>
      </c>
      <c r="D15">
        <f t="shared" si="3"/>
        <v>11</v>
      </c>
      <c r="E15">
        <v>12</v>
      </c>
      <c r="F15">
        <f t="shared" si="4"/>
        <v>2</v>
      </c>
      <c r="H15">
        <f t="shared" si="1"/>
        <v>762921114</v>
      </c>
    </row>
    <row r="16" spans="1:8">
      <c r="A16">
        <f t="shared" si="2"/>
        <v>16</v>
      </c>
      <c r="B16">
        <f>INDEX(Sheet1!$K$2:$AC$16,战士难度!F16,战士难度!D16)</f>
        <v>6501</v>
      </c>
      <c r="C16">
        <f>INDEX(Sheet1!$K$2:$AC$16,战士难度!F16,战士难度!E16)</f>
        <v>140552</v>
      </c>
      <c r="D16">
        <f t="shared" si="3"/>
        <v>13</v>
      </c>
      <c r="E16">
        <v>14</v>
      </c>
      <c r="F16">
        <f t="shared" si="4"/>
        <v>2</v>
      </c>
      <c r="H16">
        <f t="shared" si="1"/>
        <v>913728552</v>
      </c>
    </row>
    <row r="17" spans="1:8">
      <c r="A17">
        <f t="shared" si="2"/>
        <v>17</v>
      </c>
      <c r="B17">
        <f>INDEX(Sheet1!$K$2:$AC$16,战士难度!F17,战士难度!D17)</f>
        <v>7006</v>
      </c>
      <c r="C17">
        <f>INDEX(Sheet1!$K$2:$AC$16,战士难度!F17,战士难度!E17)</f>
        <v>156217</v>
      </c>
      <c r="D17">
        <f t="shared" si="3"/>
        <v>15</v>
      </c>
      <c r="E17">
        <v>16</v>
      </c>
      <c r="F17">
        <f t="shared" si="4"/>
        <v>2</v>
      </c>
      <c r="H17">
        <f t="shared" si="1"/>
        <v>1094456302</v>
      </c>
    </row>
    <row r="18" spans="1:8">
      <c r="A18">
        <f t="shared" si="2"/>
        <v>18</v>
      </c>
      <c r="B18">
        <f>INDEX(Sheet1!$K$2:$AC$16,战士难度!F18,战士难度!D18)</f>
        <v>7740</v>
      </c>
      <c r="C18">
        <f>INDEX(Sheet1!$K$2:$AC$16,战士难度!F18,战士难度!E18)</f>
        <v>179852</v>
      </c>
      <c r="D18">
        <f t="shared" si="3"/>
        <v>17</v>
      </c>
      <c r="E18">
        <v>18</v>
      </c>
      <c r="F18">
        <f t="shared" si="4"/>
        <v>2</v>
      </c>
      <c r="H18">
        <f t="shared" si="1"/>
        <v>1392054480</v>
      </c>
    </row>
    <row r="19" spans="1:8">
      <c r="A19">
        <f t="shared" si="2"/>
        <v>19</v>
      </c>
      <c r="B19">
        <f>INDEX(Sheet1!$K$2:$AC$16,战士难度!F19,战士难度!D19)</f>
        <v>5848</v>
      </c>
      <c r="C19">
        <f>INDEX(Sheet1!$K$2:$AC$16,战士难度!F19,战士难度!E19)</f>
        <v>92599</v>
      </c>
      <c r="D19">
        <f t="shared" si="3"/>
        <v>1</v>
      </c>
      <c r="E19">
        <v>2</v>
      </c>
      <c r="F19">
        <f t="shared" si="4"/>
        <v>3</v>
      </c>
      <c r="H19">
        <f t="shared" si="1"/>
        <v>541518952</v>
      </c>
    </row>
    <row r="20" spans="1:8">
      <c r="A20">
        <f t="shared" si="2"/>
        <v>20</v>
      </c>
      <c r="B20">
        <f>INDEX(Sheet1!$K$2:$AC$16,战士难度!F20,战士难度!D20)</f>
        <v>6616</v>
      </c>
      <c r="C20">
        <f>INDEX(Sheet1!$K$2:$AC$16,战士难度!F20,战士难度!E20)</f>
        <v>108904</v>
      </c>
      <c r="D20">
        <f t="shared" si="3"/>
        <v>3</v>
      </c>
      <c r="E20">
        <v>4</v>
      </c>
      <c r="F20">
        <f t="shared" si="4"/>
        <v>3</v>
      </c>
      <c r="H20">
        <f t="shared" si="1"/>
        <v>720508864</v>
      </c>
    </row>
    <row r="21" spans="1:8">
      <c r="A21">
        <f t="shared" si="2"/>
        <v>21</v>
      </c>
      <c r="B21">
        <f>INDEX(Sheet1!$K$2:$AC$16,战士难度!F21,战士难度!D21)</f>
        <v>7800</v>
      </c>
      <c r="C21">
        <f>INDEX(Sheet1!$K$2:$AC$16,战士难度!F21,战士难度!E21)</f>
        <v>135194</v>
      </c>
      <c r="D21">
        <f t="shared" si="3"/>
        <v>5</v>
      </c>
      <c r="E21">
        <v>6</v>
      </c>
      <c r="F21">
        <f t="shared" si="4"/>
        <v>3</v>
      </c>
      <c r="H21">
        <f t="shared" si="1"/>
        <v>1054513200</v>
      </c>
    </row>
    <row r="22" spans="1:8">
      <c r="A22">
        <f t="shared" si="2"/>
        <v>22</v>
      </c>
      <c r="B22">
        <f>INDEX(Sheet1!$K$2:$AC$16,战士难度!F22,战士难度!D22)</f>
        <v>8510</v>
      </c>
      <c r="C22">
        <f>INDEX(Sheet1!$K$2:$AC$16,战士难度!F22,战士难度!E22)</f>
        <v>150115</v>
      </c>
      <c r="D22">
        <f t="shared" si="3"/>
        <v>7</v>
      </c>
      <c r="E22">
        <v>8</v>
      </c>
      <c r="F22">
        <f t="shared" si="4"/>
        <v>3</v>
      </c>
      <c r="H22">
        <f t="shared" si="1"/>
        <v>1277478650</v>
      </c>
    </row>
    <row r="23" spans="1:8">
      <c r="A23">
        <f t="shared" si="2"/>
        <v>23</v>
      </c>
      <c r="B23">
        <f>INDEX(Sheet1!$K$2:$AC$16,战士难度!F23,战士难度!D23)</f>
        <v>9286</v>
      </c>
      <c r="C23">
        <f>INDEX(Sheet1!$K$2:$AC$16,战士难度!F23,战士难度!E23)</f>
        <v>166683</v>
      </c>
      <c r="D23">
        <f t="shared" si="3"/>
        <v>9</v>
      </c>
      <c r="E23">
        <v>10</v>
      </c>
      <c r="F23">
        <f t="shared" si="4"/>
        <v>3</v>
      </c>
      <c r="H23">
        <f t="shared" si="1"/>
        <v>1547818338</v>
      </c>
    </row>
    <row r="24" spans="1:8">
      <c r="A24">
        <f t="shared" si="2"/>
        <v>24</v>
      </c>
      <c r="B24">
        <f>INDEX(Sheet1!$K$2:$AC$16,战士难度!F24,战士难度!D24)</f>
        <v>10430</v>
      </c>
      <c r="C24">
        <f>INDEX(Sheet1!$K$2:$AC$16,战士难度!F24,战士难度!E24)</f>
        <v>191652</v>
      </c>
      <c r="D24">
        <f t="shared" si="3"/>
        <v>11</v>
      </c>
      <c r="E24">
        <v>12</v>
      </c>
      <c r="F24">
        <f t="shared" si="4"/>
        <v>3</v>
      </c>
      <c r="H24">
        <f t="shared" si="1"/>
        <v>1998930360</v>
      </c>
    </row>
    <row r="25" spans="1:8">
      <c r="A25">
        <f t="shared" si="2"/>
        <v>25</v>
      </c>
      <c r="B25">
        <f>INDEX(Sheet1!$K$2:$AC$16,战士难度!F25,战士难度!D25)</f>
        <v>11378</v>
      </c>
      <c r="C25">
        <f>INDEX(Sheet1!$K$2:$AC$16,战士难度!F25,战士难度!E25)</f>
        <v>211679</v>
      </c>
      <c r="D25">
        <f t="shared" si="3"/>
        <v>13</v>
      </c>
      <c r="E25">
        <v>14</v>
      </c>
      <c r="F25">
        <f t="shared" si="4"/>
        <v>3</v>
      </c>
      <c r="H25">
        <f t="shared" si="1"/>
        <v>2408483662</v>
      </c>
    </row>
    <row r="26" spans="1:8">
      <c r="A26">
        <f t="shared" si="2"/>
        <v>26</v>
      </c>
      <c r="B26">
        <f>INDEX(Sheet1!$K$2:$AC$16,战士难度!F26,战士难度!D26)</f>
        <v>12412</v>
      </c>
      <c r="C26">
        <f>INDEX(Sheet1!$K$2:$AC$16,战士难度!F26,战士难度!E26)</f>
        <v>233800</v>
      </c>
      <c r="D26">
        <f t="shared" si="3"/>
        <v>15</v>
      </c>
      <c r="E26">
        <v>16</v>
      </c>
      <c r="F26">
        <f t="shared" si="4"/>
        <v>3</v>
      </c>
      <c r="H26">
        <f t="shared" si="1"/>
        <v>2901925600</v>
      </c>
    </row>
    <row r="27" spans="1:8">
      <c r="A27">
        <f t="shared" si="2"/>
        <v>27</v>
      </c>
      <c r="B27">
        <f>INDEX(Sheet1!$K$2:$AC$16,战士难度!F27,战士难度!D27)</f>
        <v>13938</v>
      </c>
      <c r="C27">
        <f>INDEX(Sheet1!$K$2:$AC$16,战士难度!F27,战士难度!E27)</f>
        <v>266930</v>
      </c>
      <c r="D27">
        <f t="shared" si="3"/>
        <v>17</v>
      </c>
      <c r="E27">
        <v>18</v>
      </c>
      <c r="F27">
        <f t="shared" si="4"/>
        <v>3</v>
      </c>
      <c r="H27">
        <f t="shared" si="1"/>
        <v>3720470340</v>
      </c>
    </row>
    <row r="28" spans="1:8">
      <c r="A28">
        <f t="shared" si="2"/>
        <v>28</v>
      </c>
      <c r="B28">
        <f>INDEX(Sheet1!$K$2:$AC$16,战士难度!F28,战士难度!D28)</f>
        <v>7425</v>
      </c>
      <c r="C28">
        <f>INDEX(Sheet1!$K$2:$AC$16,战士难度!F28,战士难度!E28)</f>
        <v>136233</v>
      </c>
      <c r="D28">
        <f t="shared" si="3"/>
        <v>1</v>
      </c>
      <c r="E28">
        <v>2</v>
      </c>
      <c r="F28">
        <f t="shared" si="4"/>
        <v>4</v>
      </c>
      <c r="H28">
        <f t="shared" si="1"/>
        <v>1011530025</v>
      </c>
    </row>
    <row r="29" spans="1:8">
      <c r="A29">
        <f t="shared" si="2"/>
        <v>29</v>
      </c>
      <c r="B29">
        <f>INDEX(Sheet1!$K$2:$AC$16,战士难度!F29,战士难度!D29)</f>
        <v>8700</v>
      </c>
      <c r="C29">
        <f>INDEX(Sheet1!$K$2:$AC$16,战士难度!F29,战士难度!E29)</f>
        <v>158796</v>
      </c>
      <c r="D29">
        <f t="shared" si="3"/>
        <v>3</v>
      </c>
      <c r="E29">
        <v>4</v>
      </c>
      <c r="F29">
        <f t="shared" si="4"/>
        <v>4</v>
      </c>
      <c r="H29">
        <f t="shared" si="1"/>
        <v>1381525200</v>
      </c>
    </row>
    <row r="30" spans="1:8">
      <c r="A30">
        <f t="shared" si="2"/>
        <v>30</v>
      </c>
      <c r="B30">
        <f>INDEX(Sheet1!$K$2:$AC$16,战士难度!F30,战士难度!D30)</f>
        <v>10748</v>
      </c>
      <c r="C30">
        <f>INDEX(Sheet1!$K$2:$AC$16,战士难度!F30,战士难度!E30)</f>
        <v>194795</v>
      </c>
      <c r="D30">
        <f t="shared" si="3"/>
        <v>5</v>
      </c>
      <c r="E30">
        <v>6</v>
      </c>
      <c r="F30">
        <f t="shared" si="4"/>
        <v>4</v>
      </c>
      <c r="H30">
        <f t="shared" si="1"/>
        <v>2093656660</v>
      </c>
    </row>
    <row r="31" spans="1:8">
      <c r="A31">
        <f t="shared" si="2"/>
        <v>31</v>
      </c>
      <c r="B31">
        <f>INDEX(Sheet1!$K$2:$AC$16,战士难度!F31,战士难度!D31)</f>
        <v>11916</v>
      </c>
      <c r="C31">
        <f>INDEX(Sheet1!$K$2:$AC$16,战士难度!F31,战士难度!E31)</f>
        <v>215484</v>
      </c>
      <c r="D31">
        <f t="shared" si="3"/>
        <v>7</v>
      </c>
      <c r="E31">
        <v>8</v>
      </c>
      <c r="F31">
        <f t="shared" si="4"/>
        <v>4</v>
      </c>
      <c r="H31">
        <f t="shared" si="1"/>
        <v>2567707344</v>
      </c>
    </row>
    <row r="32" spans="1:8">
      <c r="A32">
        <f t="shared" si="2"/>
        <v>32</v>
      </c>
      <c r="B32">
        <f>INDEX(Sheet1!$K$2:$AC$16,战士难度!F32,战士难度!D32)</f>
        <v>13211</v>
      </c>
      <c r="C32">
        <f>INDEX(Sheet1!$K$2:$AC$16,战士难度!F32,战士难度!E32)</f>
        <v>238371</v>
      </c>
      <c r="D32">
        <f t="shared" si="3"/>
        <v>9</v>
      </c>
      <c r="E32">
        <v>10</v>
      </c>
      <c r="F32">
        <f t="shared" si="4"/>
        <v>4</v>
      </c>
      <c r="H32">
        <f t="shared" si="1"/>
        <v>3149119281</v>
      </c>
    </row>
    <row r="33" spans="1:8">
      <c r="A33">
        <f t="shared" si="2"/>
        <v>33</v>
      </c>
      <c r="B33">
        <f>INDEX(Sheet1!$K$2:$AC$16,战士难度!F33,战士难度!D33)</f>
        <v>15159</v>
      </c>
      <c r="C33">
        <f>INDEX(Sheet1!$K$2:$AC$16,战士难度!F33,战士难度!E33)</f>
        <v>272712</v>
      </c>
      <c r="D33">
        <f t="shared" si="3"/>
        <v>11</v>
      </c>
      <c r="E33">
        <v>12</v>
      </c>
      <c r="F33">
        <f t="shared" si="4"/>
        <v>4</v>
      </c>
      <c r="H33">
        <f t="shared" si="1"/>
        <v>4134041208</v>
      </c>
    </row>
    <row r="34" spans="1:8">
      <c r="A34">
        <f t="shared" si="2"/>
        <v>34</v>
      </c>
      <c r="B34">
        <f>INDEX(Sheet1!$K$2:$AC$16,战士难度!F34,战士难度!D34)</f>
        <v>16726</v>
      </c>
      <c r="C34">
        <f>INDEX(Sheet1!$K$2:$AC$16,战士难度!F34,战士难度!E34)</f>
        <v>300440</v>
      </c>
      <c r="D34">
        <f t="shared" si="3"/>
        <v>13</v>
      </c>
      <c r="E34">
        <v>14</v>
      </c>
      <c r="F34">
        <f t="shared" si="4"/>
        <v>4</v>
      </c>
      <c r="H34">
        <f t="shared" si="1"/>
        <v>5025159440</v>
      </c>
    </row>
    <row r="35" spans="1:8">
      <c r="A35">
        <f t="shared" si="2"/>
        <v>35</v>
      </c>
      <c r="B35">
        <f>INDEX(Sheet1!$K$2:$AC$16,战士难度!F35,战士难度!D35)</f>
        <v>18455</v>
      </c>
      <c r="C35">
        <f>INDEX(Sheet1!$K$2:$AC$16,战士难度!F35,战士难度!E35)</f>
        <v>330987</v>
      </c>
      <c r="D35">
        <f t="shared" si="3"/>
        <v>15</v>
      </c>
      <c r="E35">
        <v>16</v>
      </c>
      <c r="F35">
        <f t="shared" si="4"/>
        <v>4</v>
      </c>
      <c r="H35">
        <f t="shared" si="1"/>
        <v>6108365085</v>
      </c>
    </row>
    <row r="36" spans="1:8">
      <c r="A36">
        <f t="shared" si="2"/>
        <v>36</v>
      </c>
      <c r="B36">
        <f>INDEX(Sheet1!$K$2:$AC$16,战士难度!F36,战士难度!D36)</f>
        <v>21041</v>
      </c>
      <c r="C36">
        <f>INDEX(Sheet1!$K$2:$AC$16,战士难度!F36,战士难度!E36)</f>
        <v>376602</v>
      </c>
      <c r="D36">
        <f t="shared" si="3"/>
        <v>17</v>
      </c>
      <c r="E36">
        <v>18</v>
      </c>
      <c r="F36">
        <f t="shared" si="4"/>
        <v>4</v>
      </c>
      <c r="H36">
        <f t="shared" si="1"/>
        <v>7924082682</v>
      </c>
    </row>
    <row r="37" spans="1:8">
      <c r="A37">
        <f t="shared" si="2"/>
        <v>37</v>
      </c>
      <c r="B37">
        <f>INDEX(Sheet1!$K$2:$AC$16,战士难度!F37,战士难度!D37)</f>
        <v>11094</v>
      </c>
      <c r="C37">
        <f>INDEX(Sheet1!$K$2:$AC$16,战士难度!F37,战士难度!E37)</f>
        <v>205857</v>
      </c>
      <c r="D37">
        <f t="shared" si="3"/>
        <v>1</v>
      </c>
      <c r="E37">
        <v>2</v>
      </c>
      <c r="F37">
        <f t="shared" si="4"/>
        <v>5</v>
      </c>
      <c r="H37">
        <f t="shared" si="1"/>
        <v>2283777558</v>
      </c>
    </row>
    <row r="38" spans="1:8">
      <c r="A38">
        <f t="shared" si="2"/>
        <v>38</v>
      </c>
      <c r="B38">
        <f>INDEX(Sheet1!$K$2:$AC$16,战士难度!F38,战士难度!D38)</f>
        <v>13320</v>
      </c>
      <c r="C38">
        <f>INDEX(Sheet1!$K$2:$AC$16,战士难度!F38,战士难度!E38)</f>
        <v>236146</v>
      </c>
      <c r="D38">
        <f t="shared" si="3"/>
        <v>3</v>
      </c>
      <c r="E38">
        <v>4</v>
      </c>
      <c r="F38">
        <f t="shared" si="4"/>
        <v>5</v>
      </c>
      <c r="H38">
        <f t="shared" si="1"/>
        <v>3145464720</v>
      </c>
    </row>
    <row r="39" spans="1:8">
      <c r="A39">
        <f t="shared" si="2"/>
        <v>39</v>
      </c>
      <c r="B39">
        <f>INDEX(Sheet1!$K$2:$AC$16,战士难度!F39,战士难度!D39)</f>
        <v>17000</v>
      </c>
      <c r="C39">
        <f>INDEX(Sheet1!$K$2:$AC$16,战士难度!F39,战士难度!E39)</f>
        <v>283574</v>
      </c>
      <c r="D39">
        <f t="shared" si="3"/>
        <v>5</v>
      </c>
      <c r="E39">
        <v>6</v>
      </c>
      <c r="F39">
        <f t="shared" si="4"/>
        <v>5</v>
      </c>
      <c r="H39">
        <f t="shared" si="1"/>
        <v>4820758000</v>
      </c>
    </row>
    <row r="40" spans="1:8">
      <c r="A40">
        <f t="shared" si="2"/>
        <v>40</v>
      </c>
      <c r="B40">
        <f>INDEX(Sheet1!$K$2:$AC$16,战士难度!F40,战士难度!D40)</f>
        <v>19030</v>
      </c>
      <c r="C40">
        <f>INDEX(Sheet1!$K$2:$AC$16,战士难度!F40,战士难度!E40)</f>
        <v>311468</v>
      </c>
      <c r="D40">
        <f t="shared" ref="D40:D65" si="5">E40-1</f>
        <v>7</v>
      </c>
      <c r="E40">
        <v>8</v>
      </c>
      <c r="F40">
        <f t="shared" si="4"/>
        <v>5</v>
      </c>
      <c r="H40">
        <f t="shared" si="1"/>
        <v>5927236040</v>
      </c>
    </row>
    <row r="41" spans="1:8">
      <c r="A41">
        <f t="shared" si="2"/>
        <v>41</v>
      </c>
      <c r="B41">
        <f>INDEX(Sheet1!$K$2:$AC$16,战士难度!F41,战士难度!D41)</f>
        <v>21304</v>
      </c>
      <c r="C41">
        <f>INDEX(Sheet1!$K$2:$AC$16,战士难度!F41,战士难度!E41)</f>
        <v>342105</v>
      </c>
      <c r="D41">
        <f t="shared" si="5"/>
        <v>9</v>
      </c>
      <c r="E41">
        <v>10</v>
      </c>
      <c r="F41">
        <f t="shared" si="4"/>
        <v>5</v>
      </c>
      <c r="H41">
        <f t="shared" si="1"/>
        <v>7288204920</v>
      </c>
    </row>
    <row r="42" spans="1:8">
      <c r="A42">
        <f t="shared" si="2"/>
        <v>42</v>
      </c>
      <c r="B42">
        <f>INDEX(Sheet1!$K$2:$AC$16,战士难度!F42,战士难度!D42)</f>
        <v>24762</v>
      </c>
      <c r="C42">
        <f>INDEX(Sheet1!$K$2:$AC$16,战士难度!F42,战士难度!E42)</f>
        <v>387694</v>
      </c>
      <c r="D42">
        <f t="shared" si="5"/>
        <v>11</v>
      </c>
      <c r="E42">
        <v>12</v>
      </c>
      <c r="F42">
        <f t="shared" ref="F42:F73" si="6">F33+1</f>
        <v>5</v>
      </c>
      <c r="H42">
        <f t="shared" si="1"/>
        <v>9600078828</v>
      </c>
    </row>
    <row r="43" spans="1:8">
      <c r="A43">
        <f t="shared" si="2"/>
        <v>43</v>
      </c>
      <c r="B43">
        <f>INDEX(Sheet1!$K$2:$AC$16,战士难度!F43,战士难度!D43)</f>
        <v>27497</v>
      </c>
      <c r="C43">
        <f>INDEX(Sheet1!$K$2:$AC$16,战士难度!F43,战士难度!E43)</f>
        <v>424979</v>
      </c>
      <c r="D43">
        <f t="shared" si="5"/>
        <v>13</v>
      </c>
      <c r="E43">
        <v>14</v>
      </c>
      <c r="F43">
        <f t="shared" si="6"/>
        <v>5</v>
      </c>
      <c r="H43">
        <f t="shared" si="1"/>
        <v>11685647563</v>
      </c>
    </row>
    <row r="44" spans="1:8">
      <c r="A44">
        <f t="shared" si="2"/>
        <v>44</v>
      </c>
      <c r="B44">
        <f>INDEX(Sheet1!$K$2:$AC$16,战士难度!F44,战士难度!D44)</f>
        <v>30533</v>
      </c>
      <c r="C44">
        <f>INDEX(Sheet1!$K$2:$AC$16,战士难度!F44,战士难度!E44)</f>
        <v>465849</v>
      </c>
      <c r="D44">
        <f t="shared" si="5"/>
        <v>15</v>
      </c>
      <c r="E44">
        <v>16</v>
      </c>
      <c r="F44">
        <f t="shared" si="6"/>
        <v>5</v>
      </c>
      <c r="H44">
        <f t="shared" si="1"/>
        <v>14223767517</v>
      </c>
    </row>
    <row r="45" spans="1:8">
      <c r="A45">
        <f t="shared" si="2"/>
        <v>45</v>
      </c>
      <c r="B45">
        <f>INDEX(Sheet1!$K$2:$AC$16,战士难度!F45,战士难度!D45)</f>
        <v>35110</v>
      </c>
      <c r="C45">
        <f>INDEX(Sheet1!$K$2:$AC$16,战士难度!F45,战士难度!E45)</f>
        <v>526522</v>
      </c>
      <c r="D45">
        <f t="shared" si="5"/>
        <v>17</v>
      </c>
      <c r="E45">
        <v>18</v>
      </c>
      <c r="F45">
        <f t="shared" si="6"/>
        <v>5</v>
      </c>
      <c r="H45">
        <f t="shared" si="1"/>
        <v>18486187420</v>
      </c>
    </row>
    <row r="46" spans="1:8">
      <c r="A46">
        <f t="shared" si="2"/>
        <v>46</v>
      </c>
      <c r="B46">
        <f>INDEX(Sheet1!$K$2:$AC$16,战士难度!F46,战士难度!D46)</f>
        <v>16449</v>
      </c>
      <c r="C46">
        <f>INDEX(Sheet1!$K$2:$AC$16,战士难度!F46,战士难度!E46)</f>
        <v>297057</v>
      </c>
      <c r="D46">
        <f t="shared" si="5"/>
        <v>1</v>
      </c>
      <c r="E46">
        <v>2</v>
      </c>
      <c r="F46">
        <f t="shared" si="6"/>
        <v>6</v>
      </c>
      <c r="H46">
        <f t="shared" si="1"/>
        <v>4886290593</v>
      </c>
    </row>
    <row r="47" spans="1:8">
      <c r="A47">
        <f t="shared" si="2"/>
        <v>47</v>
      </c>
      <c r="B47">
        <f>INDEX(Sheet1!$K$2:$AC$16,战士难度!F47,战士难度!D47)</f>
        <v>20209</v>
      </c>
      <c r="C47">
        <f>INDEX(Sheet1!$K$2:$AC$16,战士难度!F47,战士难度!E47)</f>
        <v>336949</v>
      </c>
      <c r="D47">
        <f t="shared" si="5"/>
        <v>3</v>
      </c>
      <c r="E47">
        <v>4</v>
      </c>
      <c r="F47">
        <f t="shared" si="6"/>
        <v>6</v>
      </c>
      <c r="H47">
        <f t="shared" si="1"/>
        <v>6809402341</v>
      </c>
    </row>
    <row r="48" spans="1:8">
      <c r="A48">
        <f t="shared" si="2"/>
        <v>48</v>
      </c>
      <c r="B48">
        <f>INDEX(Sheet1!$K$2:$AC$16,战士难度!F48,战士难度!D48)</f>
        <v>26592</v>
      </c>
      <c r="C48">
        <f>INDEX(Sheet1!$K$2:$AC$16,战士难度!F48,战士难度!E48)</f>
        <v>398593</v>
      </c>
      <c r="D48">
        <f t="shared" si="5"/>
        <v>5</v>
      </c>
      <c r="E48">
        <v>6</v>
      </c>
      <c r="F48">
        <f t="shared" si="6"/>
        <v>6</v>
      </c>
      <c r="H48">
        <f t="shared" si="1"/>
        <v>10599385056</v>
      </c>
    </row>
    <row r="49" spans="1:8">
      <c r="A49">
        <f t="shared" si="2"/>
        <v>49</v>
      </c>
      <c r="B49">
        <f>INDEX(Sheet1!$K$2:$AC$16,战士难度!F49,战士难度!D49)</f>
        <v>30010</v>
      </c>
      <c r="C49">
        <f>INDEX(Sheet1!$K$2:$AC$16,战士难度!F49,战士难度!E49)</f>
        <v>435461</v>
      </c>
      <c r="D49">
        <f t="shared" si="5"/>
        <v>7</v>
      </c>
      <c r="E49">
        <v>8</v>
      </c>
      <c r="F49">
        <f t="shared" si="6"/>
        <v>6</v>
      </c>
      <c r="H49">
        <f t="shared" si="1"/>
        <v>13068184610</v>
      </c>
    </row>
    <row r="50" spans="1:8">
      <c r="A50">
        <f t="shared" si="2"/>
        <v>50</v>
      </c>
      <c r="B50">
        <f>INDEX(Sheet1!$K$2:$AC$16,战士难度!F50,战士难度!D50)</f>
        <v>33868</v>
      </c>
      <c r="C50">
        <f>INDEX(Sheet1!$K$2:$AC$16,战士难度!F50,战士难度!E50)</f>
        <v>475739</v>
      </c>
      <c r="D50">
        <f t="shared" si="5"/>
        <v>9</v>
      </c>
      <c r="E50">
        <v>10</v>
      </c>
      <c r="F50">
        <f t="shared" si="6"/>
        <v>6</v>
      </c>
      <c r="H50">
        <f t="shared" si="1"/>
        <v>16112328452</v>
      </c>
    </row>
    <row r="51" spans="1:8">
      <c r="A51">
        <f t="shared" si="2"/>
        <v>51</v>
      </c>
      <c r="B51">
        <f>INDEX(Sheet1!$K$2:$AC$16,战士难度!F51,战士难度!D51)</f>
        <v>39794</v>
      </c>
      <c r="C51">
        <f>INDEX(Sheet1!$K$2:$AC$16,战士难度!F51,战士难度!E51)</f>
        <v>535297</v>
      </c>
      <c r="D51">
        <f t="shared" si="5"/>
        <v>11</v>
      </c>
      <c r="E51">
        <v>12</v>
      </c>
      <c r="F51">
        <f t="shared" si="6"/>
        <v>6</v>
      </c>
      <c r="H51">
        <f t="shared" si="1"/>
        <v>21301608818</v>
      </c>
    </row>
    <row r="52" spans="1:8">
      <c r="A52">
        <f t="shared" si="2"/>
        <v>52</v>
      </c>
      <c r="B52">
        <f>INDEX(Sheet1!$K$2:$AC$16,战士难度!F52,战士难度!D52)</f>
        <v>44416</v>
      </c>
      <c r="C52">
        <f>INDEX(Sheet1!$K$2:$AC$16,战士难度!F52,战士难度!E52)</f>
        <v>584488</v>
      </c>
      <c r="D52">
        <f t="shared" si="5"/>
        <v>13</v>
      </c>
      <c r="E52">
        <v>14</v>
      </c>
      <c r="F52">
        <f t="shared" si="6"/>
        <v>6</v>
      </c>
      <c r="H52">
        <f t="shared" si="1"/>
        <v>25960619008</v>
      </c>
    </row>
    <row r="53" spans="1:8">
      <c r="A53">
        <f t="shared" si="2"/>
        <v>53</v>
      </c>
      <c r="B53">
        <f>INDEX(Sheet1!$K$2:$AC$16,战士难度!F53,战士难度!D53)</f>
        <v>49575</v>
      </c>
      <c r="C53">
        <f>INDEX(Sheet1!$K$2:$AC$16,战士难度!F53,战士难度!E53)</f>
        <v>638200</v>
      </c>
      <c r="D53">
        <f t="shared" si="5"/>
        <v>15</v>
      </c>
      <c r="E53">
        <v>16</v>
      </c>
      <c r="F53">
        <f t="shared" si="6"/>
        <v>6</v>
      </c>
      <c r="H53">
        <f t="shared" si="1"/>
        <v>31638765000</v>
      </c>
    </row>
    <row r="54" spans="1:8">
      <c r="A54">
        <f t="shared" si="2"/>
        <v>54</v>
      </c>
      <c r="B54">
        <f>INDEX(Sheet1!$K$2:$AC$16,战士难度!F54,战士难度!D54)</f>
        <v>57398</v>
      </c>
      <c r="C54">
        <f>INDEX(Sheet1!$K$2:$AC$16,战士难度!F54,战士难度!E54)</f>
        <v>717570</v>
      </c>
      <c r="D54">
        <f t="shared" si="5"/>
        <v>17</v>
      </c>
      <c r="E54">
        <v>18</v>
      </c>
      <c r="F54">
        <f t="shared" si="6"/>
        <v>6</v>
      </c>
      <c r="H54">
        <f t="shared" si="1"/>
        <v>41187082860</v>
      </c>
    </row>
    <row r="55" spans="1:8">
      <c r="A55">
        <f t="shared" si="2"/>
        <v>55</v>
      </c>
      <c r="B55">
        <f>INDEX(Sheet1!$K$2:$AC$16,战士难度!F55,战士难度!D55)</f>
        <v>24306</v>
      </c>
      <c r="C55">
        <f>INDEX(Sheet1!$K$2:$AC$16,战士难度!F55,战士难度!E55)</f>
        <v>441390</v>
      </c>
      <c r="D55">
        <f t="shared" si="5"/>
        <v>1</v>
      </c>
      <c r="E55">
        <v>2</v>
      </c>
      <c r="F55">
        <f t="shared" si="6"/>
        <v>7</v>
      </c>
      <c r="H55">
        <f t="shared" si="1"/>
        <v>10728425340</v>
      </c>
    </row>
    <row r="56" spans="1:8">
      <c r="A56">
        <f t="shared" si="2"/>
        <v>56</v>
      </c>
      <c r="B56">
        <f>INDEX(Sheet1!$K$2:$AC$16,战士难度!F56,战士难度!D56)</f>
        <v>30261</v>
      </c>
      <c r="C56">
        <f>INDEX(Sheet1!$K$2:$AC$16,战士难度!F56,战士难度!E56)</f>
        <v>496479</v>
      </c>
      <c r="D56">
        <f t="shared" si="5"/>
        <v>3</v>
      </c>
      <c r="E56">
        <v>4</v>
      </c>
      <c r="F56">
        <f t="shared" si="6"/>
        <v>7</v>
      </c>
      <c r="H56">
        <f t="shared" si="1"/>
        <v>15023951019</v>
      </c>
    </row>
    <row r="57" spans="1:8">
      <c r="A57">
        <f t="shared" si="2"/>
        <v>57</v>
      </c>
      <c r="B57">
        <f>INDEX(Sheet1!$K$2:$AC$16,战士难度!F57,战士难度!D57)</f>
        <v>40532</v>
      </c>
      <c r="C57">
        <f>INDEX(Sheet1!$K$2:$AC$16,战士难度!F57,战士难度!E57)</f>
        <v>580771</v>
      </c>
      <c r="D57">
        <f t="shared" si="5"/>
        <v>5</v>
      </c>
      <c r="E57">
        <v>6</v>
      </c>
      <c r="F57">
        <f t="shared" si="6"/>
        <v>7</v>
      </c>
      <c r="H57">
        <f t="shared" si="1"/>
        <v>23539810172</v>
      </c>
    </row>
    <row r="58" spans="1:8">
      <c r="A58">
        <f t="shared" si="2"/>
        <v>58</v>
      </c>
      <c r="B58">
        <f>INDEX(Sheet1!$K$2:$AC$16,战士难度!F58,战士难度!D58)</f>
        <v>45942</v>
      </c>
      <c r="C58">
        <f>INDEX(Sheet1!$K$2:$AC$16,战士难度!F58,战士难度!E58)</f>
        <v>631834</v>
      </c>
      <c r="D58">
        <f t="shared" si="5"/>
        <v>7</v>
      </c>
      <c r="E58">
        <v>8</v>
      </c>
      <c r="F58">
        <f t="shared" si="6"/>
        <v>7</v>
      </c>
      <c r="H58">
        <f t="shared" si="1"/>
        <v>29027717628</v>
      </c>
    </row>
    <row r="59" spans="1:8">
      <c r="A59">
        <f t="shared" si="2"/>
        <v>59</v>
      </c>
      <c r="B59">
        <f>INDEX(Sheet1!$K$2:$AC$16,战士难度!F59,战士难度!D59)</f>
        <v>52074</v>
      </c>
      <c r="C59">
        <f>INDEX(Sheet1!$K$2:$AC$16,战士难度!F59,战士难度!E59)</f>
        <v>687387</v>
      </c>
      <c r="D59">
        <f t="shared" si="5"/>
        <v>9</v>
      </c>
      <c r="E59">
        <v>10</v>
      </c>
      <c r="F59">
        <f t="shared" si="6"/>
        <v>7</v>
      </c>
      <c r="H59">
        <f t="shared" si="1"/>
        <v>35794990638</v>
      </c>
    </row>
    <row r="60" spans="1:8">
      <c r="A60">
        <f t="shared" si="2"/>
        <v>60</v>
      </c>
      <c r="B60">
        <f>INDEX(Sheet1!$K$2:$AC$16,战士难度!F60,战士难度!D60)</f>
        <v>61542</v>
      </c>
      <c r="C60">
        <f>INDEX(Sheet1!$K$2:$AC$16,战士难度!F60,战士难度!E60)</f>
        <v>769128</v>
      </c>
      <c r="D60">
        <f t="shared" si="5"/>
        <v>11</v>
      </c>
      <c r="E60">
        <v>12</v>
      </c>
      <c r="F60">
        <f t="shared" si="6"/>
        <v>7</v>
      </c>
      <c r="H60">
        <f t="shared" si="1"/>
        <v>47333675376</v>
      </c>
    </row>
    <row r="61" spans="1:8">
      <c r="A61">
        <f t="shared" si="2"/>
        <v>61</v>
      </c>
      <c r="B61">
        <f>INDEX(Sheet1!$K$2:$AC$16,战士难度!F61,战士难度!D61)</f>
        <v>68873</v>
      </c>
      <c r="C61">
        <f>INDEX(Sheet1!$K$2:$AC$16,战士难度!F61,战士难度!E61)</f>
        <v>837170</v>
      </c>
      <c r="D61">
        <f t="shared" si="5"/>
        <v>13</v>
      </c>
      <c r="E61">
        <v>14</v>
      </c>
      <c r="F61">
        <f t="shared" si="6"/>
        <v>7</v>
      </c>
      <c r="H61">
        <f t="shared" si="1"/>
        <v>57658409410</v>
      </c>
    </row>
    <row r="62" spans="1:8">
      <c r="A62">
        <f t="shared" si="2"/>
        <v>62</v>
      </c>
      <c r="B62">
        <f>INDEX(Sheet1!$K$2:$AC$16,战士难度!F62,战士难度!D62)</f>
        <v>77077</v>
      </c>
      <c r="C62">
        <f>INDEX(Sheet1!$K$2:$AC$16,战士难度!F62,战士难度!E62)</f>
        <v>911232</v>
      </c>
      <c r="D62">
        <f t="shared" si="5"/>
        <v>15</v>
      </c>
      <c r="E62">
        <v>16</v>
      </c>
      <c r="F62">
        <f t="shared" si="6"/>
        <v>7</v>
      </c>
      <c r="H62">
        <f t="shared" si="1"/>
        <v>70235028864</v>
      </c>
    </row>
    <row r="63" spans="1:8">
      <c r="A63">
        <f t="shared" si="2"/>
        <v>63</v>
      </c>
      <c r="B63">
        <f>INDEX(Sheet1!$K$2:$AC$16,战士难度!F63,战士难度!D63)</f>
        <v>89556</v>
      </c>
      <c r="C63">
        <f>INDEX(Sheet1!$K$2:$AC$16,战士难度!F63,战士难度!E63)</f>
        <v>1020271</v>
      </c>
      <c r="D63">
        <f t="shared" si="5"/>
        <v>17</v>
      </c>
      <c r="E63">
        <v>18</v>
      </c>
      <c r="F63">
        <f t="shared" si="6"/>
        <v>7</v>
      </c>
      <c r="H63">
        <f t="shared" si="1"/>
        <v>91371389676</v>
      </c>
    </row>
    <row r="64" spans="1:8">
      <c r="A64">
        <f t="shared" si="2"/>
        <v>64</v>
      </c>
      <c r="B64">
        <f>INDEX(Sheet1!$K$2:$AC$16,战士难度!F64,战士难度!D64)</f>
        <v>38618</v>
      </c>
      <c r="C64">
        <f>INDEX(Sheet1!$K$2:$AC$16,战士难度!F64,战士难度!E64)</f>
        <v>644882</v>
      </c>
      <c r="D64">
        <f t="shared" si="5"/>
        <v>1</v>
      </c>
      <c r="E64">
        <v>2</v>
      </c>
      <c r="F64">
        <f t="shared" si="6"/>
        <v>8</v>
      </c>
      <c r="H64">
        <f t="shared" si="1"/>
        <v>24904053076</v>
      </c>
    </row>
    <row r="65" spans="1:8">
      <c r="A65">
        <f t="shared" si="2"/>
        <v>65</v>
      </c>
      <c r="B65">
        <f>INDEX(Sheet1!$K$2:$AC$16,战士难度!F65,战士难度!D65)</f>
        <v>48270</v>
      </c>
      <c r="C65">
        <f>INDEX(Sheet1!$K$2:$AC$16,战士难度!F65,战士难度!E65)</f>
        <v>718649</v>
      </c>
      <c r="D65">
        <f t="shared" si="5"/>
        <v>3</v>
      </c>
      <c r="E65">
        <v>4</v>
      </c>
      <c r="F65">
        <f t="shared" si="6"/>
        <v>8</v>
      </c>
      <c r="H65">
        <f t="shared" si="1"/>
        <v>34689187230</v>
      </c>
    </row>
    <row r="66" spans="1:8">
      <c r="A66">
        <f t="shared" si="2"/>
        <v>66</v>
      </c>
      <c r="B66">
        <f>INDEX(Sheet1!$K$2:$AC$16,战士难度!F66,战士难度!D66)</f>
        <v>64992</v>
      </c>
      <c r="C66">
        <f>INDEX(Sheet1!$K$2:$AC$16,战士难度!F66,战士难度!E66)</f>
        <v>830293</v>
      </c>
      <c r="D66">
        <f t="shared" ref="D66:D129" si="7">E66-1</f>
        <v>5</v>
      </c>
      <c r="E66">
        <v>6</v>
      </c>
      <c r="F66">
        <f t="shared" si="6"/>
        <v>8</v>
      </c>
      <c r="H66">
        <f t="shared" ref="H66:H129" si="8">B66*C66</f>
        <v>53962402656</v>
      </c>
    </row>
    <row r="67" spans="1:8">
      <c r="A67">
        <f t="shared" ref="A67:A130" si="9">A66+1</f>
        <v>67</v>
      </c>
      <c r="B67">
        <f>INDEX(Sheet1!$K$2:$AC$16,战士难度!F67,战士难度!D67)</f>
        <v>73758</v>
      </c>
      <c r="C67">
        <f>INDEX(Sheet1!$K$2:$AC$16,战士难度!F67,战士难度!E67)</f>
        <v>898913</v>
      </c>
      <c r="D67">
        <f t="shared" si="7"/>
        <v>7</v>
      </c>
      <c r="E67">
        <v>8</v>
      </c>
      <c r="F67">
        <f t="shared" si="6"/>
        <v>8</v>
      </c>
      <c r="H67">
        <f t="shared" si="8"/>
        <v>66302025054</v>
      </c>
    </row>
    <row r="68" spans="1:8">
      <c r="A68">
        <f t="shared" si="9"/>
        <v>68</v>
      </c>
      <c r="B68">
        <f>INDEX(Sheet1!$K$2:$AC$16,战士难度!F68,战士难度!D68)</f>
        <v>83706</v>
      </c>
      <c r="C68">
        <f>INDEX(Sheet1!$K$2:$AC$16,战士难度!F68,战士难度!E68)</f>
        <v>973204</v>
      </c>
      <c r="D68">
        <f t="shared" si="7"/>
        <v>9</v>
      </c>
      <c r="E68">
        <v>10</v>
      </c>
      <c r="F68">
        <f t="shared" si="6"/>
        <v>8</v>
      </c>
      <c r="H68">
        <f t="shared" si="8"/>
        <v>81463014024</v>
      </c>
    </row>
    <row r="69" spans="1:8">
      <c r="A69">
        <f t="shared" si="9"/>
        <v>69</v>
      </c>
      <c r="B69">
        <f>INDEX(Sheet1!$K$2:$AC$16,战士难度!F69,战士难度!D69)</f>
        <v>99088</v>
      </c>
      <c r="C69">
        <f>INDEX(Sheet1!$K$2:$AC$16,战士难度!F69,战士难度!E69)</f>
        <v>1081897</v>
      </c>
      <c r="D69">
        <f t="shared" si="7"/>
        <v>11</v>
      </c>
      <c r="E69">
        <v>12</v>
      </c>
      <c r="F69">
        <f t="shared" si="6"/>
        <v>8</v>
      </c>
      <c r="H69">
        <f t="shared" si="8"/>
        <v>107203009936</v>
      </c>
    </row>
    <row r="70" spans="1:8">
      <c r="A70">
        <f t="shared" si="9"/>
        <v>70</v>
      </c>
      <c r="B70">
        <f>INDEX(Sheet1!$K$2:$AC$16,战士难度!F70,战士难度!D70)</f>
        <v>110973</v>
      </c>
      <c r="C70">
        <f>INDEX(Sheet1!$K$2:$AC$16,战士难度!F70,战士难度!E70)</f>
        <v>1173208</v>
      </c>
      <c r="D70">
        <f t="shared" si="7"/>
        <v>13</v>
      </c>
      <c r="E70">
        <v>14</v>
      </c>
      <c r="F70">
        <f t="shared" si="6"/>
        <v>8</v>
      </c>
      <c r="H70">
        <f t="shared" si="8"/>
        <v>130194411384</v>
      </c>
    </row>
    <row r="71" spans="1:8">
      <c r="A71">
        <f t="shared" si="9"/>
        <v>71</v>
      </c>
      <c r="B71">
        <f>INDEX(Sheet1!$K$2:$AC$16,战士难度!F71,战士难度!D71)</f>
        <v>124285</v>
      </c>
      <c r="C71">
        <f>INDEX(Sheet1!$K$2:$AC$16,战士难度!F71,战士难度!E71)</f>
        <v>1272226</v>
      </c>
      <c r="D71">
        <f t="shared" si="7"/>
        <v>15</v>
      </c>
      <c r="E71">
        <v>16</v>
      </c>
      <c r="F71">
        <f t="shared" si="6"/>
        <v>8</v>
      </c>
      <c r="H71">
        <f t="shared" si="8"/>
        <v>158118608410</v>
      </c>
    </row>
    <row r="72" spans="1:8">
      <c r="A72">
        <f t="shared" si="9"/>
        <v>72</v>
      </c>
      <c r="B72">
        <f>INDEX(Sheet1!$K$2:$AC$16,战士难度!F72,战士难度!D72)</f>
        <v>144549</v>
      </c>
      <c r="C72">
        <f>INDEX(Sheet1!$K$2:$AC$16,战士难度!F72,战士难度!E72)</f>
        <v>1417370</v>
      </c>
      <c r="D72">
        <f t="shared" si="7"/>
        <v>17</v>
      </c>
      <c r="E72">
        <v>18</v>
      </c>
      <c r="F72">
        <f t="shared" si="6"/>
        <v>8</v>
      </c>
      <c r="H72">
        <f t="shared" si="8"/>
        <v>204879416130</v>
      </c>
    </row>
    <row r="73" spans="1:8">
      <c r="A73">
        <f t="shared" si="9"/>
        <v>73</v>
      </c>
      <c r="B73">
        <f>INDEX(Sheet1!$K$2:$AC$16,战士难度!F73,战士难度!D73)</f>
        <v>57887</v>
      </c>
      <c r="C73">
        <f>INDEX(Sheet1!$K$2:$AC$16,战士难度!F73,战士难度!E73)</f>
        <v>918191</v>
      </c>
      <c r="D73">
        <f t="shared" si="7"/>
        <v>1</v>
      </c>
      <c r="E73">
        <v>2</v>
      </c>
      <c r="F73">
        <f t="shared" si="6"/>
        <v>9</v>
      </c>
      <c r="H73">
        <f t="shared" si="8"/>
        <v>53151322417</v>
      </c>
    </row>
    <row r="74" spans="1:8">
      <c r="A74">
        <f t="shared" si="9"/>
        <v>74</v>
      </c>
      <c r="B74">
        <f>INDEX(Sheet1!$K$2:$AC$16,战士难度!F74,战士难度!D74)</f>
        <v>73070</v>
      </c>
      <c r="C74">
        <f>INDEX(Sheet1!$K$2:$AC$16,战士难度!F74,战士难度!E74)</f>
        <v>1018864</v>
      </c>
      <c r="D74">
        <f t="shared" si="7"/>
        <v>3</v>
      </c>
      <c r="E74">
        <v>4</v>
      </c>
      <c r="F74">
        <f t="shared" ref="F74" si="10">F65+1</f>
        <v>9</v>
      </c>
      <c r="H74">
        <f t="shared" si="8"/>
        <v>74448392480</v>
      </c>
    </row>
    <row r="75" spans="1:8">
      <c r="A75">
        <f t="shared" si="9"/>
        <v>75</v>
      </c>
      <c r="B75">
        <f>INDEX(Sheet1!$K$2:$AC$16,战士难度!F75,战士难度!D75)</f>
        <v>99684</v>
      </c>
      <c r="C75">
        <f>INDEX(Sheet1!$K$2:$AC$16,战士难度!F75,战士难度!E75)</f>
        <v>1170469</v>
      </c>
      <c r="D75">
        <f t="shared" si="7"/>
        <v>5</v>
      </c>
      <c r="E75">
        <v>6</v>
      </c>
      <c r="F75">
        <f t="shared" ref="F75:F135" si="11">F66+1</f>
        <v>9</v>
      </c>
      <c r="H75">
        <f t="shared" si="8"/>
        <v>116677031796</v>
      </c>
    </row>
    <row r="76" spans="1:8">
      <c r="A76">
        <f t="shared" si="9"/>
        <v>76</v>
      </c>
      <c r="B76">
        <f>INDEX(Sheet1!$K$2:$AC$16,战士难度!F76,战士难度!D76)</f>
        <v>113469</v>
      </c>
      <c r="C76">
        <f>INDEX(Sheet1!$K$2:$AC$16,战士难度!F76,战士难度!E76)</f>
        <v>1264283</v>
      </c>
      <c r="D76">
        <f t="shared" si="7"/>
        <v>7</v>
      </c>
      <c r="E76">
        <v>8</v>
      </c>
      <c r="F76">
        <f t="shared" si="11"/>
        <v>9</v>
      </c>
      <c r="H76">
        <f t="shared" si="8"/>
        <v>143456927727</v>
      </c>
    </row>
    <row r="77" spans="1:8">
      <c r="A77">
        <f t="shared" si="9"/>
        <v>77</v>
      </c>
      <c r="B77">
        <f>INDEX(Sheet1!$K$2:$AC$16,战士难度!F77,战士难度!D77)</f>
        <v>129161</v>
      </c>
      <c r="C77">
        <f>INDEX(Sheet1!$K$2:$AC$16,战士难度!F77,战士难度!E77)</f>
        <v>1365615</v>
      </c>
      <c r="D77">
        <f t="shared" si="7"/>
        <v>9</v>
      </c>
      <c r="E77">
        <v>10</v>
      </c>
      <c r="F77">
        <f t="shared" si="11"/>
        <v>9</v>
      </c>
      <c r="H77">
        <f t="shared" si="8"/>
        <v>176384199015</v>
      </c>
    </row>
    <row r="78" spans="1:8">
      <c r="A78">
        <f t="shared" si="9"/>
        <v>78</v>
      </c>
      <c r="B78">
        <f>INDEX(Sheet1!$K$2:$AC$16,战士难度!F78,战士难度!D78)</f>
        <v>153510</v>
      </c>
      <c r="C78">
        <f>INDEX(Sheet1!$K$2:$AC$16,战士难度!F78,战士难度!E78)</f>
        <v>1513471</v>
      </c>
      <c r="D78">
        <f t="shared" si="7"/>
        <v>11</v>
      </c>
      <c r="E78">
        <v>12</v>
      </c>
      <c r="F78">
        <f t="shared" si="11"/>
        <v>9</v>
      </c>
      <c r="H78">
        <f t="shared" si="8"/>
        <v>232332933210</v>
      </c>
    </row>
    <row r="79" spans="1:8">
      <c r="A79">
        <f t="shared" si="9"/>
        <v>79</v>
      </c>
      <c r="B79">
        <f>INDEX(Sheet1!$K$2:$AC$16,战士难度!F79,战士难度!D79)</f>
        <v>172231</v>
      </c>
      <c r="C79">
        <f>INDEX(Sheet1!$K$2:$AC$16,战士难度!F79,战士难度!E79)</f>
        <v>1638231</v>
      </c>
      <c r="D79">
        <f t="shared" si="7"/>
        <v>13</v>
      </c>
      <c r="E79">
        <v>14</v>
      </c>
      <c r="F79">
        <f t="shared" si="11"/>
        <v>9</v>
      </c>
      <c r="H79">
        <f t="shared" si="8"/>
        <v>282154163361</v>
      </c>
    </row>
    <row r="80" spans="1:8">
      <c r="A80">
        <f t="shared" si="9"/>
        <v>80</v>
      </c>
      <c r="B80">
        <f>INDEX(Sheet1!$K$2:$AC$16,战士难度!F80,战士难度!D80)</f>
        <v>193235</v>
      </c>
      <c r="C80">
        <f>INDEX(Sheet1!$K$2:$AC$16,战士难度!F80,战士难度!E80)</f>
        <v>1773276</v>
      </c>
      <c r="D80">
        <f t="shared" si="7"/>
        <v>15</v>
      </c>
      <c r="E80">
        <v>16</v>
      </c>
      <c r="F80">
        <f t="shared" si="11"/>
        <v>9</v>
      </c>
      <c r="H80">
        <f t="shared" si="8"/>
        <v>342658987860</v>
      </c>
    </row>
    <row r="81" spans="1:8">
      <c r="A81">
        <f t="shared" si="9"/>
        <v>81</v>
      </c>
      <c r="B81">
        <f>INDEX(Sheet1!$K$2:$AC$16,战士难度!F81,战士难度!D81)</f>
        <v>225278</v>
      </c>
      <c r="C81">
        <f>INDEX(Sheet1!$K$2:$AC$16,战士难度!F81,战士难度!E81)</f>
        <v>1970808</v>
      </c>
      <c r="D81">
        <f t="shared" si="7"/>
        <v>17</v>
      </c>
      <c r="E81">
        <v>18</v>
      </c>
      <c r="F81">
        <f t="shared" si="11"/>
        <v>9</v>
      </c>
      <c r="H81">
        <f t="shared" si="8"/>
        <v>443979684624</v>
      </c>
    </row>
    <row r="82" spans="1:8">
      <c r="A82">
        <f t="shared" si="9"/>
        <v>82</v>
      </c>
      <c r="B82">
        <f>INDEX(Sheet1!$K$2:$AC$16,战士难度!F82,战士难度!D82)</f>
        <v>84434</v>
      </c>
      <c r="C82">
        <f>INDEX(Sheet1!$K$2:$AC$16,战士难度!F82,战士难度!E82)</f>
        <v>1256089</v>
      </c>
      <c r="D82">
        <f t="shared" si="7"/>
        <v>1</v>
      </c>
      <c r="E82">
        <v>2</v>
      </c>
      <c r="F82">
        <f t="shared" si="11"/>
        <v>10</v>
      </c>
      <c r="H82">
        <f t="shared" si="8"/>
        <v>106056618626</v>
      </c>
    </row>
    <row r="83" spans="1:8">
      <c r="A83">
        <f t="shared" si="9"/>
        <v>83</v>
      </c>
      <c r="B83">
        <f>INDEX(Sheet1!$K$2:$AC$16,战士难度!F83,战士难度!D83)</f>
        <v>108604</v>
      </c>
      <c r="C83">
        <f>INDEX(Sheet1!$K$2:$AC$16,战士难度!F83,战士难度!E83)</f>
        <v>1399176</v>
      </c>
      <c r="D83">
        <f t="shared" si="7"/>
        <v>3</v>
      </c>
      <c r="E83">
        <v>4</v>
      </c>
      <c r="F83">
        <f t="shared" si="11"/>
        <v>10</v>
      </c>
      <c r="H83">
        <f t="shared" si="8"/>
        <v>151956110304</v>
      </c>
    </row>
    <row r="84" spans="1:8">
      <c r="A84">
        <f t="shared" si="9"/>
        <v>84</v>
      </c>
      <c r="B84">
        <f>INDEX(Sheet1!$K$2:$AC$16,战士难度!F84,战士难度!D84)</f>
        <v>151922</v>
      </c>
      <c r="C84">
        <f>INDEX(Sheet1!$K$2:$AC$16,战士难度!F84,战士难度!E84)</f>
        <v>1615629</v>
      </c>
      <c r="D84">
        <f t="shared" si="7"/>
        <v>5</v>
      </c>
      <c r="E84">
        <v>6</v>
      </c>
      <c r="F84">
        <f t="shared" si="11"/>
        <v>10</v>
      </c>
      <c r="H84">
        <f t="shared" si="8"/>
        <v>245449588938</v>
      </c>
    </row>
    <row r="85" spans="1:8">
      <c r="A85">
        <f t="shared" si="9"/>
        <v>85</v>
      </c>
      <c r="B85">
        <f>INDEX(Sheet1!$K$2:$AC$16,战士难度!F85,战士难度!D85)</f>
        <v>173867</v>
      </c>
      <c r="C85">
        <f>INDEX(Sheet1!$K$2:$AC$16,战士难度!F85,战士难度!E85)</f>
        <v>1748757</v>
      </c>
      <c r="D85">
        <f t="shared" si="7"/>
        <v>7</v>
      </c>
      <c r="E85">
        <v>8</v>
      </c>
      <c r="F85">
        <f t="shared" si="11"/>
        <v>10</v>
      </c>
      <c r="H85">
        <f t="shared" si="8"/>
        <v>304051133319</v>
      </c>
    </row>
    <row r="86" spans="1:8">
      <c r="A86">
        <f t="shared" si="9"/>
        <v>86</v>
      </c>
      <c r="B86">
        <f>INDEX(Sheet1!$K$2:$AC$16,战士难度!F86,战士难度!D86)</f>
        <v>198982</v>
      </c>
      <c r="C86">
        <f>INDEX(Sheet1!$K$2:$AC$16,战士难度!F86,战士难度!E86)</f>
        <v>1892855</v>
      </c>
      <c r="D86">
        <f t="shared" si="7"/>
        <v>9</v>
      </c>
      <c r="E86">
        <v>10</v>
      </c>
      <c r="F86">
        <f t="shared" si="11"/>
        <v>10</v>
      </c>
      <c r="H86">
        <f t="shared" si="8"/>
        <v>376644073610</v>
      </c>
    </row>
    <row r="87" spans="1:8">
      <c r="A87">
        <f t="shared" si="9"/>
        <v>87</v>
      </c>
      <c r="B87">
        <f>INDEX(Sheet1!$K$2:$AC$16,战士难度!F87,战士难度!D87)</f>
        <v>238201</v>
      </c>
      <c r="C87">
        <f>INDEX(Sheet1!$K$2:$AC$16,战士难度!F87,战士难度!E87)</f>
        <v>2103623</v>
      </c>
      <c r="D87">
        <f t="shared" si="7"/>
        <v>11</v>
      </c>
      <c r="E87">
        <v>12</v>
      </c>
      <c r="F87">
        <f t="shared" si="11"/>
        <v>10</v>
      </c>
      <c r="H87">
        <f t="shared" si="8"/>
        <v>501085102223</v>
      </c>
    </row>
    <row r="88" spans="1:8">
      <c r="A88">
        <f t="shared" si="9"/>
        <v>88</v>
      </c>
      <c r="B88">
        <f>INDEX(Sheet1!$K$2:$AC$16,战士难度!F88,战士难度!D88)</f>
        <v>268090</v>
      </c>
      <c r="C88">
        <f>INDEX(Sheet1!$K$2:$AC$16,战士难度!F88,战士难度!E88)</f>
        <v>2280762</v>
      </c>
      <c r="D88">
        <f t="shared" si="7"/>
        <v>13</v>
      </c>
      <c r="E88">
        <v>14</v>
      </c>
      <c r="F88">
        <f t="shared" si="11"/>
        <v>10</v>
      </c>
      <c r="H88">
        <f t="shared" si="8"/>
        <v>611449484580</v>
      </c>
    </row>
    <row r="89" spans="1:8">
      <c r="A89">
        <f t="shared" si="9"/>
        <v>89</v>
      </c>
      <c r="B89">
        <f>INDEX(Sheet1!$K$2:$AC$16,战士难度!F89,战士难度!D89)</f>
        <v>301730</v>
      </c>
      <c r="C89">
        <f>INDEX(Sheet1!$K$2:$AC$16,战士难度!F89,战士难度!E89)</f>
        <v>2472818</v>
      </c>
      <c r="D89">
        <f t="shared" si="7"/>
        <v>15</v>
      </c>
      <c r="E89">
        <v>16</v>
      </c>
      <c r="F89">
        <f t="shared" si="11"/>
        <v>10</v>
      </c>
      <c r="H89">
        <f t="shared" si="8"/>
        <v>746123375140</v>
      </c>
    </row>
    <row r="90" spans="1:8">
      <c r="A90">
        <f t="shared" si="9"/>
        <v>90</v>
      </c>
      <c r="B90">
        <f>INDEX(Sheet1!$K$2:$AC$16,战士难度!F90,战士难度!D90)</f>
        <v>353239</v>
      </c>
      <c r="C90">
        <f>INDEX(Sheet1!$K$2:$AC$16,战士难度!F90,战士难度!E90)</f>
        <v>2754281</v>
      </c>
      <c r="D90">
        <f t="shared" si="7"/>
        <v>17</v>
      </c>
      <c r="E90">
        <v>18</v>
      </c>
      <c r="F90">
        <f t="shared" si="11"/>
        <v>10</v>
      </c>
      <c r="H90">
        <f t="shared" si="8"/>
        <v>972919466159</v>
      </c>
    </row>
    <row r="91" spans="1:8">
      <c r="A91">
        <f t="shared" si="9"/>
        <v>91</v>
      </c>
      <c r="B91">
        <f>INDEX(Sheet1!$K$2:$AC$16,战士难度!F91,战士难度!D91)</f>
        <v>115310</v>
      </c>
      <c r="C91">
        <f>INDEX(Sheet1!$K$2:$AC$16,战士难度!F91,战士难度!E91)</f>
        <v>1674661</v>
      </c>
      <c r="D91">
        <f t="shared" si="7"/>
        <v>1</v>
      </c>
      <c r="E91">
        <v>2</v>
      </c>
      <c r="F91">
        <f t="shared" si="11"/>
        <v>11</v>
      </c>
      <c r="H91">
        <f t="shared" si="8"/>
        <v>193105159910</v>
      </c>
    </row>
    <row r="92" spans="1:8">
      <c r="A92">
        <f t="shared" si="9"/>
        <v>92</v>
      </c>
      <c r="B92">
        <f>INDEX(Sheet1!$K$2:$AC$16,战士难度!F92,战士难度!D92)</f>
        <v>150723</v>
      </c>
      <c r="C92">
        <f>INDEX(Sheet1!$K$2:$AC$16,战士难度!F92,战士难度!E92)</f>
        <v>1870982</v>
      </c>
      <c r="D92">
        <f t="shared" si="7"/>
        <v>3</v>
      </c>
      <c r="E92">
        <v>4</v>
      </c>
      <c r="F92">
        <f t="shared" si="11"/>
        <v>11</v>
      </c>
      <c r="H92">
        <f t="shared" si="8"/>
        <v>282000019986</v>
      </c>
    </row>
    <row r="93" spans="1:8">
      <c r="A93">
        <f t="shared" si="9"/>
        <v>93</v>
      </c>
      <c r="B93">
        <f>INDEX(Sheet1!$K$2:$AC$16,战士难度!F93,战士难度!D93)</f>
        <v>215407</v>
      </c>
      <c r="C93">
        <f>INDEX(Sheet1!$K$2:$AC$16,战士难度!F93,战士难度!E93)</f>
        <v>2169002</v>
      </c>
      <c r="D93">
        <f t="shared" si="7"/>
        <v>5</v>
      </c>
      <c r="E93">
        <v>6</v>
      </c>
      <c r="F93">
        <f t="shared" si="11"/>
        <v>11</v>
      </c>
      <c r="H93">
        <f t="shared" si="8"/>
        <v>467218213814</v>
      </c>
    </row>
    <row r="94" spans="1:8">
      <c r="A94">
        <f t="shared" si="9"/>
        <v>94</v>
      </c>
      <c r="B94">
        <f>INDEX(Sheet1!$K$2:$AC$16,战士难度!F94,战士难度!D94)</f>
        <v>247580</v>
      </c>
      <c r="C94">
        <f>INDEX(Sheet1!$K$2:$AC$16,战士难度!F94,战士难度!E94)</f>
        <v>2351443</v>
      </c>
      <c r="D94">
        <f t="shared" si="7"/>
        <v>7</v>
      </c>
      <c r="E94">
        <v>8</v>
      </c>
      <c r="F94">
        <f t="shared" si="11"/>
        <v>11</v>
      </c>
      <c r="H94">
        <f t="shared" si="8"/>
        <v>582170257940</v>
      </c>
    </row>
    <row r="95" spans="1:8">
      <c r="A95">
        <f t="shared" si="9"/>
        <v>95</v>
      </c>
      <c r="B95">
        <f>INDEX(Sheet1!$K$2:$AC$16,战士难度!F95,战士难度!D95)</f>
        <v>284559</v>
      </c>
      <c r="C95">
        <f>INDEX(Sheet1!$K$2:$AC$16,战士难度!F95,战士难度!E95)</f>
        <v>2549230</v>
      </c>
      <c r="D95">
        <f t="shared" si="7"/>
        <v>9</v>
      </c>
      <c r="E95">
        <v>10</v>
      </c>
      <c r="F95">
        <f t="shared" si="11"/>
        <v>11</v>
      </c>
      <c r="H95">
        <f t="shared" si="8"/>
        <v>725406339570</v>
      </c>
    </row>
    <row r="96" spans="1:8">
      <c r="A96">
        <f t="shared" si="9"/>
        <v>96</v>
      </c>
      <c r="B96">
        <f>INDEX(Sheet1!$K$2:$AC$16,战士难度!F96,战士难度!D96)</f>
        <v>342595</v>
      </c>
      <c r="C96">
        <f>INDEX(Sheet1!$K$2:$AC$16,战士难度!F96,战士难度!E96)</f>
        <v>2839064</v>
      </c>
      <c r="D96">
        <f t="shared" si="7"/>
        <v>11</v>
      </c>
      <c r="E96">
        <v>12</v>
      </c>
      <c r="F96">
        <f t="shared" si="11"/>
        <v>11</v>
      </c>
      <c r="H96">
        <f t="shared" si="8"/>
        <v>972649131080</v>
      </c>
    </row>
    <row r="97" spans="1:8">
      <c r="A97">
        <f t="shared" si="9"/>
        <v>97</v>
      </c>
      <c r="B97">
        <f>INDEX(Sheet1!$K$2:$AC$16,战士难度!F97,战士难度!D97)</f>
        <v>386521</v>
      </c>
      <c r="C97">
        <f>INDEX(Sheet1!$K$2:$AC$16,战士难度!F97,战士难度!E97)</f>
        <v>3081924</v>
      </c>
      <c r="D97">
        <f t="shared" si="7"/>
        <v>13</v>
      </c>
      <c r="E97">
        <v>14</v>
      </c>
      <c r="F97">
        <f t="shared" si="11"/>
        <v>11</v>
      </c>
      <c r="H97">
        <f t="shared" si="8"/>
        <v>1191228346404</v>
      </c>
    </row>
    <row r="98" spans="1:8">
      <c r="A98">
        <f t="shared" si="9"/>
        <v>98</v>
      </c>
      <c r="B98">
        <f>INDEX(Sheet1!$K$2:$AC$16,战士难度!F98,战士难度!D98)</f>
        <v>436080</v>
      </c>
      <c r="C98">
        <f>INDEX(Sheet1!$K$2:$AC$16,战士难度!F98,战士难度!E98)</f>
        <v>3345558</v>
      </c>
      <c r="D98">
        <f t="shared" si="7"/>
        <v>15</v>
      </c>
      <c r="E98">
        <v>16</v>
      </c>
      <c r="F98">
        <f t="shared" si="11"/>
        <v>11</v>
      </c>
      <c r="H98">
        <f t="shared" si="8"/>
        <v>1458930932640</v>
      </c>
    </row>
    <row r="99" spans="1:8">
      <c r="A99">
        <f t="shared" si="9"/>
        <v>99</v>
      </c>
      <c r="B99">
        <f>INDEX(Sheet1!$K$2:$AC$16,战士难度!F99,战士难度!D99)</f>
        <v>512180</v>
      </c>
      <c r="C99">
        <f>INDEX(Sheet1!$K$2:$AC$16,战士难度!F99,战士难度!E99)</f>
        <v>3732480</v>
      </c>
      <c r="D99">
        <f t="shared" si="7"/>
        <v>17</v>
      </c>
      <c r="E99">
        <v>18</v>
      </c>
      <c r="F99">
        <f t="shared" si="11"/>
        <v>11</v>
      </c>
      <c r="H99">
        <f t="shared" si="8"/>
        <v>1911701606400</v>
      </c>
    </row>
    <row r="100" spans="1:8">
      <c r="A100">
        <f t="shared" si="9"/>
        <v>100</v>
      </c>
      <c r="B100">
        <f>INDEX(Sheet1!$K$2:$AC$16,战士难度!F100,战士难度!D100)</f>
        <v>198162</v>
      </c>
      <c r="C100">
        <f>INDEX(Sheet1!$K$2:$AC$16,战士难度!F100,战士难度!E100)</f>
        <v>2198486</v>
      </c>
      <c r="D100">
        <f t="shared" si="7"/>
        <v>1</v>
      </c>
      <c r="E100">
        <v>2</v>
      </c>
      <c r="F100">
        <f t="shared" si="11"/>
        <v>12</v>
      </c>
      <c r="H100">
        <f t="shared" si="8"/>
        <v>435656382732</v>
      </c>
    </row>
    <row r="101" spans="1:8">
      <c r="A101">
        <f t="shared" si="9"/>
        <v>101</v>
      </c>
      <c r="B101">
        <f>INDEX(Sheet1!$K$2:$AC$16,战士难度!F101,战士难度!D101)</f>
        <v>255195</v>
      </c>
      <c r="C101">
        <f>INDEX(Sheet1!$K$2:$AC$16,战士难度!F101,战士难度!E101)</f>
        <v>2459068</v>
      </c>
      <c r="D101">
        <f t="shared" si="7"/>
        <v>3</v>
      </c>
      <c r="E101">
        <v>4</v>
      </c>
      <c r="F101">
        <f t="shared" si="11"/>
        <v>12</v>
      </c>
      <c r="H101">
        <f t="shared" si="8"/>
        <v>627541858260</v>
      </c>
    </row>
    <row r="102" spans="1:8">
      <c r="A102">
        <f t="shared" si="9"/>
        <v>102</v>
      </c>
      <c r="B102">
        <f>INDEX(Sheet1!$K$2:$AC$16,战士难度!F102,战士难度!D102)</f>
        <v>357554</v>
      </c>
      <c r="C102">
        <f>INDEX(Sheet1!$K$2:$AC$16,战士难度!F102,战士难度!E102)</f>
        <v>2855176</v>
      </c>
      <c r="D102">
        <f t="shared" si="7"/>
        <v>5</v>
      </c>
      <c r="E102">
        <v>6</v>
      </c>
      <c r="F102">
        <f t="shared" si="11"/>
        <v>12</v>
      </c>
      <c r="H102">
        <f t="shared" si="8"/>
        <v>1020879599504</v>
      </c>
    </row>
    <row r="103" spans="1:8">
      <c r="A103">
        <f t="shared" si="9"/>
        <v>103</v>
      </c>
      <c r="B103">
        <f>INDEX(Sheet1!$K$2:$AC$16,战士难度!F103,战士难度!D103)</f>
        <v>409338</v>
      </c>
      <c r="C103">
        <f>INDEX(Sheet1!$K$2:$AC$16,战士难度!F103,战士难度!E103)</f>
        <v>3097225</v>
      </c>
      <c r="D103">
        <f t="shared" si="7"/>
        <v>7</v>
      </c>
      <c r="E103">
        <v>8</v>
      </c>
      <c r="F103">
        <f t="shared" si="11"/>
        <v>12</v>
      </c>
      <c r="H103">
        <f t="shared" si="8"/>
        <v>1267811887050</v>
      </c>
    </row>
    <row r="104" spans="1:8">
      <c r="A104">
        <f t="shared" si="9"/>
        <v>104</v>
      </c>
      <c r="B104">
        <f>INDEX(Sheet1!$K$2:$AC$16,战士难度!F104,战士难度!D104)</f>
        <v>468621</v>
      </c>
      <c r="C104">
        <f>INDEX(Sheet1!$K$2:$AC$16,战士难度!F104,战士难度!E104)</f>
        <v>3359794</v>
      </c>
      <c r="D104">
        <f t="shared" si="7"/>
        <v>9</v>
      </c>
      <c r="E104">
        <v>10</v>
      </c>
      <c r="F104">
        <f t="shared" si="11"/>
        <v>12</v>
      </c>
      <c r="H104">
        <f t="shared" si="8"/>
        <v>1574470024074</v>
      </c>
    </row>
    <row r="105" spans="1:8">
      <c r="A105">
        <f t="shared" si="9"/>
        <v>105</v>
      </c>
      <c r="B105">
        <f>INDEX(Sheet1!$K$2:$AC$16,战士难度!F105,战士难度!D105)</f>
        <v>561232</v>
      </c>
      <c r="C105">
        <f>INDEX(Sheet1!$K$2:$AC$16,战士难度!F105,战士难度!E105)</f>
        <v>3744834</v>
      </c>
      <c r="D105">
        <f t="shared" si="7"/>
        <v>11</v>
      </c>
      <c r="E105">
        <v>12</v>
      </c>
      <c r="F105">
        <f t="shared" si="11"/>
        <v>12</v>
      </c>
      <c r="H105">
        <f t="shared" si="8"/>
        <v>2101720675488</v>
      </c>
    </row>
    <row r="106" spans="1:8">
      <c r="A106">
        <f t="shared" si="9"/>
        <v>106</v>
      </c>
      <c r="B106">
        <f>INDEX(Sheet1!$K$2:$AC$16,战士难度!F106,战士难度!D106)</f>
        <v>631775</v>
      </c>
      <c r="C106">
        <f>INDEX(Sheet1!$K$2:$AC$16,战士难度!F106,战士难度!E106)</f>
        <v>4067097</v>
      </c>
      <c r="D106">
        <f t="shared" si="7"/>
        <v>13</v>
      </c>
      <c r="E106">
        <v>14</v>
      </c>
      <c r="F106">
        <f t="shared" si="11"/>
        <v>12</v>
      </c>
      <c r="H106">
        <f t="shared" si="8"/>
        <v>2569490207175</v>
      </c>
    </row>
    <row r="107" spans="1:8">
      <c r="A107">
        <f t="shared" si="9"/>
        <v>107</v>
      </c>
      <c r="B107">
        <f>INDEX(Sheet1!$K$2:$AC$16,战士难度!F107,战士难度!D107)</f>
        <v>711185</v>
      </c>
      <c r="C107">
        <f>INDEX(Sheet1!$K$2:$AC$16,战士难度!F107,战士难度!E107)</f>
        <v>4417092</v>
      </c>
      <c r="D107">
        <f t="shared" si="7"/>
        <v>15</v>
      </c>
      <c r="E107">
        <v>16</v>
      </c>
      <c r="F107">
        <f t="shared" si="11"/>
        <v>12</v>
      </c>
      <c r="H107">
        <f t="shared" si="8"/>
        <v>3141369574020</v>
      </c>
    </row>
    <row r="108" spans="1:8">
      <c r="A108">
        <f t="shared" si="9"/>
        <v>108</v>
      </c>
      <c r="B108">
        <f>INDEX(Sheet1!$K$2:$AC$16,战士难度!F108,战士难度!D108)</f>
        <v>832804</v>
      </c>
      <c r="C108">
        <f>INDEX(Sheet1!$K$2:$AC$16,战士难度!F108,战士难度!E108)</f>
        <v>4931046</v>
      </c>
      <c r="D108">
        <f t="shared" si="7"/>
        <v>17</v>
      </c>
      <c r="E108">
        <v>18</v>
      </c>
      <c r="F108">
        <f t="shared" si="11"/>
        <v>12</v>
      </c>
      <c r="H108">
        <f t="shared" si="8"/>
        <v>4106594832984</v>
      </c>
    </row>
    <row r="109" spans="1:8">
      <c r="A109">
        <f t="shared" si="9"/>
        <v>109</v>
      </c>
      <c r="B109">
        <f>INDEX(Sheet1!$K$2:$AC$16,战士难度!F109,战士难度!D109)</f>
        <v>254710</v>
      </c>
      <c r="C109">
        <f>INDEX(Sheet1!$K$2:$AC$16,战士难度!F109,战士难度!E109)</f>
        <v>2850251</v>
      </c>
      <c r="D109">
        <f t="shared" si="7"/>
        <v>1</v>
      </c>
      <c r="E109">
        <v>2</v>
      </c>
      <c r="F109">
        <f t="shared" si="11"/>
        <v>13</v>
      </c>
      <c r="H109">
        <f t="shared" si="8"/>
        <v>725987432210</v>
      </c>
    </row>
    <row r="110" spans="1:8">
      <c r="A110">
        <f t="shared" si="9"/>
        <v>110</v>
      </c>
      <c r="B110">
        <f>INDEX(Sheet1!$K$2:$AC$16,战士难度!F110,战士难度!D110)</f>
        <v>331393</v>
      </c>
      <c r="C110">
        <f>INDEX(Sheet1!$K$2:$AC$16,战士难度!F110,战士难度!E110)</f>
        <v>3191249</v>
      </c>
      <c r="D110">
        <f t="shared" si="7"/>
        <v>3</v>
      </c>
      <c r="E110">
        <v>4</v>
      </c>
      <c r="F110">
        <f t="shared" si="11"/>
        <v>13</v>
      </c>
      <c r="H110">
        <f t="shared" si="8"/>
        <v>1057557579857</v>
      </c>
    </row>
    <row r="111" spans="1:8">
      <c r="A111">
        <f t="shared" si="9"/>
        <v>111</v>
      </c>
      <c r="B111">
        <f>INDEX(Sheet1!$K$2:$AC$16,战士难度!F111,战士难度!D111)</f>
        <v>470693</v>
      </c>
      <c r="C111">
        <f>INDEX(Sheet1!$K$2:$AC$16,战士难度!F111,战士难度!E111)</f>
        <v>3710201</v>
      </c>
      <c r="D111">
        <f t="shared" si="7"/>
        <v>5</v>
      </c>
      <c r="E111">
        <v>6</v>
      </c>
      <c r="F111">
        <f t="shared" si="11"/>
        <v>13</v>
      </c>
      <c r="H111">
        <f t="shared" si="8"/>
        <v>1746365639293</v>
      </c>
    </row>
    <row r="112" spans="1:8">
      <c r="A112">
        <f t="shared" si="9"/>
        <v>112</v>
      </c>
      <c r="B112">
        <f>INDEX(Sheet1!$K$2:$AC$16,战士难度!F112,战士难度!D112)</f>
        <v>540344</v>
      </c>
      <c r="C112">
        <f>INDEX(Sheet1!$K$2:$AC$16,战士难度!F112,战士难度!E112)</f>
        <v>4026826</v>
      </c>
      <c r="D112">
        <f t="shared" si="7"/>
        <v>7</v>
      </c>
      <c r="E112">
        <v>8</v>
      </c>
      <c r="F112">
        <f t="shared" si="11"/>
        <v>13</v>
      </c>
      <c r="H112">
        <f t="shared" si="8"/>
        <v>2175871268144</v>
      </c>
    </row>
    <row r="113" spans="1:8">
      <c r="A113">
        <f t="shared" si="9"/>
        <v>113</v>
      </c>
      <c r="B113">
        <f>INDEX(Sheet1!$K$2:$AC$16,战士难度!F113,战士难度!D113)</f>
        <v>620302</v>
      </c>
      <c r="C113">
        <f>INDEX(Sheet1!$K$2:$AC$16,战士难度!F113,战士难度!E113)</f>
        <v>4370472</v>
      </c>
      <c r="D113">
        <f t="shared" si="7"/>
        <v>9</v>
      </c>
      <c r="E113">
        <v>10</v>
      </c>
      <c r="F113">
        <f t="shared" si="11"/>
        <v>13</v>
      </c>
      <c r="H113">
        <f t="shared" si="8"/>
        <v>2711012522544</v>
      </c>
    </row>
    <row r="114" spans="1:8">
      <c r="A114">
        <f t="shared" si="9"/>
        <v>114</v>
      </c>
      <c r="B114">
        <f>INDEX(Sheet1!$K$2:$AC$16,战士难度!F114,战士难度!D114)</f>
        <v>745614</v>
      </c>
      <c r="C114">
        <f>INDEX(Sheet1!$K$2:$AC$16,战士难度!F114,战士难度!E114)</f>
        <v>4874711</v>
      </c>
      <c r="D114">
        <f t="shared" si="7"/>
        <v>11</v>
      </c>
      <c r="E114">
        <v>12</v>
      </c>
      <c r="F114">
        <f t="shared" si="11"/>
        <v>13</v>
      </c>
      <c r="H114">
        <f t="shared" si="8"/>
        <v>3634652767554</v>
      </c>
    </row>
    <row r="115" spans="1:8">
      <c r="A115">
        <f t="shared" si="9"/>
        <v>115</v>
      </c>
      <c r="B115">
        <f>INDEX(Sheet1!$K$2:$AC$16,战士难度!F115,战士难度!D115)</f>
        <v>840644</v>
      </c>
      <c r="C115">
        <f>INDEX(Sheet1!$K$2:$AC$16,战士难度!F115,战士难度!E115)</f>
        <v>5296325</v>
      </c>
      <c r="D115">
        <f t="shared" si="7"/>
        <v>13</v>
      </c>
      <c r="E115">
        <v>14</v>
      </c>
      <c r="F115">
        <f t="shared" si="11"/>
        <v>13</v>
      </c>
      <c r="H115">
        <f t="shared" si="8"/>
        <v>4452323833300</v>
      </c>
    </row>
    <row r="116" spans="1:8">
      <c r="A116">
        <f t="shared" si="9"/>
        <v>116</v>
      </c>
      <c r="B116">
        <f>INDEX(Sheet1!$K$2:$AC$16,战士难度!F116,战士难度!D116)</f>
        <v>947785</v>
      </c>
      <c r="C116">
        <f>INDEX(Sheet1!$K$2:$AC$16,战士难度!F116,战士难度!E116)</f>
        <v>5754405</v>
      </c>
      <c r="D116">
        <f t="shared" si="7"/>
        <v>15</v>
      </c>
      <c r="E116">
        <v>16</v>
      </c>
      <c r="F116">
        <f t="shared" si="11"/>
        <v>13</v>
      </c>
      <c r="H116">
        <f t="shared" si="8"/>
        <v>5453938742925</v>
      </c>
    </row>
    <row r="117" spans="1:8">
      <c r="A117">
        <f t="shared" si="9"/>
        <v>117</v>
      </c>
      <c r="B117">
        <f>INDEX(Sheet1!$K$2:$AC$16,战士难度!F117,战士难度!D117)</f>
        <v>1112176</v>
      </c>
      <c r="C117">
        <f>INDEX(Sheet1!$K$2:$AC$16,战士难度!F117,战士难度!E117)</f>
        <v>6427392</v>
      </c>
      <c r="D117">
        <f t="shared" si="7"/>
        <v>17</v>
      </c>
      <c r="E117">
        <v>18</v>
      </c>
      <c r="F117">
        <f t="shared" si="11"/>
        <v>13</v>
      </c>
      <c r="H117">
        <f t="shared" si="8"/>
        <v>7148391124992</v>
      </c>
    </row>
    <row r="118" spans="1:8">
      <c r="A118">
        <f t="shared" si="9"/>
        <v>118</v>
      </c>
      <c r="B118">
        <f>INDEX(Sheet1!$K$2:$AC$16,战士难度!F118,战士难度!D118)</f>
        <v>329774</v>
      </c>
      <c r="C118">
        <f>INDEX(Sheet1!$K$2:$AC$16,战士难度!F118,战士难度!E118)</f>
        <v>3647580</v>
      </c>
      <c r="D118">
        <f t="shared" si="7"/>
        <v>1</v>
      </c>
      <c r="E118">
        <v>2</v>
      </c>
      <c r="F118">
        <f t="shared" si="11"/>
        <v>14</v>
      </c>
      <c r="H118">
        <f t="shared" si="8"/>
        <v>1202877046920</v>
      </c>
    </row>
    <row r="119" spans="1:8">
      <c r="A119">
        <f t="shared" si="9"/>
        <v>119</v>
      </c>
      <c r="B119">
        <f>INDEX(Sheet1!$K$2:$AC$16,战士难度!F119,战士难度!D119)</f>
        <v>431750</v>
      </c>
      <c r="C119">
        <f>INDEX(Sheet1!$K$2:$AC$16,战士难度!F119,战士难度!E119)</f>
        <v>4080867</v>
      </c>
      <c r="D119">
        <f t="shared" si="7"/>
        <v>3</v>
      </c>
      <c r="E119">
        <v>4</v>
      </c>
      <c r="F119">
        <f t="shared" si="11"/>
        <v>14</v>
      </c>
      <c r="H119">
        <f t="shared" si="8"/>
        <v>1761914327250</v>
      </c>
    </row>
    <row r="120" spans="1:8">
      <c r="A120">
        <f t="shared" si="9"/>
        <v>120</v>
      </c>
      <c r="B120">
        <f>INDEX(Sheet1!$K$2:$AC$16,战士难度!F120,战士难度!D120)</f>
        <v>618377</v>
      </c>
      <c r="C120">
        <f>INDEX(Sheet1!$K$2:$AC$16,战士难度!F120,战士难度!E120)</f>
        <v>4739682</v>
      </c>
      <c r="D120">
        <f t="shared" si="7"/>
        <v>5</v>
      </c>
      <c r="E120">
        <v>6</v>
      </c>
      <c r="F120">
        <f t="shared" si="11"/>
        <v>14</v>
      </c>
      <c r="H120">
        <f t="shared" si="8"/>
        <v>2930910336114</v>
      </c>
    </row>
    <row r="121" spans="1:8">
      <c r="A121">
        <f t="shared" si="9"/>
        <v>121</v>
      </c>
      <c r="B121">
        <f>INDEX(Sheet1!$K$2:$AC$16,战士难度!F121,战士难度!D121)</f>
        <v>711035</v>
      </c>
      <c r="C121">
        <f>INDEX(Sheet1!$K$2:$AC$16,战士难度!F121,战士难度!E121)</f>
        <v>5142117</v>
      </c>
      <c r="D121">
        <f t="shared" si="7"/>
        <v>7</v>
      </c>
      <c r="E121">
        <v>8</v>
      </c>
      <c r="F121">
        <f t="shared" si="11"/>
        <v>14</v>
      </c>
      <c r="H121">
        <f t="shared" si="8"/>
        <v>3656225161095</v>
      </c>
    </row>
    <row r="122" spans="1:8">
      <c r="A122">
        <f t="shared" si="9"/>
        <v>122</v>
      </c>
      <c r="B122">
        <f>INDEX(Sheet1!$K$2:$AC$16,战士难度!F122,战士难度!D122)</f>
        <v>817577</v>
      </c>
      <c r="C122">
        <f>INDEX(Sheet1!$K$2:$AC$16,战士难度!F122,战士难度!E122)</f>
        <v>5578722</v>
      </c>
      <c r="D122">
        <f t="shared" si="7"/>
        <v>9</v>
      </c>
      <c r="E122">
        <v>10</v>
      </c>
      <c r="F122">
        <f t="shared" si="11"/>
        <v>14</v>
      </c>
      <c r="H122">
        <f t="shared" si="8"/>
        <v>4561034796594</v>
      </c>
    </row>
    <row r="123" spans="1:8">
      <c r="A123">
        <f t="shared" si="9"/>
        <v>123</v>
      </c>
      <c r="B123">
        <f>INDEX(Sheet1!$K$2:$AC$16,战士难度!F123,战士难度!D123)</f>
        <v>984869</v>
      </c>
      <c r="C123">
        <f>INDEX(Sheet1!$K$2:$AC$16,战士难度!F123,战士难度!E123)</f>
        <v>6219065</v>
      </c>
      <c r="D123">
        <f t="shared" si="7"/>
        <v>11</v>
      </c>
      <c r="E123">
        <v>12</v>
      </c>
      <c r="F123">
        <f t="shared" si="11"/>
        <v>14</v>
      </c>
      <c r="H123">
        <f t="shared" si="8"/>
        <v>6124964327485</v>
      </c>
    </row>
    <row r="124" spans="1:8">
      <c r="A124">
        <f t="shared" si="9"/>
        <v>124</v>
      </c>
      <c r="B124">
        <f>INDEX(Sheet1!$K$2:$AC$16,战士难度!F124,战士难度!D124)</f>
        <v>1111405</v>
      </c>
      <c r="C124">
        <f>INDEX(Sheet1!$K$2:$AC$16,战士难度!F124,战士难度!E124)</f>
        <v>6754883</v>
      </c>
      <c r="D124">
        <f t="shared" si="7"/>
        <v>13</v>
      </c>
      <c r="E124">
        <v>14</v>
      </c>
      <c r="F124">
        <f t="shared" si="11"/>
        <v>14</v>
      </c>
      <c r="H124">
        <f t="shared" si="8"/>
        <v>7507410740615</v>
      </c>
    </row>
    <row r="125" spans="1:8">
      <c r="A125">
        <f t="shared" si="9"/>
        <v>125</v>
      </c>
      <c r="B125">
        <f>INDEX(Sheet1!$K$2:$AC$16,战士难度!F125,战士难度!D125)</f>
        <v>1254198</v>
      </c>
      <c r="C125">
        <f>INDEX(Sheet1!$K$2:$AC$16,战士难度!F125,战士难度!E125)</f>
        <v>7336865</v>
      </c>
      <c r="D125">
        <f t="shared" si="7"/>
        <v>15</v>
      </c>
      <c r="E125">
        <v>16</v>
      </c>
      <c r="F125">
        <f t="shared" si="11"/>
        <v>14</v>
      </c>
      <c r="H125">
        <f t="shared" si="8"/>
        <v>9201881409270</v>
      </c>
    </row>
    <row r="126" spans="1:8">
      <c r="A126">
        <f t="shared" si="9"/>
        <v>126</v>
      </c>
      <c r="B126">
        <f>INDEX(Sheet1!$K$2:$AC$16,战士难度!F126,战士难度!D126)</f>
        <v>1473526</v>
      </c>
      <c r="C126">
        <f>INDEX(Sheet1!$K$2:$AC$16,战士难度!F126,战士难度!E126)</f>
        <v>8191577</v>
      </c>
      <c r="D126">
        <f t="shared" si="7"/>
        <v>17</v>
      </c>
      <c r="E126">
        <v>18</v>
      </c>
      <c r="F126">
        <f t="shared" si="11"/>
        <v>14</v>
      </c>
      <c r="H126">
        <f t="shared" si="8"/>
        <v>12070501690502</v>
      </c>
    </row>
    <row r="127" spans="1:8">
      <c r="A127">
        <f t="shared" si="9"/>
        <v>127</v>
      </c>
      <c r="B127">
        <f>INDEX(Sheet1!$K$2:$AC$16,战士难度!F127,战士难度!D127)</f>
        <v>434484</v>
      </c>
      <c r="C127">
        <f>INDEX(Sheet1!$K$2:$AC$16,战士难度!F127,战士难度!E127)</f>
        <v>4628567</v>
      </c>
      <c r="D127">
        <f t="shared" si="7"/>
        <v>1</v>
      </c>
      <c r="E127">
        <v>2</v>
      </c>
      <c r="F127">
        <f t="shared" si="11"/>
        <v>15</v>
      </c>
      <c r="H127">
        <f t="shared" si="8"/>
        <v>2011038304428</v>
      </c>
    </row>
    <row r="128" spans="1:8">
      <c r="A128">
        <f t="shared" si="9"/>
        <v>128</v>
      </c>
      <c r="B128">
        <f>INDEX(Sheet1!$K$2:$AC$16,战士难度!F128,战士难度!D128)</f>
        <v>574091</v>
      </c>
      <c r="C128">
        <f>INDEX(Sheet1!$K$2:$AC$16,战士难度!F128,战士难度!E128)</f>
        <v>5183687</v>
      </c>
      <c r="D128">
        <f t="shared" si="7"/>
        <v>3</v>
      </c>
      <c r="E128">
        <v>4</v>
      </c>
      <c r="F128">
        <f t="shared" si="11"/>
        <v>15</v>
      </c>
      <c r="H128">
        <f t="shared" si="8"/>
        <v>2975908053517</v>
      </c>
    </row>
    <row r="129" spans="1:8">
      <c r="A129">
        <f t="shared" si="9"/>
        <v>129</v>
      </c>
      <c r="B129">
        <f>INDEX(Sheet1!$K$2:$AC$16,战士难度!F129,战士难度!D129)</f>
        <v>832384</v>
      </c>
      <c r="C129">
        <f>INDEX(Sheet1!$K$2:$AC$16,战士难度!F129,战士难度!E129)</f>
        <v>6028767</v>
      </c>
      <c r="D129">
        <f t="shared" si="7"/>
        <v>5</v>
      </c>
      <c r="E129">
        <v>6</v>
      </c>
      <c r="F129">
        <f t="shared" si="11"/>
        <v>15</v>
      </c>
      <c r="H129">
        <f t="shared" si="8"/>
        <v>5018249190528</v>
      </c>
    </row>
    <row r="130" spans="1:8">
      <c r="A130">
        <f t="shared" si="9"/>
        <v>130</v>
      </c>
      <c r="B130">
        <f>INDEX(Sheet1!$K$2:$AC$16,战士难度!F130,战士难度!D130)</f>
        <v>959318</v>
      </c>
      <c r="C130">
        <f>INDEX(Sheet1!$K$2:$AC$16,战士难度!F130,战士难度!E130)</f>
        <v>6544159</v>
      </c>
      <c r="D130">
        <f t="shared" ref="D130:D135" si="12">E130-1</f>
        <v>7</v>
      </c>
      <c r="E130">
        <v>8</v>
      </c>
      <c r="F130">
        <f t="shared" si="11"/>
        <v>15</v>
      </c>
      <c r="H130">
        <f t="shared" ref="H130:H135" si="13">B130*C130</f>
        <v>6277929523562</v>
      </c>
    </row>
    <row r="131" spans="1:8">
      <c r="A131">
        <f t="shared" ref="A131:A135" si="14">A130+1</f>
        <v>131</v>
      </c>
      <c r="B131">
        <f>INDEX(Sheet1!$K$2:$AC$16,战士难度!F131,战士难度!D131)</f>
        <v>1105610</v>
      </c>
      <c r="C131">
        <f>INDEX(Sheet1!$K$2:$AC$16,战士难度!F131,战士难度!E131)</f>
        <v>7103610</v>
      </c>
      <c r="D131">
        <f t="shared" si="12"/>
        <v>9</v>
      </c>
      <c r="E131">
        <v>10</v>
      </c>
      <c r="F131">
        <f t="shared" si="11"/>
        <v>15</v>
      </c>
      <c r="H131">
        <f t="shared" si="13"/>
        <v>7853822252100</v>
      </c>
    </row>
    <row r="132" spans="1:8">
      <c r="A132">
        <f t="shared" si="14"/>
        <v>132</v>
      </c>
      <c r="B132">
        <f>INDEX(Sheet1!$K$2:$AC$16,战士难度!F132,战士难度!D132)</f>
        <v>1335941</v>
      </c>
      <c r="C132">
        <f>INDEX(Sheet1!$K$2:$AC$16,战士难度!F132,战士难度!E132)</f>
        <v>7924640</v>
      </c>
      <c r="D132">
        <f t="shared" si="12"/>
        <v>11</v>
      </c>
      <c r="E132">
        <v>12</v>
      </c>
      <c r="F132">
        <f t="shared" si="11"/>
        <v>15</v>
      </c>
      <c r="H132">
        <f t="shared" si="13"/>
        <v>10586851486240</v>
      </c>
    </row>
    <row r="133" spans="1:8">
      <c r="A133">
        <f t="shared" si="14"/>
        <v>133</v>
      </c>
      <c r="B133">
        <f>INDEX(Sheet1!$K$2:$AC$16,战士难度!F133,战士难度!D133)</f>
        <v>1509517</v>
      </c>
      <c r="C133">
        <f>INDEX(Sheet1!$K$2:$AC$16,战士难度!F133,战士难度!E133)</f>
        <v>8610956</v>
      </c>
      <c r="D133">
        <f t="shared" si="12"/>
        <v>13</v>
      </c>
      <c r="E133">
        <v>14</v>
      </c>
      <c r="F133">
        <f t="shared" si="11"/>
        <v>15</v>
      </c>
      <c r="H133">
        <f t="shared" si="13"/>
        <v>12998384468252</v>
      </c>
    </row>
    <row r="134" spans="1:8">
      <c r="A134">
        <f t="shared" si="14"/>
        <v>134</v>
      </c>
      <c r="B134">
        <f>INDEX(Sheet1!$K$2:$AC$16,战士难度!F134,战士难度!D134)</f>
        <v>1705646</v>
      </c>
      <c r="C134">
        <f>INDEX(Sheet1!$K$2:$AC$16,战士难度!F134,战士难度!E134)</f>
        <v>9356710</v>
      </c>
      <c r="D134">
        <f t="shared" si="12"/>
        <v>15</v>
      </c>
      <c r="E134">
        <v>16</v>
      </c>
      <c r="F134">
        <f t="shared" si="11"/>
        <v>15</v>
      </c>
      <c r="H134">
        <f t="shared" si="13"/>
        <v>15959234984660</v>
      </c>
    </row>
    <row r="135" spans="1:8">
      <c r="A135">
        <f t="shared" si="14"/>
        <v>135</v>
      </c>
      <c r="B135">
        <f>INDEX(Sheet1!$K$2:$AC$16,战士难度!F135,战士难度!D135)</f>
        <v>2007351</v>
      </c>
      <c r="C135">
        <f>INDEX(Sheet1!$K$2:$AC$16,战士难度!F135,战士难度!E135)</f>
        <v>10452470</v>
      </c>
      <c r="D135">
        <f t="shared" si="12"/>
        <v>17</v>
      </c>
      <c r="E135">
        <v>18</v>
      </c>
      <c r="F135">
        <f t="shared" si="11"/>
        <v>15</v>
      </c>
      <c r="H135">
        <f t="shared" si="13"/>
        <v>20981776106970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135"/>
  <sheetViews>
    <sheetView topLeftCell="A99" workbookViewId="0">
      <selection activeCell="G135" sqref="G135"/>
    </sheetView>
  </sheetViews>
  <sheetFormatPr defaultRowHeight="13.5"/>
  <sheetData>
    <row r="1" spans="1:6">
      <c r="A1">
        <v>1</v>
      </c>
      <c r="B1">
        <f>INDEX(Sheet1!$K$50:$AB$64,F1,D1)</f>
        <v>1702</v>
      </c>
      <c r="C1">
        <f>INDEX(Sheet1!$K$50:$AB$64,F1,E1)</f>
        <v>66161</v>
      </c>
      <c r="D1">
        <f>E1-1</f>
        <v>1</v>
      </c>
      <c r="E1">
        <v>2</v>
      </c>
      <c r="F1">
        <v>1</v>
      </c>
    </row>
    <row r="2" spans="1:6">
      <c r="A2">
        <f>A1+1</f>
        <v>2</v>
      </c>
      <c r="B2">
        <f>INDEX(Sheet1!$K$50:$AB$64,F2,D2)</f>
        <v>1692</v>
      </c>
      <c r="C2">
        <f>INDEX(Sheet1!$K$50:$AB$64,F2,E2)</f>
        <v>80087</v>
      </c>
      <c r="D2">
        <f t="shared" ref="D2:D65" si="0">E2-1</f>
        <v>3</v>
      </c>
      <c r="E2">
        <v>4</v>
      </c>
      <c r="F2">
        <v>1</v>
      </c>
    </row>
    <row r="3" spans="1:6">
      <c r="A3">
        <f t="shared" ref="A3:A66" si="1">A2+1</f>
        <v>3</v>
      </c>
      <c r="B3">
        <f>INDEX(Sheet1!$K$50:$AB$64,F3,D3)</f>
        <v>1678</v>
      </c>
      <c r="C3">
        <f>INDEX(Sheet1!$K$50:$AB$64,F3,E3)</f>
        <v>103318</v>
      </c>
      <c r="D3">
        <f t="shared" si="0"/>
        <v>5</v>
      </c>
      <c r="E3">
        <v>6</v>
      </c>
      <c r="F3">
        <v>1</v>
      </c>
    </row>
    <row r="4" spans="1:6">
      <c r="A4">
        <f t="shared" si="1"/>
        <v>4</v>
      </c>
      <c r="B4">
        <f>INDEX(Sheet1!$K$50:$AB$64,F4,D4)</f>
        <v>1667</v>
      </c>
      <c r="C4">
        <f>INDEX(Sheet1!$K$50:$AB$64,F4,E4)</f>
        <v>116001</v>
      </c>
      <c r="D4">
        <f t="shared" si="0"/>
        <v>7</v>
      </c>
      <c r="E4">
        <v>8</v>
      </c>
      <c r="F4">
        <v>1</v>
      </c>
    </row>
    <row r="5" spans="1:6">
      <c r="A5">
        <f t="shared" si="1"/>
        <v>5</v>
      </c>
      <c r="B5">
        <f>INDEX(Sheet1!$K$50:$AB$64,F5,D5)</f>
        <v>1657</v>
      </c>
      <c r="C5">
        <f>INDEX(Sheet1!$K$50:$AB$64,F5,E5)</f>
        <v>130240</v>
      </c>
      <c r="D5">
        <f t="shared" si="0"/>
        <v>9</v>
      </c>
      <c r="E5">
        <v>10</v>
      </c>
      <c r="F5">
        <v>1</v>
      </c>
    </row>
    <row r="6" spans="1:6">
      <c r="A6">
        <f t="shared" si="1"/>
        <v>6</v>
      </c>
      <c r="B6">
        <f>INDEX(Sheet1!$K$50:$AB$64,F6,D6)</f>
        <v>1643</v>
      </c>
      <c r="C6">
        <f>INDEX(Sheet1!$K$50:$AB$64,F6,E6)</f>
        <v>151981</v>
      </c>
      <c r="D6">
        <f t="shared" si="0"/>
        <v>11</v>
      </c>
      <c r="E6">
        <v>12</v>
      </c>
      <c r="F6">
        <v>1</v>
      </c>
    </row>
    <row r="7" spans="1:6">
      <c r="A7">
        <f t="shared" si="1"/>
        <v>7</v>
      </c>
      <c r="B7">
        <f>INDEX(Sheet1!$K$50:$AB$64,F7,D7)</f>
        <v>1629</v>
      </c>
      <c r="C7">
        <f>INDEX(Sheet1!$K$50:$AB$64,F7,E7)</f>
        <v>169086</v>
      </c>
      <c r="D7">
        <f t="shared" si="0"/>
        <v>13</v>
      </c>
      <c r="E7">
        <v>14</v>
      </c>
      <c r="F7">
        <v>1</v>
      </c>
    </row>
    <row r="8" spans="1:6">
      <c r="A8">
        <f t="shared" si="1"/>
        <v>8</v>
      </c>
      <c r="B8">
        <f>INDEX(Sheet1!$K$50:$AB$64,F8,D8)</f>
        <v>1615</v>
      </c>
      <c r="C8">
        <f>INDEX(Sheet1!$K$50:$AB$64,F8,E8)</f>
        <v>188117</v>
      </c>
      <c r="D8">
        <f t="shared" si="0"/>
        <v>15</v>
      </c>
      <c r="E8">
        <v>16</v>
      </c>
      <c r="F8">
        <v>1</v>
      </c>
    </row>
    <row r="9" spans="1:6">
      <c r="A9">
        <f t="shared" si="1"/>
        <v>9</v>
      </c>
      <c r="B9">
        <f>INDEX(Sheet1!$K$50:$AB$64,F9,D9)</f>
        <v>1597</v>
      </c>
      <c r="C9">
        <f>INDEX(Sheet1!$K$50:$AB$64,F9,E9)</f>
        <v>216864</v>
      </c>
      <c r="D9">
        <f t="shared" si="0"/>
        <v>17</v>
      </c>
      <c r="E9">
        <v>18</v>
      </c>
      <c r="F9">
        <v>1</v>
      </c>
    </row>
    <row r="10" spans="1:6">
      <c r="A10">
        <f t="shared" si="1"/>
        <v>10</v>
      </c>
      <c r="B10">
        <f>INDEX(Sheet1!$K$50:$AB$64,F10,D10)</f>
        <v>2468</v>
      </c>
      <c r="C10">
        <f>INDEX(Sheet1!$K$50:$AB$64,F10,E10)</f>
        <v>118454</v>
      </c>
      <c r="D10">
        <f t="shared" si="0"/>
        <v>1</v>
      </c>
      <c r="E10">
        <v>2</v>
      </c>
      <c r="F10">
        <f>F1+1</f>
        <v>2</v>
      </c>
    </row>
    <row r="11" spans="1:6">
      <c r="A11">
        <f t="shared" si="1"/>
        <v>11</v>
      </c>
      <c r="B11">
        <f>INDEX(Sheet1!$K$50:$AB$64,F11,D11)</f>
        <v>2489</v>
      </c>
      <c r="C11">
        <f>INDEX(Sheet1!$K$50:$AB$64,F11,E11)</f>
        <v>139118</v>
      </c>
      <c r="D11">
        <f t="shared" si="0"/>
        <v>3</v>
      </c>
      <c r="E11">
        <v>4</v>
      </c>
      <c r="F11">
        <f t="shared" ref="F11:F74" si="2">F2+1</f>
        <v>2</v>
      </c>
    </row>
    <row r="12" spans="1:6">
      <c r="A12">
        <f t="shared" si="1"/>
        <v>12</v>
      </c>
      <c r="B12">
        <f>INDEX(Sheet1!$K$50:$AB$64,F12,D12)</f>
        <v>2516</v>
      </c>
      <c r="C12">
        <f>INDEX(Sheet1!$K$50:$AB$64,F12,E12)</f>
        <v>172382</v>
      </c>
      <c r="D12">
        <f t="shared" si="0"/>
        <v>5</v>
      </c>
      <c r="E12">
        <v>6</v>
      </c>
      <c r="F12">
        <f t="shared" si="2"/>
        <v>2</v>
      </c>
    </row>
    <row r="13" spans="1:6">
      <c r="A13">
        <f t="shared" si="1"/>
        <v>13</v>
      </c>
      <c r="B13">
        <f>INDEX(Sheet1!$K$50:$AB$64,F13,D13)</f>
        <v>2537</v>
      </c>
      <c r="C13">
        <f>INDEX(Sheet1!$K$50:$AB$64,F13,E13)</f>
        <v>191298</v>
      </c>
      <c r="D13">
        <f t="shared" si="0"/>
        <v>7</v>
      </c>
      <c r="E13">
        <v>8</v>
      </c>
      <c r="F13">
        <f t="shared" si="2"/>
        <v>2</v>
      </c>
    </row>
    <row r="14" spans="1:6">
      <c r="A14">
        <f t="shared" si="1"/>
        <v>14</v>
      </c>
      <c r="B14">
        <f>INDEX(Sheet1!$K$50:$AB$64,F14,D14)</f>
        <v>2557</v>
      </c>
      <c r="C14">
        <f>INDEX(Sheet1!$K$50:$AB$64,F14,E14)</f>
        <v>212290</v>
      </c>
      <c r="D14">
        <f t="shared" si="0"/>
        <v>9</v>
      </c>
      <c r="E14">
        <v>10</v>
      </c>
      <c r="F14">
        <f t="shared" si="2"/>
        <v>2</v>
      </c>
    </row>
    <row r="15" spans="1:6">
      <c r="A15">
        <f t="shared" si="1"/>
        <v>15</v>
      </c>
      <c r="B15">
        <f>INDEX(Sheet1!$K$50:$AB$64,F15,D15)</f>
        <v>2585</v>
      </c>
      <c r="C15">
        <f>INDEX(Sheet1!$K$50:$AB$64,F15,E15)</f>
        <v>243905</v>
      </c>
      <c r="D15">
        <f t="shared" si="0"/>
        <v>11</v>
      </c>
      <c r="E15">
        <v>12</v>
      </c>
      <c r="F15">
        <f t="shared" si="2"/>
        <v>2</v>
      </c>
    </row>
    <row r="16" spans="1:6">
      <c r="A16">
        <f t="shared" si="1"/>
        <v>16</v>
      </c>
      <c r="B16">
        <f>INDEX(Sheet1!$K$50:$AB$64,F16,D16)</f>
        <v>2612</v>
      </c>
      <c r="C16">
        <f>INDEX(Sheet1!$K$50:$AB$64,F16,E16)</f>
        <v>269288</v>
      </c>
      <c r="D16">
        <f t="shared" si="0"/>
        <v>13</v>
      </c>
      <c r="E16">
        <v>14</v>
      </c>
      <c r="F16">
        <f t="shared" si="2"/>
        <v>2</v>
      </c>
    </row>
    <row r="17" spans="1:6">
      <c r="A17">
        <f t="shared" si="1"/>
        <v>17</v>
      </c>
      <c r="B17">
        <f>INDEX(Sheet1!$K$50:$AB$64,F17,D17)</f>
        <v>2639</v>
      </c>
      <c r="C17">
        <f>INDEX(Sheet1!$K$50:$AB$64,F17,E17)</f>
        <v>297313</v>
      </c>
      <c r="D17">
        <f t="shared" si="0"/>
        <v>15</v>
      </c>
      <c r="E17">
        <v>16</v>
      </c>
      <c r="F17">
        <f t="shared" si="2"/>
        <v>2</v>
      </c>
    </row>
    <row r="18" spans="1:6">
      <c r="A18">
        <f t="shared" si="1"/>
        <v>18</v>
      </c>
      <c r="B18">
        <f>INDEX(Sheet1!$K$50:$AB$64,F18,D18)</f>
        <v>2676</v>
      </c>
      <c r="C18">
        <f>INDEX(Sheet1!$K$50:$AB$64,F18,E18)</f>
        <v>339268</v>
      </c>
      <c r="D18">
        <f t="shared" si="0"/>
        <v>17</v>
      </c>
      <c r="E18">
        <v>18</v>
      </c>
      <c r="F18">
        <f t="shared" si="2"/>
        <v>2</v>
      </c>
    </row>
    <row r="19" spans="1:6">
      <c r="A19">
        <f t="shared" si="1"/>
        <v>19</v>
      </c>
      <c r="B19">
        <f>INDEX(Sheet1!$K$50:$AB$64,F19,D19)</f>
        <v>3805</v>
      </c>
      <c r="C19">
        <f>INDEX(Sheet1!$K$50:$AB$64,F19,E19)</f>
        <v>207538</v>
      </c>
      <c r="D19">
        <f t="shared" si="0"/>
        <v>1</v>
      </c>
      <c r="E19">
        <v>2</v>
      </c>
      <c r="F19">
        <f t="shared" si="2"/>
        <v>3</v>
      </c>
    </row>
    <row r="20" spans="1:6">
      <c r="A20">
        <f t="shared" si="1"/>
        <v>20</v>
      </c>
      <c r="B20">
        <f>INDEX(Sheet1!$K$50:$AB$64,F20,D20)</f>
        <v>3900</v>
      </c>
      <c r="C20">
        <f>INDEX(Sheet1!$K$50:$AB$64,F20,E20)</f>
        <v>236560</v>
      </c>
      <c r="D20">
        <f t="shared" si="0"/>
        <v>3</v>
      </c>
      <c r="E20">
        <v>4</v>
      </c>
      <c r="F20">
        <f t="shared" si="2"/>
        <v>3</v>
      </c>
    </row>
    <row r="21" spans="1:6">
      <c r="A21">
        <f t="shared" si="1"/>
        <v>21</v>
      </c>
      <c r="B21">
        <f>INDEX(Sheet1!$K$50:$AB$64,F21,D21)</f>
        <v>4031</v>
      </c>
      <c r="C21">
        <f>INDEX(Sheet1!$K$50:$AB$64,F21,E21)</f>
        <v>281664</v>
      </c>
      <c r="D21">
        <f t="shared" si="0"/>
        <v>5</v>
      </c>
      <c r="E21">
        <v>6</v>
      </c>
      <c r="F21">
        <f t="shared" si="2"/>
        <v>3</v>
      </c>
    </row>
    <row r="22" spans="1:6">
      <c r="A22">
        <f t="shared" si="1"/>
        <v>22</v>
      </c>
      <c r="B22">
        <f>INDEX(Sheet1!$K$50:$AB$64,F22,D22)</f>
        <v>4124</v>
      </c>
      <c r="C22">
        <f>INDEX(Sheet1!$K$50:$AB$64,F22,E22)</f>
        <v>308443</v>
      </c>
      <c r="D22">
        <f t="shared" si="0"/>
        <v>7</v>
      </c>
      <c r="E22">
        <v>8</v>
      </c>
      <c r="F22">
        <f t="shared" si="2"/>
        <v>3</v>
      </c>
    </row>
    <row r="23" spans="1:6">
      <c r="A23">
        <f t="shared" si="1"/>
        <v>23</v>
      </c>
      <c r="B23">
        <f>INDEX(Sheet1!$K$50:$AB$64,F23,D23)</f>
        <v>4219</v>
      </c>
      <c r="C23">
        <f>INDEX(Sheet1!$K$50:$AB$64,F23,E23)</f>
        <v>337768</v>
      </c>
      <c r="D23">
        <f t="shared" si="0"/>
        <v>9</v>
      </c>
      <c r="E23">
        <v>10</v>
      </c>
      <c r="F23">
        <f t="shared" si="2"/>
        <v>3</v>
      </c>
    </row>
    <row r="24" spans="1:6">
      <c r="A24">
        <f t="shared" si="1"/>
        <v>24</v>
      </c>
      <c r="B24">
        <f>INDEX(Sheet1!$K$50:$AB$64,F24,D24)</f>
        <v>4349</v>
      </c>
      <c r="C24">
        <f>INDEX(Sheet1!$K$50:$AB$64,F24,E24)</f>
        <v>381251</v>
      </c>
      <c r="D24">
        <f t="shared" si="0"/>
        <v>11</v>
      </c>
      <c r="E24">
        <v>12</v>
      </c>
      <c r="F24">
        <f t="shared" si="2"/>
        <v>3</v>
      </c>
    </row>
    <row r="25" spans="1:6">
      <c r="A25">
        <f t="shared" si="1"/>
        <v>25</v>
      </c>
      <c r="B25">
        <f>INDEX(Sheet1!$K$50:$AB$64,F25,D25)</f>
        <v>4472</v>
      </c>
      <c r="C25">
        <f>INDEX(Sheet1!$K$50:$AB$64,F25,E25)</f>
        <v>417009</v>
      </c>
      <c r="D25">
        <f t="shared" si="0"/>
        <v>13</v>
      </c>
      <c r="E25">
        <v>14</v>
      </c>
      <c r="F25">
        <f t="shared" si="2"/>
        <v>3</v>
      </c>
    </row>
    <row r="26" spans="1:6">
      <c r="A26">
        <f t="shared" si="1"/>
        <v>26</v>
      </c>
      <c r="B26">
        <f>INDEX(Sheet1!$K$50:$AB$64,F26,D26)</f>
        <v>4599</v>
      </c>
      <c r="C26">
        <f>INDEX(Sheet1!$K$50:$AB$64,F26,E26)</f>
        <v>456120</v>
      </c>
      <c r="D26">
        <f t="shared" si="0"/>
        <v>15</v>
      </c>
      <c r="E26">
        <v>16</v>
      </c>
      <c r="F26">
        <f t="shared" si="2"/>
        <v>3</v>
      </c>
    </row>
    <row r="27" spans="1:6">
      <c r="A27">
        <f t="shared" si="1"/>
        <v>27</v>
      </c>
      <c r="B27">
        <f>INDEX(Sheet1!$K$50:$AB$64,F27,D27)</f>
        <v>4774</v>
      </c>
      <c r="C27">
        <f>INDEX(Sheet1!$K$50:$AB$64,F27,E27)</f>
        <v>514034</v>
      </c>
      <c r="D27">
        <f t="shared" si="0"/>
        <v>17</v>
      </c>
      <c r="E27">
        <v>18</v>
      </c>
      <c r="F27">
        <f t="shared" si="2"/>
        <v>3</v>
      </c>
    </row>
    <row r="28" spans="1:6">
      <c r="A28">
        <f t="shared" si="1"/>
        <v>28</v>
      </c>
      <c r="B28">
        <f>INDEX(Sheet1!$K$50:$AB$64,F28,D28)</f>
        <v>4542</v>
      </c>
      <c r="C28">
        <f>INDEX(Sheet1!$K$50:$AB$64,F28,E28)</f>
        <v>309565</v>
      </c>
      <c r="D28">
        <f t="shared" si="0"/>
        <v>1</v>
      </c>
      <c r="E28">
        <v>2</v>
      </c>
      <c r="F28">
        <f t="shared" si="2"/>
        <v>4</v>
      </c>
    </row>
    <row r="29" spans="1:6">
      <c r="A29">
        <f t="shared" si="1"/>
        <v>29</v>
      </c>
      <c r="B29">
        <f>INDEX(Sheet1!$K$50:$AB$64,F29,D29)</f>
        <v>4710</v>
      </c>
      <c r="C29">
        <f>INDEX(Sheet1!$K$50:$AB$64,F29,E29)</f>
        <v>347026</v>
      </c>
      <c r="D29">
        <f t="shared" si="0"/>
        <v>3</v>
      </c>
      <c r="E29">
        <v>4</v>
      </c>
      <c r="F29">
        <f t="shared" si="2"/>
        <v>4</v>
      </c>
    </row>
    <row r="30" spans="1:6">
      <c r="A30">
        <f t="shared" si="1"/>
        <v>30</v>
      </c>
      <c r="B30">
        <f>INDEX(Sheet1!$K$50:$AB$64,F30,D30)</f>
        <v>4944</v>
      </c>
      <c r="C30">
        <f>INDEX(Sheet1!$K$50:$AB$64,F30,E30)</f>
        <v>404120</v>
      </c>
      <c r="D30">
        <f t="shared" si="0"/>
        <v>5</v>
      </c>
      <c r="E30">
        <v>6</v>
      </c>
      <c r="F30">
        <f t="shared" si="2"/>
        <v>4</v>
      </c>
    </row>
    <row r="31" spans="1:6">
      <c r="A31">
        <f t="shared" si="1"/>
        <v>31</v>
      </c>
      <c r="B31">
        <f>INDEX(Sheet1!$K$50:$AB$64,F31,D31)</f>
        <v>5107</v>
      </c>
      <c r="C31">
        <f>INDEX(Sheet1!$K$50:$AB$64,F31,E31)</f>
        <v>438888</v>
      </c>
      <c r="D31">
        <f t="shared" si="0"/>
        <v>7</v>
      </c>
      <c r="E31">
        <v>8</v>
      </c>
      <c r="F31">
        <f t="shared" si="2"/>
        <v>4</v>
      </c>
    </row>
    <row r="32" spans="1:6">
      <c r="A32">
        <f t="shared" si="1"/>
        <v>32</v>
      </c>
      <c r="B32">
        <f>INDEX(Sheet1!$K$50:$AB$64,F32,D32)</f>
        <v>5276</v>
      </c>
      <c r="C32">
        <f>INDEX(Sheet1!$K$50:$AB$64,F32,E32)</f>
        <v>476647</v>
      </c>
      <c r="D32">
        <f t="shared" si="0"/>
        <v>9</v>
      </c>
      <c r="E32">
        <v>10</v>
      </c>
      <c r="F32">
        <f t="shared" si="2"/>
        <v>4</v>
      </c>
    </row>
    <row r="33" spans="1:6">
      <c r="A33">
        <f t="shared" si="1"/>
        <v>33</v>
      </c>
      <c r="B33">
        <f>INDEX(Sheet1!$K$50:$AB$64,F33,D33)</f>
        <v>5509</v>
      </c>
      <c r="C33">
        <f>INDEX(Sheet1!$K$50:$AB$64,F33,E33)</f>
        <v>532093</v>
      </c>
      <c r="D33">
        <f t="shared" si="0"/>
        <v>11</v>
      </c>
      <c r="E33">
        <v>12</v>
      </c>
      <c r="F33">
        <f t="shared" si="2"/>
        <v>4</v>
      </c>
    </row>
    <row r="34" spans="1:6">
      <c r="A34">
        <f t="shared" si="1"/>
        <v>34</v>
      </c>
      <c r="B34">
        <f>INDEX(Sheet1!$K$50:$AB$64,F34,D34)</f>
        <v>5725</v>
      </c>
      <c r="C34">
        <f>INDEX(Sheet1!$K$50:$AB$64,F34,E34)</f>
        <v>578398</v>
      </c>
      <c r="D34">
        <f t="shared" si="0"/>
        <v>13</v>
      </c>
      <c r="E34">
        <v>14</v>
      </c>
      <c r="F34">
        <f t="shared" si="2"/>
        <v>4</v>
      </c>
    </row>
    <row r="35" spans="1:6">
      <c r="A35">
        <f t="shared" si="1"/>
        <v>35</v>
      </c>
      <c r="B35">
        <f>INDEX(Sheet1!$K$50:$AB$64,F35,D35)</f>
        <v>5949</v>
      </c>
      <c r="C35">
        <f>INDEX(Sheet1!$K$50:$AB$64,F35,E35)</f>
        <v>628732</v>
      </c>
      <c r="D35">
        <f t="shared" si="0"/>
        <v>15</v>
      </c>
      <c r="E35">
        <v>16</v>
      </c>
      <c r="F35">
        <f t="shared" si="2"/>
        <v>4</v>
      </c>
    </row>
    <row r="36" spans="1:6">
      <c r="A36">
        <f t="shared" si="1"/>
        <v>36</v>
      </c>
      <c r="B36">
        <f>INDEX(Sheet1!$K$50:$AB$64,F36,D36)</f>
        <v>6261</v>
      </c>
      <c r="C36">
        <f>INDEX(Sheet1!$K$50:$AB$64,F36,E36)</f>
        <v>702724</v>
      </c>
      <c r="D36">
        <f t="shared" si="0"/>
        <v>17</v>
      </c>
      <c r="E36">
        <v>18</v>
      </c>
      <c r="F36">
        <f t="shared" si="2"/>
        <v>4</v>
      </c>
    </row>
    <row r="37" spans="1:6">
      <c r="A37">
        <f t="shared" si="1"/>
        <v>37</v>
      </c>
      <c r="B37">
        <f>INDEX(Sheet1!$K$50:$AB$64,F37,D37)</f>
        <v>6962</v>
      </c>
      <c r="C37">
        <f>INDEX(Sheet1!$K$50:$AB$64,F37,E37)</f>
        <v>495073</v>
      </c>
      <c r="D37">
        <f t="shared" si="0"/>
        <v>1</v>
      </c>
      <c r="E37">
        <v>2</v>
      </c>
      <c r="F37">
        <f t="shared" si="2"/>
        <v>5</v>
      </c>
    </row>
    <row r="38" spans="1:6">
      <c r="A38">
        <f t="shared" si="1"/>
        <v>38</v>
      </c>
      <c r="B38">
        <f>INDEX(Sheet1!$K$50:$AB$64,F38,D38)</f>
        <v>7303</v>
      </c>
      <c r="C38">
        <f>INDEX(Sheet1!$K$50:$AB$64,F38,E38)</f>
        <v>544862</v>
      </c>
      <c r="D38">
        <f t="shared" si="0"/>
        <v>3</v>
      </c>
      <c r="E38">
        <v>4</v>
      </c>
      <c r="F38">
        <f t="shared" si="2"/>
        <v>5</v>
      </c>
    </row>
    <row r="39" spans="1:6">
      <c r="A39">
        <f t="shared" si="1"/>
        <v>39</v>
      </c>
      <c r="B39">
        <f>INDEX(Sheet1!$K$50:$AB$64,F39,D39)</f>
        <v>7784</v>
      </c>
      <c r="C39">
        <f>INDEX(Sheet1!$K$50:$AB$64,F39,E39)</f>
        <v>619123</v>
      </c>
      <c r="D39">
        <f t="shared" si="0"/>
        <v>5</v>
      </c>
      <c r="E39">
        <v>6</v>
      </c>
      <c r="F39">
        <f t="shared" si="2"/>
        <v>5</v>
      </c>
    </row>
    <row r="40" spans="1:6">
      <c r="A40">
        <f t="shared" si="1"/>
        <v>40</v>
      </c>
      <c r="B40">
        <f>INDEX(Sheet1!$K$50:$AB$64,F40,D40)</f>
        <v>8112</v>
      </c>
      <c r="C40">
        <f>INDEX(Sheet1!$K$50:$AB$64,F40,E40)</f>
        <v>665687</v>
      </c>
      <c r="D40">
        <f t="shared" si="0"/>
        <v>7</v>
      </c>
      <c r="E40">
        <v>8</v>
      </c>
      <c r="F40">
        <f t="shared" si="2"/>
        <v>5</v>
      </c>
    </row>
    <row r="41" spans="1:6">
      <c r="A41">
        <f t="shared" si="1"/>
        <v>41</v>
      </c>
      <c r="B41">
        <f>INDEX(Sheet1!$K$50:$AB$64,F41,D41)</f>
        <v>8453</v>
      </c>
      <c r="C41">
        <f>INDEX(Sheet1!$K$50:$AB$64,F41,E41)</f>
        <v>715753</v>
      </c>
      <c r="D41">
        <f t="shared" si="0"/>
        <v>9</v>
      </c>
      <c r="E41">
        <v>10</v>
      </c>
      <c r="F41">
        <f t="shared" si="2"/>
        <v>5</v>
      </c>
    </row>
    <row r="42" spans="1:6">
      <c r="A42">
        <f t="shared" si="1"/>
        <v>42</v>
      </c>
      <c r="B42">
        <f>INDEX(Sheet1!$K$50:$AB$64,F42,D42)</f>
        <v>8931</v>
      </c>
      <c r="C42">
        <f>INDEX(Sheet1!$K$50:$AB$64,F42,E42)</f>
        <v>788414</v>
      </c>
      <c r="D42">
        <f t="shared" si="0"/>
        <v>11</v>
      </c>
      <c r="E42">
        <v>12</v>
      </c>
      <c r="F42">
        <f t="shared" si="2"/>
        <v>5</v>
      </c>
    </row>
    <row r="43" spans="1:6">
      <c r="A43">
        <f t="shared" si="1"/>
        <v>43</v>
      </c>
      <c r="B43">
        <f>INDEX(Sheet1!$K$50:$AB$64,F43,D43)</f>
        <v>9365</v>
      </c>
      <c r="C43">
        <f>INDEX(Sheet1!$K$50:$AB$64,F43,E43)</f>
        <v>850270</v>
      </c>
      <c r="D43">
        <f t="shared" si="0"/>
        <v>13</v>
      </c>
      <c r="E43">
        <v>14</v>
      </c>
      <c r="F43">
        <f t="shared" si="2"/>
        <v>5</v>
      </c>
    </row>
    <row r="44" spans="1:6">
      <c r="A44">
        <f t="shared" si="1"/>
        <v>44</v>
      </c>
      <c r="B44">
        <f>INDEX(Sheet1!$K$50:$AB$64,F44,D44)</f>
        <v>9819</v>
      </c>
      <c r="C44">
        <f>INDEX(Sheet1!$K$50:$AB$64,F44,E44)</f>
        <v>916978</v>
      </c>
      <c r="D44">
        <f t="shared" si="0"/>
        <v>15</v>
      </c>
      <c r="E44">
        <v>16</v>
      </c>
      <c r="F44">
        <f t="shared" si="2"/>
        <v>5</v>
      </c>
    </row>
    <row r="45" spans="1:6">
      <c r="A45">
        <f t="shared" si="1"/>
        <v>45</v>
      </c>
      <c r="B45">
        <f>INDEX(Sheet1!$K$50:$AB$64,F45,D45)</f>
        <v>10460</v>
      </c>
      <c r="C45">
        <f>INDEX(Sheet1!$K$50:$AB$64,F45,E45)</f>
        <v>1014134</v>
      </c>
      <c r="D45">
        <f t="shared" si="0"/>
        <v>17</v>
      </c>
      <c r="E45">
        <v>18</v>
      </c>
      <c r="F45">
        <f t="shared" si="2"/>
        <v>5</v>
      </c>
    </row>
    <row r="46" spans="1:6">
      <c r="A46">
        <f t="shared" si="1"/>
        <v>46</v>
      </c>
      <c r="B46">
        <f>INDEX(Sheet1!$K$50:$AB$64,F46,D46)</f>
        <v>10235</v>
      </c>
      <c r="C46">
        <f>INDEX(Sheet1!$K$50:$AB$64,F46,E46)</f>
        <v>747719</v>
      </c>
      <c r="D46">
        <f t="shared" si="0"/>
        <v>1</v>
      </c>
      <c r="E46">
        <v>2</v>
      </c>
      <c r="F46">
        <f t="shared" si="2"/>
        <v>6</v>
      </c>
    </row>
    <row r="47" spans="1:6">
      <c r="A47">
        <f t="shared" si="1"/>
        <v>47</v>
      </c>
      <c r="B47">
        <f>INDEX(Sheet1!$K$50:$AB$64,F47,D47)</f>
        <v>10848</v>
      </c>
      <c r="C47">
        <f>INDEX(Sheet1!$K$50:$AB$64,F47,E47)</f>
        <v>811678</v>
      </c>
      <c r="D47">
        <f t="shared" si="0"/>
        <v>3</v>
      </c>
      <c r="E47">
        <v>4</v>
      </c>
      <c r="F47">
        <f t="shared" si="2"/>
        <v>6</v>
      </c>
    </row>
    <row r="48" spans="1:6">
      <c r="A48">
        <f t="shared" si="1"/>
        <v>48</v>
      </c>
      <c r="B48">
        <f>INDEX(Sheet1!$K$50:$AB$64,F48,D48)</f>
        <v>11724</v>
      </c>
      <c r="C48">
        <f>INDEX(Sheet1!$K$50:$AB$64,F48,E48)</f>
        <v>905547</v>
      </c>
      <c r="D48">
        <f t="shared" si="0"/>
        <v>5</v>
      </c>
      <c r="E48">
        <v>6</v>
      </c>
      <c r="F48">
        <f t="shared" si="2"/>
        <v>6</v>
      </c>
    </row>
    <row r="49" spans="1:6">
      <c r="A49">
        <f t="shared" si="1"/>
        <v>49</v>
      </c>
      <c r="B49">
        <f>INDEX(Sheet1!$K$50:$AB$64,F49,D49)</f>
        <v>12309</v>
      </c>
      <c r="C49">
        <f>INDEX(Sheet1!$K$50:$AB$64,F49,E49)</f>
        <v>965761</v>
      </c>
      <c r="D49">
        <f t="shared" si="0"/>
        <v>7</v>
      </c>
      <c r="E49">
        <v>8</v>
      </c>
      <c r="F49">
        <f t="shared" si="2"/>
        <v>6</v>
      </c>
    </row>
    <row r="50" spans="1:6">
      <c r="A50">
        <f t="shared" si="1"/>
        <v>50</v>
      </c>
      <c r="B50">
        <f>INDEX(Sheet1!$K$50:$AB$64,F50,D50)</f>
        <v>12924</v>
      </c>
      <c r="C50">
        <f>INDEX(Sheet1!$K$50:$AB$64,F50,E50)</f>
        <v>1029979</v>
      </c>
      <c r="D50">
        <f t="shared" si="0"/>
        <v>9</v>
      </c>
      <c r="E50">
        <v>10</v>
      </c>
      <c r="F50">
        <f t="shared" si="2"/>
        <v>6</v>
      </c>
    </row>
    <row r="51" spans="1:6">
      <c r="A51">
        <f t="shared" si="1"/>
        <v>51</v>
      </c>
      <c r="B51">
        <f>INDEX(Sheet1!$K$50:$AB$64,F51,D51)</f>
        <v>13791</v>
      </c>
      <c r="C51">
        <f>INDEX(Sheet1!$K$50:$AB$64,F51,E51)</f>
        <v>1122294</v>
      </c>
      <c r="D51">
        <f t="shared" si="0"/>
        <v>11</v>
      </c>
      <c r="E51">
        <v>12</v>
      </c>
      <c r="F51">
        <f t="shared" si="2"/>
        <v>6</v>
      </c>
    </row>
    <row r="52" spans="1:6">
      <c r="A52">
        <f t="shared" si="1"/>
        <v>52</v>
      </c>
      <c r="B52">
        <f>INDEX(Sheet1!$K$50:$AB$64,F52,D52)</f>
        <v>14566</v>
      </c>
      <c r="C52">
        <f>INDEX(Sheet1!$K$50:$AB$64,F52,E52)</f>
        <v>1202152</v>
      </c>
      <c r="D52">
        <f t="shared" si="0"/>
        <v>13</v>
      </c>
      <c r="E52">
        <v>14</v>
      </c>
      <c r="F52">
        <f t="shared" si="2"/>
        <v>6</v>
      </c>
    </row>
    <row r="53" spans="1:6">
      <c r="A53">
        <f t="shared" si="1"/>
        <v>53</v>
      </c>
      <c r="B53">
        <f>INDEX(Sheet1!$K$50:$AB$64,F53,D53)</f>
        <v>15385</v>
      </c>
      <c r="C53">
        <f>INDEX(Sheet1!$K$50:$AB$64,F53,E53)</f>
        <v>1287693</v>
      </c>
      <c r="D53">
        <f t="shared" si="0"/>
        <v>15</v>
      </c>
      <c r="E53">
        <v>16</v>
      </c>
      <c r="F53">
        <f t="shared" si="2"/>
        <v>6</v>
      </c>
    </row>
    <row r="54" spans="1:6">
      <c r="A54">
        <f t="shared" si="1"/>
        <v>54</v>
      </c>
      <c r="B54">
        <f>INDEX(Sheet1!$K$50:$AB$64,F54,D54)</f>
        <v>16548</v>
      </c>
      <c r="C54">
        <f>INDEX(Sheet1!$K$50:$AB$64,F54,E54)</f>
        <v>1411290</v>
      </c>
      <c r="D54">
        <f t="shared" si="0"/>
        <v>17</v>
      </c>
      <c r="E54">
        <v>18</v>
      </c>
      <c r="F54">
        <f t="shared" si="2"/>
        <v>6</v>
      </c>
    </row>
    <row r="55" spans="1:6">
      <c r="A55">
        <f t="shared" si="1"/>
        <v>55</v>
      </c>
      <c r="B55">
        <f>INDEX(Sheet1!$K$50:$AB$64,F55,D55)</f>
        <v>14847</v>
      </c>
      <c r="C55">
        <f>INDEX(Sheet1!$K$50:$AB$64,F55,E55)</f>
        <v>1139576</v>
      </c>
      <c r="D55">
        <f t="shared" si="0"/>
        <v>1</v>
      </c>
      <c r="E55">
        <v>2</v>
      </c>
      <c r="F55">
        <f t="shared" si="2"/>
        <v>7</v>
      </c>
    </row>
    <row r="56" spans="1:6">
      <c r="A56">
        <f t="shared" si="1"/>
        <v>56</v>
      </c>
      <c r="B56">
        <f>INDEX(Sheet1!$K$50:$AB$64,F56,D56)</f>
        <v>15903</v>
      </c>
      <c r="C56">
        <f>INDEX(Sheet1!$K$50:$AB$64,F56,E56)</f>
        <v>1229783</v>
      </c>
      <c r="D56">
        <f t="shared" si="0"/>
        <v>3</v>
      </c>
      <c r="E56">
        <v>4</v>
      </c>
      <c r="F56">
        <f t="shared" si="2"/>
        <v>7</v>
      </c>
    </row>
    <row r="57" spans="1:6">
      <c r="A57">
        <f t="shared" si="1"/>
        <v>57</v>
      </c>
      <c r="B57">
        <f>INDEX(Sheet1!$K$50:$AB$64,F57,D57)</f>
        <v>17429</v>
      </c>
      <c r="C57">
        <f>INDEX(Sheet1!$K$50:$AB$64,F57,E57)</f>
        <v>1361264</v>
      </c>
      <c r="D57">
        <f t="shared" si="0"/>
        <v>5</v>
      </c>
      <c r="E57">
        <v>6</v>
      </c>
      <c r="F57">
        <f t="shared" si="2"/>
        <v>7</v>
      </c>
    </row>
    <row r="58" spans="1:6">
      <c r="A58">
        <f t="shared" si="1"/>
        <v>58</v>
      </c>
      <c r="B58">
        <f>INDEX(Sheet1!$K$50:$AB$64,F58,D58)</f>
        <v>18430</v>
      </c>
      <c r="C58">
        <f>INDEX(Sheet1!$K$50:$AB$64,F58,E58)</f>
        <v>1446454</v>
      </c>
      <c r="D58">
        <f t="shared" si="0"/>
        <v>7</v>
      </c>
      <c r="E58">
        <v>8</v>
      </c>
      <c r="F58">
        <f t="shared" si="2"/>
        <v>7</v>
      </c>
    </row>
    <row r="59" spans="1:6">
      <c r="A59">
        <f t="shared" si="1"/>
        <v>59</v>
      </c>
      <c r="B59">
        <f>INDEX(Sheet1!$K$50:$AB$64,F59,D59)</f>
        <v>19489</v>
      </c>
      <c r="C59">
        <f>INDEX(Sheet1!$K$50:$AB$64,F59,E59)</f>
        <v>1536976</v>
      </c>
      <c r="D59">
        <f t="shared" si="0"/>
        <v>9</v>
      </c>
      <c r="E59">
        <v>10</v>
      </c>
      <c r="F59">
        <f t="shared" si="2"/>
        <v>7</v>
      </c>
    </row>
    <row r="60" spans="1:6">
      <c r="A60">
        <f t="shared" si="1"/>
        <v>60</v>
      </c>
      <c r="B60">
        <f>INDEX(Sheet1!$K$50:$AB$64,F60,D60)</f>
        <v>20996</v>
      </c>
      <c r="C60">
        <f>INDEX(Sheet1!$K$50:$AB$64,F60,E60)</f>
        <v>1666544</v>
      </c>
      <c r="D60">
        <f t="shared" si="0"/>
        <v>11</v>
      </c>
      <c r="E60">
        <v>12</v>
      </c>
      <c r="F60">
        <f t="shared" si="2"/>
        <v>7</v>
      </c>
    </row>
    <row r="61" spans="1:6">
      <c r="A61">
        <f t="shared" si="1"/>
        <v>61</v>
      </c>
      <c r="B61">
        <f>INDEX(Sheet1!$K$50:$AB$64,F61,D61)</f>
        <v>22323</v>
      </c>
      <c r="C61">
        <f>INDEX(Sheet1!$K$50:$AB$64,F61,E61)</f>
        <v>1779460</v>
      </c>
      <c r="D61">
        <f t="shared" si="0"/>
        <v>13</v>
      </c>
      <c r="E61">
        <v>14</v>
      </c>
      <c r="F61">
        <f t="shared" si="2"/>
        <v>7</v>
      </c>
    </row>
    <row r="62" spans="1:6">
      <c r="A62">
        <f t="shared" si="1"/>
        <v>62</v>
      </c>
      <c r="B62">
        <f>INDEX(Sheet1!$K$50:$AB$64,F62,D62)</f>
        <v>23733</v>
      </c>
      <c r="C62">
        <f>INDEX(Sheet1!$K$50:$AB$64,F62,E62)</f>
        <v>1900026</v>
      </c>
      <c r="D62">
        <f t="shared" si="0"/>
        <v>15</v>
      </c>
      <c r="E62">
        <v>16</v>
      </c>
      <c r="F62">
        <f t="shared" si="2"/>
        <v>7</v>
      </c>
    </row>
    <row r="63" spans="1:6">
      <c r="A63">
        <f t="shared" si="1"/>
        <v>63</v>
      </c>
      <c r="B63">
        <f>INDEX(Sheet1!$K$50:$AB$64,F63,D63)</f>
        <v>25753</v>
      </c>
      <c r="C63">
        <f>INDEX(Sheet1!$K$50:$AB$64,F63,E63)</f>
        <v>2073583</v>
      </c>
      <c r="D63">
        <f t="shared" si="0"/>
        <v>17</v>
      </c>
      <c r="E63">
        <v>18</v>
      </c>
      <c r="F63">
        <f t="shared" si="2"/>
        <v>7</v>
      </c>
    </row>
    <row r="64" spans="1:6">
      <c r="A64">
        <f t="shared" si="1"/>
        <v>64</v>
      </c>
      <c r="B64">
        <f>INDEX(Sheet1!$K$50:$AB$64,F64,D64)</f>
        <v>23650</v>
      </c>
      <c r="C64">
        <f>INDEX(Sheet1!$K$50:$AB$64,F64,E64)</f>
        <v>1685396</v>
      </c>
      <c r="D64">
        <f t="shared" si="0"/>
        <v>1</v>
      </c>
      <c r="E64">
        <v>2</v>
      </c>
      <c r="F64">
        <f t="shared" si="2"/>
        <v>8</v>
      </c>
    </row>
    <row r="65" spans="1:6">
      <c r="A65">
        <f t="shared" si="1"/>
        <v>65</v>
      </c>
      <c r="B65">
        <f>INDEX(Sheet1!$K$50:$AB$64,F65,D65)</f>
        <v>25582</v>
      </c>
      <c r="C65">
        <f>INDEX(Sheet1!$K$50:$AB$64,F65,E65)</f>
        <v>1806683</v>
      </c>
      <c r="D65">
        <f t="shared" si="0"/>
        <v>3</v>
      </c>
      <c r="E65">
        <v>4</v>
      </c>
      <c r="F65">
        <f t="shared" si="2"/>
        <v>8</v>
      </c>
    </row>
    <row r="66" spans="1:6">
      <c r="A66">
        <f t="shared" si="1"/>
        <v>66</v>
      </c>
      <c r="B66">
        <f>INDEX(Sheet1!$K$50:$AB$64,F66,D66)</f>
        <v>28406</v>
      </c>
      <c r="C66">
        <f>INDEX(Sheet1!$K$50:$AB$64,F66,E66)</f>
        <v>1982083</v>
      </c>
      <c r="D66">
        <f t="shared" ref="D66:D129" si="3">E66-1</f>
        <v>5</v>
      </c>
      <c r="E66">
        <v>6</v>
      </c>
      <c r="F66">
        <f t="shared" si="2"/>
        <v>8</v>
      </c>
    </row>
    <row r="67" spans="1:6">
      <c r="A67">
        <f t="shared" ref="A67:A130" si="4">A66+1</f>
        <v>67</v>
      </c>
      <c r="B67">
        <f>INDEX(Sheet1!$K$50:$AB$64,F67,D67)</f>
        <v>30229</v>
      </c>
      <c r="C67">
        <f>INDEX(Sheet1!$K$50:$AB$64,F67,E67)</f>
        <v>2097051</v>
      </c>
      <c r="D67">
        <f t="shared" si="3"/>
        <v>7</v>
      </c>
      <c r="E67">
        <v>8</v>
      </c>
      <c r="F67">
        <f t="shared" si="2"/>
        <v>8</v>
      </c>
    </row>
    <row r="68" spans="1:6">
      <c r="A68">
        <f t="shared" si="4"/>
        <v>68</v>
      </c>
      <c r="B68">
        <f>INDEX(Sheet1!$K$50:$AB$64,F68,D68)</f>
        <v>32168</v>
      </c>
      <c r="C68">
        <f>INDEX(Sheet1!$K$50:$AB$64,F68,E68)</f>
        <v>2218687</v>
      </c>
      <c r="D68">
        <f t="shared" si="3"/>
        <v>9</v>
      </c>
      <c r="E68">
        <v>10</v>
      </c>
      <c r="F68">
        <f t="shared" si="2"/>
        <v>8</v>
      </c>
    </row>
    <row r="69" spans="1:6">
      <c r="A69">
        <f t="shared" si="4"/>
        <v>69</v>
      </c>
      <c r="B69">
        <f>INDEX(Sheet1!$K$50:$AB$64,F69,D69)</f>
        <v>34949</v>
      </c>
      <c r="C69">
        <f>INDEX(Sheet1!$K$50:$AB$64,F69,E69)</f>
        <v>2391914</v>
      </c>
      <c r="D69">
        <f t="shared" si="3"/>
        <v>11</v>
      </c>
      <c r="E69">
        <v>12</v>
      </c>
      <c r="F69">
        <f t="shared" si="2"/>
        <v>8</v>
      </c>
    </row>
    <row r="70" spans="1:6">
      <c r="A70">
        <f t="shared" si="4"/>
        <v>70</v>
      </c>
      <c r="B70">
        <f>INDEX(Sheet1!$K$50:$AB$64,F70,D70)</f>
        <v>37365</v>
      </c>
      <c r="C70">
        <f>INDEX(Sheet1!$K$50:$AB$64,F70,E70)</f>
        <v>2544212</v>
      </c>
      <c r="D70">
        <f t="shared" si="3"/>
        <v>13</v>
      </c>
      <c r="E70">
        <v>14</v>
      </c>
      <c r="F70">
        <f t="shared" si="2"/>
        <v>8</v>
      </c>
    </row>
    <row r="71" spans="1:6">
      <c r="A71">
        <f t="shared" si="4"/>
        <v>71</v>
      </c>
      <c r="B71">
        <f>INDEX(Sheet1!$K$50:$AB$64,F71,D71)</f>
        <v>39948</v>
      </c>
      <c r="C71">
        <f>INDEX(Sheet1!$K$50:$AB$64,F71,E71)</f>
        <v>2706206</v>
      </c>
      <c r="D71">
        <f t="shared" si="3"/>
        <v>15</v>
      </c>
      <c r="E71">
        <v>16</v>
      </c>
      <c r="F71">
        <f t="shared" si="2"/>
        <v>8</v>
      </c>
    </row>
    <row r="72" spans="1:6">
      <c r="A72">
        <f t="shared" si="4"/>
        <v>72</v>
      </c>
      <c r="B72">
        <f>INDEX(Sheet1!$K$50:$AB$64,F72,D72)</f>
        <v>43672</v>
      </c>
      <c r="C72">
        <f>INDEX(Sheet1!$K$50:$AB$64,F72,E72)</f>
        <v>2938356</v>
      </c>
      <c r="D72">
        <f t="shared" si="3"/>
        <v>17</v>
      </c>
      <c r="E72">
        <v>18</v>
      </c>
      <c r="F72">
        <f t="shared" si="2"/>
        <v>8</v>
      </c>
    </row>
    <row r="73" spans="1:6">
      <c r="A73">
        <f t="shared" si="4"/>
        <v>73</v>
      </c>
      <c r="B73">
        <f>INDEX(Sheet1!$K$50:$AB$64,F73,D73)</f>
        <v>34479</v>
      </c>
      <c r="C73">
        <f>INDEX(Sheet1!$K$50:$AB$64,F73,E73)</f>
        <v>2373997</v>
      </c>
      <c r="D73">
        <f t="shared" si="3"/>
        <v>1</v>
      </c>
      <c r="E73">
        <v>2</v>
      </c>
      <c r="F73">
        <f t="shared" si="2"/>
        <v>9</v>
      </c>
    </row>
    <row r="74" spans="1:6">
      <c r="A74">
        <f t="shared" si="4"/>
        <v>74</v>
      </c>
      <c r="B74">
        <f>INDEX(Sheet1!$K$50:$AB$64,F74,D74)</f>
        <v>37647</v>
      </c>
      <c r="C74">
        <f>INDEX(Sheet1!$K$50:$AB$64,F74,E74)</f>
        <v>2538958</v>
      </c>
      <c r="D74">
        <f t="shared" si="3"/>
        <v>3</v>
      </c>
      <c r="E74">
        <v>4</v>
      </c>
      <c r="F74">
        <f t="shared" si="2"/>
        <v>9</v>
      </c>
    </row>
    <row r="75" spans="1:6">
      <c r="A75">
        <f t="shared" si="4"/>
        <v>75</v>
      </c>
      <c r="B75">
        <f>INDEX(Sheet1!$K$50:$AB$64,F75,D75)</f>
        <v>42328</v>
      </c>
      <c r="C75">
        <f>INDEX(Sheet1!$K$50:$AB$64,F75,E75)</f>
        <v>2776874</v>
      </c>
      <c r="D75">
        <f t="shared" si="3"/>
        <v>5</v>
      </c>
      <c r="E75">
        <v>6</v>
      </c>
      <c r="F75">
        <f t="shared" ref="F75:F135" si="5">F66+1</f>
        <v>9</v>
      </c>
    </row>
    <row r="76" spans="1:6">
      <c r="A76">
        <f t="shared" si="4"/>
        <v>76</v>
      </c>
      <c r="B76">
        <f>INDEX(Sheet1!$K$50:$AB$64,F76,D76)</f>
        <v>45302</v>
      </c>
      <c r="C76">
        <f>INDEX(Sheet1!$K$50:$AB$64,F76,E76)</f>
        <v>2933451</v>
      </c>
      <c r="D76">
        <f t="shared" si="3"/>
        <v>7</v>
      </c>
      <c r="E76">
        <v>8</v>
      </c>
      <c r="F76">
        <f t="shared" si="5"/>
        <v>9</v>
      </c>
    </row>
    <row r="77" spans="1:6">
      <c r="A77">
        <f t="shared" si="4"/>
        <v>77</v>
      </c>
      <c r="B77">
        <f>INDEX(Sheet1!$K$50:$AB$64,F77,D77)</f>
        <v>48484</v>
      </c>
      <c r="C77">
        <f>INDEX(Sheet1!$K$50:$AB$64,F77,E77)</f>
        <v>3098856</v>
      </c>
      <c r="D77">
        <f t="shared" si="3"/>
        <v>9</v>
      </c>
      <c r="E77">
        <v>10</v>
      </c>
      <c r="F77">
        <f t="shared" si="5"/>
        <v>9</v>
      </c>
    </row>
    <row r="78" spans="1:6">
      <c r="A78">
        <f t="shared" si="4"/>
        <v>78</v>
      </c>
      <c r="B78">
        <f>INDEX(Sheet1!$K$50:$AB$64,F78,D78)</f>
        <v>53078</v>
      </c>
      <c r="C78">
        <f>INDEX(Sheet1!$K$50:$AB$64,F78,E78)</f>
        <v>3333994</v>
      </c>
      <c r="D78">
        <f t="shared" si="3"/>
        <v>11</v>
      </c>
      <c r="E78">
        <v>12</v>
      </c>
      <c r="F78">
        <f t="shared" si="5"/>
        <v>9</v>
      </c>
    </row>
    <row r="79" spans="1:6">
      <c r="A79">
        <f t="shared" si="4"/>
        <v>79</v>
      </c>
      <c r="B79">
        <f>INDEX(Sheet1!$K$50:$AB$64,F79,D79)</f>
        <v>57024</v>
      </c>
      <c r="C79">
        <f>INDEX(Sheet1!$K$50:$AB$64,F79,E79)</f>
        <v>3541375</v>
      </c>
      <c r="D79">
        <f t="shared" si="3"/>
        <v>13</v>
      </c>
      <c r="E79">
        <v>14</v>
      </c>
      <c r="F79">
        <f t="shared" si="5"/>
        <v>9</v>
      </c>
    </row>
    <row r="80" spans="1:6">
      <c r="A80">
        <f t="shared" si="4"/>
        <v>80</v>
      </c>
      <c r="B80">
        <f>INDEX(Sheet1!$K$50:$AB$64,F80,D80)</f>
        <v>61264</v>
      </c>
      <c r="C80">
        <f>INDEX(Sheet1!$K$50:$AB$64,F80,E80)</f>
        <v>3761655</v>
      </c>
      <c r="D80">
        <f t="shared" si="3"/>
        <v>15</v>
      </c>
      <c r="E80">
        <v>16</v>
      </c>
      <c r="F80">
        <f t="shared" si="5"/>
        <v>9</v>
      </c>
    </row>
    <row r="81" spans="1:6">
      <c r="A81">
        <f t="shared" si="4"/>
        <v>81</v>
      </c>
      <c r="B81">
        <f>INDEX(Sheet1!$K$50:$AB$64,F81,D81)</f>
        <v>67411</v>
      </c>
      <c r="C81">
        <f>INDEX(Sheet1!$K$50:$AB$64,F81,E81)</f>
        <v>4076822</v>
      </c>
      <c r="D81">
        <f t="shared" si="3"/>
        <v>17</v>
      </c>
      <c r="E81">
        <v>18</v>
      </c>
      <c r="F81">
        <f t="shared" si="5"/>
        <v>9</v>
      </c>
    </row>
    <row r="82" spans="1:6">
      <c r="A82">
        <f t="shared" si="4"/>
        <v>82</v>
      </c>
      <c r="B82">
        <f>INDEX(Sheet1!$K$50:$AB$64,F82,D82)</f>
        <v>50595</v>
      </c>
      <c r="C82">
        <f>INDEX(Sheet1!$K$50:$AB$64,F82,E82)</f>
        <v>3209315</v>
      </c>
      <c r="D82">
        <f t="shared" si="3"/>
        <v>1</v>
      </c>
      <c r="E82">
        <v>2</v>
      </c>
      <c r="F82">
        <f t="shared" si="5"/>
        <v>10</v>
      </c>
    </row>
    <row r="83" spans="1:6">
      <c r="A83">
        <f t="shared" si="4"/>
        <v>83</v>
      </c>
      <c r="B83">
        <f>INDEX(Sheet1!$K$50:$AB$64,F83,D83)</f>
        <v>55737</v>
      </c>
      <c r="C83">
        <f>INDEX(Sheet1!$K$50:$AB$64,F83,E83)</f>
        <v>3440886</v>
      </c>
      <c r="D83">
        <f t="shared" si="3"/>
        <v>3</v>
      </c>
      <c r="E83">
        <v>4</v>
      </c>
      <c r="F83">
        <f t="shared" si="5"/>
        <v>10</v>
      </c>
    </row>
    <row r="84" spans="1:6">
      <c r="A84">
        <f t="shared" si="4"/>
        <v>84</v>
      </c>
      <c r="B84">
        <f>INDEX(Sheet1!$K$50:$AB$64,F84,D84)</f>
        <v>63414</v>
      </c>
      <c r="C84">
        <f>INDEX(Sheet1!$K$50:$AB$64,F84,E84)</f>
        <v>3775846</v>
      </c>
      <c r="D84">
        <f t="shared" si="3"/>
        <v>5</v>
      </c>
      <c r="E84">
        <v>6</v>
      </c>
      <c r="F84">
        <f t="shared" si="5"/>
        <v>10</v>
      </c>
    </row>
    <row r="85" spans="1:6">
      <c r="A85">
        <f t="shared" si="4"/>
        <v>85</v>
      </c>
      <c r="B85">
        <f>INDEX(Sheet1!$K$50:$AB$64,F85,D85)</f>
        <v>68221</v>
      </c>
      <c r="C85">
        <f>INDEX(Sheet1!$K$50:$AB$64,F85,E85)</f>
        <v>3995330</v>
      </c>
      <c r="D85">
        <f t="shared" si="3"/>
        <v>7</v>
      </c>
      <c r="E85">
        <v>8</v>
      </c>
      <c r="F85">
        <f t="shared" si="5"/>
        <v>10</v>
      </c>
    </row>
    <row r="86" spans="1:6">
      <c r="A86">
        <f t="shared" si="4"/>
        <v>86</v>
      </c>
      <c r="B86">
        <f>INDEX(Sheet1!$K$50:$AB$64,F86,D86)</f>
        <v>73392</v>
      </c>
      <c r="C86">
        <f>INDEX(Sheet1!$K$50:$AB$64,F86,E86)</f>
        <v>4227573</v>
      </c>
      <c r="D86">
        <f t="shared" si="3"/>
        <v>9</v>
      </c>
      <c r="E86">
        <v>10</v>
      </c>
      <c r="F86">
        <f t="shared" si="5"/>
        <v>10</v>
      </c>
    </row>
    <row r="87" spans="1:6">
      <c r="A87">
        <f t="shared" si="4"/>
        <v>87</v>
      </c>
      <c r="B87">
        <f>INDEX(Sheet1!$K$50:$AB$64,F87,D87)</f>
        <v>80901</v>
      </c>
      <c r="C87">
        <f>INDEX(Sheet1!$K$50:$AB$64,F87,E87)</f>
        <v>4558364</v>
      </c>
      <c r="D87">
        <f t="shared" si="3"/>
        <v>11</v>
      </c>
      <c r="E87">
        <v>12</v>
      </c>
      <c r="F87">
        <f t="shared" si="5"/>
        <v>10</v>
      </c>
    </row>
    <row r="88" spans="1:6">
      <c r="A88">
        <f t="shared" si="4"/>
        <v>88</v>
      </c>
      <c r="B88">
        <f>INDEX(Sheet1!$K$50:$AB$64,F88,D88)</f>
        <v>87287</v>
      </c>
      <c r="C88">
        <f>INDEX(Sheet1!$K$50:$AB$64,F88,E88)</f>
        <v>4849118</v>
      </c>
      <c r="D88">
        <f t="shared" si="3"/>
        <v>13</v>
      </c>
      <c r="E88">
        <v>14</v>
      </c>
      <c r="F88">
        <f t="shared" si="5"/>
        <v>10</v>
      </c>
    </row>
    <row r="89" spans="1:6">
      <c r="A89">
        <f t="shared" si="4"/>
        <v>89</v>
      </c>
      <c r="B89">
        <f>INDEX(Sheet1!$K$50:$AB$64,F89,D89)</f>
        <v>94176</v>
      </c>
      <c r="C89">
        <f>INDEX(Sheet1!$K$50:$AB$64,F89,E89)</f>
        <v>5158417</v>
      </c>
      <c r="D89">
        <f t="shared" si="3"/>
        <v>15</v>
      </c>
      <c r="E89">
        <v>16</v>
      </c>
      <c r="F89">
        <f t="shared" si="5"/>
        <v>10</v>
      </c>
    </row>
    <row r="90" spans="1:6">
      <c r="A90">
        <f t="shared" si="4"/>
        <v>90</v>
      </c>
      <c r="B90">
        <f>INDEX(Sheet1!$K$50:$AB$64,F90,D90)</f>
        <v>104216</v>
      </c>
      <c r="C90">
        <f>INDEX(Sheet1!$K$50:$AB$64,F90,E90)</f>
        <v>5601721</v>
      </c>
      <c r="D90">
        <f t="shared" si="3"/>
        <v>17</v>
      </c>
      <c r="E90">
        <v>18</v>
      </c>
      <c r="F90">
        <f t="shared" si="5"/>
        <v>10</v>
      </c>
    </row>
    <row r="91" spans="1:6">
      <c r="A91">
        <f t="shared" si="4"/>
        <v>91</v>
      </c>
      <c r="B91">
        <f>INDEX(Sheet1!$K$50:$AB$64,F91,D91)</f>
        <v>71087</v>
      </c>
      <c r="C91">
        <f>INDEX(Sheet1!$K$50:$AB$64,F91,E91)</f>
        <v>4229252</v>
      </c>
      <c r="D91">
        <f t="shared" si="3"/>
        <v>1</v>
      </c>
      <c r="E91">
        <v>2</v>
      </c>
      <c r="F91">
        <f t="shared" si="5"/>
        <v>11</v>
      </c>
    </row>
    <row r="92" spans="1:6">
      <c r="A92">
        <f t="shared" si="4"/>
        <v>92</v>
      </c>
      <c r="B92">
        <f>INDEX(Sheet1!$K$50:$AB$64,F92,D92)</f>
        <v>78973</v>
      </c>
      <c r="C92">
        <f>INDEX(Sheet1!$K$50:$AB$64,F92,E92)</f>
        <v>4540920</v>
      </c>
      <c r="D92">
        <f t="shared" si="3"/>
        <v>3</v>
      </c>
      <c r="E92">
        <v>4</v>
      </c>
      <c r="F92">
        <f t="shared" si="5"/>
        <v>11</v>
      </c>
    </row>
    <row r="93" spans="1:6">
      <c r="A93">
        <f t="shared" si="4"/>
        <v>93</v>
      </c>
      <c r="B93">
        <f>INDEX(Sheet1!$K$50:$AB$64,F93,D93)</f>
        <v>90865</v>
      </c>
      <c r="C93">
        <f>INDEX(Sheet1!$K$50:$AB$64,F93,E93)</f>
        <v>4992494</v>
      </c>
      <c r="D93">
        <f t="shared" si="3"/>
        <v>5</v>
      </c>
      <c r="E93">
        <v>6</v>
      </c>
      <c r="F93">
        <f t="shared" si="5"/>
        <v>11</v>
      </c>
    </row>
    <row r="94" spans="1:6">
      <c r="A94">
        <f t="shared" si="4"/>
        <v>94</v>
      </c>
      <c r="B94">
        <f>INDEX(Sheet1!$K$50:$AB$64,F94,D94)</f>
        <v>98210</v>
      </c>
      <c r="C94">
        <f>INDEX(Sheet1!$K$50:$AB$64,F94,E94)</f>
        <v>5287653</v>
      </c>
      <c r="D94">
        <f t="shared" si="3"/>
        <v>7</v>
      </c>
      <c r="E94">
        <v>8</v>
      </c>
      <c r="F94">
        <f t="shared" si="5"/>
        <v>11</v>
      </c>
    </row>
    <row r="95" spans="1:6">
      <c r="A95">
        <f t="shared" si="4"/>
        <v>95</v>
      </c>
      <c r="B95">
        <f>INDEX(Sheet1!$K$50:$AB$64,F95,D95)</f>
        <v>106149</v>
      </c>
      <c r="C95">
        <f>INDEX(Sheet1!$K$50:$AB$64,F95,E95)</f>
        <v>5600263</v>
      </c>
      <c r="D95">
        <f t="shared" si="3"/>
        <v>9</v>
      </c>
      <c r="E95">
        <v>10</v>
      </c>
      <c r="F95">
        <f t="shared" si="5"/>
        <v>11</v>
      </c>
    </row>
    <row r="96" spans="1:6">
      <c r="A96">
        <f t="shared" si="4"/>
        <v>96</v>
      </c>
      <c r="B96">
        <f>INDEX(Sheet1!$K$50:$AB$64,F96,D96)</f>
        <v>117741</v>
      </c>
      <c r="C96">
        <f>INDEX(Sheet1!$K$50:$AB$64,F96,E96)</f>
        <v>6046012</v>
      </c>
      <c r="D96">
        <f t="shared" si="3"/>
        <v>11</v>
      </c>
      <c r="E96">
        <v>12</v>
      </c>
      <c r="F96">
        <f t="shared" si="5"/>
        <v>11</v>
      </c>
    </row>
    <row r="97" spans="1:6">
      <c r="A97">
        <f t="shared" si="4"/>
        <v>97</v>
      </c>
      <c r="B97">
        <f>INDEX(Sheet1!$K$50:$AB$64,F97,D97)</f>
        <v>127510</v>
      </c>
      <c r="C97">
        <f>INDEX(Sheet1!$K$50:$AB$64,F97,E97)</f>
        <v>6437059</v>
      </c>
      <c r="D97">
        <f t="shared" si="3"/>
        <v>13</v>
      </c>
      <c r="E97">
        <v>14</v>
      </c>
      <c r="F97">
        <f t="shared" si="5"/>
        <v>11</v>
      </c>
    </row>
    <row r="98" spans="1:6">
      <c r="A98">
        <f t="shared" si="4"/>
        <v>98</v>
      </c>
      <c r="B98">
        <f>INDEX(Sheet1!$K$50:$AB$64,F98,D98)</f>
        <v>138090</v>
      </c>
      <c r="C98">
        <f>INDEX(Sheet1!$K$50:$AB$64,F98,E98)</f>
        <v>6853399</v>
      </c>
      <c r="D98">
        <f t="shared" si="3"/>
        <v>15</v>
      </c>
      <c r="E98">
        <v>16</v>
      </c>
      <c r="F98">
        <f t="shared" si="5"/>
        <v>11</v>
      </c>
    </row>
    <row r="99" spans="1:6">
      <c r="A99">
        <f t="shared" si="4"/>
        <v>99</v>
      </c>
      <c r="B99">
        <f>INDEX(Sheet1!$K$50:$AB$64,F99,D99)</f>
        <v>153575</v>
      </c>
      <c r="C99">
        <f>INDEX(Sheet1!$K$50:$AB$64,F99,E99)</f>
        <v>7450704</v>
      </c>
      <c r="D99">
        <f t="shared" si="3"/>
        <v>17</v>
      </c>
      <c r="E99">
        <v>18</v>
      </c>
      <c r="F99">
        <f t="shared" si="5"/>
        <v>11</v>
      </c>
    </row>
    <row r="100" spans="1:6">
      <c r="A100">
        <f t="shared" si="4"/>
        <v>100</v>
      </c>
      <c r="B100">
        <f>INDEX(Sheet1!$K$50:$AB$64,F100,D100)</f>
        <v>150761</v>
      </c>
      <c r="C100">
        <f>INDEX(Sheet1!$K$50:$AB$64,F100,E100)</f>
        <v>5493664</v>
      </c>
      <c r="D100">
        <f t="shared" si="3"/>
        <v>1</v>
      </c>
      <c r="E100">
        <v>2</v>
      </c>
      <c r="F100">
        <f t="shared" si="5"/>
        <v>12</v>
      </c>
    </row>
    <row r="101" spans="1:6">
      <c r="A101">
        <f t="shared" si="4"/>
        <v>101</v>
      </c>
      <c r="B101">
        <f>INDEX(Sheet1!$K$50:$AB$64,F101,D101)</f>
        <v>168655</v>
      </c>
      <c r="C101">
        <f>INDEX(Sheet1!$K$50:$AB$64,F101,E101)</f>
        <v>5897926</v>
      </c>
      <c r="D101">
        <f t="shared" si="3"/>
        <v>3</v>
      </c>
      <c r="E101">
        <v>4</v>
      </c>
      <c r="F101">
        <f t="shared" si="5"/>
        <v>12</v>
      </c>
    </row>
    <row r="102" spans="1:6">
      <c r="A102">
        <f t="shared" si="4"/>
        <v>102</v>
      </c>
      <c r="B102">
        <f>INDEX(Sheet1!$K$50:$AB$64,F102,D102)</f>
        <v>195861</v>
      </c>
      <c r="C102">
        <f>INDEX(Sheet1!$K$50:$AB$64,F102,E102)</f>
        <v>6483590</v>
      </c>
      <c r="D102">
        <f t="shared" si="3"/>
        <v>5</v>
      </c>
      <c r="E102">
        <v>6</v>
      </c>
      <c r="F102">
        <f t="shared" si="5"/>
        <v>12</v>
      </c>
    </row>
    <row r="103" spans="1:6">
      <c r="A103">
        <f t="shared" si="4"/>
        <v>103</v>
      </c>
      <c r="B103">
        <f>INDEX(Sheet1!$K$50:$AB$64,F103,D103)</f>
        <v>212482</v>
      </c>
      <c r="C103">
        <f>INDEX(Sheet1!$K$50:$AB$64,F103,E103)</f>
        <v>6866460</v>
      </c>
      <c r="D103">
        <f t="shared" si="3"/>
        <v>7</v>
      </c>
      <c r="E103">
        <v>8</v>
      </c>
      <c r="F103">
        <f t="shared" si="5"/>
        <v>12</v>
      </c>
    </row>
    <row r="104" spans="1:6">
      <c r="A104">
        <f t="shared" si="4"/>
        <v>104</v>
      </c>
      <c r="B104">
        <f>INDEX(Sheet1!$K$50:$AB$64,F104,D104)</f>
        <v>230512</v>
      </c>
      <c r="C104">
        <f>INDEX(Sheet1!$K$50:$AB$64,F104,E104)</f>
        <v>7271939</v>
      </c>
      <c r="D104">
        <f t="shared" si="3"/>
        <v>9</v>
      </c>
      <c r="E104">
        <v>10</v>
      </c>
      <c r="F104">
        <f t="shared" si="5"/>
        <v>12</v>
      </c>
    </row>
    <row r="105" spans="1:6">
      <c r="A105">
        <f t="shared" si="4"/>
        <v>105</v>
      </c>
      <c r="B105">
        <f>INDEX(Sheet1!$K$50:$AB$64,F105,D105)</f>
        <v>256956</v>
      </c>
      <c r="C105">
        <f>INDEX(Sheet1!$K$50:$AB$64,F105,E105)</f>
        <v>7850067</v>
      </c>
      <c r="D105">
        <f t="shared" si="3"/>
        <v>11</v>
      </c>
      <c r="E105">
        <v>12</v>
      </c>
      <c r="F105">
        <f t="shared" si="5"/>
        <v>12</v>
      </c>
    </row>
    <row r="106" spans="1:6">
      <c r="A106">
        <f t="shared" si="4"/>
        <v>106</v>
      </c>
      <c r="B106">
        <f>INDEX(Sheet1!$K$50:$AB$64,F106,D106)</f>
        <v>279085</v>
      </c>
      <c r="C106">
        <f>INDEX(Sheet1!$K$50:$AB$64,F106,E106)</f>
        <v>8357314</v>
      </c>
      <c r="D106">
        <f t="shared" si="3"/>
        <v>13</v>
      </c>
      <c r="E106">
        <v>14</v>
      </c>
      <c r="F106">
        <f t="shared" si="5"/>
        <v>12</v>
      </c>
    </row>
    <row r="107" spans="1:6">
      <c r="A107">
        <f t="shared" si="4"/>
        <v>107</v>
      </c>
      <c r="B107">
        <f>INDEX(Sheet1!$K$50:$AB$64,F107,D107)</f>
        <v>303120</v>
      </c>
      <c r="C107">
        <f>INDEX(Sheet1!$K$50:$AB$64,F107,E107)</f>
        <v>8897339</v>
      </c>
      <c r="D107">
        <f t="shared" si="3"/>
        <v>15</v>
      </c>
      <c r="E107">
        <v>16</v>
      </c>
      <c r="F107">
        <f t="shared" si="5"/>
        <v>12</v>
      </c>
    </row>
    <row r="108" spans="1:6">
      <c r="A108">
        <f t="shared" si="4"/>
        <v>108</v>
      </c>
      <c r="B108">
        <f>INDEX(Sheet1!$K$50:$AB$64,F108,D108)</f>
        <v>338417</v>
      </c>
      <c r="C108">
        <f>INDEX(Sheet1!$K$50:$AB$64,F108,E108)</f>
        <v>9672037</v>
      </c>
      <c r="D108">
        <f t="shared" si="3"/>
        <v>17</v>
      </c>
      <c r="E108">
        <v>18</v>
      </c>
      <c r="F108">
        <f t="shared" si="5"/>
        <v>12</v>
      </c>
    </row>
    <row r="109" spans="1:6">
      <c r="A109">
        <f t="shared" si="4"/>
        <v>109</v>
      </c>
      <c r="B109">
        <f>INDEX(Sheet1!$K$50:$AB$64,F109,D109)</f>
        <v>204632</v>
      </c>
      <c r="C109">
        <f>INDEX(Sheet1!$K$50:$AB$64,F109,E109)</f>
        <v>7070587</v>
      </c>
      <c r="D109">
        <f t="shared" si="3"/>
        <v>1</v>
      </c>
      <c r="E109">
        <v>2</v>
      </c>
      <c r="F109">
        <f t="shared" si="5"/>
        <v>13</v>
      </c>
    </row>
    <row r="110" spans="1:6">
      <c r="A110">
        <f t="shared" si="4"/>
        <v>110</v>
      </c>
      <c r="B110">
        <f>INDEX(Sheet1!$K$50:$AB$64,F110,D110)</f>
        <v>230456</v>
      </c>
      <c r="C110">
        <f>INDEX(Sheet1!$K$50:$AB$64,F110,E110)</f>
        <v>7588774</v>
      </c>
      <c r="D110">
        <f t="shared" si="3"/>
        <v>3</v>
      </c>
      <c r="E110">
        <v>4</v>
      </c>
      <c r="F110">
        <f t="shared" si="5"/>
        <v>13</v>
      </c>
    </row>
    <row r="111" spans="1:6">
      <c r="A111">
        <f t="shared" si="4"/>
        <v>111</v>
      </c>
      <c r="B111">
        <f>INDEX(Sheet1!$K$50:$AB$64,F111,D111)</f>
        <v>270028</v>
      </c>
      <c r="C111">
        <f>INDEX(Sheet1!$K$50:$AB$64,F111,E111)</f>
        <v>8339240</v>
      </c>
      <c r="D111">
        <f t="shared" si="3"/>
        <v>5</v>
      </c>
      <c r="E111">
        <v>6</v>
      </c>
      <c r="F111">
        <f t="shared" si="5"/>
        <v>13</v>
      </c>
    </row>
    <row r="112" spans="1:6">
      <c r="A112">
        <f t="shared" si="4"/>
        <v>112</v>
      </c>
      <c r="B112">
        <f>INDEX(Sheet1!$K$50:$AB$64,F112,D112)</f>
        <v>293955</v>
      </c>
      <c r="C112">
        <f>INDEX(Sheet1!$K$50:$AB$64,F112,E112)</f>
        <v>8830085</v>
      </c>
      <c r="D112">
        <f t="shared" si="3"/>
        <v>7</v>
      </c>
      <c r="E112">
        <v>8</v>
      </c>
      <c r="F112">
        <f t="shared" si="5"/>
        <v>13</v>
      </c>
    </row>
    <row r="113" spans="1:6">
      <c r="A113">
        <f t="shared" si="4"/>
        <v>113</v>
      </c>
      <c r="B113">
        <f>INDEX(Sheet1!$K$50:$AB$64,F113,D113)</f>
        <v>320001</v>
      </c>
      <c r="C113">
        <f>INDEX(Sheet1!$K$50:$AB$64,F113,E113)</f>
        <v>9349820</v>
      </c>
      <c r="D113">
        <f t="shared" si="3"/>
        <v>9</v>
      </c>
      <c r="E113">
        <v>10</v>
      </c>
      <c r="F113">
        <f t="shared" si="5"/>
        <v>13</v>
      </c>
    </row>
    <row r="114" spans="1:6">
      <c r="A114">
        <f t="shared" si="4"/>
        <v>114</v>
      </c>
      <c r="B114">
        <f>INDEX(Sheet1!$K$50:$AB$64,F114,D114)</f>
        <v>358355</v>
      </c>
      <c r="C114">
        <f>INDEX(Sheet1!$K$50:$AB$64,F114,E114)</f>
        <v>10090696</v>
      </c>
      <c r="D114">
        <f t="shared" si="3"/>
        <v>11</v>
      </c>
      <c r="E114">
        <v>12</v>
      </c>
      <c r="F114">
        <f t="shared" si="5"/>
        <v>13</v>
      </c>
    </row>
    <row r="115" spans="1:6">
      <c r="A115">
        <f t="shared" si="4"/>
        <v>115</v>
      </c>
      <c r="B115">
        <f>INDEX(Sheet1!$K$50:$AB$64,F115,D115)</f>
        <v>390243</v>
      </c>
      <c r="C115">
        <f>INDEX(Sheet1!$K$50:$AB$64,F115,E115)</f>
        <v>10740979</v>
      </c>
      <c r="D115">
        <f t="shared" si="3"/>
        <v>13</v>
      </c>
      <c r="E115">
        <v>14</v>
      </c>
      <c r="F115">
        <f t="shared" si="5"/>
        <v>13</v>
      </c>
    </row>
    <row r="116" spans="1:6">
      <c r="A116">
        <f t="shared" si="4"/>
        <v>116</v>
      </c>
      <c r="B116">
        <f>INDEX(Sheet1!$K$50:$AB$64,F116,D116)</f>
        <v>424969</v>
      </c>
      <c r="C116">
        <f>INDEX(Sheet1!$K$50:$AB$64,F116,E116)</f>
        <v>11433170</v>
      </c>
      <c r="D116">
        <f t="shared" si="3"/>
        <v>15</v>
      </c>
      <c r="E116">
        <v>16</v>
      </c>
      <c r="F116">
        <f t="shared" si="5"/>
        <v>13</v>
      </c>
    </row>
    <row r="117" spans="1:6">
      <c r="A117">
        <f t="shared" si="4"/>
        <v>117</v>
      </c>
      <c r="B117">
        <f>INDEX(Sheet1!$K$50:$AB$64,F117,D117)</f>
        <v>476124</v>
      </c>
      <c r="C117">
        <f>INDEX(Sheet1!$K$50:$AB$64,F117,E117)</f>
        <v>12425971</v>
      </c>
      <c r="D117">
        <f t="shared" si="3"/>
        <v>17</v>
      </c>
      <c r="E117">
        <v>18</v>
      </c>
      <c r="F117">
        <f t="shared" si="5"/>
        <v>13</v>
      </c>
    </row>
    <row r="118" spans="1:6">
      <c r="A118">
        <f t="shared" si="4"/>
        <v>118</v>
      </c>
      <c r="B118">
        <f>INDEX(Sheet1!$K$50:$AB$64,F118,D118)</f>
        <v>277370</v>
      </c>
      <c r="C118">
        <f>INDEX(Sheet1!$K$50:$AB$64,F118,E118)</f>
        <v>9006666</v>
      </c>
      <c r="D118">
        <f t="shared" si="3"/>
        <v>1</v>
      </c>
      <c r="E118">
        <v>2</v>
      </c>
      <c r="F118">
        <f t="shared" si="5"/>
        <v>14</v>
      </c>
    </row>
    <row r="119" spans="1:6">
      <c r="A119">
        <f t="shared" si="4"/>
        <v>119</v>
      </c>
      <c r="B119">
        <f>INDEX(Sheet1!$K$50:$AB$64,F119,D119)</f>
        <v>314363</v>
      </c>
      <c r="C119">
        <f>INDEX(Sheet1!$K$50:$AB$64,F119,E119)</f>
        <v>9656245</v>
      </c>
      <c r="D119">
        <f t="shared" si="3"/>
        <v>3</v>
      </c>
      <c r="E119">
        <v>4</v>
      </c>
      <c r="F119">
        <f t="shared" si="5"/>
        <v>14</v>
      </c>
    </row>
    <row r="120" spans="1:6">
      <c r="A120">
        <f t="shared" si="4"/>
        <v>120</v>
      </c>
      <c r="B120">
        <f>INDEX(Sheet1!$K$50:$AB$64,F120,D120)</f>
        <v>371472</v>
      </c>
      <c r="C120">
        <f>INDEX(Sheet1!$K$50:$AB$64,F120,E120)</f>
        <v>10595804</v>
      </c>
      <c r="D120">
        <f t="shared" si="3"/>
        <v>5</v>
      </c>
      <c r="E120">
        <v>6</v>
      </c>
      <c r="F120">
        <f t="shared" si="5"/>
        <v>14</v>
      </c>
    </row>
    <row r="121" spans="1:6">
      <c r="A121">
        <f t="shared" si="4"/>
        <v>121</v>
      </c>
      <c r="B121">
        <f>INDEX(Sheet1!$K$50:$AB$64,F121,D121)</f>
        <v>405670</v>
      </c>
      <c r="C121">
        <f>INDEX(Sheet1!$K$50:$AB$64,F121,E121)</f>
        <v>11211489</v>
      </c>
      <c r="D121">
        <f t="shared" si="3"/>
        <v>7</v>
      </c>
      <c r="E121">
        <v>8</v>
      </c>
      <c r="F121">
        <f t="shared" si="5"/>
        <v>14</v>
      </c>
    </row>
    <row r="122" spans="1:6">
      <c r="A122">
        <f t="shared" si="4"/>
        <v>122</v>
      </c>
      <c r="B122">
        <f>INDEX(Sheet1!$K$50:$AB$64,F122,D122)</f>
        <v>443017</v>
      </c>
      <c r="C122">
        <f>INDEX(Sheet1!$K$50:$AB$64,F122,E122)</f>
        <v>11862949</v>
      </c>
      <c r="D122">
        <f t="shared" si="3"/>
        <v>9</v>
      </c>
      <c r="E122">
        <v>10</v>
      </c>
      <c r="F122">
        <f t="shared" si="5"/>
        <v>14</v>
      </c>
    </row>
    <row r="123" spans="1:6">
      <c r="A123">
        <f t="shared" si="4"/>
        <v>123</v>
      </c>
      <c r="B123">
        <f>INDEX(Sheet1!$K$50:$AB$64,F123,D123)</f>
        <v>498214</v>
      </c>
      <c r="C123">
        <f>INDEX(Sheet1!$K$50:$AB$64,F123,E123)</f>
        <v>12790824</v>
      </c>
      <c r="D123">
        <f t="shared" si="3"/>
        <v>11</v>
      </c>
      <c r="E123">
        <v>12</v>
      </c>
      <c r="F123">
        <f t="shared" si="5"/>
        <v>14</v>
      </c>
    </row>
    <row r="124" spans="1:6">
      <c r="A124">
        <f t="shared" si="4"/>
        <v>124</v>
      </c>
      <c r="B124">
        <f>INDEX(Sheet1!$K$50:$AB$64,F124,D124)</f>
        <v>543836</v>
      </c>
      <c r="C124">
        <f>INDEX(Sheet1!$K$50:$AB$64,F124,E124)</f>
        <v>13606429</v>
      </c>
      <c r="D124">
        <f t="shared" si="3"/>
        <v>13</v>
      </c>
      <c r="E124">
        <v>14</v>
      </c>
      <c r="F124">
        <f t="shared" si="5"/>
        <v>14</v>
      </c>
    </row>
    <row r="125" spans="1:6">
      <c r="A125">
        <f t="shared" si="4"/>
        <v>125</v>
      </c>
      <c r="B125">
        <f>INDEX(Sheet1!$K$50:$AB$64,F125,D125)</f>
        <v>593637</v>
      </c>
      <c r="C125">
        <f>INDEX(Sheet1!$K$50:$AB$64,F125,E125)</f>
        <v>14474040</v>
      </c>
      <c r="D125">
        <f t="shared" si="3"/>
        <v>15</v>
      </c>
      <c r="E125">
        <v>16</v>
      </c>
      <c r="F125">
        <f t="shared" si="5"/>
        <v>14</v>
      </c>
    </row>
    <row r="126" spans="1:6">
      <c r="A126">
        <f t="shared" si="4"/>
        <v>126</v>
      </c>
      <c r="B126">
        <f>INDEX(Sheet1!$K$50:$AB$64,F126,D126)</f>
        <v>667202</v>
      </c>
      <c r="C126">
        <f>INDEX(Sheet1!$K$50:$AB$64,F126,E126)</f>
        <v>15717517</v>
      </c>
      <c r="D126">
        <f t="shared" si="3"/>
        <v>17</v>
      </c>
      <c r="E126">
        <v>18</v>
      </c>
      <c r="F126">
        <f t="shared" si="5"/>
        <v>14</v>
      </c>
    </row>
    <row r="127" spans="1:6">
      <c r="A127">
        <f t="shared" si="4"/>
        <v>127</v>
      </c>
      <c r="B127">
        <f>INDEX(Sheet1!$K$50:$AB$64,F127,D127)</f>
        <v>382082</v>
      </c>
      <c r="C127">
        <f>INDEX(Sheet1!$K$50:$AB$64,F127,E127)</f>
        <v>11373825</v>
      </c>
      <c r="D127">
        <f t="shared" si="3"/>
        <v>1</v>
      </c>
      <c r="E127">
        <v>2</v>
      </c>
      <c r="F127">
        <f t="shared" si="5"/>
        <v>15</v>
      </c>
    </row>
    <row r="128" spans="1:6">
      <c r="A128">
        <f t="shared" si="4"/>
        <v>128</v>
      </c>
      <c r="B128">
        <f>INDEX(Sheet1!$K$50:$AB$64,F128,D128)</f>
        <v>435640</v>
      </c>
      <c r="C128">
        <f>INDEX(Sheet1!$K$50:$AB$64,F128,E128)</f>
        <v>12193842</v>
      </c>
      <c r="D128">
        <f t="shared" si="3"/>
        <v>3</v>
      </c>
      <c r="E128">
        <v>4</v>
      </c>
      <c r="F128">
        <f t="shared" si="5"/>
        <v>15</v>
      </c>
    </row>
    <row r="129" spans="1:6">
      <c r="A129">
        <f t="shared" si="4"/>
        <v>129</v>
      </c>
      <c r="B129">
        <f>INDEX(Sheet1!$K$50:$AB$64,F129,D129)</f>
        <v>518906</v>
      </c>
      <c r="C129">
        <f>INDEX(Sheet1!$K$50:$AB$64,F129,E129)</f>
        <v>13379890</v>
      </c>
      <c r="D129">
        <f t="shared" si="3"/>
        <v>5</v>
      </c>
      <c r="E129">
        <v>6</v>
      </c>
      <c r="F129">
        <f t="shared" si="5"/>
        <v>15</v>
      </c>
    </row>
    <row r="130" spans="1:6">
      <c r="A130">
        <f t="shared" si="4"/>
        <v>130</v>
      </c>
      <c r="B130">
        <f>INDEX(Sheet1!$K$50:$AB$64,F130,D130)</f>
        <v>568321</v>
      </c>
      <c r="C130">
        <f>INDEX(Sheet1!$K$50:$AB$64,F130,E130)</f>
        <v>14157129</v>
      </c>
      <c r="D130">
        <f t="shared" ref="D130:D135" si="6">E130-1</f>
        <v>7</v>
      </c>
      <c r="E130">
        <v>8</v>
      </c>
      <c r="F130">
        <f t="shared" si="5"/>
        <v>15</v>
      </c>
    </row>
    <row r="131" spans="1:6">
      <c r="A131">
        <f t="shared" ref="A131:A135" si="7">A130+1</f>
        <v>131</v>
      </c>
      <c r="B131">
        <f>INDEX(Sheet1!$K$50:$AB$64,F131,D131)</f>
        <v>622442</v>
      </c>
      <c r="C131">
        <f>INDEX(Sheet1!$K$50:$AB$64,F131,E131)</f>
        <v>14979518</v>
      </c>
      <c r="D131">
        <f t="shared" si="6"/>
        <v>9</v>
      </c>
      <c r="E131">
        <v>10</v>
      </c>
      <c r="F131">
        <f t="shared" si="5"/>
        <v>15</v>
      </c>
    </row>
    <row r="132" spans="1:6">
      <c r="A132">
        <f t="shared" si="7"/>
        <v>132</v>
      </c>
      <c r="B132">
        <f>INDEX(Sheet1!$K$50:$AB$64,F132,D132)</f>
        <v>702704</v>
      </c>
      <c r="C132">
        <f>INDEX(Sheet1!$K$50:$AB$64,F132,E132)</f>
        <v>16150825</v>
      </c>
      <c r="D132">
        <f t="shared" si="6"/>
        <v>11</v>
      </c>
      <c r="E132">
        <v>12</v>
      </c>
      <c r="F132">
        <f t="shared" si="5"/>
        <v>15</v>
      </c>
    </row>
    <row r="133" spans="1:6">
      <c r="A133">
        <f t="shared" si="7"/>
        <v>133</v>
      </c>
      <c r="B133">
        <f>INDEX(Sheet1!$K$50:$AB$64,F133,D133)</f>
        <v>768690</v>
      </c>
      <c r="C133">
        <f>INDEX(Sheet1!$K$50:$AB$64,F133,E133)</f>
        <v>17180440</v>
      </c>
      <c r="D133">
        <f t="shared" si="6"/>
        <v>13</v>
      </c>
      <c r="E133">
        <v>14</v>
      </c>
      <c r="F133">
        <f t="shared" si="5"/>
        <v>15</v>
      </c>
    </row>
    <row r="134" spans="1:6">
      <c r="A134">
        <f t="shared" si="7"/>
        <v>134</v>
      </c>
      <c r="B134">
        <f>INDEX(Sheet1!$K$50:$AB$64,F134,D134)</f>
        <v>840872</v>
      </c>
      <c r="C134">
        <f>INDEX(Sheet1!$K$50:$AB$64,F134,E134)</f>
        <v>18275694</v>
      </c>
      <c r="D134">
        <f t="shared" si="6"/>
        <v>15</v>
      </c>
      <c r="E134">
        <v>16</v>
      </c>
      <c r="F134">
        <f t="shared" si="5"/>
        <v>15</v>
      </c>
    </row>
    <row r="135" spans="1:6">
      <c r="A135">
        <f t="shared" si="7"/>
        <v>135</v>
      </c>
      <c r="B135">
        <f>INDEX(Sheet1!$K$50:$AB$64,F135,D135)</f>
        <v>947767</v>
      </c>
      <c r="C135">
        <f>INDEX(Sheet1!$K$50:$AB$64,F135,E135)</f>
        <v>19845406</v>
      </c>
      <c r="D135">
        <f t="shared" si="6"/>
        <v>17</v>
      </c>
      <c r="E135">
        <v>18</v>
      </c>
      <c r="F135">
        <f t="shared" si="5"/>
        <v>15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135"/>
  <sheetViews>
    <sheetView workbookViewId="0">
      <selection activeCell="J39" sqref="J39"/>
    </sheetView>
  </sheetViews>
  <sheetFormatPr defaultRowHeight="13.5"/>
  <sheetData>
    <row r="1" spans="1:6">
      <c r="A1">
        <v>1</v>
      </c>
      <c r="B1">
        <f>INDEX(Sheet1!$K$98:$AB$112,F1,D1)</f>
        <v>1234</v>
      </c>
      <c r="C1">
        <f>INDEX(Sheet1!$K$98:$AB$112,F1,E1)</f>
        <v>41150</v>
      </c>
      <c r="D1">
        <f>E1-1</f>
        <v>1</v>
      </c>
      <c r="E1">
        <v>2</v>
      </c>
      <c r="F1">
        <v>1</v>
      </c>
    </row>
    <row r="2" spans="1:6">
      <c r="A2">
        <f>A1+1</f>
        <v>2</v>
      </c>
      <c r="B2">
        <f>INDEX(Sheet1!$K$98:$AB$112,F2,D2)</f>
        <v>1227</v>
      </c>
      <c r="C2">
        <f>INDEX(Sheet1!$K$98:$AB$112,F2,E2)</f>
        <v>51351</v>
      </c>
      <c r="D2">
        <f t="shared" ref="D2:D65" si="0">E2-1</f>
        <v>3</v>
      </c>
      <c r="E2">
        <v>4</v>
      </c>
      <c r="F2">
        <v>1</v>
      </c>
    </row>
    <row r="3" spans="1:6">
      <c r="A3">
        <f t="shared" ref="A3:A66" si="1">A2+1</f>
        <v>3</v>
      </c>
      <c r="B3">
        <f>INDEX(Sheet1!$K$98:$AB$112,F3,D3)</f>
        <v>1217</v>
      </c>
      <c r="C3">
        <f>INDEX(Sheet1!$K$98:$AB$112,F3,E3)</f>
        <v>68990</v>
      </c>
      <c r="D3">
        <f t="shared" si="0"/>
        <v>5</v>
      </c>
      <c r="E3">
        <v>6</v>
      </c>
      <c r="F3">
        <v>1</v>
      </c>
    </row>
    <row r="4" spans="1:6">
      <c r="A4">
        <f t="shared" si="1"/>
        <v>4</v>
      </c>
      <c r="B4">
        <f>INDEX(Sheet1!$K$98:$AB$112,F4,D4)</f>
        <v>1209</v>
      </c>
      <c r="C4">
        <f>INDEX(Sheet1!$K$98:$AB$112,F4,E4)</f>
        <v>78255</v>
      </c>
      <c r="D4">
        <f t="shared" si="0"/>
        <v>7</v>
      </c>
      <c r="E4">
        <v>8</v>
      </c>
      <c r="F4">
        <v>1</v>
      </c>
    </row>
    <row r="5" spans="1:6">
      <c r="A5">
        <f t="shared" si="1"/>
        <v>5</v>
      </c>
      <c r="B5">
        <f>INDEX(Sheet1!$K$98:$AB$112,F5,D5)</f>
        <v>1202</v>
      </c>
      <c r="C5">
        <f>INDEX(Sheet1!$K$98:$AB$112,F5,E5)</f>
        <v>88765</v>
      </c>
      <c r="D5">
        <f t="shared" si="0"/>
        <v>9</v>
      </c>
      <c r="E5">
        <v>10</v>
      </c>
      <c r="F5">
        <v>1</v>
      </c>
    </row>
    <row r="6" spans="1:6">
      <c r="A6">
        <f t="shared" si="1"/>
        <v>6</v>
      </c>
      <c r="B6">
        <f>INDEX(Sheet1!$K$98:$AB$112,F6,D6)</f>
        <v>1192</v>
      </c>
      <c r="C6">
        <f>INDEX(Sheet1!$K$98:$AB$112,F6,E6)</f>
        <v>105005</v>
      </c>
      <c r="D6">
        <f t="shared" si="0"/>
        <v>11</v>
      </c>
      <c r="E6">
        <v>12</v>
      </c>
      <c r="F6">
        <v>1</v>
      </c>
    </row>
    <row r="7" spans="1:6">
      <c r="A7">
        <f t="shared" si="1"/>
        <v>7</v>
      </c>
      <c r="B7">
        <f>INDEX(Sheet1!$K$98:$AB$112,F7,D7)</f>
        <v>1182</v>
      </c>
      <c r="C7">
        <f>INDEX(Sheet1!$K$98:$AB$112,F7,E7)</f>
        <v>117564</v>
      </c>
      <c r="D7">
        <f t="shared" si="0"/>
        <v>13</v>
      </c>
      <c r="E7">
        <v>14</v>
      </c>
      <c r="F7">
        <v>1</v>
      </c>
    </row>
    <row r="8" spans="1:6">
      <c r="A8">
        <f t="shared" si="1"/>
        <v>8</v>
      </c>
      <c r="B8">
        <f>INDEX(Sheet1!$K$98:$AB$112,F8,D8)</f>
        <v>1173</v>
      </c>
      <c r="C8">
        <f>INDEX(Sheet1!$K$98:$AB$112,F8,E8)</f>
        <v>131625</v>
      </c>
      <c r="D8">
        <f t="shared" si="0"/>
        <v>15</v>
      </c>
      <c r="E8">
        <v>16</v>
      </c>
      <c r="F8">
        <v>1</v>
      </c>
    </row>
    <row r="9" spans="1:6">
      <c r="A9">
        <f t="shared" si="1"/>
        <v>9</v>
      </c>
      <c r="B9">
        <f>INDEX(Sheet1!$K$98:$AB$112,F9,D9)</f>
        <v>1160</v>
      </c>
      <c r="C9">
        <f>INDEX(Sheet1!$K$98:$AB$112,F9,E9)</f>
        <v>153024</v>
      </c>
      <c r="D9">
        <f t="shared" si="0"/>
        <v>17</v>
      </c>
      <c r="E9">
        <v>18</v>
      </c>
      <c r="F9">
        <v>1</v>
      </c>
    </row>
    <row r="10" spans="1:6">
      <c r="A10">
        <f t="shared" si="1"/>
        <v>10</v>
      </c>
      <c r="B10">
        <f>INDEX(Sheet1!$K$98:$AB$112,F10,D10)</f>
        <v>1813</v>
      </c>
      <c r="C10">
        <f>INDEX(Sheet1!$K$98:$AB$112,F10,E10)</f>
        <v>85868</v>
      </c>
      <c r="D10">
        <f t="shared" si="0"/>
        <v>1</v>
      </c>
      <c r="E10">
        <v>2</v>
      </c>
      <c r="F10">
        <f>F1+1</f>
        <v>2</v>
      </c>
    </row>
    <row r="11" spans="1:6">
      <c r="A11">
        <f t="shared" si="1"/>
        <v>11</v>
      </c>
      <c r="B11">
        <f>INDEX(Sheet1!$K$98:$AB$112,F11,D11)</f>
        <v>1831</v>
      </c>
      <c r="C11">
        <f>INDEX(Sheet1!$K$98:$AB$112,F11,E11)</f>
        <v>102505</v>
      </c>
      <c r="D11">
        <f t="shared" si="0"/>
        <v>3</v>
      </c>
      <c r="E11">
        <v>4</v>
      </c>
      <c r="F11">
        <f t="shared" ref="F11:F74" si="2">F2+1</f>
        <v>2</v>
      </c>
    </row>
    <row r="12" spans="1:6">
      <c r="A12">
        <f t="shared" si="1"/>
        <v>12</v>
      </c>
      <c r="B12">
        <f>INDEX(Sheet1!$K$98:$AB$112,F12,D12)</f>
        <v>1854</v>
      </c>
      <c r="C12">
        <f>INDEX(Sheet1!$K$98:$AB$112,F12,E12)</f>
        <v>129807</v>
      </c>
      <c r="D12">
        <f t="shared" si="0"/>
        <v>5</v>
      </c>
      <c r="E12">
        <v>6</v>
      </c>
      <c r="F12">
        <f t="shared" si="2"/>
        <v>2</v>
      </c>
    </row>
    <row r="13" spans="1:6">
      <c r="A13">
        <f t="shared" si="1"/>
        <v>13</v>
      </c>
      <c r="B13">
        <f>INDEX(Sheet1!$K$98:$AB$112,F13,D13)</f>
        <v>1871</v>
      </c>
      <c r="C13">
        <f>INDEX(Sheet1!$K$98:$AB$112,F13,E13)</f>
        <v>144990</v>
      </c>
      <c r="D13">
        <f t="shared" si="0"/>
        <v>7</v>
      </c>
      <c r="E13">
        <v>8</v>
      </c>
      <c r="F13">
        <f t="shared" si="2"/>
        <v>2</v>
      </c>
    </row>
    <row r="14" spans="1:6">
      <c r="A14">
        <f t="shared" si="1"/>
        <v>14</v>
      </c>
      <c r="B14">
        <f>INDEX(Sheet1!$K$98:$AB$112,F14,D14)</f>
        <v>1888</v>
      </c>
      <c r="C14">
        <f>INDEX(Sheet1!$K$98:$AB$112,F14,E14)</f>
        <v>161948</v>
      </c>
      <c r="D14">
        <f t="shared" si="0"/>
        <v>9</v>
      </c>
      <c r="E14">
        <v>10</v>
      </c>
      <c r="F14">
        <f t="shared" si="2"/>
        <v>2</v>
      </c>
    </row>
    <row r="15" spans="1:6">
      <c r="A15">
        <f t="shared" si="1"/>
        <v>15</v>
      </c>
      <c r="B15">
        <f>INDEX(Sheet1!$K$98:$AB$112,F15,D15)</f>
        <v>1911</v>
      </c>
      <c r="C15">
        <f>INDEX(Sheet1!$K$98:$AB$112,F15,E15)</f>
        <v>187684</v>
      </c>
      <c r="D15">
        <f t="shared" si="0"/>
        <v>11</v>
      </c>
      <c r="E15">
        <v>12</v>
      </c>
      <c r="F15">
        <f t="shared" si="2"/>
        <v>2</v>
      </c>
    </row>
    <row r="16" spans="1:6">
      <c r="A16">
        <f t="shared" si="1"/>
        <v>16</v>
      </c>
      <c r="B16">
        <f>INDEX(Sheet1!$K$98:$AB$112,F16,D16)</f>
        <v>1934</v>
      </c>
      <c r="C16">
        <f>INDEX(Sheet1!$K$98:$AB$112,F16,E16)</f>
        <v>208113</v>
      </c>
      <c r="D16">
        <f t="shared" si="0"/>
        <v>13</v>
      </c>
      <c r="E16">
        <v>14</v>
      </c>
      <c r="F16">
        <f t="shared" si="2"/>
        <v>2</v>
      </c>
    </row>
    <row r="17" spans="1:6">
      <c r="A17">
        <f t="shared" si="1"/>
        <v>17</v>
      </c>
      <c r="B17">
        <f>INDEX(Sheet1!$K$98:$AB$112,F17,D17)</f>
        <v>1957</v>
      </c>
      <c r="C17">
        <f>INDEX(Sheet1!$K$98:$AB$112,F17,E17)</f>
        <v>230767</v>
      </c>
      <c r="D17">
        <f t="shared" si="0"/>
        <v>15</v>
      </c>
      <c r="E17">
        <v>16</v>
      </c>
      <c r="F17">
        <f t="shared" si="2"/>
        <v>2</v>
      </c>
    </row>
    <row r="18" spans="1:6">
      <c r="A18">
        <f t="shared" si="1"/>
        <v>18</v>
      </c>
      <c r="B18">
        <f>INDEX(Sheet1!$K$98:$AB$112,F18,D18)</f>
        <v>1988</v>
      </c>
      <c r="C18">
        <f>INDEX(Sheet1!$K$98:$AB$112,F18,E18)</f>
        <v>264852</v>
      </c>
      <c r="D18">
        <f t="shared" si="0"/>
        <v>17</v>
      </c>
      <c r="E18">
        <v>18</v>
      </c>
      <c r="F18">
        <f t="shared" si="2"/>
        <v>2</v>
      </c>
    </row>
    <row r="19" spans="1:6">
      <c r="A19">
        <f t="shared" si="1"/>
        <v>19</v>
      </c>
      <c r="B19">
        <f>INDEX(Sheet1!$K$98:$AB$112,F19,D19)</f>
        <v>2817</v>
      </c>
      <c r="C19">
        <f>INDEX(Sheet1!$K$98:$AB$112,F19,E19)</f>
        <v>153228</v>
      </c>
      <c r="D19">
        <f t="shared" si="0"/>
        <v>1</v>
      </c>
      <c r="E19">
        <v>2</v>
      </c>
      <c r="F19">
        <f t="shared" si="2"/>
        <v>3</v>
      </c>
    </row>
    <row r="20" spans="1:6">
      <c r="A20">
        <f t="shared" si="1"/>
        <v>20</v>
      </c>
      <c r="B20">
        <f>INDEX(Sheet1!$K$98:$AB$112,F20,D20)</f>
        <v>2891</v>
      </c>
      <c r="C20">
        <f>INDEX(Sheet1!$K$98:$AB$112,F20,E20)</f>
        <v>177345</v>
      </c>
      <c r="D20">
        <f t="shared" si="0"/>
        <v>3</v>
      </c>
      <c r="E20">
        <v>4</v>
      </c>
      <c r="F20">
        <f t="shared" si="2"/>
        <v>3</v>
      </c>
    </row>
    <row r="21" spans="1:6">
      <c r="A21">
        <f t="shared" si="1"/>
        <v>21</v>
      </c>
      <c r="B21">
        <f>INDEX(Sheet1!$K$98:$AB$112,F21,D21)</f>
        <v>2994</v>
      </c>
      <c r="C21">
        <f>INDEX(Sheet1!$K$98:$AB$112,F21,E21)</f>
        <v>215505</v>
      </c>
      <c r="D21">
        <f t="shared" si="0"/>
        <v>5</v>
      </c>
      <c r="E21">
        <v>6</v>
      </c>
      <c r="F21">
        <f t="shared" si="2"/>
        <v>3</v>
      </c>
    </row>
    <row r="22" spans="1:6">
      <c r="A22">
        <f t="shared" si="1"/>
        <v>22</v>
      </c>
      <c r="B22">
        <f>INDEX(Sheet1!$K$98:$AB$112,F22,D22)</f>
        <v>3067</v>
      </c>
      <c r="C22">
        <f>INDEX(Sheet1!$K$98:$AB$112,F22,E22)</f>
        <v>237660</v>
      </c>
      <c r="D22">
        <f t="shared" si="0"/>
        <v>7</v>
      </c>
      <c r="E22">
        <v>8</v>
      </c>
      <c r="F22">
        <f t="shared" si="2"/>
        <v>3</v>
      </c>
    </row>
    <row r="23" spans="1:6">
      <c r="A23">
        <f t="shared" si="1"/>
        <v>23</v>
      </c>
      <c r="B23">
        <f>INDEX(Sheet1!$K$98:$AB$112,F23,D23)</f>
        <v>3142</v>
      </c>
      <c r="C23">
        <f>INDEX(Sheet1!$K$98:$AB$112,F23,E23)</f>
        <v>262092</v>
      </c>
      <c r="D23">
        <f t="shared" si="0"/>
        <v>9</v>
      </c>
      <c r="E23">
        <v>10</v>
      </c>
      <c r="F23">
        <f t="shared" si="2"/>
        <v>3</v>
      </c>
    </row>
    <row r="24" spans="1:6">
      <c r="A24">
        <f t="shared" si="1"/>
        <v>24</v>
      </c>
      <c r="B24">
        <f>INDEX(Sheet1!$K$98:$AB$112,F24,D24)</f>
        <v>3244</v>
      </c>
      <c r="C24">
        <f>INDEX(Sheet1!$K$98:$AB$112,F24,E24)</f>
        <v>298619</v>
      </c>
      <c r="D24">
        <f t="shared" si="0"/>
        <v>11</v>
      </c>
      <c r="E24">
        <v>12</v>
      </c>
      <c r="F24">
        <f t="shared" si="2"/>
        <v>3</v>
      </c>
    </row>
    <row r="25" spans="1:6">
      <c r="A25">
        <f t="shared" si="1"/>
        <v>25</v>
      </c>
      <c r="B25">
        <f>INDEX(Sheet1!$K$98:$AB$112,F25,D25)</f>
        <v>3341</v>
      </c>
      <c r="C25">
        <f>INDEX(Sheet1!$K$98:$AB$112,F25,E25)</f>
        <v>328276</v>
      </c>
      <c r="D25">
        <f t="shared" si="0"/>
        <v>13</v>
      </c>
      <c r="E25">
        <v>14</v>
      </c>
      <c r="F25">
        <f t="shared" si="2"/>
        <v>3</v>
      </c>
    </row>
    <row r="26" spans="1:6">
      <c r="A26">
        <f t="shared" si="1"/>
        <v>26</v>
      </c>
      <c r="B26">
        <f>INDEX(Sheet1!$K$98:$AB$112,F26,D26)</f>
        <v>3440</v>
      </c>
      <c r="C26">
        <f>INDEX(Sheet1!$K$98:$AB$112,F26,E26)</f>
        <v>360878</v>
      </c>
      <c r="D26">
        <f t="shared" si="0"/>
        <v>15</v>
      </c>
      <c r="E26">
        <v>16</v>
      </c>
      <c r="F26">
        <f t="shared" si="2"/>
        <v>3</v>
      </c>
    </row>
    <row r="27" spans="1:6">
      <c r="A27">
        <f t="shared" si="1"/>
        <v>27</v>
      </c>
      <c r="B27">
        <f>INDEX(Sheet1!$K$98:$AB$112,F27,D27)</f>
        <v>3577</v>
      </c>
      <c r="C27">
        <f>INDEX(Sheet1!$K$98:$AB$112,F27,E27)</f>
        <v>409438</v>
      </c>
      <c r="D27">
        <f t="shared" si="0"/>
        <v>17</v>
      </c>
      <c r="E27">
        <v>18</v>
      </c>
      <c r="F27">
        <f t="shared" si="2"/>
        <v>3</v>
      </c>
    </row>
    <row r="28" spans="1:6">
      <c r="A28">
        <f t="shared" si="1"/>
        <v>28</v>
      </c>
      <c r="B28">
        <f>INDEX(Sheet1!$K$98:$AB$112,F28,D28)</f>
        <v>3394</v>
      </c>
      <c r="C28">
        <f>INDEX(Sheet1!$K$98:$AB$112,F28,E28)</f>
        <v>236912</v>
      </c>
      <c r="D28">
        <f t="shared" si="0"/>
        <v>1</v>
      </c>
      <c r="E28">
        <v>2</v>
      </c>
      <c r="F28">
        <f t="shared" si="2"/>
        <v>4</v>
      </c>
    </row>
    <row r="29" spans="1:6">
      <c r="A29">
        <f t="shared" si="1"/>
        <v>29</v>
      </c>
      <c r="B29">
        <f>INDEX(Sheet1!$K$98:$AB$112,F29,D29)</f>
        <v>3525</v>
      </c>
      <c r="C29">
        <f>INDEX(Sheet1!$K$98:$AB$112,F29,E29)</f>
        <v>268464</v>
      </c>
      <c r="D29">
        <f t="shared" si="0"/>
        <v>3</v>
      </c>
      <c r="E29">
        <v>4</v>
      </c>
      <c r="F29">
        <f t="shared" si="2"/>
        <v>4</v>
      </c>
    </row>
    <row r="30" spans="1:6">
      <c r="A30">
        <f t="shared" si="1"/>
        <v>30</v>
      </c>
      <c r="B30">
        <f>INDEX(Sheet1!$K$98:$AB$112,F30,D30)</f>
        <v>3707</v>
      </c>
      <c r="C30">
        <f>INDEX(Sheet1!$K$98:$AB$112,F30,E30)</f>
        <v>317164</v>
      </c>
      <c r="D30">
        <f t="shared" si="0"/>
        <v>5</v>
      </c>
      <c r="E30">
        <v>6</v>
      </c>
      <c r="F30">
        <f t="shared" si="2"/>
        <v>4</v>
      </c>
    </row>
    <row r="31" spans="1:6">
      <c r="A31">
        <f t="shared" si="1"/>
        <v>31</v>
      </c>
      <c r="B31">
        <f>INDEX(Sheet1!$K$98:$AB$112,F31,D31)</f>
        <v>3834</v>
      </c>
      <c r="C31">
        <f>INDEX(Sheet1!$K$98:$AB$112,F31,E31)</f>
        <v>346334</v>
      </c>
      <c r="D31">
        <f t="shared" si="0"/>
        <v>7</v>
      </c>
      <c r="E31">
        <v>8</v>
      </c>
      <c r="F31">
        <f t="shared" si="2"/>
        <v>4</v>
      </c>
    </row>
    <row r="32" spans="1:6">
      <c r="A32">
        <f t="shared" si="1"/>
        <v>32</v>
      </c>
      <c r="B32">
        <f>INDEX(Sheet1!$K$98:$AB$112,F32,D32)</f>
        <v>3964</v>
      </c>
      <c r="C32">
        <f>INDEX(Sheet1!$K$98:$AB$112,F32,E32)</f>
        <v>378187</v>
      </c>
      <c r="D32">
        <f t="shared" si="0"/>
        <v>9</v>
      </c>
      <c r="E32">
        <v>10</v>
      </c>
      <c r="F32">
        <f t="shared" si="2"/>
        <v>4</v>
      </c>
    </row>
    <row r="33" spans="1:6">
      <c r="A33">
        <f t="shared" si="1"/>
        <v>33</v>
      </c>
      <c r="B33">
        <f>INDEX(Sheet1!$K$98:$AB$112,F33,D33)</f>
        <v>4146</v>
      </c>
      <c r="C33">
        <f>INDEX(Sheet1!$K$98:$AB$112,F33,E33)</f>
        <v>425260</v>
      </c>
      <c r="D33">
        <f t="shared" si="0"/>
        <v>11</v>
      </c>
      <c r="E33">
        <v>12</v>
      </c>
      <c r="F33">
        <f t="shared" si="2"/>
        <v>4</v>
      </c>
    </row>
    <row r="34" spans="1:6">
      <c r="A34">
        <f t="shared" si="1"/>
        <v>34</v>
      </c>
      <c r="B34">
        <f>INDEX(Sheet1!$K$98:$AB$112,F34,D34)</f>
        <v>4313</v>
      </c>
      <c r="C34">
        <f>INDEX(Sheet1!$K$98:$AB$112,F34,E34)</f>
        <v>464174</v>
      </c>
      <c r="D34">
        <f t="shared" si="0"/>
        <v>13</v>
      </c>
      <c r="E34">
        <v>14</v>
      </c>
      <c r="F34">
        <f t="shared" si="2"/>
        <v>4</v>
      </c>
    </row>
    <row r="35" spans="1:6">
      <c r="A35">
        <f t="shared" si="1"/>
        <v>35</v>
      </c>
      <c r="B35">
        <f>INDEX(Sheet1!$K$98:$AB$112,F35,D35)</f>
        <v>4488</v>
      </c>
      <c r="C35">
        <f>INDEX(Sheet1!$K$98:$AB$112,F35,E35)</f>
        <v>506649</v>
      </c>
      <c r="D35">
        <f t="shared" si="0"/>
        <v>15</v>
      </c>
      <c r="E35">
        <v>16</v>
      </c>
      <c r="F35">
        <f t="shared" si="2"/>
        <v>4</v>
      </c>
    </row>
    <row r="36" spans="1:6">
      <c r="A36">
        <f t="shared" si="1"/>
        <v>36</v>
      </c>
      <c r="B36">
        <f>INDEX(Sheet1!$K$98:$AB$112,F36,D36)</f>
        <v>4731</v>
      </c>
      <c r="C36">
        <f>INDEX(Sheet1!$K$98:$AB$112,F36,E36)</f>
        <v>569388</v>
      </c>
      <c r="D36">
        <f t="shared" si="0"/>
        <v>17</v>
      </c>
      <c r="E36">
        <v>18</v>
      </c>
      <c r="F36">
        <f t="shared" si="2"/>
        <v>4</v>
      </c>
    </row>
    <row r="37" spans="1:6">
      <c r="A37">
        <f t="shared" si="1"/>
        <v>37</v>
      </c>
      <c r="B37">
        <f>INDEX(Sheet1!$K$98:$AB$112,F37,D37)</f>
        <v>5206</v>
      </c>
      <c r="C37">
        <f>INDEX(Sheet1!$K$98:$AB$112,F37,E37)</f>
        <v>385670</v>
      </c>
      <c r="D37">
        <f t="shared" si="0"/>
        <v>1</v>
      </c>
      <c r="E37">
        <v>2</v>
      </c>
      <c r="F37">
        <f t="shared" si="2"/>
        <v>5</v>
      </c>
    </row>
    <row r="38" spans="1:6">
      <c r="A38">
        <f t="shared" si="1"/>
        <v>38</v>
      </c>
      <c r="B38">
        <f>INDEX(Sheet1!$K$98:$AB$112,F38,D38)</f>
        <v>5467</v>
      </c>
      <c r="C38">
        <f>INDEX(Sheet1!$K$98:$AB$112,F38,E38)</f>
        <v>428415</v>
      </c>
      <c r="D38">
        <f t="shared" si="0"/>
        <v>3</v>
      </c>
      <c r="E38">
        <v>4</v>
      </c>
      <c r="F38">
        <f t="shared" si="2"/>
        <v>5</v>
      </c>
    </row>
    <row r="39" spans="1:6">
      <c r="A39">
        <f t="shared" si="1"/>
        <v>39</v>
      </c>
      <c r="B39">
        <f>INDEX(Sheet1!$K$98:$AB$112,F39,D39)</f>
        <v>5835</v>
      </c>
      <c r="C39">
        <f>INDEX(Sheet1!$K$98:$AB$112,F39,E39)</f>
        <v>492867</v>
      </c>
      <c r="D39">
        <f t="shared" si="0"/>
        <v>5</v>
      </c>
      <c r="E39">
        <v>6</v>
      </c>
      <c r="F39">
        <f t="shared" si="2"/>
        <v>5</v>
      </c>
    </row>
    <row r="40" spans="1:6">
      <c r="A40">
        <f t="shared" si="1"/>
        <v>40</v>
      </c>
      <c r="B40">
        <f>INDEX(Sheet1!$K$98:$AB$112,F40,D40)</f>
        <v>6086</v>
      </c>
      <c r="C40">
        <f>INDEX(Sheet1!$K$98:$AB$112,F40,E40)</f>
        <v>532682</v>
      </c>
      <c r="D40">
        <f t="shared" si="0"/>
        <v>7</v>
      </c>
      <c r="E40">
        <v>8</v>
      </c>
      <c r="F40">
        <f t="shared" si="2"/>
        <v>5</v>
      </c>
    </row>
    <row r="41" spans="1:6">
      <c r="A41">
        <f t="shared" si="1"/>
        <v>41</v>
      </c>
      <c r="B41">
        <f>INDEX(Sheet1!$K$98:$AB$112,F41,D41)</f>
        <v>6348</v>
      </c>
      <c r="C41">
        <f>INDEX(Sheet1!$K$98:$AB$112,F41,E41)</f>
        <v>575714</v>
      </c>
      <c r="D41">
        <f t="shared" si="0"/>
        <v>9</v>
      </c>
      <c r="E41">
        <v>10</v>
      </c>
      <c r="F41">
        <f t="shared" si="2"/>
        <v>5</v>
      </c>
    </row>
    <row r="42" spans="1:6">
      <c r="A42">
        <f t="shared" si="1"/>
        <v>42</v>
      </c>
      <c r="B42">
        <f>INDEX(Sheet1!$K$98:$AB$112,F42,D42)</f>
        <v>6714</v>
      </c>
      <c r="C42">
        <f>INDEX(Sheet1!$K$98:$AB$112,F42,E42)</f>
        <v>638545</v>
      </c>
      <c r="D42">
        <f t="shared" si="0"/>
        <v>11</v>
      </c>
      <c r="E42">
        <v>12</v>
      </c>
      <c r="F42">
        <f t="shared" si="2"/>
        <v>5</v>
      </c>
    </row>
    <row r="43" spans="1:6">
      <c r="A43">
        <f t="shared" si="1"/>
        <v>43</v>
      </c>
      <c r="B43">
        <f>INDEX(Sheet1!$K$98:$AB$112,F43,D43)</f>
        <v>7046</v>
      </c>
      <c r="C43">
        <f>INDEX(Sheet1!$K$98:$AB$112,F43,E43)</f>
        <v>691502</v>
      </c>
      <c r="D43">
        <f t="shared" si="0"/>
        <v>13</v>
      </c>
      <c r="E43">
        <v>14</v>
      </c>
      <c r="F43">
        <f t="shared" si="2"/>
        <v>5</v>
      </c>
    </row>
    <row r="44" spans="1:6">
      <c r="A44">
        <f t="shared" si="1"/>
        <v>44</v>
      </c>
      <c r="B44">
        <f>INDEX(Sheet1!$K$98:$AB$112,F44,D44)</f>
        <v>7394</v>
      </c>
      <c r="C44">
        <f>INDEX(Sheet1!$K$98:$AB$112,F44,E44)</f>
        <v>748850</v>
      </c>
      <c r="D44">
        <f t="shared" si="0"/>
        <v>15</v>
      </c>
      <c r="E44">
        <v>16</v>
      </c>
      <c r="F44">
        <f t="shared" si="2"/>
        <v>5</v>
      </c>
    </row>
    <row r="45" spans="1:6">
      <c r="A45">
        <f t="shared" si="1"/>
        <v>45</v>
      </c>
      <c r="B45">
        <f>INDEX(Sheet1!$K$98:$AB$112,F45,D45)</f>
        <v>7885</v>
      </c>
      <c r="C45">
        <f>INDEX(Sheet1!$K$98:$AB$112,F45,E45)</f>
        <v>832781</v>
      </c>
      <c r="D45">
        <f t="shared" si="0"/>
        <v>17</v>
      </c>
      <c r="E45">
        <v>18</v>
      </c>
      <c r="F45">
        <f t="shared" si="2"/>
        <v>5</v>
      </c>
    </row>
    <row r="46" spans="1:6">
      <c r="A46">
        <f t="shared" si="1"/>
        <v>46</v>
      </c>
      <c r="B46">
        <f>INDEX(Sheet1!$K$98:$AB$112,F46,D46)</f>
        <v>7647</v>
      </c>
      <c r="C46">
        <f>INDEX(Sheet1!$K$98:$AB$112,F46,E46)</f>
        <v>582456</v>
      </c>
      <c r="D46">
        <f t="shared" si="0"/>
        <v>1</v>
      </c>
      <c r="E46">
        <v>2</v>
      </c>
      <c r="F46">
        <f t="shared" si="2"/>
        <v>6</v>
      </c>
    </row>
    <row r="47" spans="1:6">
      <c r="A47">
        <f t="shared" si="1"/>
        <v>47</v>
      </c>
      <c r="B47">
        <f>INDEX(Sheet1!$K$98:$AB$112,F47,D47)</f>
        <v>8112</v>
      </c>
      <c r="C47">
        <f>INDEX(Sheet1!$K$98:$AB$112,F47,E47)</f>
        <v>637890</v>
      </c>
      <c r="D47">
        <f t="shared" si="0"/>
        <v>3</v>
      </c>
      <c r="E47">
        <v>4</v>
      </c>
      <c r="F47">
        <f t="shared" si="2"/>
        <v>6</v>
      </c>
    </row>
    <row r="48" spans="1:6">
      <c r="A48">
        <f t="shared" si="1"/>
        <v>48</v>
      </c>
      <c r="B48">
        <f>INDEX(Sheet1!$K$98:$AB$112,F48,D48)</f>
        <v>8776</v>
      </c>
      <c r="C48">
        <f>INDEX(Sheet1!$K$98:$AB$112,F48,E48)</f>
        <v>720093</v>
      </c>
      <c r="D48">
        <f t="shared" si="0"/>
        <v>5</v>
      </c>
      <c r="E48">
        <v>6</v>
      </c>
      <c r="F48">
        <f t="shared" si="2"/>
        <v>6</v>
      </c>
    </row>
    <row r="49" spans="1:6">
      <c r="A49">
        <f t="shared" si="1"/>
        <v>49</v>
      </c>
      <c r="B49">
        <f>INDEX(Sheet1!$K$98:$AB$112,F49,D49)</f>
        <v>9219</v>
      </c>
      <c r="C49">
        <f>INDEX(Sheet1!$K$98:$AB$112,F49,E49)</f>
        <v>772054</v>
      </c>
      <c r="D49">
        <f t="shared" si="0"/>
        <v>7</v>
      </c>
      <c r="E49">
        <v>8</v>
      </c>
      <c r="F49">
        <f t="shared" si="2"/>
        <v>6</v>
      </c>
    </row>
    <row r="50" spans="1:6">
      <c r="A50">
        <f t="shared" si="1"/>
        <v>50</v>
      </c>
      <c r="B50">
        <f>INDEX(Sheet1!$K$98:$AB$112,F50,D50)</f>
        <v>9685</v>
      </c>
      <c r="C50">
        <f>INDEX(Sheet1!$K$98:$AB$112,F50,E50)</f>
        <v>827763</v>
      </c>
      <c r="D50">
        <f t="shared" si="0"/>
        <v>9</v>
      </c>
      <c r="E50">
        <v>10</v>
      </c>
      <c r="F50">
        <f t="shared" si="2"/>
        <v>6</v>
      </c>
    </row>
    <row r="51" spans="1:6">
      <c r="A51">
        <f t="shared" si="1"/>
        <v>51</v>
      </c>
      <c r="B51">
        <f>INDEX(Sheet1!$K$98:$AB$112,F51,D51)</f>
        <v>10342</v>
      </c>
      <c r="C51">
        <f>INDEX(Sheet1!$K$98:$AB$112,F51,E51)</f>
        <v>908346</v>
      </c>
      <c r="D51">
        <f t="shared" si="0"/>
        <v>11</v>
      </c>
      <c r="E51">
        <v>12</v>
      </c>
      <c r="F51">
        <f t="shared" si="2"/>
        <v>6</v>
      </c>
    </row>
    <row r="52" spans="1:6">
      <c r="A52">
        <f t="shared" si="1"/>
        <v>52</v>
      </c>
      <c r="B52">
        <f>INDEX(Sheet1!$K$98:$AB$112,F52,D52)</f>
        <v>10929</v>
      </c>
      <c r="C52">
        <f>INDEX(Sheet1!$K$98:$AB$112,F52,E52)</f>
        <v>977328</v>
      </c>
      <c r="D52">
        <f t="shared" si="0"/>
        <v>13</v>
      </c>
      <c r="E52">
        <v>14</v>
      </c>
      <c r="F52">
        <f t="shared" si="2"/>
        <v>6</v>
      </c>
    </row>
    <row r="53" spans="1:6">
      <c r="A53">
        <f t="shared" si="1"/>
        <v>53</v>
      </c>
      <c r="B53">
        <f>INDEX(Sheet1!$K$98:$AB$112,F53,D53)</f>
        <v>11549</v>
      </c>
      <c r="C53">
        <f>INDEX(Sheet1!$K$98:$AB$112,F53,E53)</f>
        <v>1051548</v>
      </c>
      <c r="D53">
        <f t="shared" si="0"/>
        <v>15</v>
      </c>
      <c r="E53">
        <v>16</v>
      </c>
      <c r="F53">
        <f t="shared" si="2"/>
        <v>6</v>
      </c>
    </row>
    <row r="54" spans="1:6">
      <c r="A54">
        <f t="shared" si="1"/>
        <v>54</v>
      </c>
      <c r="B54">
        <f>INDEX(Sheet1!$K$98:$AB$112,F54,D54)</f>
        <v>12431</v>
      </c>
      <c r="C54">
        <f>INDEX(Sheet1!$K$98:$AB$112,F54,E54)</f>
        <v>1159350</v>
      </c>
      <c r="D54">
        <f t="shared" si="0"/>
        <v>17</v>
      </c>
      <c r="E54">
        <v>18</v>
      </c>
      <c r="F54">
        <f t="shared" si="2"/>
        <v>6</v>
      </c>
    </row>
    <row r="55" spans="1:6">
      <c r="A55">
        <f t="shared" si="1"/>
        <v>55</v>
      </c>
      <c r="B55">
        <f>INDEX(Sheet1!$K$98:$AB$112,F55,D55)</f>
        <v>11210</v>
      </c>
      <c r="C55">
        <f>INDEX(Sheet1!$K$98:$AB$112,F55,E55)</f>
        <v>899778</v>
      </c>
      <c r="D55">
        <f t="shared" si="0"/>
        <v>1</v>
      </c>
      <c r="E55">
        <v>2</v>
      </c>
      <c r="F55">
        <f t="shared" si="2"/>
        <v>7</v>
      </c>
    </row>
    <row r="56" spans="1:6">
      <c r="A56">
        <f t="shared" si="1"/>
        <v>56</v>
      </c>
      <c r="B56">
        <f>INDEX(Sheet1!$K$98:$AB$112,F56,D56)</f>
        <v>12017</v>
      </c>
      <c r="C56">
        <f>INDEX(Sheet1!$K$98:$AB$112,F56,E56)</f>
        <v>979732</v>
      </c>
      <c r="D56">
        <f t="shared" si="0"/>
        <v>3</v>
      </c>
      <c r="E56">
        <v>4</v>
      </c>
      <c r="F56">
        <f t="shared" si="2"/>
        <v>7</v>
      </c>
    </row>
    <row r="57" spans="1:6">
      <c r="A57">
        <f t="shared" si="1"/>
        <v>57</v>
      </c>
      <c r="B57">
        <f>INDEX(Sheet1!$K$98:$AB$112,F57,D57)</f>
        <v>13183</v>
      </c>
      <c r="C57">
        <f>INDEX(Sheet1!$K$98:$AB$112,F57,E57)</f>
        <v>1097495</v>
      </c>
      <c r="D57">
        <f t="shared" si="0"/>
        <v>5</v>
      </c>
      <c r="E57">
        <v>6</v>
      </c>
      <c r="F57">
        <f t="shared" si="2"/>
        <v>7</v>
      </c>
    </row>
    <row r="58" spans="1:6">
      <c r="A58">
        <f t="shared" si="1"/>
        <v>58</v>
      </c>
      <c r="B58">
        <f>INDEX(Sheet1!$K$98:$AB$112,F58,D58)</f>
        <v>13947</v>
      </c>
      <c r="C58">
        <f>INDEX(Sheet1!$K$98:$AB$112,F58,E58)</f>
        <v>1172650</v>
      </c>
      <c r="D58">
        <f t="shared" si="0"/>
        <v>7</v>
      </c>
      <c r="E58">
        <v>8</v>
      </c>
      <c r="F58">
        <f t="shared" si="2"/>
        <v>7</v>
      </c>
    </row>
    <row r="59" spans="1:6">
      <c r="A59">
        <f t="shared" si="1"/>
        <v>59</v>
      </c>
      <c r="B59">
        <f>INDEX(Sheet1!$K$98:$AB$112,F59,D59)</f>
        <v>14756</v>
      </c>
      <c r="C59">
        <f>INDEX(Sheet1!$K$98:$AB$112,F59,E59)</f>
        <v>1252952</v>
      </c>
      <c r="D59">
        <f t="shared" si="0"/>
        <v>9</v>
      </c>
      <c r="E59">
        <v>10</v>
      </c>
      <c r="F59">
        <f t="shared" si="2"/>
        <v>7</v>
      </c>
    </row>
    <row r="60" spans="1:6">
      <c r="A60">
        <f t="shared" si="1"/>
        <v>60</v>
      </c>
      <c r="B60">
        <f>INDEX(Sheet1!$K$98:$AB$112,F60,D60)</f>
        <v>15907</v>
      </c>
      <c r="C60">
        <f>INDEX(Sheet1!$K$98:$AB$112,F60,E60)</f>
        <v>1368639</v>
      </c>
      <c r="D60">
        <f t="shared" si="0"/>
        <v>11</v>
      </c>
      <c r="E60">
        <v>12</v>
      </c>
      <c r="F60">
        <f t="shared" si="2"/>
        <v>7</v>
      </c>
    </row>
    <row r="61" spans="1:6">
      <c r="A61">
        <f t="shared" si="1"/>
        <v>61</v>
      </c>
      <c r="B61">
        <f>INDEX(Sheet1!$K$98:$AB$112,F61,D61)</f>
        <v>16920</v>
      </c>
      <c r="C61">
        <f>INDEX(Sheet1!$K$98:$AB$112,F61,E61)</f>
        <v>1468346</v>
      </c>
      <c r="D61">
        <f t="shared" si="0"/>
        <v>13</v>
      </c>
      <c r="E61">
        <v>14</v>
      </c>
      <c r="F61">
        <f t="shared" si="2"/>
        <v>7</v>
      </c>
    </row>
    <row r="62" spans="1:6">
      <c r="A62">
        <f t="shared" si="1"/>
        <v>62</v>
      </c>
      <c r="B62">
        <f>INDEX(Sheet1!$K$98:$AB$112,F62,D62)</f>
        <v>17997</v>
      </c>
      <c r="C62">
        <f>INDEX(Sheet1!$K$98:$AB$112,F62,E62)</f>
        <v>1575317</v>
      </c>
      <c r="D62">
        <f t="shared" si="0"/>
        <v>15</v>
      </c>
      <c r="E62">
        <v>16</v>
      </c>
      <c r="F62">
        <f t="shared" si="2"/>
        <v>7</v>
      </c>
    </row>
    <row r="63" spans="1:6">
      <c r="A63">
        <f t="shared" si="1"/>
        <v>63</v>
      </c>
      <c r="B63">
        <f>INDEX(Sheet1!$K$98:$AB$112,F63,D63)</f>
        <v>19540</v>
      </c>
      <c r="C63">
        <f>INDEX(Sheet1!$K$98:$AB$112,F63,E63)</f>
        <v>1730165</v>
      </c>
      <c r="D63">
        <f t="shared" si="0"/>
        <v>17</v>
      </c>
      <c r="E63">
        <v>18</v>
      </c>
      <c r="F63">
        <f t="shared" si="2"/>
        <v>7</v>
      </c>
    </row>
    <row r="64" spans="1:6">
      <c r="A64">
        <f t="shared" si="1"/>
        <v>64</v>
      </c>
      <c r="B64">
        <f>INDEX(Sheet1!$K$98:$AB$112,F64,D64)</f>
        <v>18067</v>
      </c>
      <c r="C64">
        <f>INDEX(Sheet1!$K$98:$AB$112,F64,E64)</f>
        <v>1362296</v>
      </c>
      <c r="D64">
        <f t="shared" si="0"/>
        <v>1</v>
      </c>
      <c r="E64">
        <v>2</v>
      </c>
      <c r="F64">
        <f t="shared" si="2"/>
        <v>8</v>
      </c>
    </row>
    <row r="65" spans="1:6">
      <c r="A65">
        <f t="shared" si="1"/>
        <v>65</v>
      </c>
      <c r="B65">
        <f>INDEX(Sheet1!$K$98:$AB$112,F65,D65)</f>
        <v>19555</v>
      </c>
      <c r="C65">
        <f>INDEX(Sheet1!$K$98:$AB$112,F65,E65)</f>
        <v>1476862</v>
      </c>
      <c r="D65">
        <f t="shared" si="0"/>
        <v>3</v>
      </c>
      <c r="E65">
        <v>4</v>
      </c>
      <c r="F65">
        <f t="shared" si="2"/>
        <v>8</v>
      </c>
    </row>
    <row r="66" spans="1:6">
      <c r="A66">
        <f t="shared" si="1"/>
        <v>66</v>
      </c>
      <c r="B66">
        <f>INDEX(Sheet1!$K$98:$AB$112,F66,D66)</f>
        <v>21732</v>
      </c>
      <c r="C66">
        <f>INDEX(Sheet1!$K$98:$AB$112,F66,E66)</f>
        <v>1644742</v>
      </c>
      <c r="D66">
        <f t="shared" ref="D66:D129" si="3">E66-1</f>
        <v>5</v>
      </c>
      <c r="E66">
        <v>6</v>
      </c>
      <c r="F66">
        <f t="shared" si="2"/>
        <v>8</v>
      </c>
    </row>
    <row r="67" spans="1:6">
      <c r="A67">
        <f t="shared" ref="A67:A130" si="4">A66+1</f>
        <v>67</v>
      </c>
      <c r="B67">
        <f>INDEX(Sheet1!$K$98:$AB$112,F67,D67)</f>
        <v>23135</v>
      </c>
      <c r="C67">
        <f>INDEX(Sheet1!$K$98:$AB$112,F67,E67)</f>
        <v>1752674</v>
      </c>
      <c r="D67">
        <f t="shared" si="3"/>
        <v>7</v>
      </c>
      <c r="E67">
        <v>8</v>
      </c>
      <c r="F67">
        <f t="shared" si="2"/>
        <v>8</v>
      </c>
    </row>
    <row r="68" spans="1:6">
      <c r="A68">
        <f t="shared" si="4"/>
        <v>68</v>
      </c>
      <c r="B68">
        <f>INDEX(Sheet1!$K$98:$AB$112,F68,D68)</f>
        <v>24629</v>
      </c>
      <c r="C68">
        <f>INDEX(Sheet1!$K$98:$AB$112,F68,E68)</f>
        <v>1867689</v>
      </c>
      <c r="D68">
        <f t="shared" si="3"/>
        <v>9</v>
      </c>
      <c r="E68">
        <v>10</v>
      </c>
      <c r="F68">
        <f t="shared" si="2"/>
        <v>8</v>
      </c>
    </row>
    <row r="69" spans="1:6">
      <c r="A69">
        <f t="shared" si="4"/>
        <v>69</v>
      </c>
      <c r="B69">
        <f>INDEX(Sheet1!$K$98:$AB$112,F69,D69)</f>
        <v>26772</v>
      </c>
      <c r="C69">
        <f>INDEX(Sheet1!$K$98:$AB$112,F69,E69)</f>
        <v>2032867</v>
      </c>
      <c r="D69">
        <f t="shared" si="3"/>
        <v>11</v>
      </c>
      <c r="E69">
        <v>12</v>
      </c>
      <c r="F69">
        <f t="shared" si="2"/>
        <v>8</v>
      </c>
    </row>
    <row r="70" spans="1:6">
      <c r="A70">
        <f t="shared" si="4"/>
        <v>70</v>
      </c>
      <c r="B70">
        <f>INDEX(Sheet1!$K$98:$AB$112,F70,D70)</f>
        <v>28632</v>
      </c>
      <c r="C70">
        <f>INDEX(Sheet1!$K$98:$AB$112,F70,E70)</f>
        <v>2175991</v>
      </c>
      <c r="D70">
        <f t="shared" si="3"/>
        <v>13</v>
      </c>
      <c r="E70">
        <v>14</v>
      </c>
      <c r="F70">
        <f t="shared" si="2"/>
        <v>8</v>
      </c>
    </row>
    <row r="71" spans="1:6">
      <c r="A71">
        <f t="shared" si="4"/>
        <v>71</v>
      </c>
      <c r="B71">
        <f>INDEX(Sheet1!$K$98:$AB$112,F71,D71)</f>
        <v>30622</v>
      </c>
      <c r="C71">
        <f>INDEX(Sheet1!$K$98:$AB$112,F71,E71)</f>
        <v>2329191</v>
      </c>
      <c r="D71">
        <f t="shared" si="3"/>
        <v>15</v>
      </c>
      <c r="E71">
        <v>16</v>
      </c>
      <c r="F71">
        <f t="shared" si="2"/>
        <v>8</v>
      </c>
    </row>
    <row r="72" spans="1:6">
      <c r="A72">
        <f t="shared" si="4"/>
        <v>72</v>
      </c>
      <c r="B72">
        <f>INDEX(Sheet1!$K$98:$AB$112,F72,D72)</f>
        <v>33492</v>
      </c>
      <c r="C72">
        <f>INDEX(Sheet1!$K$98:$AB$112,F72,E72)</f>
        <v>2550366</v>
      </c>
      <c r="D72">
        <f t="shared" si="3"/>
        <v>17</v>
      </c>
      <c r="E72">
        <v>18</v>
      </c>
      <c r="F72">
        <f t="shared" si="2"/>
        <v>8</v>
      </c>
    </row>
    <row r="73" spans="1:6">
      <c r="A73">
        <f t="shared" si="4"/>
        <v>73</v>
      </c>
      <c r="B73">
        <f>INDEX(Sheet1!$K$98:$AB$112,F73,D73)</f>
        <v>26607</v>
      </c>
      <c r="C73">
        <f>INDEX(Sheet1!$K$98:$AB$112,F73,E73)</f>
        <v>1929114</v>
      </c>
      <c r="D73">
        <f t="shared" si="3"/>
        <v>1</v>
      </c>
      <c r="E73">
        <v>2</v>
      </c>
      <c r="F73">
        <f t="shared" si="2"/>
        <v>9</v>
      </c>
    </row>
    <row r="74" spans="1:6">
      <c r="A74">
        <f t="shared" si="4"/>
        <v>74</v>
      </c>
      <c r="B74">
        <f>INDEX(Sheet1!$K$98:$AB$112,F74,D74)</f>
        <v>29064</v>
      </c>
      <c r="C74">
        <f>INDEX(Sheet1!$K$98:$AB$112,F74,E74)</f>
        <v>2082039</v>
      </c>
      <c r="D74">
        <f t="shared" si="3"/>
        <v>3</v>
      </c>
      <c r="E74">
        <v>4</v>
      </c>
      <c r="F74">
        <f t="shared" si="2"/>
        <v>9</v>
      </c>
    </row>
    <row r="75" spans="1:6">
      <c r="A75">
        <f t="shared" si="4"/>
        <v>75</v>
      </c>
      <c r="B75">
        <f>INDEX(Sheet1!$K$98:$AB$112,F75,D75)</f>
        <v>32697</v>
      </c>
      <c r="C75">
        <f>INDEX(Sheet1!$K$98:$AB$112,F75,E75)</f>
        <v>2304959</v>
      </c>
      <c r="D75">
        <f t="shared" si="3"/>
        <v>5</v>
      </c>
      <c r="E75">
        <v>6</v>
      </c>
      <c r="F75">
        <f t="shared" ref="F75:F135" si="5">F66+1</f>
        <v>9</v>
      </c>
    </row>
    <row r="76" spans="1:6">
      <c r="A76">
        <f t="shared" si="4"/>
        <v>76</v>
      </c>
      <c r="B76">
        <f>INDEX(Sheet1!$K$98:$AB$112,F76,D76)</f>
        <v>35003</v>
      </c>
      <c r="C76">
        <f>INDEX(Sheet1!$K$98:$AB$112,F76,E76)</f>
        <v>2449369</v>
      </c>
      <c r="D76">
        <f t="shared" si="3"/>
        <v>7</v>
      </c>
      <c r="E76">
        <v>8</v>
      </c>
      <c r="F76">
        <f t="shared" si="5"/>
        <v>9</v>
      </c>
    </row>
    <row r="77" spans="1:6">
      <c r="A77">
        <f t="shared" si="4"/>
        <v>77</v>
      </c>
      <c r="B77">
        <f>INDEX(Sheet1!$K$98:$AB$112,F77,D77)</f>
        <v>37472</v>
      </c>
      <c r="C77">
        <f>INDEX(Sheet1!$K$98:$AB$112,F77,E77)</f>
        <v>2602826</v>
      </c>
      <c r="D77">
        <f t="shared" si="3"/>
        <v>9</v>
      </c>
      <c r="E77">
        <v>10</v>
      </c>
      <c r="F77">
        <f t="shared" si="5"/>
        <v>9</v>
      </c>
    </row>
    <row r="78" spans="1:6">
      <c r="A78">
        <f t="shared" si="4"/>
        <v>78</v>
      </c>
      <c r="B78">
        <f>INDEX(Sheet1!$K$98:$AB$112,F78,D78)</f>
        <v>41037</v>
      </c>
      <c r="C78">
        <f>INDEX(Sheet1!$K$98:$AB$112,F78,E78)</f>
        <v>2822495</v>
      </c>
      <c r="D78">
        <f t="shared" si="3"/>
        <v>11</v>
      </c>
      <c r="E78">
        <v>12</v>
      </c>
      <c r="F78">
        <f t="shared" si="5"/>
        <v>9</v>
      </c>
    </row>
    <row r="79" spans="1:6">
      <c r="A79">
        <f t="shared" si="4"/>
        <v>79</v>
      </c>
      <c r="B79">
        <f>INDEX(Sheet1!$K$98:$AB$112,F79,D79)</f>
        <v>44098</v>
      </c>
      <c r="C79">
        <f>INDEX(Sheet1!$K$98:$AB$112,F79,E79)</f>
        <v>3013906</v>
      </c>
      <c r="D79">
        <f t="shared" si="3"/>
        <v>13</v>
      </c>
      <c r="E79">
        <v>14</v>
      </c>
      <c r="F79">
        <f t="shared" si="5"/>
        <v>9</v>
      </c>
    </row>
    <row r="80" spans="1:6">
      <c r="A80">
        <f t="shared" si="4"/>
        <v>80</v>
      </c>
      <c r="B80">
        <f>INDEX(Sheet1!$K$98:$AB$112,F80,D80)</f>
        <v>47387</v>
      </c>
      <c r="C80">
        <f>INDEX(Sheet1!$K$98:$AB$112,F80,E80)</f>
        <v>3218299</v>
      </c>
      <c r="D80">
        <f t="shared" si="3"/>
        <v>15</v>
      </c>
      <c r="E80">
        <v>16</v>
      </c>
      <c r="F80">
        <f t="shared" si="5"/>
        <v>9</v>
      </c>
    </row>
    <row r="81" spans="1:6">
      <c r="A81">
        <f t="shared" si="4"/>
        <v>81</v>
      </c>
      <c r="B81">
        <f>INDEX(Sheet1!$K$98:$AB$112,F81,D81)</f>
        <v>52157</v>
      </c>
      <c r="C81">
        <f>INDEX(Sheet1!$K$98:$AB$112,F81,E81)</f>
        <v>3512544</v>
      </c>
      <c r="D81">
        <f t="shared" si="3"/>
        <v>17</v>
      </c>
      <c r="E81">
        <v>18</v>
      </c>
      <c r="F81">
        <f t="shared" si="5"/>
        <v>9</v>
      </c>
    </row>
    <row r="82" spans="1:6">
      <c r="A82">
        <f t="shared" si="4"/>
        <v>82</v>
      </c>
      <c r="B82">
        <f>INDEX(Sheet1!$K$98:$AB$112,F82,D82)</f>
        <v>39391</v>
      </c>
      <c r="C82">
        <f>INDEX(Sheet1!$K$98:$AB$112,F82,E82)</f>
        <v>2630954</v>
      </c>
      <c r="D82">
        <f t="shared" si="3"/>
        <v>1</v>
      </c>
      <c r="E82">
        <v>2</v>
      </c>
      <c r="F82">
        <f t="shared" si="5"/>
        <v>10</v>
      </c>
    </row>
    <row r="83" spans="1:6">
      <c r="A83">
        <f t="shared" si="4"/>
        <v>83</v>
      </c>
      <c r="B83">
        <f>INDEX(Sheet1!$K$98:$AB$112,F83,D83)</f>
        <v>43405</v>
      </c>
      <c r="C83">
        <f>INDEX(Sheet1!$K$98:$AB$112,F83,E83)</f>
        <v>2847373</v>
      </c>
      <c r="D83">
        <f t="shared" si="3"/>
        <v>3</v>
      </c>
      <c r="E83">
        <v>4</v>
      </c>
      <c r="F83">
        <f t="shared" si="5"/>
        <v>10</v>
      </c>
    </row>
    <row r="84" spans="1:6">
      <c r="A84">
        <f t="shared" si="4"/>
        <v>84</v>
      </c>
      <c r="B84">
        <f>INDEX(Sheet1!$K$98:$AB$112,F84,D84)</f>
        <v>49399</v>
      </c>
      <c r="C84">
        <f>INDEX(Sheet1!$K$98:$AB$112,F84,E84)</f>
        <v>3163874</v>
      </c>
      <c r="D84">
        <f t="shared" si="3"/>
        <v>5</v>
      </c>
      <c r="E84">
        <v>6</v>
      </c>
      <c r="F84">
        <f t="shared" si="5"/>
        <v>10</v>
      </c>
    </row>
    <row r="85" spans="1:6">
      <c r="A85">
        <f t="shared" si="4"/>
        <v>85</v>
      </c>
      <c r="B85">
        <f>INDEX(Sheet1!$K$98:$AB$112,F85,D85)</f>
        <v>53150</v>
      </c>
      <c r="C85">
        <f>INDEX(Sheet1!$K$98:$AB$112,F85,E85)</f>
        <v>3367942</v>
      </c>
      <c r="D85">
        <f t="shared" si="3"/>
        <v>7</v>
      </c>
      <c r="E85">
        <v>8</v>
      </c>
      <c r="F85">
        <f t="shared" si="5"/>
        <v>10</v>
      </c>
    </row>
    <row r="86" spans="1:6">
      <c r="A86">
        <f t="shared" si="4"/>
        <v>86</v>
      </c>
      <c r="B86">
        <f>INDEX(Sheet1!$K$98:$AB$112,F86,D86)</f>
        <v>57186</v>
      </c>
      <c r="C86">
        <f>INDEX(Sheet1!$K$98:$AB$112,F86,E86)</f>
        <v>3585173</v>
      </c>
      <c r="D86">
        <f t="shared" si="3"/>
        <v>9</v>
      </c>
      <c r="E86">
        <v>10</v>
      </c>
      <c r="F86">
        <f t="shared" si="5"/>
        <v>10</v>
      </c>
    </row>
    <row r="87" spans="1:6">
      <c r="A87">
        <f t="shared" si="4"/>
        <v>87</v>
      </c>
      <c r="B87">
        <f>INDEX(Sheet1!$K$98:$AB$112,F87,D87)</f>
        <v>63048</v>
      </c>
      <c r="C87">
        <f>INDEX(Sheet1!$K$98:$AB$112,F87,E87)</f>
        <v>3896763</v>
      </c>
      <c r="D87">
        <f t="shared" si="3"/>
        <v>11</v>
      </c>
      <c r="E87">
        <v>12</v>
      </c>
      <c r="F87">
        <f t="shared" si="5"/>
        <v>10</v>
      </c>
    </row>
    <row r="88" spans="1:6">
      <c r="A88">
        <f t="shared" si="4"/>
        <v>88</v>
      </c>
      <c r="B88">
        <f>INDEX(Sheet1!$K$98:$AB$112,F88,D88)</f>
        <v>68032</v>
      </c>
      <c r="C88">
        <f>INDEX(Sheet1!$K$98:$AB$112,F88,E88)</f>
        <v>4167322</v>
      </c>
      <c r="D88">
        <f t="shared" si="3"/>
        <v>13</v>
      </c>
      <c r="E88">
        <v>14</v>
      </c>
      <c r="F88">
        <f t="shared" si="5"/>
        <v>10</v>
      </c>
    </row>
    <row r="89" spans="1:6">
      <c r="A89">
        <f t="shared" si="4"/>
        <v>89</v>
      </c>
      <c r="B89">
        <f>INDEX(Sheet1!$K$98:$AB$112,F89,D89)</f>
        <v>73410</v>
      </c>
      <c r="C89">
        <f>INDEX(Sheet1!$K$98:$AB$112,F89,E89)</f>
        <v>4456667</v>
      </c>
      <c r="D89">
        <f t="shared" si="3"/>
        <v>15</v>
      </c>
      <c r="E89">
        <v>16</v>
      </c>
      <c r="F89">
        <f t="shared" si="5"/>
        <v>10</v>
      </c>
    </row>
    <row r="90" spans="1:6">
      <c r="A90">
        <f t="shared" si="4"/>
        <v>90</v>
      </c>
      <c r="B90">
        <f>INDEX(Sheet1!$K$98:$AB$112,F90,D90)</f>
        <v>81248</v>
      </c>
      <c r="C90">
        <f>INDEX(Sheet1!$K$98:$AB$112,F90,E90)</f>
        <v>4873949</v>
      </c>
      <c r="D90">
        <f t="shared" si="3"/>
        <v>17</v>
      </c>
      <c r="E90">
        <v>18</v>
      </c>
      <c r="F90">
        <f t="shared" si="5"/>
        <v>10</v>
      </c>
    </row>
    <row r="91" spans="1:6">
      <c r="A91">
        <f t="shared" si="4"/>
        <v>91</v>
      </c>
      <c r="B91">
        <f>INDEX(Sheet1!$K$98:$AB$112,F91,D91)</f>
        <v>55847</v>
      </c>
      <c r="C91">
        <f>INDEX(Sheet1!$K$98:$AB$112,F91,E91)</f>
        <v>3494224</v>
      </c>
      <c r="D91">
        <f t="shared" si="3"/>
        <v>1</v>
      </c>
      <c r="E91">
        <v>2</v>
      </c>
      <c r="F91">
        <f t="shared" si="5"/>
        <v>11</v>
      </c>
    </row>
    <row r="92" spans="1:6">
      <c r="A92">
        <f t="shared" si="4"/>
        <v>92</v>
      </c>
      <c r="B92">
        <f>INDEX(Sheet1!$K$98:$AB$112,F92,D92)</f>
        <v>62042</v>
      </c>
      <c r="C92">
        <f>INDEX(Sheet1!$K$98:$AB$112,F92,E92)</f>
        <v>3785601</v>
      </c>
      <c r="D92">
        <f t="shared" si="3"/>
        <v>3</v>
      </c>
      <c r="E92">
        <v>4</v>
      </c>
      <c r="F92">
        <f t="shared" si="5"/>
        <v>11</v>
      </c>
    </row>
    <row r="93" spans="1:6">
      <c r="A93">
        <f t="shared" si="4"/>
        <v>93</v>
      </c>
      <c r="B93">
        <f>INDEX(Sheet1!$K$98:$AB$112,F93,D93)</f>
        <v>71384</v>
      </c>
      <c r="C93">
        <f>INDEX(Sheet1!$K$98:$AB$112,F93,E93)</f>
        <v>4212244</v>
      </c>
      <c r="D93">
        <f t="shared" si="3"/>
        <v>5</v>
      </c>
      <c r="E93">
        <v>6</v>
      </c>
      <c r="F93">
        <f t="shared" si="5"/>
        <v>11</v>
      </c>
    </row>
    <row r="94" spans="1:6">
      <c r="A94">
        <f t="shared" si="4"/>
        <v>94</v>
      </c>
      <c r="B94">
        <f>INDEX(Sheet1!$K$98:$AB$112,F94,D94)</f>
        <v>77154</v>
      </c>
      <c r="C94">
        <f>INDEX(Sheet1!$K$98:$AB$112,F94,E94)</f>
        <v>4486842</v>
      </c>
      <c r="D94">
        <f t="shared" si="3"/>
        <v>7</v>
      </c>
      <c r="E94">
        <v>8</v>
      </c>
      <c r="F94">
        <f t="shared" si="5"/>
        <v>11</v>
      </c>
    </row>
    <row r="95" spans="1:6">
      <c r="A95">
        <f t="shared" si="4"/>
        <v>95</v>
      </c>
      <c r="B95">
        <f>INDEX(Sheet1!$K$98:$AB$112,F95,D95)</f>
        <v>83391</v>
      </c>
      <c r="C95">
        <f>INDEX(Sheet1!$K$98:$AB$112,F95,E95)</f>
        <v>4779341</v>
      </c>
      <c r="D95">
        <f t="shared" si="3"/>
        <v>9</v>
      </c>
      <c r="E95">
        <v>10</v>
      </c>
      <c r="F95">
        <f t="shared" si="5"/>
        <v>11</v>
      </c>
    </row>
    <row r="96" spans="1:6">
      <c r="A96">
        <f t="shared" si="4"/>
        <v>96</v>
      </c>
      <c r="B96">
        <f>INDEX(Sheet1!$K$98:$AB$112,F96,D96)</f>
        <v>92497</v>
      </c>
      <c r="C96">
        <f>INDEX(Sheet1!$K$98:$AB$112,F96,E96)</f>
        <v>5199213</v>
      </c>
      <c r="D96">
        <f t="shared" si="3"/>
        <v>11</v>
      </c>
      <c r="E96">
        <v>12</v>
      </c>
      <c r="F96">
        <f t="shared" si="5"/>
        <v>11</v>
      </c>
    </row>
    <row r="97" spans="1:6">
      <c r="A97">
        <f t="shared" si="4"/>
        <v>97</v>
      </c>
      <c r="B97">
        <f>INDEX(Sheet1!$K$98:$AB$112,F97,D97)</f>
        <v>100172</v>
      </c>
      <c r="C97">
        <f>INDEX(Sheet1!$K$98:$AB$112,F97,E97)</f>
        <v>5563321</v>
      </c>
      <c r="D97">
        <f t="shared" si="3"/>
        <v>13</v>
      </c>
      <c r="E97">
        <v>14</v>
      </c>
      <c r="F97">
        <f t="shared" si="5"/>
        <v>11</v>
      </c>
    </row>
    <row r="98" spans="1:6">
      <c r="A98">
        <f t="shared" si="4"/>
        <v>98</v>
      </c>
      <c r="B98">
        <f>INDEX(Sheet1!$K$98:$AB$112,F98,D98)</f>
        <v>108484</v>
      </c>
      <c r="C98">
        <f>INDEX(Sheet1!$K$98:$AB$112,F98,E98)</f>
        <v>5952927</v>
      </c>
      <c r="D98">
        <f t="shared" si="3"/>
        <v>15</v>
      </c>
      <c r="E98">
        <v>16</v>
      </c>
      <c r="F98">
        <f t="shared" si="5"/>
        <v>11</v>
      </c>
    </row>
    <row r="99" spans="1:6">
      <c r="A99">
        <f t="shared" si="4"/>
        <v>99</v>
      </c>
      <c r="B99">
        <f>INDEX(Sheet1!$K$98:$AB$112,F99,D99)</f>
        <v>120649</v>
      </c>
      <c r="C99">
        <f>INDEX(Sheet1!$K$98:$AB$112,F99,E99)</f>
        <v>6515172</v>
      </c>
      <c r="D99">
        <f t="shared" si="3"/>
        <v>17</v>
      </c>
      <c r="E99">
        <v>18</v>
      </c>
      <c r="F99">
        <f t="shared" si="5"/>
        <v>11</v>
      </c>
    </row>
    <row r="100" spans="1:6">
      <c r="A100">
        <f t="shared" si="4"/>
        <v>100</v>
      </c>
      <c r="B100">
        <f>INDEX(Sheet1!$K$98:$AB$112,F100,D100)</f>
        <v>116489</v>
      </c>
      <c r="C100">
        <f>INDEX(Sheet1!$K$98:$AB$112,F100,E100)</f>
        <v>4567864</v>
      </c>
      <c r="D100">
        <f t="shared" si="3"/>
        <v>1</v>
      </c>
      <c r="E100">
        <v>2</v>
      </c>
      <c r="F100">
        <f t="shared" si="5"/>
        <v>12</v>
      </c>
    </row>
    <row r="101" spans="1:6">
      <c r="A101">
        <f t="shared" si="4"/>
        <v>101</v>
      </c>
      <c r="B101">
        <f>INDEX(Sheet1!$K$98:$AB$112,F101,D101)</f>
        <v>130300</v>
      </c>
      <c r="C101">
        <f>INDEX(Sheet1!$K$98:$AB$112,F101,E101)</f>
        <v>4942840</v>
      </c>
      <c r="D101">
        <f t="shared" si="3"/>
        <v>3</v>
      </c>
      <c r="E101">
        <v>4</v>
      </c>
      <c r="F101">
        <f t="shared" si="5"/>
        <v>12</v>
      </c>
    </row>
    <row r="102" spans="1:6">
      <c r="A102">
        <f t="shared" si="4"/>
        <v>102</v>
      </c>
      <c r="B102">
        <f>INDEX(Sheet1!$K$98:$AB$112,F102,D102)</f>
        <v>151293</v>
      </c>
      <c r="C102">
        <f>INDEX(Sheet1!$K$98:$AB$112,F102,E102)</f>
        <v>5491122</v>
      </c>
      <c r="D102">
        <f t="shared" si="3"/>
        <v>5</v>
      </c>
      <c r="E102">
        <v>6</v>
      </c>
      <c r="F102">
        <f t="shared" si="5"/>
        <v>12</v>
      </c>
    </row>
    <row r="103" spans="1:6">
      <c r="A103">
        <f t="shared" si="4"/>
        <v>103</v>
      </c>
      <c r="B103">
        <f>INDEX(Sheet1!$K$98:$AB$112,F103,D103)</f>
        <v>164121</v>
      </c>
      <c r="C103">
        <f>INDEX(Sheet1!$K$98:$AB$112,F103,E103)</f>
        <v>5844728</v>
      </c>
      <c r="D103">
        <f t="shared" si="3"/>
        <v>7</v>
      </c>
      <c r="E103">
        <v>8</v>
      </c>
      <c r="F103">
        <f t="shared" si="5"/>
        <v>12</v>
      </c>
    </row>
    <row r="104" spans="1:6">
      <c r="A104">
        <f t="shared" si="4"/>
        <v>104</v>
      </c>
      <c r="B104">
        <f>INDEX(Sheet1!$K$98:$AB$112,F104,D104)</f>
        <v>178036</v>
      </c>
      <c r="C104">
        <f>INDEX(Sheet1!$K$98:$AB$112,F104,E104)</f>
        <v>6221105</v>
      </c>
      <c r="D104">
        <f t="shared" si="3"/>
        <v>9</v>
      </c>
      <c r="E104">
        <v>10</v>
      </c>
      <c r="F104">
        <f t="shared" si="5"/>
        <v>12</v>
      </c>
    </row>
    <row r="105" spans="1:6">
      <c r="A105">
        <f t="shared" si="4"/>
        <v>105</v>
      </c>
      <c r="B105">
        <f>INDEX(Sheet1!$K$98:$AB$112,F105,D105)</f>
        <v>198442</v>
      </c>
      <c r="C105">
        <f>INDEX(Sheet1!$K$98:$AB$112,F105,E105)</f>
        <v>6760910</v>
      </c>
      <c r="D105">
        <f t="shared" si="3"/>
        <v>11</v>
      </c>
      <c r="E105">
        <v>12</v>
      </c>
      <c r="F105">
        <f t="shared" si="5"/>
        <v>12</v>
      </c>
    </row>
    <row r="106" spans="1:6">
      <c r="A106">
        <f t="shared" si="4"/>
        <v>106</v>
      </c>
      <c r="B106">
        <f>INDEX(Sheet1!$K$98:$AB$112,F106,D106)</f>
        <v>215521</v>
      </c>
      <c r="C106">
        <f>INDEX(Sheet1!$K$98:$AB$112,F106,E106)</f>
        <v>7229723</v>
      </c>
      <c r="D106">
        <f t="shared" si="3"/>
        <v>13</v>
      </c>
      <c r="E106">
        <v>14</v>
      </c>
      <c r="F106">
        <f t="shared" si="5"/>
        <v>12</v>
      </c>
    </row>
    <row r="107" spans="1:6">
      <c r="A107">
        <f t="shared" si="4"/>
        <v>107</v>
      </c>
      <c r="B107">
        <f>INDEX(Sheet1!$K$98:$AB$112,F107,D107)</f>
        <v>234070</v>
      </c>
      <c r="C107">
        <f>INDEX(Sheet1!$K$98:$AB$112,F107,E107)</f>
        <v>7731045</v>
      </c>
      <c r="D107">
        <f t="shared" si="3"/>
        <v>15</v>
      </c>
      <c r="E107">
        <v>16</v>
      </c>
      <c r="F107">
        <f t="shared" si="5"/>
        <v>12</v>
      </c>
    </row>
    <row r="108" spans="1:6">
      <c r="A108">
        <f t="shared" si="4"/>
        <v>108</v>
      </c>
      <c r="B108">
        <f>INDEX(Sheet1!$K$98:$AB$112,F108,D108)</f>
        <v>261308</v>
      </c>
      <c r="C108">
        <f>INDEX(Sheet1!$K$98:$AB$112,F108,E108)</f>
        <v>8453960</v>
      </c>
      <c r="D108">
        <f t="shared" si="3"/>
        <v>17</v>
      </c>
      <c r="E108">
        <v>18</v>
      </c>
      <c r="F108">
        <f t="shared" si="5"/>
        <v>12</v>
      </c>
    </row>
    <row r="109" spans="1:6">
      <c r="A109">
        <f t="shared" si="4"/>
        <v>109</v>
      </c>
      <c r="B109">
        <f>INDEX(Sheet1!$K$98:$AB$112,F109,D109)</f>
        <v>156680</v>
      </c>
      <c r="C109">
        <f>INDEX(Sheet1!$K$98:$AB$112,F109,E109)</f>
        <v>5780783</v>
      </c>
      <c r="D109">
        <f t="shared" si="3"/>
        <v>1</v>
      </c>
      <c r="E109">
        <v>2</v>
      </c>
      <c r="F109">
        <f t="shared" si="5"/>
        <v>13</v>
      </c>
    </row>
    <row r="110" spans="1:6">
      <c r="A110">
        <f t="shared" si="4"/>
        <v>110</v>
      </c>
      <c r="B110">
        <f>INDEX(Sheet1!$K$98:$AB$112,F110,D110)</f>
        <v>176416</v>
      </c>
      <c r="C110">
        <f>INDEX(Sheet1!$K$98:$AB$112,F110,E110)</f>
        <v>6253769</v>
      </c>
      <c r="D110">
        <f t="shared" si="3"/>
        <v>3</v>
      </c>
      <c r="E110">
        <v>4</v>
      </c>
      <c r="F110">
        <f t="shared" si="5"/>
        <v>13</v>
      </c>
    </row>
    <row r="111" spans="1:6">
      <c r="A111">
        <f t="shared" si="4"/>
        <v>111</v>
      </c>
      <c r="B111">
        <f>INDEX(Sheet1!$K$98:$AB$112,F111,D111)</f>
        <v>206649</v>
      </c>
      <c r="C111">
        <f>INDEX(Sheet1!$K$98:$AB$112,F111,E111)</f>
        <v>6945156</v>
      </c>
      <c r="D111">
        <f t="shared" si="3"/>
        <v>5</v>
      </c>
      <c r="E111">
        <v>6</v>
      </c>
      <c r="F111">
        <f t="shared" si="5"/>
        <v>13</v>
      </c>
    </row>
    <row r="112" spans="1:6">
      <c r="A112">
        <f t="shared" si="4"/>
        <v>112</v>
      </c>
      <c r="B112">
        <f>INDEX(Sheet1!$K$98:$AB$112,F112,D112)</f>
        <v>224935</v>
      </c>
      <c r="C112">
        <f>INDEX(Sheet1!$K$98:$AB$112,F112,E112)</f>
        <v>7391244</v>
      </c>
      <c r="D112">
        <f t="shared" si="3"/>
        <v>7</v>
      </c>
      <c r="E112">
        <v>8</v>
      </c>
      <c r="F112">
        <f t="shared" si="5"/>
        <v>13</v>
      </c>
    </row>
    <row r="113" spans="1:6">
      <c r="A113">
        <f t="shared" si="4"/>
        <v>113</v>
      </c>
      <c r="B113">
        <f>INDEX(Sheet1!$K$98:$AB$112,F113,D113)</f>
        <v>244839</v>
      </c>
      <c r="C113">
        <f>INDEX(Sheet1!$K$98:$AB$112,F113,E113)</f>
        <v>7865985</v>
      </c>
      <c r="D113">
        <f t="shared" si="3"/>
        <v>9</v>
      </c>
      <c r="E113">
        <v>10</v>
      </c>
      <c r="F113">
        <f t="shared" si="5"/>
        <v>13</v>
      </c>
    </row>
    <row r="114" spans="1:6">
      <c r="A114">
        <f t="shared" si="4"/>
        <v>114</v>
      </c>
      <c r="B114">
        <f>INDEX(Sheet1!$K$98:$AB$112,F114,D114)</f>
        <v>274144</v>
      </c>
      <c r="C114">
        <f>INDEX(Sheet1!$K$98:$AB$112,F114,E114)</f>
        <v>8546741</v>
      </c>
      <c r="D114">
        <f t="shared" si="3"/>
        <v>11</v>
      </c>
      <c r="E114">
        <v>12</v>
      </c>
      <c r="F114">
        <f t="shared" si="5"/>
        <v>13</v>
      </c>
    </row>
    <row r="115" spans="1:6">
      <c r="A115">
        <f t="shared" si="4"/>
        <v>115</v>
      </c>
      <c r="B115">
        <f>INDEX(Sheet1!$K$98:$AB$112,F115,D115)</f>
        <v>298514</v>
      </c>
      <c r="C115">
        <f>INDEX(Sheet1!$K$98:$AB$112,F115,E115)</f>
        <v>9138154</v>
      </c>
      <c r="D115">
        <f t="shared" si="3"/>
        <v>13</v>
      </c>
      <c r="E115">
        <v>14</v>
      </c>
      <c r="F115">
        <f t="shared" si="5"/>
        <v>13</v>
      </c>
    </row>
    <row r="116" spans="1:6">
      <c r="A116">
        <f t="shared" si="4"/>
        <v>116</v>
      </c>
      <c r="B116">
        <f>INDEX(Sheet1!$K$98:$AB$112,F116,D116)</f>
        <v>325051</v>
      </c>
      <c r="C116">
        <f>INDEX(Sheet1!$K$98:$AB$112,F116,E116)</f>
        <v>9770491</v>
      </c>
      <c r="D116">
        <f t="shared" si="3"/>
        <v>15</v>
      </c>
      <c r="E116">
        <v>16</v>
      </c>
      <c r="F116">
        <f t="shared" si="5"/>
        <v>13</v>
      </c>
    </row>
    <row r="117" spans="1:6">
      <c r="A117">
        <f t="shared" si="4"/>
        <v>117</v>
      </c>
      <c r="B117">
        <f>INDEX(Sheet1!$K$98:$AB$112,F117,D117)</f>
        <v>364138</v>
      </c>
      <c r="C117">
        <f>INDEX(Sheet1!$K$98:$AB$112,F117,E117)</f>
        <v>10682189</v>
      </c>
      <c r="D117">
        <f t="shared" si="3"/>
        <v>17</v>
      </c>
      <c r="E117">
        <v>18</v>
      </c>
      <c r="F117">
        <f t="shared" si="5"/>
        <v>13</v>
      </c>
    </row>
    <row r="118" spans="1:6">
      <c r="A118">
        <f t="shared" si="4"/>
        <v>118</v>
      </c>
      <c r="B118">
        <f>INDEX(Sheet1!$K$98:$AB$112,F118,D118)</f>
        <v>210687</v>
      </c>
      <c r="C118">
        <f>INDEX(Sheet1!$K$98:$AB$112,F118,E118)</f>
        <v>7236442</v>
      </c>
      <c r="D118">
        <f t="shared" si="3"/>
        <v>1</v>
      </c>
      <c r="E118">
        <v>2</v>
      </c>
      <c r="F118">
        <f t="shared" si="5"/>
        <v>14</v>
      </c>
    </row>
    <row r="119" spans="1:6">
      <c r="A119">
        <f t="shared" si="4"/>
        <v>119</v>
      </c>
      <c r="B119">
        <f>INDEX(Sheet1!$K$98:$AB$112,F119,D119)</f>
        <v>238722</v>
      </c>
      <c r="C119">
        <f>INDEX(Sheet1!$K$98:$AB$112,F119,E119)</f>
        <v>7817165</v>
      </c>
      <c r="D119">
        <f t="shared" si="3"/>
        <v>3</v>
      </c>
      <c r="E119">
        <v>4</v>
      </c>
      <c r="F119">
        <f t="shared" si="5"/>
        <v>14</v>
      </c>
    </row>
    <row r="120" spans="1:6">
      <c r="A120">
        <f t="shared" si="4"/>
        <v>120</v>
      </c>
      <c r="B120">
        <f>INDEX(Sheet1!$K$98:$AB$112,F120,D120)</f>
        <v>281989</v>
      </c>
      <c r="C120">
        <f>INDEX(Sheet1!$K$98:$AB$112,F120,E120)</f>
        <v>8664594</v>
      </c>
      <c r="D120">
        <f t="shared" si="3"/>
        <v>5</v>
      </c>
      <c r="E120">
        <v>6</v>
      </c>
      <c r="F120">
        <f t="shared" si="5"/>
        <v>14</v>
      </c>
    </row>
    <row r="121" spans="1:6">
      <c r="A121">
        <f t="shared" si="4"/>
        <v>121</v>
      </c>
      <c r="B121">
        <f>INDEX(Sheet1!$K$98:$AB$112,F121,D121)</f>
        <v>307909</v>
      </c>
      <c r="C121">
        <f>INDEX(Sheet1!$K$98:$AB$112,F121,E121)</f>
        <v>9212718</v>
      </c>
      <c r="D121">
        <f t="shared" si="3"/>
        <v>7</v>
      </c>
      <c r="E121">
        <v>8</v>
      </c>
      <c r="F121">
        <f t="shared" si="5"/>
        <v>14</v>
      </c>
    </row>
    <row r="122" spans="1:6">
      <c r="A122">
        <f t="shared" si="4"/>
        <v>122</v>
      </c>
      <c r="B122">
        <f>INDEX(Sheet1!$K$98:$AB$112,F122,D122)</f>
        <v>336211</v>
      </c>
      <c r="C122">
        <f>INDEX(Sheet1!$K$98:$AB$112,F122,E122)</f>
        <v>9795516</v>
      </c>
      <c r="D122">
        <f t="shared" si="3"/>
        <v>9</v>
      </c>
      <c r="E122">
        <v>10</v>
      </c>
      <c r="F122">
        <f t="shared" si="5"/>
        <v>14</v>
      </c>
    </row>
    <row r="123" spans="1:6">
      <c r="A123">
        <f t="shared" si="4"/>
        <v>123</v>
      </c>
      <c r="B123">
        <f>INDEX(Sheet1!$K$98:$AB$112,F123,D123)</f>
        <v>378034</v>
      </c>
      <c r="C123">
        <f>INDEX(Sheet1!$K$98:$AB$112,F123,E123)</f>
        <v>10630329</v>
      </c>
      <c r="D123">
        <f t="shared" si="3"/>
        <v>11</v>
      </c>
      <c r="E123">
        <v>12</v>
      </c>
      <c r="F123">
        <f t="shared" si="5"/>
        <v>14</v>
      </c>
    </row>
    <row r="124" spans="1:6">
      <c r="A124">
        <f t="shared" si="4"/>
        <v>124</v>
      </c>
      <c r="B124">
        <f>INDEX(Sheet1!$K$98:$AB$112,F124,D124)</f>
        <v>412611</v>
      </c>
      <c r="C124">
        <f>INDEX(Sheet1!$K$98:$AB$112,F124,E124)</f>
        <v>11356914</v>
      </c>
      <c r="D124">
        <f t="shared" si="3"/>
        <v>13</v>
      </c>
      <c r="E124">
        <v>14</v>
      </c>
      <c r="F124">
        <f t="shared" si="5"/>
        <v>14</v>
      </c>
    </row>
    <row r="125" spans="1:6">
      <c r="A125">
        <f t="shared" si="4"/>
        <v>125</v>
      </c>
      <c r="B125">
        <f>INDEX(Sheet1!$K$98:$AB$112,F125,D125)</f>
        <v>450351</v>
      </c>
      <c r="C125">
        <f>INDEX(Sheet1!$K$98:$AB$112,F125,E125)</f>
        <v>12133160</v>
      </c>
      <c r="D125">
        <f t="shared" si="3"/>
        <v>15</v>
      </c>
      <c r="E125">
        <v>16</v>
      </c>
      <c r="F125">
        <f t="shared" si="5"/>
        <v>14</v>
      </c>
    </row>
    <row r="126" spans="1:6">
      <c r="A126">
        <f t="shared" si="4"/>
        <v>126</v>
      </c>
      <c r="B126">
        <f>INDEX(Sheet1!$K$98:$AB$112,F126,D126)</f>
        <v>506094</v>
      </c>
      <c r="C126">
        <f>INDEX(Sheet1!$K$98:$AB$112,F126,E126)</f>
        <v>13251308</v>
      </c>
      <c r="D126">
        <f t="shared" si="3"/>
        <v>17</v>
      </c>
      <c r="E126">
        <v>18</v>
      </c>
      <c r="F126">
        <f t="shared" si="5"/>
        <v>14</v>
      </c>
    </row>
    <row r="127" spans="1:6">
      <c r="A127">
        <f t="shared" si="4"/>
        <v>127</v>
      </c>
      <c r="B127">
        <f>INDEX(Sheet1!$K$98:$AB$112,F127,D127)</f>
        <v>288176</v>
      </c>
      <c r="C127">
        <f>INDEX(Sheet1!$K$98:$AB$112,F127,E127)</f>
        <v>8990922</v>
      </c>
      <c r="D127">
        <f t="shared" si="3"/>
        <v>1</v>
      </c>
      <c r="E127">
        <v>2</v>
      </c>
      <c r="F127">
        <f t="shared" si="5"/>
        <v>15</v>
      </c>
    </row>
    <row r="128" spans="1:6">
      <c r="A128">
        <f t="shared" si="4"/>
        <v>128</v>
      </c>
      <c r="B128">
        <f>INDEX(Sheet1!$K$98:$AB$112,F128,D128)</f>
        <v>328476</v>
      </c>
      <c r="C128">
        <f>INDEX(Sheet1!$K$98:$AB$112,F128,E128)</f>
        <v>9712005</v>
      </c>
      <c r="D128">
        <f t="shared" si="3"/>
        <v>3</v>
      </c>
      <c r="E128">
        <v>4</v>
      </c>
      <c r="F128">
        <f t="shared" si="5"/>
        <v>15</v>
      </c>
    </row>
    <row r="129" spans="1:6">
      <c r="A129">
        <f t="shared" si="4"/>
        <v>129</v>
      </c>
      <c r="B129">
        <f>INDEX(Sheet1!$K$98:$AB$112,F129,D129)</f>
        <v>391109</v>
      </c>
      <c r="C129">
        <f>INDEX(Sheet1!$K$98:$AB$112,F129,E129)</f>
        <v>10764200</v>
      </c>
      <c r="D129">
        <f t="shared" si="3"/>
        <v>5</v>
      </c>
      <c r="E129">
        <v>6</v>
      </c>
      <c r="F129">
        <f t="shared" si="5"/>
        <v>15</v>
      </c>
    </row>
    <row r="130" spans="1:6">
      <c r="A130">
        <f t="shared" si="4"/>
        <v>130</v>
      </c>
      <c r="B130">
        <f>INDEX(Sheet1!$K$98:$AB$112,F130,D130)</f>
        <v>428295</v>
      </c>
      <c r="C130">
        <f>INDEX(Sheet1!$K$98:$AB$112,F130,E130)</f>
        <v>11444820</v>
      </c>
      <c r="D130">
        <f t="shared" ref="D130:D135" si="6">E130-1</f>
        <v>7</v>
      </c>
      <c r="E130">
        <v>8</v>
      </c>
      <c r="F130">
        <f t="shared" si="5"/>
        <v>15</v>
      </c>
    </row>
    <row r="131" spans="1:6">
      <c r="A131">
        <f t="shared" ref="A131:A135" si="7">A130+1</f>
        <v>131</v>
      </c>
      <c r="B131">
        <f>INDEX(Sheet1!$K$98:$AB$112,F131,D131)</f>
        <v>469016</v>
      </c>
      <c r="C131">
        <f>INDEX(Sheet1!$K$98:$AB$112,F131,E131)</f>
        <v>12168476</v>
      </c>
      <c r="D131">
        <f t="shared" si="6"/>
        <v>9</v>
      </c>
      <c r="E131">
        <v>10</v>
      </c>
      <c r="F131">
        <f t="shared" si="5"/>
        <v>15</v>
      </c>
    </row>
    <row r="132" spans="1:6">
      <c r="A132">
        <f t="shared" si="7"/>
        <v>132</v>
      </c>
      <c r="B132">
        <f>INDEX(Sheet1!$K$98:$AB$112,F132,D132)</f>
        <v>529396</v>
      </c>
      <c r="C132">
        <f>INDEX(Sheet1!$K$98:$AB$112,F132,E132)</f>
        <v>13205023</v>
      </c>
      <c r="D132">
        <f t="shared" si="6"/>
        <v>11</v>
      </c>
      <c r="E132">
        <v>12</v>
      </c>
      <c r="F132">
        <f t="shared" si="5"/>
        <v>15</v>
      </c>
    </row>
    <row r="133" spans="1:6">
      <c r="A133">
        <f t="shared" si="7"/>
        <v>133</v>
      </c>
      <c r="B133">
        <f>INDEX(Sheet1!$K$98:$AB$112,F133,D133)</f>
        <v>579050</v>
      </c>
      <c r="C133">
        <f>INDEX(Sheet1!$K$98:$AB$112,F133,E133)</f>
        <v>14107240</v>
      </c>
      <c r="D133">
        <f t="shared" si="6"/>
        <v>13</v>
      </c>
      <c r="E133">
        <v>14</v>
      </c>
      <c r="F133">
        <f t="shared" si="5"/>
        <v>15</v>
      </c>
    </row>
    <row r="134" spans="1:6">
      <c r="A134">
        <f t="shared" si="7"/>
        <v>134</v>
      </c>
      <c r="B134">
        <f>INDEX(Sheet1!$K$98:$AB$112,F134,D134)</f>
        <v>633360</v>
      </c>
      <c r="C134">
        <f>INDEX(Sheet1!$K$98:$AB$112,F134,E134)</f>
        <v>15071099</v>
      </c>
      <c r="D134">
        <f t="shared" si="6"/>
        <v>15</v>
      </c>
      <c r="E134">
        <v>16</v>
      </c>
      <c r="F134">
        <f t="shared" si="5"/>
        <v>15</v>
      </c>
    </row>
    <row r="135" spans="1:6">
      <c r="A135">
        <f t="shared" si="7"/>
        <v>135</v>
      </c>
      <c r="B135">
        <f>INDEX(Sheet1!$K$98:$AB$112,F135,D135)</f>
        <v>713780</v>
      </c>
      <c r="C135">
        <f>INDEX(Sheet1!$K$98:$AB$112,F135,E135)</f>
        <v>16459454</v>
      </c>
      <c r="D135">
        <f t="shared" si="6"/>
        <v>17</v>
      </c>
      <c r="E135">
        <v>18</v>
      </c>
      <c r="F135">
        <f t="shared" si="5"/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Q74"/>
  <sheetViews>
    <sheetView workbookViewId="0">
      <selection activeCell="N39" sqref="N39"/>
    </sheetView>
  </sheetViews>
  <sheetFormatPr defaultRowHeight="13.5"/>
  <cols>
    <col min="6" max="7" width="9.875" customWidth="1"/>
    <col min="14" max="14" width="11.25" bestFit="1" customWidth="1"/>
    <col min="15" max="15" width="14.125" customWidth="1"/>
    <col min="16" max="16" width="14.5" customWidth="1"/>
  </cols>
  <sheetData>
    <row r="1" spans="1:17">
      <c r="A1" t="s">
        <v>17</v>
      </c>
      <c r="B1" t="s">
        <v>18</v>
      </c>
      <c r="C1" t="s">
        <v>19</v>
      </c>
      <c r="D1" t="s">
        <v>21</v>
      </c>
      <c r="E1" t="s">
        <v>20</v>
      </c>
      <c r="F1" t="s">
        <v>27</v>
      </c>
      <c r="G1" t="s">
        <v>26</v>
      </c>
      <c r="H1" t="s">
        <v>28</v>
      </c>
      <c r="I1" t="s">
        <v>29</v>
      </c>
      <c r="L1" t="s">
        <v>22</v>
      </c>
      <c r="M1" t="s">
        <v>23</v>
      </c>
      <c r="N1" t="s">
        <v>30</v>
      </c>
      <c r="O1" t="s">
        <v>24</v>
      </c>
      <c r="P1" t="s">
        <v>25</v>
      </c>
      <c r="Q1" t="s">
        <v>31</v>
      </c>
    </row>
    <row r="2" spans="1:17">
      <c r="A2">
        <v>30</v>
      </c>
      <c r="B2">
        <v>16</v>
      </c>
      <c r="C2">
        <v>14</v>
      </c>
      <c r="D2">
        <v>20</v>
      </c>
      <c r="E2">
        <v>0</v>
      </c>
      <c r="F2">
        <f>D2*(1-B2/(B2+100))</f>
        <v>17.241379310344826</v>
      </c>
      <c r="G2">
        <f>E2*(1-C2/(C2+100))</f>
        <v>0</v>
      </c>
      <c r="H2">
        <v>2815</v>
      </c>
      <c r="I2">
        <v>1550</v>
      </c>
      <c r="L2">
        <f>D2/($H2+D2)</f>
        <v>7.0546737213403876E-3</v>
      </c>
      <c r="M2">
        <f>E2/($I2+E2)</f>
        <v>0</v>
      </c>
      <c r="N2">
        <f>1/(1-L2)/(1-M2)</f>
        <v>1.0071047957371226</v>
      </c>
      <c r="O2">
        <f>F2/($H2+F2)</f>
        <v>6.0875388080599011E-3</v>
      </c>
      <c r="P2">
        <f>G2/($I2+G2)</f>
        <v>0</v>
      </c>
      <c r="Q2">
        <f>1/(1-O2)/(1-P2)</f>
        <v>1.0061248239113125</v>
      </c>
    </row>
    <row r="3" spans="1:17">
      <c r="A3">
        <v>31</v>
      </c>
      <c r="B3">
        <v>18</v>
      </c>
      <c r="C3">
        <v>15</v>
      </c>
      <c r="D3">
        <v>50</v>
      </c>
      <c r="E3">
        <v>0</v>
      </c>
      <c r="F3">
        <f t="shared" ref="F3:F66" si="0">D3*(1-B3/(B3+100))</f>
        <v>42.372881355932201</v>
      </c>
      <c r="G3">
        <f t="shared" ref="G3:G66" si="1">E3*(1-C3/(C3+100))</f>
        <v>0</v>
      </c>
      <c r="H3">
        <v>3000</v>
      </c>
      <c r="I3">
        <v>1600</v>
      </c>
      <c r="L3">
        <f t="shared" ref="L3:L66" si="2">D3/($H3+D3)</f>
        <v>1.6393442622950821E-2</v>
      </c>
      <c r="M3">
        <f t="shared" ref="M3:M66" si="3">E3/($I3+E3)</f>
        <v>0</v>
      </c>
      <c r="N3">
        <f t="shared" ref="N3:N66" si="4">1/(1-L3)/(1-M3)</f>
        <v>1.0166666666666666</v>
      </c>
      <c r="O3">
        <f t="shared" ref="O3:O66" si="5">F3/($H3+F3)</f>
        <v>1.3927576601671307E-2</v>
      </c>
      <c r="P3">
        <f t="shared" ref="P3:P66" si="6">G3/($I3+G3)</f>
        <v>0</v>
      </c>
      <c r="Q3">
        <f t="shared" ref="Q3:Q66" si="7">1/(1-O3)/(1-P3)</f>
        <v>1.0141242937853108</v>
      </c>
    </row>
    <row r="4" spans="1:17">
      <c r="A4">
        <v>32</v>
      </c>
      <c r="B4">
        <v>20</v>
      </c>
      <c r="C4">
        <v>16</v>
      </c>
      <c r="D4">
        <v>80</v>
      </c>
      <c r="E4">
        <v>10</v>
      </c>
      <c r="F4">
        <f t="shared" si="0"/>
        <v>66.666666666666671</v>
      </c>
      <c r="G4">
        <f t="shared" si="1"/>
        <v>8.6206896551724128</v>
      </c>
      <c r="H4">
        <v>3191</v>
      </c>
      <c r="I4">
        <v>1650</v>
      </c>
      <c r="L4">
        <f t="shared" si="2"/>
        <v>2.4457352491592785E-2</v>
      </c>
      <c r="M4">
        <f t="shared" si="3"/>
        <v>6.024096385542169E-3</v>
      </c>
      <c r="N4">
        <f t="shared" si="4"/>
        <v>1.0312830593620315</v>
      </c>
      <c r="O4">
        <f t="shared" si="5"/>
        <v>2.0464545175483476E-2</v>
      </c>
      <c r="P4">
        <f t="shared" si="6"/>
        <v>5.1975051975051969E-3</v>
      </c>
      <c r="Q4">
        <f t="shared" si="7"/>
        <v>1.0262259068275992</v>
      </c>
    </row>
    <row r="5" spans="1:17">
      <c r="A5">
        <v>33</v>
      </c>
      <c r="B5">
        <v>22</v>
      </c>
      <c r="C5">
        <v>17</v>
      </c>
      <c r="D5">
        <v>110</v>
      </c>
      <c r="E5">
        <v>20</v>
      </c>
      <c r="F5">
        <f t="shared" si="0"/>
        <v>90.163934426229517</v>
      </c>
      <c r="G5">
        <f t="shared" si="1"/>
        <v>17.094017094017094</v>
      </c>
      <c r="H5">
        <v>3388</v>
      </c>
      <c r="I5">
        <v>1700</v>
      </c>
      <c r="L5">
        <f t="shared" si="2"/>
        <v>3.1446540880503145E-2</v>
      </c>
      <c r="M5">
        <f t="shared" si="3"/>
        <v>1.1627906976744186E-2</v>
      </c>
      <c r="N5">
        <f t="shared" si="4"/>
        <v>1.0446142093200919</v>
      </c>
      <c r="O5">
        <f t="shared" si="5"/>
        <v>2.5922853587722939E-2</v>
      </c>
      <c r="P5">
        <f t="shared" si="6"/>
        <v>9.9552015928322541E-3</v>
      </c>
      <c r="Q5">
        <f t="shared" si="7"/>
        <v>1.0369356348141303</v>
      </c>
    </row>
    <row r="6" spans="1:17">
      <c r="A6">
        <v>34</v>
      </c>
      <c r="B6">
        <v>24</v>
      </c>
      <c r="C6">
        <v>18</v>
      </c>
      <c r="D6">
        <v>140</v>
      </c>
      <c r="E6">
        <v>30</v>
      </c>
      <c r="F6">
        <f t="shared" si="0"/>
        <v>112.9032258064516</v>
      </c>
      <c r="G6">
        <f t="shared" si="1"/>
        <v>25.423728813559322</v>
      </c>
      <c r="H6">
        <v>3591</v>
      </c>
      <c r="I6">
        <v>1750</v>
      </c>
      <c r="L6">
        <f t="shared" si="2"/>
        <v>3.7523452157598502E-2</v>
      </c>
      <c r="M6">
        <f t="shared" si="3"/>
        <v>1.6853932584269662E-2</v>
      </c>
      <c r="N6">
        <f t="shared" si="4"/>
        <v>1.0567975494291284</v>
      </c>
      <c r="O6">
        <f t="shared" si="5"/>
        <v>3.0482228860574282E-2</v>
      </c>
      <c r="P6">
        <f t="shared" si="6"/>
        <v>1.4319809069212409E-2</v>
      </c>
      <c r="Q6">
        <f t="shared" si="7"/>
        <v>1.0464252180174023</v>
      </c>
    </row>
    <row r="7" spans="1:17">
      <c r="A7">
        <v>35</v>
      </c>
      <c r="B7">
        <v>26</v>
      </c>
      <c r="C7">
        <v>19</v>
      </c>
      <c r="D7">
        <v>170</v>
      </c>
      <c r="E7">
        <v>40</v>
      </c>
      <c r="F7">
        <f t="shared" si="0"/>
        <v>134.92063492063494</v>
      </c>
      <c r="G7">
        <f t="shared" si="1"/>
        <v>33.613445378151262</v>
      </c>
      <c r="H7">
        <v>3800</v>
      </c>
      <c r="I7">
        <v>1800</v>
      </c>
      <c r="L7">
        <f t="shared" si="2"/>
        <v>4.2821158690176324E-2</v>
      </c>
      <c r="M7">
        <f t="shared" si="3"/>
        <v>2.1739130434782608E-2</v>
      </c>
      <c r="N7">
        <f t="shared" si="4"/>
        <v>1.0679532163742691</v>
      </c>
      <c r="O7">
        <f t="shared" si="5"/>
        <v>3.4288019362646228E-2</v>
      </c>
      <c r="P7">
        <f t="shared" si="6"/>
        <v>1.8331805682859761E-2</v>
      </c>
      <c r="Q7">
        <f t="shared" si="7"/>
        <v>1.0548425998079545</v>
      </c>
    </row>
    <row r="8" spans="1:17">
      <c r="A8">
        <v>36</v>
      </c>
      <c r="B8">
        <v>28</v>
      </c>
      <c r="C8">
        <v>20</v>
      </c>
      <c r="D8">
        <v>200</v>
      </c>
      <c r="E8">
        <v>50</v>
      </c>
      <c r="F8">
        <f t="shared" si="0"/>
        <v>156.25</v>
      </c>
      <c r="G8">
        <f t="shared" si="1"/>
        <v>41.666666666666671</v>
      </c>
      <c r="H8">
        <v>4015</v>
      </c>
      <c r="I8">
        <v>1850</v>
      </c>
      <c r="L8">
        <f t="shared" si="2"/>
        <v>4.7449584816132859E-2</v>
      </c>
      <c r="M8">
        <f t="shared" si="3"/>
        <v>2.6315789473684209E-2</v>
      </c>
      <c r="N8">
        <f t="shared" si="4"/>
        <v>1.0781865302413247</v>
      </c>
      <c r="O8">
        <f t="shared" si="5"/>
        <v>3.7458795325142347E-2</v>
      </c>
      <c r="P8">
        <f t="shared" si="6"/>
        <v>2.2026431718061675E-2</v>
      </c>
      <c r="Q8">
        <f t="shared" si="7"/>
        <v>1.0623155845758585</v>
      </c>
    </row>
    <row r="9" spans="1:17">
      <c r="A9">
        <v>37</v>
      </c>
      <c r="B9">
        <v>30</v>
      </c>
      <c r="C9">
        <v>21</v>
      </c>
      <c r="D9">
        <v>230</v>
      </c>
      <c r="E9">
        <v>60</v>
      </c>
      <c r="F9">
        <f t="shared" si="0"/>
        <v>176.92307692307691</v>
      </c>
      <c r="G9">
        <f t="shared" si="1"/>
        <v>49.586776859504134</v>
      </c>
      <c r="H9">
        <v>4236</v>
      </c>
      <c r="I9">
        <v>1900</v>
      </c>
      <c r="L9">
        <f t="shared" si="2"/>
        <v>5.150022391401702E-2</v>
      </c>
      <c r="M9">
        <f t="shared" si="3"/>
        <v>3.0612244897959183E-2</v>
      </c>
      <c r="N9">
        <f t="shared" si="4"/>
        <v>1.087590080015904</v>
      </c>
      <c r="O9">
        <f t="shared" si="5"/>
        <v>4.0092037372751355E-2</v>
      </c>
      <c r="P9">
        <f t="shared" si="6"/>
        <v>2.5434506146672319E-2</v>
      </c>
      <c r="Q9">
        <f t="shared" si="7"/>
        <v>1.0689548827179796</v>
      </c>
    </row>
    <row r="10" spans="1:17">
      <c r="A10">
        <v>38</v>
      </c>
      <c r="B10">
        <v>32</v>
      </c>
      <c r="C10">
        <v>22</v>
      </c>
      <c r="D10">
        <v>260</v>
      </c>
      <c r="E10">
        <v>70</v>
      </c>
      <c r="F10">
        <f t="shared" si="0"/>
        <v>196.96969696969697</v>
      </c>
      <c r="G10">
        <f t="shared" si="1"/>
        <v>57.377049180327873</v>
      </c>
      <c r="H10">
        <v>4463</v>
      </c>
      <c r="I10">
        <v>1950</v>
      </c>
      <c r="L10">
        <f t="shared" si="2"/>
        <v>5.5049756510692355E-2</v>
      </c>
      <c r="M10">
        <f t="shared" si="3"/>
        <v>3.4653465346534656E-2</v>
      </c>
      <c r="N10">
        <f t="shared" si="4"/>
        <v>1.096245482801611</v>
      </c>
      <c r="O10">
        <f t="shared" si="5"/>
        <v>4.2268450178502913E-2</v>
      </c>
      <c r="P10">
        <f t="shared" si="6"/>
        <v>2.8583095140873826E-2</v>
      </c>
      <c r="Q10">
        <f t="shared" si="7"/>
        <v>1.074856652656633</v>
      </c>
    </row>
    <row r="11" spans="1:17">
      <c r="A11">
        <v>39</v>
      </c>
      <c r="B11">
        <v>34</v>
      </c>
      <c r="C11">
        <v>23</v>
      </c>
      <c r="D11">
        <v>290</v>
      </c>
      <c r="E11">
        <v>80</v>
      </c>
      <c r="F11">
        <f t="shared" si="0"/>
        <v>216.41791044776119</v>
      </c>
      <c r="G11">
        <f t="shared" si="1"/>
        <v>65.040650406504056</v>
      </c>
      <c r="H11">
        <v>4696</v>
      </c>
      <c r="I11">
        <v>2000</v>
      </c>
      <c r="L11">
        <f t="shared" si="2"/>
        <v>5.8162855996791017E-2</v>
      </c>
      <c r="M11">
        <f t="shared" si="3"/>
        <v>3.8461538461538464E-2</v>
      </c>
      <c r="N11">
        <f t="shared" si="4"/>
        <v>1.1042248722316867</v>
      </c>
      <c r="O11">
        <f t="shared" si="5"/>
        <v>4.4055272656563324E-2</v>
      </c>
      <c r="P11">
        <f t="shared" si="6"/>
        <v>3.1496062992125984E-2</v>
      </c>
      <c r="Q11">
        <f t="shared" si="7"/>
        <v>1.0801046291375216</v>
      </c>
    </row>
    <row r="12" spans="1:17">
      <c r="A12">
        <v>40</v>
      </c>
      <c r="B12">
        <v>36</v>
      </c>
      <c r="C12">
        <v>24</v>
      </c>
      <c r="D12">
        <v>320</v>
      </c>
      <c r="E12">
        <v>90</v>
      </c>
      <c r="F12">
        <f t="shared" si="0"/>
        <v>235.29411764705884</v>
      </c>
      <c r="G12">
        <f t="shared" si="1"/>
        <v>72.58064516129032</v>
      </c>
      <c r="H12">
        <v>4935</v>
      </c>
      <c r="I12">
        <v>2050</v>
      </c>
      <c r="L12">
        <f t="shared" si="2"/>
        <v>6.0894386298763085E-2</v>
      </c>
      <c r="M12">
        <f t="shared" si="3"/>
        <v>4.2056074766355138E-2</v>
      </c>
      <c r="N12">
        <f t="shared" si="4"/>
        <v>1.1115921615143203</v>
      </c>
      <c r="O12">
        <f t="shared" si="5"/>
        <v>4.5508845781898864E-2</v>
      </c>
      <c r="P12">
        <f t="shared" si="6"/>
        <v>3.4194528875379937E-2</v>
      </c>
      <c r="Q12">
        <f t="shared" si="7"/>
        <v>1.0847719103376994</v>
      </c>
    </row>
    <row r="13" spans="1:17">
      <c r="A13">
        <v>41</v>
      </c>
      <c r="B13">
        <v>38</v>
      </c>
      <c r="C13">
        <v>25</v>
      </c>
      <c r="D13">
        <v>350</v>
      </c>
      <c r="E13">
        <v>100</v>
      </c>
      <c r="F13">
        <f t="shared" si="0"/>
        <v>253.62318840579709</v>
      </c>
      <c r="G13">
        <f t="shared" si="1"/>
        <v>80</v>
      </c>
      <c r="H13">
        <v>5180</v>
      </c>
      <c r="I13">
        <v>2100</v>
      </c>
      <c r="L13">
        <f t="shared" si="2"/>
        <v>6.3291139240506333E-2</v>
      </c>
      <c r="M13">
        <f t="shared" si="3"/>
        <v>4.5454545454545456E-2</v>
      </c>
      <c r="N13">
        <f t="shared" si="4"/>
        <v>1.1184041184041182</v>
      </c>
      <c r="O13">
        <f t="shared" si="5"/>
        <v>4.6676624346527258E-2</v>
      </c>
      <c r="P13">
        <f t="shared" si="6"/>
        <v>3.669724770642202E-2</v>
      </c>
      <c r="Q13">
        <f t="shared" si="7"/>
        <v>1.0889224628355065</v>
      </c>
    </row>
    <row r="14" spans="1:17">
      <c r="A14">
        <v>42</v>
      </c>
      <c r="B14">
        <v>40</v>
      </c>
      <c r="C14">
        <v>26</v>
      </c>
      <c r="D14">
        <v>380</v>
      </c>
      <c r="E14">
        <v>110</v>
      </c>
      <c r="F14">
        <f t="shared" si="0"/>
        <v>271.42857142857144</v>
      </c>
      <c r="G14">
        <f t="shared" si="1"/>
        <v>87.301587301587304</v>
      </c>
      <c r="H14">
        <v>5431</v>
      </c>
      <c r="I14">
        <v>2150</v>
      </c>
      <c r="L14">
        <f t="shared" si="2"/>
        <v>6.5393219755635862E-2</v>
      </c>
      <c r="M14">
        <f t="shared" si="3"/>
        <v>4.8672566371681415E-2</v>
      </c>
      <c r="N14">
        <f t="shared" si="4"/>
        <v>1.1247112827737407</v>
      </c>
      <c r="O14">
        <f t="shared" si="5"/>
        <v>4.7598767442443068E-2</v>
      </c>
      <c r="P14">
        <f t="shared" si="6"/>
        <v>3.9020929407591345E-2</v>
      </c>
      <c r="Q14">
        <f t="shared" si="7"/>
        <v>1.0926123926238318</v>
      </c>
    </row>
    <row r="15" spans="1:17">
      <c r="A15">
        <v>43</v>
      </c>
      <c r="B15">
        <v>42</v>
      </c>
      <c r="C15">
        <v>27</v>
      </c>
      <c r="D15">
        <v>410</v>
      </c>
      <c r="E15">
        <v>120</v>
      </c>
      <c r="F15">
        <f t="shared" si="0"/>
        <v>288.73239436619718</v>
      </c>
      <c r="G15">
        <f t="shared" si="1"/>
        <v>94.488188976377941</v>
      </c>
      <c r="H15">
        <v>5688</v>
      </c>
      <c r="I15">
        <v>2200</v>
      </c>
      <c r="L15">
        <f t="shared" si="2"/>
        <v>6.723515906854706E-2</v>
      </c>
      <c r="M15">
        <f t="shared" si="3"/>
        <v>5.1724137931034482E-2</v>
      </c>
      <c r="N15">
        <f t="shared" si="4"/>
        <v>1.1305587520777394</v>
      </c>
      <c r="O15">
        <f t="shared" si="5"/>
        <v>4.830940643057114E-2</v>
      </c>
      <c r="P15">
        <f t="shared" si="6"/>
        <v>4.1180507892930679E-2</v>
      </c>
      <c r="Q15">
        <f t="shared" si="7"/>
        <v>1.0958910215721893</v>
      </c>
    </row>
    <row r="16" spans="1:17">
      <c r="A16">
        <v>44</v>
      </c>
      <c r="B16">
        <v>44</v>
      </c>
      <c r="C16">
        <v>28</v>
      </c>
      <c r="D16">
        <v>440</v>
      </c>
      <c r="E16">
        <v>130</v>
      </c>
      <c r="F16">
        <f t="shared" si="0"/>
        <v>305.55555555555554</v>
      </c>
      <c r="G16">
        <f t="shared" si="1"/>
        <v>101.5625</v>
      </c>
      <c r="H16">
        <v>5951</v>
      </c>
      <c r="I16">
        <v>2250</v>
      </c>
      <c r="L16">
        <f t="shared" si="2"/>
        <v>6.8846815834767636E-2</v>
      </c>
      <c r="M16">
        <f t="shared" si="3"/>
        <v>5.4621848739495799E-2</v>
      </c>
      <c r="N16">
        <f t="shared" si="4"/>
        <v>1.1359868556171699</v>
      </c>
      <c r="O16">
        <f t="shared" si="5"/>
        <v>4.883766360617308E-2</v>
      </c>
      <c r="P16">
        <f t="shared" si="6"/>
        <v>4.3189368770764118E-2</v>
      </c>
      <c r="Q16">
        <f t="shared" si="7"/>
        <v>1.0988018016476118</v>
      </c>
    </row>
    <row r="17" spans="1:17">
      <c r="A17">
        <v>45</v>
      </c>
      <c r="B17">
        <v>46</v>
      </c>
      <c r="C17">
        <v>29</v>
      </c>
      <c r="D17">
        <v>470</v>
      </c>
      <c r="E17">
        <v>140</v>
      </c>
      <c r="F17">
        <f t="shared" si="0"/>
        <v>321.91780821917814</v>
      </c>
      <c r="G17">
        <f t="shared" si="1"/>
        <v>108.52713178294574</v>
      </c>
      <c r="H17">
        <v>6220</v>
      </c>
      <c r="I17">
        <v>2300</v>
      </c>
      <c r="L17">
        <f t="shared" si="2"/>
        <v>7.0254110612855011E-2</v>
      </c>
      <c r="M17">
        <f t="shared" si="3"/>
        <v>5.737704918032787E-2</v>
      </c>
      <c r="N17">
        <f t="shared" si="4"/>
        <v>1.1410317349363903</v>
      </c>
      <c r="O17">
        <f t="shared" si="5"/>
        <v>4.9208476421810879E-2</v>
      </c>
      <c r="P17">
        <f t="shared" si="6"/>
        <v>4.5059542967492761E-2</v>
      </c>
      <c r="Q17">
        <f t="shared" si="7"/>
        <v>1.1013830934565856</v>
      </c>
    </row>
    <row r="18" spans="1:17">
      <c r="A18">
        <v>46</v>
      </c>
      <c r="B18">
        <v>48</v>
      </c>
      <c r="C18">
        <v>30</v>
      </c>
      <c r="D18">
        <v>500</v>
      </c>
      <c r="E18">
        <v>150</v>
      </c>
      <c r="F18">
        <f t="shared" si="0"/>
        <v>337.83783783783781</v>
      </c>
      <c r="G18">
        <f t="shared" si="1"/>
        <v>115.38461538461537</v>
      </c>
      <c r="H18">
        <v>6495</v>
      </c>
      <c r="I18">
        <v>2350</v>
      </c>
      <c r="L18">
        <f t="shared" si="2"/>
        <v>7.147962830593281E-2</v>
      </c>
      <c r="M18">
        <f t="shared" si="3"/>
        <v>0.06</v>
      </c>
      <c r="N18">
        <f t="shared" si="4"/>
        <v>1.1457258447578333</v>
      </c>
      <c r="O18">
        <f t="shared" si="5"/>
        <v>4.9443268793386466E-2</v>
      </c>
      <c r="P18">
        <f t="shared" si="6"/>
        <v>4.680187207488299E-2</v>
      </c>
      <c r="Q18">
        <f t="shared" si="7"/>
        <v>1.103668831004097</v>
      </c>
    </row>
    <row r="19" spans="1:17">
      <c r="A19">
        <v>47</v>
      </c>
      <c r="B19">
        <v>50</v>
      </c>
      <c r="C19">
        <v>31</v>
      </c>
      <c r="D19">
        <v>1000</v>
      </c>
      <c r="E19">
        <v>300</v>
      </c>
      <c r="F19">
        <f t="shared" si="0"/>
        <v>666.66666666666674</v>
      </c>
      <c r="G19">
        <f t="shared" si="1"/>
        <v>229.00763358778624</v>
      </c>
      <c r="H19">
        <v>6776</v>
      </c>
      <c r="I19">
        <v>2400</v>
      </c>
      <c r="L19">
        <f t="shared" si="2"/>
        <v>0.12860082304526749</v>
      </c>
      <c r="M19">
        <f t="shared" si="3"/>
        <v>0.1111111111111111</v>
      </c>
      <c r="N19">
        <f t="shared" si="4"/>
        <v>1.2910271546635184</v>
      </c>
      <c r="O19">
        <f t="shared" si="5"/>
        <v>8.9573629523468298E-2</v>
      </c>
      <c r="P19">
        <f t="shared" si="6"/>
        <v>8.7108013937282222E-2</v>
      </c>
      <c r="Q19">
        <f t="shared" si="7"/>
        <v>1.2031943305364541</v>
      </c>
    </row>
    <row r="20" spans="1:17">
      <c r="A20">
        <v>48</v>
      </c>
      <c r="B20">
        <v>52</v>
      </c>
      <c r="C20">
        <v>32</v>
      </c>
      <c r="D20">
        <v>1500</v>
      </c>
      <c r="E20">
        <v>450</v>
      </c>
      <c r="F20">
        <f t="shared" si="0"/>
        <v>986.84210526315792</v>
      </c>
      <c r="G20">
        <f t="shared" si="1"/>
        <v>340.90909090909088</v>
      </c>
      <c r="H20">
        <v>7063</v>
      </c>
      <c r="I20">
        <v>2450</v>
      </c>
      <c r="L20">
        <f t="shared" si="2"/>
        <v>0.17517225271516992</v>
      </c>
      <c r="M20">
        <f t="shared" si="3"/>
        <v>0.15517241379310345</v>
      </c>
      <c r="N20">
        <f t="shared" si="4"/>
        <v>1.4350553473548557</v>
      </c>
      <c r="O20">
        <f t="shared" si="5"/>
        <v>0.12259148593957384</v>
      </c>
      <c r="P20">
        <f t="shared" si="6"/>
        <v>0.12214983713355047</v>
      </c>
      <c r="Q20">
        <f t="shared" si="7"/>
        <v>1.2983080850746616</v>
      </c>
    </row>
    <row r="21" spans="1:17">
      <c r="A21">
        <v>49</v>
      </c>
      <c r="B21">
        <v>54</v>
      </c>
      <c r="C21">
        <v>33</v>
      </c>
      <c r="D21">
        <v>2000</v>
      </c>
      <c r="E21">
        <v>600</v>
      </c>
      <c r="F21">
        <f t="shared" si="0"/>
        <v>1298.7012987012986</v>
      </c>
      <c r="G21">
        <f t="shared" si="1"/>
        <v>451.12781954887214</v>
      </c>
      <c r="H21">
        <v>7356</v>
      </c>
      <c r="I21">
        <v>2500</v>
      </c>
      <c r="L21">
        <f t="shared" si="2"/>
        <v>0.21376656690893545</v>
      </c>
      <c r="M21">
        <f t="shared" si="3"/>
        <v>0.19354838709677419</v>
      </c>
      <c r="N21">
        <f t="shared" si="4"/>
        <v>1.5771397498640569</v>
      </c>
      <c r="O21">
        <f t="shared" si="5"/>
        <v>0.15005732189696463</v>
      </c>
      <c r="P21">
        <f t="shared" si="6"/>
        <v>0.15286624203821655</v>
      </c>
      <c r="Q21">
        <f t="shared" si="7"/>
        <v>1.3888596939903837</v>
      </c>
    </row>
    <row r="22" spans="1:17">
      <c r="A22">
        <v>50</v>
      </c>
      <c r="B22">
        <v>56</v>
      </c>
      <c r="C22">
        <v>34</v>
      </c>
      <c r="D22">
        <v>2500</v>
      </c>
      <c r="E22">
        <v>750</v>
      </c>
      <c r="F22">
        <f t="shared" si="0"/>
        <v>1602.5641025641023</v>
      </c>
      <c r="G22">
        <f t="shared" si="1"/>
        <v>559.70149253731336</v>
      </c>
      <c r="H22">
        <v>7655</v>
      </c>
      <c r="I22">
        <v>2550</v>
      </c>
      <c r="L22">
        <f t="shared" si="2"/>
        <v>0.24618414574101427</v>
      </c>
      <c r="M22">
        <f t="shared" si="3"/>
        <v>0.22727272727272727</v>
      </c>
      <c r="N22">
        <f t="shared" si="4"/>
        <v>1.7167556767971723</v>
      </c>
      <c r="O22">
        <f t="shared" si="5"/>
        <v>0.17310861526956473</v>
      </c>
      <c r="P22">
        <f t="shared" si="6"/>
        <v>0.17998560115190784</v>
      </c>
      <c r="Q22">
        <f t="shared" si="7"/>
        <v>1.4747895599187224</v>
      </c>
    </row>
    <row r="23" spans="1:17">
      <c r="A23">
        <v>51</v>
      </c>
      <c r="B23">
        <v>58</v>
      </c>
      <c r="C23">
        <v>35</v>
      </c>
      <c r="D23">
        <v>3000</v>
      </c>
      <c r="E23">
        <v>900</v>
      </c>
      <c r="F23">
        <f t="shared" si="0"/>
        <v>1898.7341772151899</v>
      </c>
      <c r="G23">
        <f t="shared" si="1"/>
        <v>666.66666666666663</v>
      </c>
      <c r="H23">
        <v>7960</v>
      </c>
      <c r="I23">
        <v>2600</v>
      </c>
      <c r="L23">
        <f t="shared" si="2"/>
        <v>0.27372262773722628</v>
      </c>
      <c r="M23">
        <f t="shared" si="3"/>
        <v>0.25714285714285712</v>
      </c>
      <c r="N23">
        <f t="shared" si="4"/>
        <v>1.8534982605334362</v>
      </c>
      <c r="O23">
        <f t="shared" si="5"/>
        <v>0.19259411432386625</v>
      </c>
      <c r="P23">
        <f t="shared" si="6"/>
        <v>0.20408163265306123</v>
      </c>
      <c r="Q23">
        <f t="shared" si="7"/>
        <v>1.5561073788285797</v>
      </c>
    </row>
    <row r="24" spans="1:17">
      <c r="A24">
        <v>52</v>
      </c>
      <c r="B24">
        <v>60</v>
      </c>
      <c r="C24">
        <v>36</v>
      </c>
      <c r="D24">
        <v>3500</v>
      </c>
      <c r="E24">
        <v>1050</v>
      </c>
      <c r="F24">
        <f t="shared" si="0"/>
        <v>2187.5</v>
      </c>
      <c r="G24">
        <f t="shared" si="1"/>
        <v>772.05882352941182</v>
      </c>
      <c r="H24">
        <v>8271</v>
      </c>
      <c r="I24">
        <v>2650</v>
      </c>
      <c r="L24">
        <f t="shared" si="2"/>
        <v>0.2973409226064056</v>
      </c>
      <c r="M24">
        <f t="shared" si="3"/>
        <v>0.28378378378378377</v>
      </c>
      <c r="N24">
        <f t="shared" si="4"/>
        <v>1.9870609517682838</v>
      </c>
      <c r="O24">
        <f t="shared" si="5"/>
        <v>0.20916001338624085</v>
      </c>
      <c r="P24">
        <f t="shared" si="6"/>
        <v>0.2256123764503653</v>
      </c>
      <c r="Q24">
        <f t="shared" si="7"/>
        <v>1.632875137996699</v>
      </c>
    </row>
    <row r="25" spans="1:17">
      <c r="A25">
        <v>53</v>
      </c>
      <c r="B25">
        <v>62</v>
      </c>
      <c r="C25">
        <v>37</v>
      </c>
      <c r="D25">
        <v>4000</v>
      </c>
      <c r="E25">
        <v>1200</v>
      </c>
      <c r="F25">
        <f t="shared" si="0"/>
        <v>2469.1358024691363</v>
      </c>
      <c r="G25">
        <f t="shared" si="1"/>
        <v>875.91240875912411</v>
      </c>
      <c r="H25">
        <v>8588</v>
      </c>
      <c r="I25">
        <v>2700</v>
      </c>
      <c r="L25">
        <f t="shared" si="2"/>
        <v>0.31776294884016526</v>
      </c>
      <c r="M25">
        <f t="shared" si="3"/>
        <v>0.30769230769230771</v>
      </c>
      <c r="N25">
        <f t="shared" si="4"/>
        <v>2.1172178233193604</v>
      </c>
      <c r="O25">
        <f t="shared" si="5"/>
        <v>0.22330699799470319</v>
      </c>
      <c r="P25">
        <f t="shared" si="6"/>
        <v>0.2449479485609308</v>
      </c>
      <c r="Q25">
        <f t="shared" si="7"/>
        <v>1.7051936863402923</v>
      </c>
    </row>
    <row r="26" spans="1:17">
      <c r="A26">
        <v>54</v>
      </c>
      <c r="B26">
        <v>64</v>
      </c>
      <c r="C26">
        <v>38</v>
      </c>
      <c r="D26">
        <v>4500</v>
      </c>
      <c r="E26">
        <v>1350</v>
      </c>
      <c r="F26">
        <f t="shared" si="0"/>
        <v>2743.9024390243903</v>
      </c>
      <c r="G26">
        <f t="shared" si="1"/>
        <v>978.26086956521738</v>
      </c>
      <c r="H26">
        <v>8911</v>
      </c>
      <c r="I26">
        <v>2750</v>
      </c>
      <c r="L26">
        <f t="shared" si="2"/>
        <v>0.33554544776675865</v>
      </c>
      <c r="M26">
        <f t="shared" si="3"/>
        <v>0.32926829268292684</v>
      </c>
      <c r="N26">
        <f t="shared" si="4"/>
        <v>2.24380897970843</v>
      </c>
      <c r="O26">
        <f t="shared" si="5"/>
        <v>0.23542903541061963</v>
      </c>
      <c r="P26">
        <f t="shared" si="6"/>
        <v>0.26239067055393583</v>
      </c>
      <c r="Q26">
        <f t="shared" si="7"/>
        <v>1.7731921405419184</v>
      </c>
    </row>
    <row r="27" spans="1:17">
      <c r="A27">
        <v>55</v>
      </c>
      <c r="B27">
        <v>66</v>
      </c>
      <c r="C27">
        <v>39</v>
      </c>
      <c r="D27">
        <v>5000</v>
      </c>
      <c r="E27">
        <v>1500</v>
      </c>
      <c r="F27">
        <f t="shared" si="0"/>
        <v>3012.0481927710839</v>
      </c>
      <c r="G27">
        <f t="shared" si="1"/>
        <v>1079.1366906474821</v>
      </c>
      <c r="H27">
        <v>9240</v>
      </c>
      <c r="I27">
        <v>2800</v>
      </c>
      <c r="L27">
        <f t="shared" si="2"/>
        <v>0.351123595505618</v>
      </c>
      <c r="M27">
        <f t="shared" si="3"/>
        <v>0.34883720930232559</v>
      </c>
      <c r="N27">
        <f t="shared" si="4"/>
        <v>2.3667285095856521</v>
      </c>
      <c r="O27">
        <f t="shared" si="5"/>
        <v>0.24584038075758169</v>
      </c>
      <c r="P27">
        <f t="shared" si="6"/>
        <v>0.27818991097922846</v>
      </c>
      <c r="Q27">
        <f t="shared" si="7"/>
        <v>1.8370195454607101</v>
      </c>
    </row>
    <row r="28" spans="1:17">
      <c r="A28">
        <v>56</v>
      </c>
      <c r="B28">
        <v>68</v>
      </c>
      <c r="C28">
        <v>40</v>
      </c>
      <c r="D28">
        <v>5500</v>
      </c>
      <c r="E28">
        <v>1650</v>
      </c>
      <c r="F28">
        <f t="shared" si="0"/>
        <v>3273.8095238095239</v>
      </c>
      <c r="G28">
        <f t="shared" si="1"/>
        <v>1178.5714285714287</v>
      </c>
      <c r="H28">
        <v>9575</v>
      </c>
      <c r="I28">
        <v>2850</v>
      </c>
      <c r="L28">
        <f t="shared" si="2"/>
        <v>0.36484245439469321</v>
      </c>
      <c r="M28">
        <f t="shared" si="3"/>
        <v>0.36666666666666664</v>
      </c>
      <c r="N28">
        <f t="shared" si="4"/>
        <v>2.4859145252164354</v>
      </c>
      <c r="O28">
        <f t="shared" si="5"/>
        <v>0.25479477439080889</v>
      </c>
      <c r="P28">
        <f t="shared" si="6"/>
        <v>0.29255319148936171</v>
      </c>
      <c r="Q28">
        <f t="shared" si="7"/>
        <v>1.8968383285704005</v>
      </c>
    </row>
    <row r="29" spans="1:17">
      <c r="A29">
        <v>57</v>
      </c>
      <c r="B29">
        <v>70</v>
      </c>
      <c r="C29">
        <v>41</v>
      </c>
      <c r="D29">
        <v>6000</v>
      </c>
      <c r="E29">
        <v>1800</v>
      </c>
      <c r="F29">
        <f t="shared" si="0"/>
        <v>3529.4117647058824</v>
      </c>
      <c r="G29">
        <f t="shared" si="1"/>
        <v>1276.5957446808511</v>
      </c>
      <c r="H29">
        <v>9916</v>
      </c>
      <c r="I29">
        <v>2900</v>
      </c>
      <c r="L29">
        <f t="shared" si="2"/>
        <v>0.37697914048755971</v>
      </c>
      <c r="M29">
        <f t="shared" si="3"/>
        <v>0.38297872340425532</v>
      </c>
      <c r="N29">
        <f t="shared" si="4"/>
        <v>2.6013409188910996</v>
      </c>
      <c r="O29">
        <f t="shared" si="5"/>
        <v>0.26249934375164063</v>
      </c>
      <c r="P29">
        <f t="shared" si="6"/>
        <v>0.30565461029037183</v>
      </c>
      <c r="Q29">
        <f t="shared" si="7"/>
        <v>1.9528191832758077</v>
      </c>
    </row>
    <row r="30" spans="1:17">
      <c r="A30">
        <v>58</v>
      </c>
      <c r="B30">
        <v>72</v>
      </c>
      <c r="C30">
        <v>42</v>
      </c>
      <c r="D30">
        <v>6500</v>
      </c>
      <c r="E30">
        <v>1950</v>
      </c>
      <c r="F30">
        <f t="shared" si="0"/>
        <v>3779.0697674418598</v>
      </c>
      <c r="G30">
        <f t="shared" si="1"/>
        <v>1373.2394366197182</v>
      </c>
      <c r="H30">
        <v>10263</v>
      </c>
      <c r="I30">
        <v>2950</v>
      </c>
      <c r="L30">
        <f t="shared" si="2"/>
        <v>0.38775875439957047</v>
      </c>
      <c r="M30">
        <f t="shared" si="3"/>
        <v>0.39795918367346939</v>
      </c>
      <c r="N30">
        <f t="shared" si="4"/>
        <v>2.7130105347991877</v>
      </c>
      <c r="O30">
        <f t="shared" si="5"/>
        <v>0.26912483914615382</v>
      </c>
      <c r="P30">
        <f t="shared" si="6"/>
        <v>0.31764130965955362</v>
      </c>
      <c r="Q30">
        <f t="shared" si="7"/>
        <v>2.0051370907958033</v>
      </c>
    </row>
    <row r="31" spans="1:17">
      <c r="A31">
        <v>59</v>
      </c>
      <c r="B31">
        <v>74</v>
      </c>
      <c r="C31">
        <v>43</v>
      </c>
      <c r="D31">
        <v>7000</v>
      </c>
      <c r="E31">
        <v>2100</v>
      </c>
      <c r="F31">
        <f t="shared" si="0"/>
        <v>4022.9885057471261</v>
      </c>
      <c r="G31">
        <f t="shared" si="1"/>
        <v>1468.5314685314686</v>
      </c>
      <c r="H31">
        <v>10616</v>
      </c>
      <c r="I31">
        <v>3000</v>
      </c>
      <c r="L31">
        <f t="shared" si="2"/>
        <v>0.39736603088101724</v>
      </c>
      <c r="M31">
        <f t="shared" si="3"/>
        <v>0.41176470588235292</v>
      </c>
      <c r="N31">
        <f t="shared" si="4"/>
        <v>2.8209495101733228</v>
      </c>
      <c r="O31">
        <f t="shared" si="5"/>
        <v>0.27481328400304023</v>
      </c>
      <c r="P31">
        <f t="shared" si="6"/>
        <v>0.32863849765258213</v>
      </c>
      <c r="Q31">
        <f t="shared" si="7"/>
        <v>2.0539682493532241</v>
      </c>
    </row>
    <row r="32" spans="1:17">
      <c r="A32">
        <v>60</v>
      </c>
      <c r="B32">
        <v>76</v>
      </c>
      <c r="C32">
        <v>44</v>
      </c>
      <c r="D32">
        <v>7500</v>
      </c>
      <c r="E32">
        <v>2250</v>
      </c>
      <c r="F32">
        <f t="shared" si="0"/>
        <v>4261.363636363636</v>
      </c>
      <c r="G32">
        <f t="shared" si="1"/>
        <v>1562.5</v>
      </c>
      <c r="H32">
        <v>10975</v>
      </c>
      <c r="I32">
        <v>3050</v>
      </c>
      <c r="L32">
        <f t="shared" si="2"/>
        <v>0.40595399188092018</v>
      </c>
      <c r="M32">
        <f t="shared" si="3"/>
        <v>0.42452830188679247</v>
      </c>
      <c r="N32">
        <f t="shared" si="4"/>
        <v>2.9252025841144182</v>
      </c>
      <c r="O32">
        <f t="shared" si="5"/>
        <v>0.27968377088305485</v>
      </c>
      <c r="P32">
        <f t="shared" si="6"/>
        <v>0.33875338753387535</v>
      </c>
      <c r="Q32">
        <f t="shared" si="7"/>
        <v>2.0994877261354725</v>
      </c>
    </row>
    <row r="33" spans="1:17">
      <c r="A33">
        <v>61</v>
      </c>
      <c r="B33">
        <v>78</v>
      </c>
      <c r="C33">
        <v>45</v>
      </c>
      <c r="D33">
        <v>8000</v>
      </c>
      <c r="E33">
        <v>2400</v>
      </c>
      <c r="F33">
        <f t="shared" si="0"/>
        <v>4494.3820224719102</v>
      </c>
      <c r="G33">
        <f t="shared" si="1"/>
        <v>1655.1724137931035</v>
      </c>
      <c r="H33">
        <v>11340</v>
      </c>
      <c r="I33">
        <v>3100</v>
      </c>
      <c r="L33">
        <f t="shared" si="2"/>
        <v>0.41365046535677352</v>
      </c>
      <c r="M33">
        <f t="shared" si="3"/>
        <v>0.43636363636363634</v>
      </c>
      <c r="N33">
        <f t="shared" si="4"/>
        <v>3.025829208624907</v>
      </c>
      <c r="O33">
        <f t="shared" si="5"/>
        <v>0.28383690731305794</v>
      </c>
      <c r="P33">
        <f t="shared" si="6"/>
        <v>0.34807831762146485</v>
      </c>
      <c r="Q33">
        <f t="shared" si="7"/>
        <v>2.1418676845513991</v>
      </c>
    </row>
    <row r="34" spans="1:17">
      <c r="A34">
        <v>62</v>
      </c>
      <c r="B34">
        <v>80</v>
      </c>
      <c r="C34">
        <v>46</v>
      </c>
      <c r="D34">
        <v>8500</v>
      </c>
      <c r="E34">
        <v>2550</v>
      </c>
      <c r="F34">
        <f t="shared" si="0"/>
        <v>4722.2222222222226</v>
      </c>
      <c r="G34">
        <f t="shared" si="1"/>
        <v>1746.5753424657537</v>
      </c>
      <c r="H34">
        <v>11711</v>
      </c>
      <c r="I34">
        <v>3150</v>
      </c>
      <c r="L34">
        <f t="shared" si="2"/>
        <v>0.4205630597199545</v>
      </c>
      <c r="M34">
        <f t="shared" si="3"/>
        <v>0.44736842105263158</v>
      </c>
      <c r="N34">
        <f t="shared" si="4"/>
        <v>3.1229003257011123</v>
      </c>
      <c r="O34">
        <f t="shared" si="5"/>
        <v>0.28735826476176313</v>
      </c>
      <c r="P34">
        <f t="shared" si="6"/>
        <v>0.35669324381032314</v>
      </c>
      <c r="Q34">
        <f t="shared" si="7"/>
        <v>2.181276068777926</v>
      </c>
    </row>
    <row r="35" spans="1:17">
      <c r="A35">
        <v>63</v>
      </c>
      <c r="B35">
        <v>82</v>
      </c>
      <c r="C35">
        <v>47</v>
      </c>
      <c r="D35">
        <v>9000</v>
      </c>
      <c r="E35">
        <v>2700</v>
      </c>
      <c r="F35">
        <f t="shared" si="0"/>
        <v>4945.0549450549452</v>
      </c>
      <c r="G35">
        <f t="shared" si="1"/>
        <v>1836.7346938775509</v>
      </c>
      <c r="H35">
        <v>12088</v>
      </c>
      <c r="I35">
        <v>3200</v>
      </c>
      <c r="L35">
        <f t="shared" si="2"/>
        <v>0.42678300455235207</v>
      </c>
      <c r="M35">
        <f t="shared" si="3"/>
        <v>0.4576271186440678</v>
      </c>
      <c r="N35">
        <f t="shared" si="4"/>
        <v>3.2164956982131043</v>
      </c>
      <c r="O35">
        <f t="shared" si="5"/>
        <v>0.29032108221376923</v>
      </c>
      <c r="P35">
        <f t="shared" si="6"/>
        <v>0.36466774716369527</v>
      </c>
      <c r="Q35">
        <f t="shared" si="7"/>
        <v>2.2178756510713313</v>
      </c>
    </row>
    <row r="36" spans="1:17">
      <c r="A36">
        <v>64</v>
      </c>
      <c r="B36">
        <v>84</v>
      </c>
      <c r="C36">
        <v>48</v>
      </c>
      <c r="D36">
        <v>9500</v>
      </c>
      <c r="E36">
        <v>2850</v>
      </c>
      <c r="F36">
        <f t="shared" si="0"/>
        <v>5163.0434782608691</v>
      </c>
      <c r="G36">
        <f t="shared" si="1"/>
        <v>1925.6756756756756</v>
      </c>
      <c r="H36">
        <v>12471</v>
      </c>
      <c r="I36">
        <v>3250</v>
      </c>
      <c r="L36">
        <f t="shared" si="2"/>
        <v>0.43238814801329023</v>
      </c>
      <c r="M36">
        <f t="shared" si="3"/>
        <v>0.46721311475409838</v>
      </c>
      <c r="N36">
        <f t="shared" si="4"/>
        <v>3.3067017017943168</v>
      </c>
      <c r="O36">
        <f t="shared" si="5"/>
        <v>0.29278840582568794</v>
      </c>
      <c r="P36">
        <f t="shared" si="6"/>
        <v>0.37206266318537856</v>
      </c>
      <c r="Q36">
        <f t="shared" si="7"/>
        <v>2.2518233660675429</v>
      </c>
    </row>
    <row r="37" spans="1:17">
      <c r="A37">
        <v>65</v>
      </c>
      <c r="B37">
        <v>86</v>
      </c>
      <c r="C37">
        <v>49</v>
      </c>
      <c r="D37">
        <v>10000</v>
      </c>
      <c r="E37">
        <v>3000</v>
      </c>
      <c r="F37">
        <f t="shared" si="0"/>
        <v>5376.3440860215051</v>
      </c>
      <c r="G37">
        <f t="shared" si="1"/>
        <v>2013.4228187919462</v>
      </c>
      <c r="H37">
        <v>12860</v>
      </c>
      <c r="I37">
        <v>3300</v>
      </c>
      <c r="L37">
        <f t="shared" si="2"/>
        <v>0.43744531933508313</v>
      </c>
      <c r="M37">
        <f t="shared" si="3"/>
        <v>0.47619047619047616</v>
      </c>
      <c r="N37">
        <f t="shared" si="4"/>
        <v>3.3936095009189877</v>
      </c>
      <c r="O37">
        <f t="shared" si="5"/>
        <v>0.29481479734430827</v>
      </c>
      <c r="P37">
        <f t="shared" si="6"/>
        <v>0.37893141341417202</v>
      </c>
      <c r="Q37">
        <f t="shared" si="7"/>
        <v>2.2832698712947881</v>
      </c>
    </row>
    <row r="38" spans="1:17">
      <c r="A38">
        <v>66</v>
      </c>
      <c r="B38">
        <v>88</v>
      </c>
      <c r="C38">
        <v>50</v>
      </c>
      <c r="D38">
        <v>10500</v>
      </c>
      <c r="E38">
        <v>3150</v>
      </c>
      <c r="F38">
        <f t="shared" si="0"/>
        <v>5585.1063829787236</v>
      </c>
      <c r="G38">
        <f t="shared" si="1"/>
        <v>2100.0000000000005</v>
      </c>
      <c r="H38">
        <v>13255</v>
      </c>
      <c r="I38">
        <v>3350</v>
      </c>
      <c r="L38">
        <f t="shared" si="2"/>
        <v>0.44201220795621976</v>
      </c>
      <c r="M38">
        <f t="shared" si="3"/>
        <v>0.48461538461538461</v>
      </c>
      <c r="N38">
        <f t="shared" si="4"/>
        <v>3.4773135454376556</v>
      </c>
      <c r="O38">
        <f t="shared" si="5"/>
        <v>0.29644770944736498</v>
      </c>
      <c r="P38">
        <f t="shared" si="6"/>
        <v>0.38532110091743127</v>
      </c>
      <c r="Q38">
        <f t="shared" si="7"/>
        <v>2.312359285141266</v>
      </c>
    </row>
    <row r="39" spans="1:17">
      <c r="A39">
        <v>67</v>
      </c>
      <c r="B39">
        <v>90</v>
      </c>
      <c r="C39">
        <v>51</v>
      </c>
      <c r="D39">
        <v>11000</v>
      </c>
      <c r="E39">
        <v>3300</v>
      </c>
      <c r="F39">
        <f t="shared" si="0"/>
        <v>5789.4736842105276</v>
      </c>
      <c r="G39">
        <f t="shared" si="1"/>
        <v>2185.4304635761591</v>
      </c>
      <c r="H39">
        <v>13656</v>
      </c>
      <c r="I39">
        <v>3400</v>
      </c>
      <c r="L39">
        <f t="shared" si="2"/>
        <v>0.44613887086307591</v>
      </c>
      <c r="M39">
        <f t="shared" si="3"/>
        <v>0.4925373134328358</v>
      </c>
      <c r="N39">
        <f t="shared" si="4"/>
        <v>3.5579103346083594</v>
      </c>
      <c r="O39">
        <f t="shared" si="5"/>
        <v>0.29772860143342794</v>
      </c>
      <c r="P39">
        <f t="shared" si="6"/>
        <v>0.39127341712117619</v>
      </c>
      <c r="Q39">
        <f t="shared" si="7"/>
        <v>2.3392290631667616</v>
      </c>
    </row>
    <row r="40" spans="1:17">
      <c r="A40">
        <v>68</v>
      </c>
      <c r="B40">
        <v>92</v>
      </c>
      <c r="C40">
        <v>52</v>
      </c>
      <c r="D40">
        <v>11500</v>
      </c>
      <c r="E40">
        <v>3450</v>
      </c>
      <c r="F40">
        <f t="shared" si="0"/>
        <v>5989.5833333333321</v>
      </c>
      <c r="G40">
        <f t="shared" si="1"/>
        <v>2269.7368421052633</v>
      </c>
      <c r="H40">
        <v>14063</v>
      </c>
      <c r="I40">
        <v>3450</v>
      </c>
      <c r="L40">
        <f t="shared" si="2"/>
        <v>0.44986895121855808</v>
      </c>
      <c r="M40">
        <f t="shared" si="3"/>
        <v>0.5</v>
      </c>
      <c r="N40">
        <f t="shared" si="4"/>
        <v>3.6354974045367277</v>
      </c>
      <c r="O40">
        <f t="shared" si="5"/>
        <v>0.29869385075073446</v>
      </c>
      <c r="P40">
        <f t="shared" si="6"/>
        <v>0.39682539682539686</v>
      </c>
      <c r="Q40">
        <f t="shared" si="7"/>
        <v>2.3640099813994913</v>
      </c>
    </row>
    <row r="41" spans="1:17">
      <c r="A41">
        <v>69</v>
      </c>
      <c r="B41">
        <v>94</v>
      </c>
      <c r="C41">
        <v>53</v>
      </c>
      <c r="D41">
        <v>12000</v>
      </c>
      <c r="E41">
        <v>3600</v>
      </c>
      <c r="F41">
        <f t="shared" si="0"/>
        <v>6185.567010309278</v>
      </c>
      <c r="G41">
        <f t="shared" si="1"/>
        <v>2352.9411764705883</v>
      </c>
      <c r="H41">
        <v>14476</v>
      </c>
      <c r="I41">
        <v>3500</v>
      </c>
      <c r="L41">
        <f t="shared" si="2"/>
        <v>0.45324067079619279</v>
      </c>
      <c r="M41">
        <f t="shared" si="3"/>
        <v>0.50704225352112675</v>
      </c>
      <c r="N41">
        <f t="shared" si="4"/>
        <v>3.7101725022697667</v>
      </c>
      <c r="O41">
        <f t="shared" si="5"/>
        <v>0.29937550270136493</v>
      </c>
      <c r="P41">
        <f t="shared" si="6"/>
        <v>0.4020100502512563</v>
      </c>
      <c r="Q41">
        <f t="shared" si="7"/>
        <v>2.3868262014969699</v>
      </c>
    </row>
    <row r="42" spans="1:17">
      <c r="A42">
        <v>70</v>
      </c>
      <c r="B42">
        <v>96</v>
      </c>
      <c r="C42">
        <v>54</v>
      </c>
      <c r="D42">
        <v>12500</v>
      </c>
      <c r="E42">
        <v>3750</v>
      </c>
      <c r="F42">
        <f t="shared" si="0"/>
        <v>6377.5510204081638</v>
      </c>
      <c r="G42">
        <f t="shared" si="1"/>
        <v>2435.0649350649351</v>
      </c>
      <c r="H42">
        <v>14895</v>
      </c>
      <c r="I42">
        <v>3550</v>
      </c>
      <c r="L42">
        <f t="shared" si="2"/>
        <v>0.45628764373060776</v>
      </c>
      <c r="M42">
        <f t="shared" si="3"/>
        <v>0.51369863013698636</v>
      </c>
      <c r="N42">
        <f t="shared" si="4"/>
        <v>3.782032915857009</v>
      </c>
      <c r="O42">
        <f t="shared" si="5"/>
        <v>0.29980189091048637</v>
      </c>
      <c r="P42">
        <f t="shared" si="6"/>
        <v>0.40685689486817839</v>
      </c>
      <c r="Q42">
        <f t="shared" si="7"/>
        <v>2.4077953976733797</v>
      </c>
    </row>
    <row r="43" spans="1:17">
      <c r="A43">
        <v>71</v>
      </c>
      <c r="B43">
        <v>98</v>
      </c>
      <c r="C43">
        <v>55</v>
      </c>
      <c r="D43">
        <v>13000</v>
      </c>
      <c r="E43">
        <v>3900</v>
      </c>
      <c r="F43">
        <f t="shared" si="0"/>
        <v>6565.6565656565645</v>
      </c>
      <c r="G43">
        <f t="shared" si="1"/>
        <v>2516.1290322580644</v>
      </c>
      <c r="H43">
        <v>15320</v>
      </c>
      <c r="I43">
        <v>3610</v>
      </c>
      <c r="L43">
        <f t="shared" si="2"/>
        <v>0.45903954802259889</v>
      </c>
      <c r="M43">
        <f t="shared" si="3"/>
        <v>0.51930758988015979</v>
      </c>
      <c r="N43">
        <f t="shared" si="4"/>
        <v>3.8456275359279055</v>
      </c>
      <c r="O43">
        <f t="shared" si="5"/>
        <v>0.29999815385751466</v>
      </c>
      <c r="P43">
        <f t="shared" si="6"/>
        <v>0.41072086777947447</v>
      </c>
      <c r="Q43">
        <f t="shared" si="7"/>
        <v>2.4242631086570161</v>
      </c>
    </row>
    <row r="44" spans="1:17">
      <c r="A44">
        <v>72</v>
      </c>
      <c r="B44">
        <v>100</v>
      </c>
      <c r="C44">
        <v>56</v>
      </c>
      <c r="D44">
        <v>13500</v>
      </c>
      <c r="E44">
        <v>4050</v>
      </c>
      <c r="F44">
        <f t="shared" si="0"/>
        <v>6750</v>
      </c>
      <c r="G44">
        <f t="shared" si="1"/>
        <v>2596.1538461538457</v>
      </c>
      <c r="H44">
        <v>15751</v>
      </c>
      <c r="I44">
        <v>3680</v>
      </c>
      <c r="L44">
        <f t="shared" si="2"/>
        <v>0.46152268298519711</v>
      </c>
      <c r="M44">
        <f t="shared" si="3"/>
        <v>0.52393272962483828</v>
      </c>
      <c r="N44">
        <f t="shared" si="4"/>
        <v>3.9008950087365051</v>
      </c>
      <c r="O44">
        <f t="shared" si="5"/>
        <v>0.2999866672592329</v>
      </c>
      <c r="P44">
        <f t="shared" si="6"/>
        <v>0.41365363402377736</v>
      </c>
      <c r="Q44">
        <f t="shared" si="7"/>
        <v>2.4363487220326188</v>
      </c>
    </row>
    <row r="45" spans="1:17">
      <c r="A45">
        <v>73</v>
      </c>
      <c r="B45">
        <v>102</v>
      </c>
      <c r="C45">
        <v>57</v>
      </c>
      <c r="D45">
        <v>14000</v>
      </c>
      <c r="E45">
        <v>4200</v>
      </c>
      <c r="F45">
        <f t="shared" si="0"/>
        <v>6930.6930693069307</v>
      </c>
      <c r="G45">
        <f t="shared" si="1"/>
        <v>2675.1592356687902</v>
      </c>
      <c r="H45">
        <v>16188</v>
      </c>
      <c r="I45">
        <v>3760</v>
      </c>
      <c r="L45">
        <f t="shared" si="2"/>
        <v>0.46376043460977873</v>
      </c>
      <c r="M45">
        <f t="shared" si="3"/>
        <v>0.52763819095477382</v>
      </c>
      <c r="N45">
        <f t="shared" si="4"/>
        <v>3.9479020445930528</v>
      </c>
      <c r="O45">
        <f t="shared" si="5"/>
        <v>0.29978740790102565</v>
      </c>
      <c r="P45">
        <f t="shared" si="6"/>
        <v>0.41570987409929527</v>
      </c>
      <c r="Q45">
        <f t="shared" si="7"/>
        <v>2.4442269953962246</v>
      </c>
    </row>
    <row r="46" spans="1:17">
      <c r="A46">
        <v>74</v>
      </c>
      <c r="B46">
        <v>104</v>
      </c>
      <c r="C46">
        <v>58</v>
      </c>
      <c r="D46">
        <v>14500</v>
      </c>
      <c r="E46">
        <v>4350</v>
      </c>
      <c r="F46">
        <f t="shared" si="0"/>
        <v>7107.8431372549021</v>
      </c>
      <c r="G46">
        <f t="shared" si="1"/>
        <v>2753.1645569620255</v>
      </c>
      <c r="H46">
        <v>16631</v>
      </c>
      <c r="I46">
        <v>3850</v>
      </c>
      <c r="L46">
        <f t="shared" si="2"/>
        <v>0.46577366612058718</v>
      </c>
      <c r="M46">
        <f t="shared" si="3"/>
        <v>0.53048780487804881</v>
      </c>
      <c r="N46">
        <f t="shared" si="4"/>
        <v>3.9868310392031154</v>
      </c>
      <c r="O46">
        <f t="shared" si="5"/>
        <v>0.29941826129261134</v>
      </c>
      <c r="P46">
        <f t="shared" si="6"/>
        <v>0.41694622831400369</v>
      </c>
      <c r="Q46">
        <f t="shared" si="7"/>
        <v>2.4481193019639087</v>
      </c>
    </row>
    <row r="47" spans="1:17">
      <c r="A47">
        <v>75</v>
      </c>
      <c r="B47">
        <v>106</v>
      </c>
      <c r="C47">
        <v>59</v>
      </c>
      <c r="D47">
        <v>15000</v>
      </c>
      <c r="E47">
        <v>4500</v>
      </c>
      <c r="F47">
        <f t="shared" si="0"/>
        <v>7281.5533980582522</v>
      </c>
      <c r="G47">
        <f t="shared" si="1"/>
        <v>2830.1886792452833</v>
      </c>
      <c r="H47">
        <v>17080</v>
      </c>
      <c r="I47">
        <v>3950</v>
      </c>
      <c r="L47">
        <f t="shared" si="2"/>
        <v>0.46758104738154616</v>
      </c>
      <c r="M47">
        <f t="shared" si="3"/>
        <v>0.53254437869822491</v>
      </c>
      <c r="N47">
        <f t="shared" si="4"/>
        <v>4.0179646043933248</v>
      </c>
      <c r="O47">
        <f t="shared" si="5"/>
        <v>0.29889528303390667</v>
      </c>
      <c r="P47">
        <f t="shared" si="6"/>
        <v>0.41742034228468072</v>
      </c>
      <c r="Q47">
        <f t="shared" si="7"/>
        <v>2.4482840031770676</v>
      </c>
    </row>
    <row r="48" spans="1:17">
      <c r="A48">
        <v>76</v>
      </c>
      <c r="B48">
        <v>108</v>
      </c>
      <c r="C48">
        <v>60</v>
      </c>
      <c r="D48">
        <v>15500</v>
      </c>
      <c r="E48">
        <v>4650</v>
      </c>
      <c r="F48">
        <f t="shared" si="0"/>
        <v>7451.9230769230762</v>
      </c>
      <c r="G48">
        <f t="shared" si="1"/>
        <v>2906.25</v>
      </c>
      <c r="H48">
        <v>17535</v>
      </c>
      <c r="I48">
        <v>4060</v>
      </c>
      <c r="L48">
        <f t="shared" si="2"/>
        <v>0.46919933403965491</v>
      </c>
      <c r="M48">
        <f t="shared" si="3"/>
        <v>0.53386911595866815</v>
      </c>
      <c r="N48">
        <f t="shared" si="4"/>
        <v>4.0416682468981815</v>
      </c>
      <c r="O48">
        <f t="shared" si="5"/>
        <v>0.29823292183603728</v>
      </c>
      <c r="P48">
        <f t="shared" si="6"/>
        <v>0.41719002332675398</v>
      </c>
      <c r="Q48">
        <f t="shared" si="7"/>
        <v>2.4450065791656015</v>
      </c>
    </row>
    <row r="49" spans="1:17">
      <c r="A49">
        <v>77</v>
      </c>
      <c r="B49">
        <v>110</v>
      </c>
      <c r="C49">
        <v>61</v>
      </c>
      <c r="D49">
        <v>16000</v>
      </c>
      <c r="E49">
        <v>4800</v>
      </c>
      <c r="F49">
        <f t="shared" si="0"/>
        <v>7619.0476190476184</v>
      </c>
      <c r="G49">
        <f t="shared" si="1"/>
        <v>2981.3664596273293</v>
      </c>
      <c r="H49">
        <v>17996</v>
      </c>
      <c r="I49">
        <v>4180</v>
      </c>
      <c r="L49">
        <f t="shared" si="2"/>
        <v>0.4706436051300153</v>
      </c>
      <c r="M49">
        <f t="shared" si="3"/>
        <v>0.534521158129176</v>
      </c>
      <c r="N49">
        <f t="shared" si="4"/>
        <v>4.0583723549411834</v>
      </c>
      <c r="O49">
        <f t="shared" si="5"/>
        <v>0.29744421062024551</v>
      </c>
      <c r="P49">
        <f t="shared" si="6"/>
        <v>0.41631251192561886</v>
      </c>
      <c r="Q49">
        <f t="shared" si="7"/>
        <v>2.438590059896411</v>
      </c>
    </row>
    <row r="50" spans="1:17">
      <c r="A50">
        <v>78</v>
      </c>
      <c r="B50">
        <v>112</v>
      </c>
      <c r="C50">
        <v>62</v>
      </c>
      <c r="D50">
        <v>16500</v>
      </c>
      <c r="E50">
        <v>4950</v>
      </c>
      <c r="F50">
        <f t="shared" si="0"/>
        <v>7783.0188679245284</v>
      </c>
      <c r="G50">
        <f t="shared" si="1"/>
        <v>3055.5555555555561</v>
      </c>
      <c r="H50">
        <v>18463</v>
      </c>
      <c r="I50">
        <v>4310</v>
      </c>
      <c r="L50">
        <f t="shared" si="2"/>
        <v>0.4719274661785316</v>
      </c>
      <c r="M50">
        <f t="shared" si="3"/>
        <v>0.53455723542116629</v>
      </c>
      <c r="N50">
        <f t="shared" si="4"/>
        <v>4.0685544915629208</v>
      </c>
      <c r="O50">
        <f t="shared" si="5"/>
        <v>0.29654093091566808</v>
      </c>
      <c r="P50">
        <f t="shared" si="6"/>
        <v>0.41484386785337157</v>
      </c>
      <c r="Q50">
        <f t="shared" si="7"/>
        <v>2.4293461832281542</v>
      </c>
    </row>
    <row r="51" spans="1:17">
      <c r="A51">
        <v>79</v>
      </c>
      <c r="B51">
        <v>114</v>
      </c>
      <c r="C51">
        <v>63</v>
      </c>
      <c r="D51">
        <v>17000</v>
      </c>
      <c r="E51">
        <v>5100</v>
      </c>
      <c r="F51">
        <f t="shared" si="0"/>
        <v>7943.9252336448608</v>
      </c>
      <c r="G51">
        <f t="shared" si="1"/>
        <v>3128.8343558282209</v>
      </c>
      <c r="H51">
        <v>18936</v>
      </c>
      <c r="I51">
        <v>4450</v>
      </c>
      <c r="L51">
        <f t="shared" si="2"/>
        <v>0.47306322350845947</v>
      </c>
      <c r="M51">
        <f t="shared" si="3"/>
        <v>0.53403141361256545</v>
      </c>
      <c r="N51">
        <f t="shared" si="4"/>
        <v>4.0727227847320133</v>
      </c>
      <c r="O51">
        <f t="shared" si="5"/>
        <v>0.29553375482241551</v>
      </c>
      <c r="P51">
        <f t="shared" si="6"/>
        <v>0.41283846683126235</v>
      </c>
      <c r="Q51">
        <f t="shared" si="7"/>
        <v>2.4175875787732251</v>
      </c>
    </row>
    <row r="52" spans="1:17">
      <c r="A52">
        <v>80</v>
      </c>
      <c r="B52">
        <v>116</v>
      </c>
      <c r="C52">
        <v>64</v>
      </c>
      <c r="D52">
        <v>17500</v>
      </c>
      <c r="E52">
        <v>5250</v>
      </c>
      <c r="F52">
        <f t="shared" si="0"/>
        <v>8101.8518518518513</v>
      </c>
      <c r="G52">
        <f t="shared" si="1"/>
        <v>3201.2195121951218</v>
      </c>
      <c r="H52">
        <v>19415</v>
      </c>
      <c r="I52">
        <v>4600</v>
      </c>
      <c r="L52">
        <f t="shared" si="2"/>
        <v>0.47406203440335909</v>
      </c>
      <c r="M52">
        <f t="shared" si="3"/>
        <v>0.53299492385786806</v>
      </c>
      <c r="N52">
        <f t="shared" si="4"/>
        <v>4.0714009786247747</v>
      </c>
      <c r="O52">
        <f t="shared" si="5"/>
        <v>0.294432368043825</v>
      </c>
      <c r="P52">
        <f t="shared" si="6"/>
        <v>0.41034860090667497</v>
      </c>
      <c r="Q52">
        <f t="shared" si="7"/>
        <v>2.4036211533087277</v>
      </c>
    </row>
    <row r="53" spans="1:17">
      <c r="A53">
        <v>81</v>
      </c>
      <c r="B53">
        <v>118</v>
      </c>
      <c r="C53">
        <v>65</v>
      </c>
      <c r="D53">
        <v>18000</v>
      </c>
      <c r="E53">
        <v>5400</v>
      </c>
      <c r="F53">
        <f t="shared" si="0"/>
        <v>8256.880733944954</v>
      </c>
      <c r="G53">
        <f t="shared" si="1"/>
        <v>3272.727272727273</v>
      </c>
      <c r="H53">
        <v>19900</v>
      </c>
      <c r="I53">
        <v>4760</v>
      </c>
      <c r="L53">
        <f t="shared" si="2"/>
        <v>0.47493403693931396</v>
      </c>
      <c r="M53">
        <f t="shared" si="3"/>
        <v>0.53149606299212604</v>
      </c>
      <c r="N53">
        <f t="shared" si="4"/>
        <v>4.0651154934335549</v>
      </c>
      <c r="O53">
        <f t="shared" si="5"/>
        <v>0.29324557687921537</v>
      </c>
      <c r="P53">
        <f t="shared" si="6"/>
        <v>0.40742417383431417</v>
      </c>
      <c r="Q53">
        <f t="shared" si="7"/>
        <v>2.3877427450961606</v>
      </c>
    </row>
    <row r="54" spans="1:17">
      <c r="A54">
        <v>82</v>
      </c>
      <c r="B54">
        <v>120</v>
      </c>
      <c r="C54">
        <v>66</v>
      </c>
      <c r="D54">
        <v>18500</v>
      </c>
      <c r="E54">
        <v>5550</v>
      </c>
      <c r="F54">
        <f t="shared" si="0"/>
        <v>8409.0909090909099</v>
      </c>
      <c r="G54">
        <f t="shared" si="1"/>
        <v>3343.3734939759033</v>
      </c>
      <c r="H54">
        <v>20391</v>
      </c>
      <c r="I54">
        <v>4930</v>
      </c>
      <c r="L54">
        <f t="shared" si="2"/>
        <v>0.47568846262631459</v>
      </c>
      <c r="M54">
        <f t="shared" si="3"/>
        <v>0.52958015267175573</v>
      </c>
      <c r="N54">
        <f t="shared" si="4"/>
        <v>4.0543846502697818</v>
      </c>
      <c r="O54">
        <f t="shared" si="5"/>
        <v>0.29198140157385866</v>
      </c>
      <c r="P54">
        <f t="shared" si="6"/>
        <v>0.40411248161470237</v>
      </c>
      <c r="Q54">
        <f t="shared" si="7"/>
        <v>2.370233026993366</v>
      </c>
    </row>
    <row r="55" spans="1:17">
      <c r="A55">
        <v>83</v>
      </c>
      <c r="B55">
        <v>122</v>
      </c>
      <c r="C55">
        <v>67</v>
      </c>
      <c r="D55">
        <v>19000</v>
      </c>
      <c r="E55">
        <v>5700</v>
      </c>
      <c r="F55">
        <f t="shared" si="0"/>
        <v>8558.5585585585577</v>
      </c>
      <c r="G55">
        <f t="shared" si="1"/>
        <v>3413.1736526946111</v>
      </c>
      <c r="H55">
        <v>20888</v>
      </c>
      <c r="I55">
        <v>5110</v>
      </c>
      <c r="L55">
        <f t="shared" si="2"/>
        <v>0.47633373445647814</v>
      </c>
      <c r="M55">
        <f t="shared" si="3"/>
        <v>0.5272895467160037</v>
      </c>
      <c r="N55">
        <f t="shared" si="4"/>
        <v>4.0397100630255416</v>
      </c>
      <c r="O55">
        <f t="shared" si="5"/>
        <v>0.29064715802149443</v>
      </c>
      <c r="P55">
        <f t="shared" si="6"/>
        <v>0.40045806782495064</v>
      </c>
      <c r="Q55">
        <f t="shared" si="7"/>
        <v>2.3513545738377988</v>
      </c>
    </row>
    <row r="56" spans="1:17">
      <c r="A56">
        <v>84</v>
      </c>
      <c r="B56">
        <v>124</v>
      </c>
      <c r="C56">
        <v>68</v>
      </c>
      <c r="D56">
        <v>19500</v>
      </c>
      <c r="E56">
        <v>5850</v>
      </c>
      <c r="F56">
        <f t="shared" si="0"/>
        <v>8705.3571428571431</v>
      </c>
      <c r="G56">
        <f t="shared" si="1"/>
        <v>3482.1428571428573</v>
      </c>
      <c r="H56">
        <v>21391</v>
      </c>
      <c r="I56">
        <v>5300</v>
      </c>
      <c r="L56">
        <f t="shared" si="2"/>
        <v>0.47687755251766895</v>
      </c>
      <c r="M56">
        <f t="shared" si="3"/>
        <v>0.5246636771300448</v>
      </c>
      <c r="N56">
        <f t="shared" si="4"/>
        <v>4.0215700836976929</v>
      </c>
      <c r="O56">
        <f t="shared" si="5"/>
        <v>0.28924952948743204</v>
      </c>
      <c r="P56">
        <f t="shared" si="6"/>
        <v>0.3965026433509557</v>
      </c>
      <c r="Q56">
        <f t="shared" si="7"/>
        <v>2.3313499673920637</v>
      </c>
    </row>
    <row r="57" spans="1:17">
      <c r="A57">
        <v>85</v>
      </c>
      <c r="B57">
        <v>126</v>
      </c>
      <c r="C57">
        <v>69</v>
      </c>
      <c r="D57">
        <v>20000</v>
      </c>
      <c r="E57">
        <v>6000</v>
      </c>
      <c r="F57">
        <f t="shared" si="0"/>
        <v>8849.5575221238942</v>
      </c>
      <c r="G57">
        <f t="shared" si="1"/>
        <v>3550.2958579881656</v>
      </c>
      <c r="H57">
        <v>21900</v>
      </c>
      <c r="I57">
        <v>5500</v>
      </c>
      <c r="L57">
        <f t="shared" si="2"/>
        <v>0.47732696897374699</v>
      </c>
      <c r="M57">
        <f t="shared" si="3"/>
        <v>0.52173913043478259</v>
      </c>
      <c r="N57">
        <f t="shared" si="4"/>
        <v>4.0004151100041501</v>
      </c>
      <c r="O57">
        <f t="shared" si="5"/>
        <v>0.28779462975220882</v>
      </c>
      <c r="P57">
        <f t="shared" si="6"/>
        <v>0.39228506047728018</v>
      </c>
      <c r="Q57">
        <f t="shared" si="7"/>
        <v>2.3104407893519863</v>
      </c>
    </row>
    <row r="58" spans="1:17">
      <c r="A58">
        <v>86</v>
      </c>
      <c r="B58">
        <v>128</v>
      </c>
      <c r="C58">
        <v>70</v>
      </c>
      <c r="D58">
        <v>21000</v>
      </c>
      <c r="E58">
        <v>6400</v>
      </c>
      <c r="F58">
        <f t="shared" si="0"/>
        <v>9210.5263157894751</v>
      </c>
      <c r="G58">
        <f t="shared" si="1"/>
        <v>3764.7058823529414</v>
      </c>
      <c r="H58">
        <v>22415</v>
      </c>
      <c r="I58">
        <v>5710</v>
      </c>
      <c r="L58">
        <f t="shared" si="2"/>
        <v>0.48370378901301392</v>
      </c>
      <c r="M58">
        <f t="shared" si="3"/>
        <v>0.52848885218827413</v>
      </c>
      <c r="N58">
        <f t="shared" si="4"/>
        <v>4.1077981696176211</v>
      </c>
      <c r="O58">
        <f t="shared" si="5"/>
        <v>0.29123709195603159</v>
      </c>
      <c r="P58">
        <f t="shared" si="6"/>
        <v>0.39734277022412623</v>
      </c>
      <c r="Q58">
        <f t="shared" si="7"/>
        <v>2.3411468053605766</v>
      </c>
    </row>
    <row r="59" spans="1:17">
      <c r="A59">
        <v>87</v>
      </c>
      <c r="B59">
        <v>130</v>
      </c>
      <c r="C59">
        <v>71</v>
      </c>
      <c r="D59">
        <v>22000</v>
      </c>
      <c r="E59">
        <v>6800</v>
      </c>
      <c r="F59">
        <f t="shared" si="0"/>
        <v>9565.217391304348</v>
      </c>
      <c r="G59">
        <f t="shared" si="1"/>
        <v>3976.6081871345027</v>
      </c>
      <c r="H59">
        <v>22936</v>
      </c>
      <c r="I59">
        <v>5930</v>
      </c>
      <c r="L59">
        <f t="shared" si="2"/>
        <v>0.48958518782268112</v>
      </c>
      <c r="M59">
        <f t="shared" si="3"/>
        <v>0.53417124901806756</v>
      </c>
      <c r="N59">
        <f t="shared" si="4"/>
        <v>4.2058176693443032</v>
      </c>
      <c r="O59">
        <f t="shared" si="5"/>
        <v>0.29430335719866013</v>
      </c>
      <c r="P59">
        <f t="shared" si="6"/>
        <v>0.40140965626346636</v>
      </c>
      <c r="Q59">
        <f t="shared" si="7"/>
        <v>2.3672942430651958</v>
      </c>
    </row>
    <row r="60" spans="1:17">
      <c r="A60">
        <v>88</v>
      </c>
      <c r="B60">
        <v>132</v>
      </c>
      <c r="C60">
        <v>72</v>
      </c>
      <c r="D60">
        <v>23000</v>
      </c>
      <c r="E60">
        <v>7200</v>
      </c>
      <c r="F60">
        <f t="shared" si="0"/>
        <v>9913.7931034482754</v>
      </c>
      <c r="G60">
        <f t="shared" si="1"/>
        <v>4186.0465116279065</v>
      </c>
      <c r="H60">
        <v>23463</v>
      </c>
      <c r="I60">
        <v>6160</v>
      </c>
      <c r="L60">
        <f t="shared" si="2"/>
        <v>0.49501754083894711</v>
      </c>
      <c r="M60">
        <f t="shared" si="3"/>
        <v>0.53892215568862278</v>
      </c>
      <c r="N60">
        <f t="shared" si="4"/>
        <v>4.2948643650599925</v>
      </c>
      <c r="O60">
        <f t="shared" si="5"/>
        <v>0.29702653195953826</v>
      </c>
      <c r="P60">
        <f t="shared" si="6"/>
        <v>0.40460348858119038</v>
      </c>
      <c r="Q60">
        <f t="shared" si="7"/>
        <v>2.3892125115563094</v>
      </c>
    </row>
    <row r="61" spans="1:17">
      <c r="A61">
        <v>89</v>
      </c>
      <c r="B61">
        <v>134</v>
      </c>
      <c r="C61">
        <v>73</v>
      </c>
      <c r="D61">
        <v>24000</v>
      </c>
      <c r="E61">
        <v>7600</v>
      </c>
      <c r="F61">
        <f t="shared" si="0"/>
        <v>10256.410256410258</v>
      </c>
      <c r="G61">
        <f t="shared" si="1"/>
        <v>4393.0635838150283</v>
      </c>
      <c r="H61">
        <v>23996</v>
      </c>
      <c r="I61">
        <v>6400</v>
      </c>
      <c r="L61">
        <f t="shared" si="2"/>
        <v>0.50004167013917822</v>
      </c>
      <c r="M61">
        <f t="shared" si="3"/>
        <v>0.54285714285714282</v>
      </c>
      <c r="N61">
        <f t="shared" si="4"/>
        <v>4.3753646441073508</v>
      </c>
      <c r="O61">
        <f t="shared" si="5"/>
        <v>0.29943616170750481</v>
      </c>
      <c r="P61">
        <f t="shared" si="6"/>
        <v>0.40702656383890312</v>
      </c>
      <c r="Q61">
        <f t="shared" si="7"/>
        <v>2.4072269974445866</v>
      </c>
    </row>
    <row r="62" spans="1:17">
      <c r="A62">
        <v>90</v>
      </c>
      <c r="B62">
        <v>136</v>
      </c>
      <c r="C62">
        <v>74</v>
      </c>
      <c r="D62">
        <v>25000</v>
      </c>
      <c r="E62">
        <v>8000</v>
      </c>
      <c r="F62">
        <f t="shared" si="0"/>
        <v>10593.22033898305</v>
      </c>
      <c r="G62">
        <f t="shared" si="1"/>
        <v>4597.7011494252874</v>
      </c>
      <c r="H62">
        <v>24535</v>
      </c>
      <c r="I62">
        <v>6650</v>
      </c>
      <c r="L62">
        <f t="shared" si="2"/>
        <v>0.50469365095387098</v>
      </c>
      <c r="M62">
        <f t="shared" si="3"/>
        <v>0.5460750853242321</v>
      </c>
      <c r="N62">
        <f t="shared" si="4"/>
        <v>4.4477675746325254</v>
      </c>
      <c r="O62">
        <f t="shared" si="5"/>
        <v>0.3015586965909392</v>
      </c>
      <c r="P62">
        <f t="shared" si="6"/>
        <v>0.40876807521332587</v>
      </c>
      <c r="Q62">
        <f t="shared" si="7"/>
        <v>2.421654651918431</v>
      </c>
    </row>
    <row r="63" spans="1:17">
      <c r="A63">
        <v>91</v>
      </c>
      <c r="B63">
        <v>138</v>
      </c>
      <c r="C63">
        <v>75</v>
      </c>
      <c r="D63">
        <v>26000</v>
      </c>
      <c r="E63">
        <v>8400</v>
      </c>
      <c r="F63">
        <f t="shared" si="0"/>
        <v>10924.369747899158</v>
      </c>
      <c r="G63">
        <f t="shared" si="1"/>
        <v>4800</v>
      </c>
      <c r="H63">
        <v>25080</v>
      </c>
      <c r="I63">
        <v>6910</v>
      </c>
      <c r="L63">
        <f t="shared" si="2"/>
        <v>0.50900548159749415</v>
      </c>
      <c r="M63">
        <f t="shared" si="3"/>
        <v>0.54866100587851074</v>
      </c>
      <c r="N63">
        <f t="shared" si="4"/>
        <v>4.512534131012309</v>
      </c>
      <c r="O63">
        <f t="shared" si="5"/>
        <v>0.30341788578417178</v>
      </c>
      <c r="P63">
        <f t="shared" si="6"/>
        <v>0.40990606319385142</v>
      </c>
      <c r="Q63">
        <f t="shared" si="7"/>
        <v>2.4328006803577273</v>
      </c>
    </row>
    <row r="64" spans="1:17">
      <c r="A64">
        <v>92</v>
      </c>
      <c r="B64">
        <v>140</v>
      </c>
      <c r="C64">
        <v>76</v>
      </c>
      <c r="D64">
        <v>27000</v>
      </c>
      <c r="E64">
        <v>8800</v>
      </c>
      <c r="F64">
        <f t="shared" si="0"/>
        <v>11249.999999999998</v>
      </c>
      <c r="G64">
        <f t="shared" si="1"/>
        <v>4999.9999999999991</v>
      </c>
      <c r="H64">
        <v>25631</v>
      </c>
      <c r="I64">
        <v>7180</v>
      </c>
      <c r="L64">
        <f t="shared" si="2"/>
        <v>0.51300564306207364</v>
      </c>
      <c r="M64">
        <f t="shared" si="3"/>
        <v>0.55068836045056324</v>
      </c>
      <c r="N64">
        <f t="shared" si="4"/>
        <v>4.5701283993127664</v>
      </c>
      <c r="O64">
        <f t="shared" si="5"/>
        <v>0.30503511293077734</v>
      </c>
      <c r="P64">
        <f t="shared" si="6"/>
        <v>0.41050903119868631</v>
      </c>
      <c r="Q64">
        <f t="shared" si="7"/>
        <v>2.4409561715232324</v>
      </c>
    </row>
    <row r="65" spans="1:17">
      <c r="A65">
        <v>93</v>
      </c>
      <c r="B65">
        <v>142</v>
      </c>
      <c r="C65">
        <v>77</v>
      </c>
      <c r="D65">
        <v>28000</v>
      </c>
      <c r="E65">
        <v>9200</v>
      </c>
      <c r="F65">
        <f t="shared" si="0"/>
        <v>11570.247933884297</v>
      </c>
      <c r="G65">
        <f t="shared" si="1"/>
        <v>5197.7401129943501</v>
      </c>
      <c r="H65">
        <v>26188</v>
      </c>
      <c r="I65">
        <v>7460</v>
      </c>
      <c r="L65">
        <f t="shared" si="2"/>
        <v>0.51671956890824533</v>
      </c>
      <c r="M65">
        <f t="shared" si="3"/>
        <v>0.55222088835534211</v>
      </c>
      <c r="N65">
        <f t="shared" si="4"/>
        <v>4.6210105440921918</v>
      </c>
      <c r="O65">
        <f t="shared" si="5"/>
        <v>0.30642968270519627</v>
      </c>
      <c r="P65">
        <f t="shared" si="6"/>
        <v>0.41063729122218157</v>
      </c>
      <c r="Q65">
        <f t="shared" si="7"/>
        <v>2.4463965110860251</v>
      </c>
    </row>
    <row r="66" spans="1:17">
      <c r="A66">
        <v>94</v>
      </c>
      <c r="B66">
        <v>144</v>
      </c>
      <c r="C66">
        <v>78</v>
      </c>
      <c r="D66">
        <v>29000</v>
      </c>
      <c r="E66">
        <v>9600</v>
      </c>
      <c r="F66">
        <f t="shared" si="0"/>
        <v>11885.245901639344</v>
      </c>
      <c r="G66">
        <f t="shared" si="1"/>
        <v>5393.258426966293</v>
      </c>
      <c r="H66">
        <v>26751</v>
      </c>
      <c r="I66">
        <v>7750</v>
      </c>
      <c r="L66">
        <f t="shared" si="2"/>
        <v>0.52017004179297233</v>
      </c>
      <c r="M66">
        <f t="shared" si="3"/>
        <v>0.55331412103746402</v>
      </c>
      <c r="N66">
        <f t="shared" si="4"/>
        <v>4.6656313119437209</v>
      </c>
      <c r="O66">
        <f t="shared" si="5"/>
        <v>0.30761906661162058</v>
      </c>
      <c r="P66">
        <f t="shared" si="6"/>
        <v>0.41034409061765337</v>
      </c>
      <c r="Q66">
        <f t="shared" si="7"/>
        <v>2.4493804369474916</v>
      </c>
    </row>
    <row r="67" spans="1:17">
      <c r="A67">
        <v>95</v>
      </c>
      <c r="B67">
        <v>146</v>
      </c>
      <c r="C67">
        <v>79</v>
      </c>
      <c r="D67">
        <v>30000</v>
      </c>
      <c r="E67">
        <v>10000</v>
      </c>
      <c r="F67">
        <f t="shared" ref="F67:F72" si="8">D67*(1-B67/(B67+100))</f>
        <v>12195.121951219511</v>
      </c>
      <c r="G67">
        <f t="shared" ref="G67:G72" si="9">E67*(1-C67/(C67+100))</f>
        <v>5586.5921787709503</v>
      </c>
      <c r="H67">
        <v>27320</v>
      </c>
      <c r="I67">
        <v>8050</v>
      </c>
      <c r="L67">
        <f t="shared" ref="L67:L72" si="10">D67/($H67+D67)</f>
        <v>0.52337752965806006</v>
      </c>
      <c r="M67">
        <f t="shared" ref="M67:M72" si="11">E67/($I67+E67)</f>
        <v>0.554016620498615</v>
      </c>
      <c r="N67">
        <f t="shared" ref="N67:N72" si="12">1/(1-L67)/(1-M67)</f>
        <v>4.7044278530051029</v>
      </c>
      <c r="O67">
        <f t="shared" ref="O67:O72" si="13">F67/($H67+F67)</f>
        <v>0.30861911463348396</v>
      </c>
      <c r="P67">
        <f t="shared" ref="P67:P72" si="14">G67/($I67+G67)</f>
        <v>0.4096765603555993</v>
      </c>
      <c r="Q67">
        <f t="shared" ref="Q67:Q72" si="15">1/(1-O67)/(1-P67)</f>
        <v>2.4501496091557176</v>
      </c>
    </row>
    <row r="68" spans="1:17">
      <c r="A68">
        <v>96</v>
      </c>
      <c r="B68">
        <v>148</v>
      </c>
      <c r="C68">
        <v>80</v>
      </c>
      <c r="D68">
        <v>31000</v>
      </c>
      <c r="E68">
        <v>10400</v>
      </c>
      <c r="F68">
        <f t="shared" si="8"/>
        <v>12500</v>
      </c>
      <c r="G68">
        <f t="shared" si="9"/>
        <v>5777.7777777777783</v>
      </c>
      <c r="H68">
        <v>27895</v>
      </c>
      <c r="I68">
        <v>8360</v>
      </c>
      <c r="L68">
        <f t="shared" si="10"/>
        <v>0.52636047202648784</v>
      </c>
      <c r="M68">
        <f t="shared" si="11"/>
        <v>0.55437100213219614</v>
      </c>
      <c r="N68">
        <f t="shared" si="12"/>
        <v>4.7378206552082274</v>
      </c>
      <c r="O68">
        <f t="shared" si="13"/>
        <v>0.3094442381482857</v>
      </c>
      <c r="P68">
        <f t="shared" si="14"/>
        <v>0.40867651681861056</v>
      </c>
      <c r="Q68">
        <f t="shared" si="15"/>
        <v>2.4489285835782573</v>
      </c>
    </row>
    <row r="69" spans="1:17">
      <c r="A69">
        <v>97</v>
      </c>
      <c r="B69">
        <v>150</v>
      </c>
      <c r="C69">
        <v>81</v>
      </c>
      <c r="D69">
        <v>32000</v>
      </c>
      <c r="E69">
        <v>10800</v>
      </c>
      <c r="F69">
        <f t="shared" si="8"/>
        <v>12800</v>
      </c>
      <c r="G69">
        <f t="shared" si="9"/>
        <v>5966.8508287292807</v>
      </c>
      <c r="H69">
        <v>28476</v>
      </c>
      <c r="I69">
        <v>8680</v>
      </c>
      <c r="L69">
        <f t="shared" si="10"/>
        <v>0.52913552483629867</v>
      </c>
      <c r="M69">
        <f t="shared" si="11"/>
        <v>0.55441478439425051</v>
      </c>
      <c r="N69">
        <f t="shared" si="12"/>
        <v>4.7662114041543919</v>
      </c>
      <c r="O69">
        <f t="shared" si="13"/>
        <v>0.31010756856284521</v>
      </c>
      <c r="P69">
        <f t="shared" si="14"/>
        <v>0.4073811427795464</v>
      </c>
      <c r="Q69">
        <f t="shared" si="15"/>
        <v>2.4459250946816788</v>
      </c>
    </row>
    <row r="70" spans="1:17">
      <c r="A70">
        <v>98</v>
      </c>
      <c r="B70">
        <v>152</v>
      </c>
      <c r="C70">
        <v>82</v>
      </c>
      <c r="D70">
        <v>33000</v>
      </c>
      <c r="E70">
        <v>11200</v>
      </c>
      <c r="F70">
        <f t="shared" si="8"/>
        <v>13095.238095238097</v>
      </c>
      <c r="G70">
        <f t="shared" si="9"/>
        <v>6153.8461538461543</v>
      </c>
      <c r="H70">
        <v>29063</v>
      </c>
      <c r="I70">
        <v>9010</v>
      </c>
      <c r="L70">
        <f t="shared" si="10"/>
        <v>0.53171777065240156</v>
      </c>
      <c r="M70">
        <f t="shared" si="11"/>
        <v>0.55418109846610586</v>
      </c>
      <c r="N70">
        <f t="shared" si="12"/>
        <v>4.7899816018345538</v>
      </c>
      <c r="O70">
        <f t="shared" si="13"/>
        <v>0.31062109535164006</v>
      </c>
      <c r="P70">
        <f t="shared" si="14"/>
        <v>0.40582356820372345</v>
      </c>
      <c r="Q70">
        <f t="shared" si="15"/>
        <v>2.4413305680396125</v>
      </c>
    </row>
    <row r="71" spans="1:17">
      <c r="A71">
        <v>99</v>
      </c>
      <c r="B71">
        <v>154</v>
      </c>
      <c r="C71">
        <v>83</v>
      </c>
      <c r="D71">
        <v>34000</v>
      </c>
      <c r="E71">
        <v>11600</v>
      </c>
      <c r="F71">
        <f t="shared" si="8"/>
        <v>13385.826771653543</v>
      </c>
      <c r="G71">
        <f t="shared" si="9"/>
        <v>6338.7978142076499</v>
      </c>
      <c r="H71">
        <v>29656</v>
      </c>
      <c r="I71">
        <v>9350</v>
      </c>
      <c r="L71">
        <f t="shared" si="10"/>
        <v>0.53412089983662181</v>
      </c>
      <c r="M71">
        <f t="shared" si="11"/>
        <v>0.55369928400954649</v>
      </c>
      <c r="N71">
        <f t="shared" si="12"/>
        <v>4.8094917982888266</v>
      </c>
      <c r="O71">
        <f t="shared" si="13"/>
        <v>0.31099578655590826</v>
      </c>
      <c r="P71">
        <f t="shared" si="14"/>
        <v>0.40403336758328834</v>
      </c>
      <c r="Q71">
        <f t="shared" si="15"/>
        <v>2.4353207970995125</v>
      </c>
    </row>
    <row r="72" spans="1:17">
      <c r="A72">
        <v>100</v>
      </c>
      <c r="B72">
        <v>156</v>
      </c>
      <c r="C72">
        <v>84</v>
      </c>
      <c r="D72">
        <v>35000</v>
      </c>
      <c r="E72">
        <v>12000</v>
      </c>
      <c r="F72">
        <f t="shared" si="8"/>
        <v>13671.875</v>
      </c>
      <c r="G72">
        <f t="shared" si="9"/>
        <v>6521.7391304347821</v>
      </c>
      <c r="H72">
        <v>30255</v>
      </c>
      <c r="I72">
        <v>9700</v>
      </c>
      <c r="L72">
        <f t="shared" si="10"/>
        <v>0.53635736725155159</v>
      </c>
      <c r="M72">
        <f t="shared" si="11"/>
        <v>0.55299539170506917</v>
      </c>
      <c r="N72">
        <f t="shared" si="12"/>
        <v>4.8250813105782973</v>
      </c>
      <c r="O72">
        <f t="shared" si="13"/>
        <v>0.3112416942930723</v>
      </c>
      <c r="P72">
        <f t="shared" si="14"/>
        <v>0.40203698740284105</v>
      </c>
      <c r="Q72">
        <f t="shared" si="15"/>
        <v>2.4280567310684522</v>
      </c>
    </row>
    <row r="73" spans="1:17">
      <c r="A73">
        <v>101</v>
      </c>
      <c r="D73">
        <v>36000</v>
      </c>
      <c r="E73">
        <v>12400</v>
      </c>
      <c r="Q73">
        <v>2.4353207970995125</v>
      </c>
    </row>
    <row r="74" spans="1:17">
      <c r="A74">
        <v>102</v>
      </c>
      <c r="D74">
        <v>37000</v>
      </c>
      <c r="E74">
        <v>12800</v>
      </c>
      <c r="Q74">
        <v>2.4280567310684522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K70"/>
  <sheetViews>
    <sheetView tabSelected="1" workbookViewId="0">
      <selection activeCell="B39" sqref="B39"/>
    </sheetView>
  </sheetViews>
  <sheetFormatPr defaultRowHeight="13.5"/>
  <cols>
    <col min="1" max="1" width="13" customWidth="1"/>
    <col min="2" max="2" width="39.875" customWidth="1"/>
    <col min="11" max="11" width="52.5" customWidth="1"/>
  </cols>
  <sheetData>
    <row r="1" spans="1:11">
      <c r="A1" t="s">
        <v>39</v>
      </c>
      <c r="B1" t="s">
        <v>36</v>
      </c>
      <c r="C1" t="s">
        <v>37</v>
      </c>
      <c r="D1" t="s">
        <v>40</v>
      </c>
    </row>
    <row r="2" spans="1:11">
      <c r="A2" t="s">
        <v>33</v>
      </c>
      <c r="B2">
        <v>0.9</v>
      </c>
      <c r="C2">
        <v>0.75</v>
      </c>
    </row>
    <row r="3" spans="1:11">
      <c r="A3" t="s">
        <v>34</v>
      </c>
      <c r="B3">
        <v>0.9</v>
      </c>
      <c r="C3">
        <v>0.75</v>
      </c>
    </row>
    <row r="4" spans="1:11">
      <c r="A4" t="s">
        <v>35</v>
      </c>
      <c r="B4">
        <v>0.9</v>
      </c>
      <c r="C4">
        <v>0.65</v>
      </c>
    </row>
    <row r="5" spans="1:11">
      <c r="A5" t="s">
        <v>32</v>
      </c>
    </row>
    <row r="6" spans="1:11">
      <c r="A6" t="s">
        <v>33</v>
      </c>
      <c r="B6">
        <v>0.5</v>
      </c>
      <c r="C6">
        <v>0.65</v>
      </c>
    </row>
    <row r="7" spans="1:11">
      <c r="A7" t="s">
        <v>34</v>
      </c>
      <c r="B7">
        <v>0.5</v>
      </c>
      <c r="C7">
        <v>0.65</v>
      </c>
    </row>
    <row r="8" spans="1:11">
      <c r="A8" t="s">
        <v>35</v>
      </c>
      <c r="B8">
        <v>0.5</v>
      </c>
      <c r="C8">
        <v>0.6</v>
      </c>
    </row>
    <row r="9" spans="1:11">
      <c r="A9" t="s">
        <v>38</v>
      </c>
    </row>
    <row r="10" spans="1:11">
      <c r="A10" t="s">
        <v>33</v>
      </c>
      <c r="B10">
        <v>0.33</v>
      </c>
      <c r="C10">
        <v>0.45</v>
      </c>
    </row>
    <row r="11" spans="1:11">
      <c r="A11" t="s">
        <v>34</v>
      </c>
      <c r="B11">
        <v>0.33</v>
      </c>
      <c r="C11">
        <v>0.45</v>
      </c>
    </row>
    <row r="12" spans="1:11">
      <c r="A12" t="s">
        <v>35</v>
      </c>
      <c r="B12">
        <v>0.33</v>
      </c>
      <c r="C12">
        <v>0.42</v>
      </c>
    </row>
    <row r="14" spans="1:11">
      <c r="A14" t="s">
        <v>41</v>
      </c>
      <c r="B14" t="s">
        <v>42</v>
      </c>
      <c r="C14" t="s">
        <v>43</v>
      </c>
      <c r="D14" t="s">
        <v>44</v>
      </c>
      <c r="E14" t="s">
        <v>57</v>
      </c>
      <c r="F14" t="s">
        <v>56</v>
      </c>
      <c r="G14" t="s">
        <v>55</v>
      </c>
      <c r="H14" t="s">
        <v>179</v>
      </c>
      <c r="I14" t="s">
        <v>197</v>
      </c>
      <c r="K14" t="s">
        <v>47</v>
      </c>
    </row>
    <row r="15" spans="1:11">
      <c r="A15" s="1" t="s">
        <v>45</v>
      </c>
      <c r="B15" t="s">
        <v>46</v>
      </c>
      <c r="C15">
        <v>1.5</v>
      </c>
      <c r="D15">
        <v>0.68</v>
      </c>
      <c r="E15">
        <v>13</v>
      </c>
      <c r="F15">
        <v>0</v>
      </c>
      <c r="G15">
        <v>0</v>
      </c>
      <c r="H15" s="7" t="s">
        <v>180</v>
      </c>
      <c r="I15">
        <v>1000</v>
      </c>
      <c r="K15" t="s">
        <v>48</v>
      </c>
    </row>
    <row r="16" spans="1:11">
      <c r="A16" s="1" t="s">
        <v>150</v>
      </c>
      <c r="B16" t="s">
        <v>49</v>
      </c>
      <c r="C16">
        <v>1</v>
      </c>
      <c r="D16">
        <v>0.8</v>
      </c>
      <c r="E16">
        <v>35</v>
      </c>
      <c r="F16">
        <v>0</v>
      </c>
      <c r="G16">
        <v>0</v>
      </c>
      <c r="H16" s="7">
        <v>16</v>
      </c>
      <c r="I16">
        <v>2000</v>
      </c>
      <c r="K16" t="s">
        <v>50</v>
      </c>
    </row>
    <row r="17" spans="1:11">
      <c r="A17" s="5" t="s">
        <v>51</v>
      </c>
      <c r="B17" t="s">
        <v>58</v>
      </c>
      <c r="C17">
        <v>1</v>
      </c>
      <c r="D17">
        <v>1</v>
      </c>
      <c r="E17">
        <v>13</v>
      </c>
      <c r="F17">
        <v>0</v>
      </c>
      <c r="G17">
        <v>0</v>
      </c>
      <c r="H17" s="7">
        <v>1</v>
      </c>
      <c r="I17">
        <v>1000</v>
      </c>
    </row>
    <row r="18" spans="1:11">
      <c r="A18" s="5" t="s">
        <v>52</v>
      </c>
      <c r="B18" t="s">
        <v>53</v>
      </c>
      <c r="C18">
        <v>1.2</v>
      </c>
      <c r="D18">
        <v>1</v>
      </c>
      <c r="E18">
        <v>13</v>
      </c>
      <c r="F18">
        <v>0</v>
      </c>
      <c r="G18">
        <v>20</v>
      </c>
      <c r="H18" s="7">
        <v>10</v>
      </c>
      <c r="I18">
        <v>2000</v>
      </c>
      <c r="K18" t="s">
        <v>54</v>
      </c>
    </row>
    <row r="19" spans="1:11">
      <c r="A19" s="5" t="s">
        <v>63</v>
      </c>
      <c r="B19" t="s">
        <v>127</v>
      </c>
      <c r="C19">
        <v>1.25</v>
      </c>
      <c r="D19">
        <v>1</v>
      </c>
      <c r="E19">
        <v>13</v>
      </c>
      <c r="F19">
        <v>0</v>
      </c>
      <c r="G19">
        <v>0</v>
      </c>
      <c r="H19" s="7">
        <v>25</v>
      </c>
      <c r="I19">
        <v>1000</v>
      </c>
      <c r="K19" t="s">
        <v>64</v>
      </c>
    </row>
    <row r="20" spans="1:11">
      <c r="A20" s="1" t="s">
        <v>178</v>
      </c>
      <c r="B20" t="s">
        <v>65</v>
      </c>
      <c r="C20">
        <v>1</v>
      </c>
      <c r="D20">
        <v>1</v>
      </c>
      <c r="E20">
        <v>13</v>
      </c>
      <c r="F20">
        <v>0</v>
      </c>
      <c r="G20">
        <v>0</v>
      </c>
      <c r="H20" s="7">
        <v>19</v>
      </c>
      <c r="I20">
        <v>1000</v>
      </c>
    </row>
    <row r="21" spans="1:11">
      <c r="A21" s="6" t="s">
        <v>67</v>
      </c>
      <c r="B21" t="s">
        <v>66</v>
      </c>
      <c r="C21">
        <v>0.7</v>
      </c>
      <c r="D21">
        <v>0.8</v>
      </c>
      <c r="E21">
        <v>13</v>
      </c>
      <c r="F21">
        <v>0</v>
      </c>
      <c r="G21">
        <v>0</v>
      </c>
      <c r="H21" s="7">
        <v>3</v>
      </c>
      <c r="I21">
        <v>600</v>
      </c>
      <c r="K21" t="s">
        <v>68</v>
      </c>
    </row>
    <row r="22" spans="1:11">
      <c r="A22" s="1" t="s">
        <v>74</v>
      </c>
      <c r="B22" t="s">
        <v>70</v>
      </c>
      <c r="C22">
        <v>0.45</v>
      </c>
      <c r="D22">
        <v>0.7</v>
      </c>
      <c r="E22">
        <v>13</v>
      </c>
      <c r="F22">
        <v>0</v>
      </c>
      <c r="G22">
        <v>0</v>
      </c>
      <c r="H22" s="7" t="s">
        <v>181</v>
      </c>
      <c r="I22">
        <v>5000</v>
      </c>
      <c r="K22" t="s">
        <v>69</v>
      </c>
    </row>
    <row r="23" spans="1:11">
      <c r="A23" s="6" t="s">
        <v>71</v>
      </c>
      <c r="B23" t="s">
        <v>72</v>
      </c>
      <c r="C23">
        <v>0.85</v>
      </c>
      <c r="D23">
        <v>1</v>
      </c>
      <c r="E23">
        <v>13</v>
      </c>
      <c r="F23">
        <v>0</v>
      </c>
      <c r="G23">
        <v>0</v>
      </c>
      <c r="H23" s="7">
        <v>4</v>
      </c>
      <c r="I23">
        <v>1000</v>
      </c>
    </row>
    <row r="24" spans="1:11">
      <c r="A24" s="5" t="s">
        <v>139</v>
      </c>
      <c r="B24" t="s">
        <v>73</v>
      </c>
      <c r="C24">
        <v>1</v>
      </c>
      <c r="D24">
        <v>1</v>
      </c>
      <c r="E24">
        <v>0</v>
      </c>
      <c r="F24">
        <v>0</v>
      </c>
      <c r="G24">
        <v>0</v>
      </c>
      <c r="H24" s="7">
        <v>14</v>
      </c>
      <c r="I24">
        <v>1000</v>
      </c>
    </row>
    <row r="25" spans="1:11">
      <c r="A25" s="3" t="s">
        <v>75</v>
      </c>
      <c r="B25" t="s">
        <v>76</v>
      </c>
      <c r="C25">
        <v>1.2</v>
      </c>
      <c r="D25">
        <v>0.75</v>
      </c>
      <c r="E25">
        <v>0</v>
      </c>
      <c r="F25">
        <v>0</v>
      </c>
      <c r="G25">
        <v>0</v>
      </c>
      <c r="H25" s="7">
        <v>20</v>
      </c>
      <c r="I25">
        <v>1600</v>
      </c>
      <c r="K25" t="s">
        <v>79</v>
      </c>
    </row>
    <row r="26" spans="1:11">
      <c r="A26" s="4" t="s">
        <v>77</v>
      </c>
      <c r="B26" t="s">
        <v>78</v>
      </c>
      <c r="C26">
        <v>1</v>
      </c>
      <c r="D26">
        <v>1.1000000000000001</v>
      </c>
      <c r="E26">
        <v>13</v>
      </c>
      <c r="F26">
        <v>0</v>
      </c>
      <c r="G26">
        <v>0</v>
      </c>
      <c r="H26" s="7" t="s">
        <v>182</v>
      </c>
      <c r="I26">
        <v>1800</v>
      </c>
      <c r="K26" t="s">
        <v>80</v>
      </c>
    </row>
    <row r="27" spans="1:11">
      <c r="A27" s="6" t="s">
        <v>81</v>
      </c>
      <c r="B27" t="s">
        <v>82</v>
      </c>
      <c r="C27">
        <v>0.7</v>
      </c>
      <c r="D27">
        <v>1</v>
      </c>
      <c r="E27">
        <v>0</v>
      </c>
      <c r="F27">
        <v>0</v>
      </c>
      <c r="G27">
        <v>0</v>
      </c>
      <c r="H27" s="7">
        <v>13</v>
      </c>
      <c r="I27">
        <v>800</v>
      </c>
    </row>
    <row r="28" spans="1:11">
      <c r="A28" s="6" t="s">
        <v>84</v>
      </c>
      <c r="B28" t="s">
        <v>83</v>
      </c>
      <c r="C28">
        <v>1</v>
      </c>
      <c r="D28">
        <v>0.92</v>
      </c>
      <c r="E28">
        <v>13</v>
      </c>
      <c r="F28">
        <v>0</v>
      </c>
      <c r="G28">
        <v>0</v>
      </c>
      <c r="H28" s="7">
        <v>22</v>
      </c>
      <c r="I28">
        <v>1000</v>
      </c>
    </row>
    <row r="29" spans="1:11">
      <c r="A29" s="1" t="s">
        <v>85</v>
      </c>
      <c r="B29" t="s">
        <v>87</v>
      </c>
      <c r="C29">
        <v>1.2</v>
      </c>
      <c r="D29">
        <v>1</v>
      </c>
      <c r="E29">
        <v>13</v>
      </c>
      <c r="F29">
        <v>0</v>
      </c>
      <c r="G29">
        <v>0</v>
      </c>
      <c r="H29" s="7" t="s">
        <v>183</v>
      </c>
      <c r="I29">
        <v>3000</v>
      </c>
      <c r="K29" t="s">
        <v>86</v>
      </c>
    </row>
    <row r="30" spans="1:11">
      <c r="A30" s="6" t="s">
        <v>89</v>
      </c>
      <c r="B30" t="s">
        <v>88</v>
      </c>
      <c r="C30">
        <v>1</v>
      </c>
      <c r="D30">
        <v>0.7</v>
      </c>
      <c r="E30">
        <v>13</v>
      </c>
      <c r="F30">
        <v>0</v>
      </c>
      <c r="G30">
        <v>0</v>
      </c>
      <c r="H30" s="7" t="s">
        <v>184</v>
      </c>
      <c r="I30">
        <v>1500</v>
      </c>
    </row>
    <row r="31" spans="1:11">
      <c r="A31" s="5" t="s">
        <v>90</v>
      </c>
      <c r="B31" t="s">
        <v>62</v>
      </c>
      <c r="C31">
        <v>1</v>
      </c>
      <c r="D31">
        <v>0.7</v>
      </c>
      <c r="E31">
        <v>13</v>
      </c>
      <c r="F31">
        <v>0</v>
      </c>
      <c r="G31">
        <v>0</v>
      </c>
      <c r="H31" s="7">
        <v>2</v>
      </c>
      <c r="I31">
        <v>800</v>
      </c>
    </row>
    <row r="32" spans="1:11">
      <c r="A32" s="1" t="s">
        <v>154</v>
      </c>
      <c r="B32" t="s">
        <v>91</v>
      </c>
      <c r="C32">
        <v>0.28000000000000003</v>
      </c>
      <c r="D32">
        <v>0.45</v>
      </c>
      <c r="E32">
        <v>13</v>
      </c>
      <c r="F32">
        <v>0</v>
      </c>
      <c r="G32">
        <v>0</v>
      </c>
      <c r="H32" s="7">
        <v>5</v>
      </c>
      <c r="I32">
        <v>1000</v>
      </c>
      <c r="K32" t="s">
        <v>99</v>
      </c>
    </row>
    <row r="33" spans="1:11">
      <c r="A33" s="1" t="s">
        <v>155</v>
      </c>
      <c r="B33" t="s">
        <v>94</v>
      </c>
      <c r="C33">
        <v>0.36</v>
      </c>
      <c r="D33">
        <v>0.44</v>
      </c>
      <c r="E33">
        <v>13</v>
      </c>
      <c r="F33">
        <v>0</v>
      </c>
      <c r="G33">
        <v>0</v>
      </c>
      <c r="H33" s="7">
        <v>26</v>
      </c>
      <c r="I33">
        <v>1000</v>
      </c>
    </row>
    <row r="34" spans="1:11">
      <c r="A34" s="1" t="s">
        <v>157</v>
      </c>
      <c r="B34" t="s">
        <v>73</v>
      </c>
      <c r="C34">
        <v>0.36</v>
      </c>
      <c r="D34">
        <v>0.43</v>
      </c>
      <c r="E34">
        <v>13</v>
      </c>
      <c r="F34">
        <v>0</v>
      </c>
      <c r="G34">
        <v>0</v>
      </c>
      <c r="H34" s="7">
        <v>14</v>
      </c>
      <c r="I34">
        <v>1000</v>
      </c>
    </row>
    <row r="35" spans="1:11">
      <c r="A35" s="1" t="s">
        <v>156</v>
      </c>
      <c r="B35" t="s">
        <v>62</v>
      </c>
      <c r="C35">
        <v>0.3</v>
      </c>
      <c r="D35">
        <v>0.42</v>
      </c>
      <c r="E35">
        <v>13</v>
      </c>
      <c r="F35">
        <v>0</v>
      </c>
      <c r="G35">
        <v>0</v>
      </c>
      <c r="H35" s="7">
        <v>2</v>
      </c>
      <c r="I35">
        <v>800</v>
      </c>
    </row>
    <row r="36" spans="1:11">
      <c r="A36" s="6" t="s">
        <v>95</v>
      </c>
      <c r="B36" t="s">
        <v>62</v>
      </c>
      <c r="C36">
        <v>0.6</v>
      </c>
      <c r="D36">
        <v>0.6</v>
      </c>
      <c r="E36">
        <v>13</v>
      </c>
      <c r="F36">
        <v>0</v>
      </c>
      <c r="G36">
        <v>0</v>
      </c>
      <c r="H36" s="7">
        <v>2</v>
      </c>
      <c r="I36">
        <v>800</v>
      </c>
      <c r="K36" t="s">
        <v>98</v>
      </c>
    </row>
    <row r="37" spans="1:11">
      <c r="A37" s="6" t="s">
        <v>96</v>
      </c>
      <c r="B37" t="s">
        <v>92</v>
      </c>
      <c r="C37">
        <v>0.35</v>
      </c>
      <c r="D37">
        <v>0.28000000000000003</v>
      </c>
      <c r="E37">
        <v>13</v>
      </c>
      <c r="F37">
        <v>0</v>
      </c>
      <c r="G37">
        <v>0</v>
      </c>
      <c r="H37" s="7">
        <v>9</v>
      </c>
      <c r="I37">
        <v>1000</v>
      </c>
    </row>
    <row r="38" spans="1:11">
      <c r="A38" s="6" t="s">
        <v>97</v>
      </c>
      <c r="B38" t="s">
        <v>53</v>
      </c>
      <c r="C38">
        <v>0.35</v>
      </c>
      <c r="D38">
        <v>0.28000000000000003</v>
      </c>
      <c r="E38">
        <v>13</v>
      </c>
      <c r="F38">
        <v>0</v>
      </c>
      <c r="G38">
        <v>0</v>
      </c>
      <c r="H38" s="7">
        <v>10</v>
      </c>
      <c r="I38">
        <v>1000</v>
      </c>
    </row>
    <row r="39" spans="1:11">
      <c r="A39" s="5" t="s">
        <v>100</v>
      </c>
      <c r="B39" t="s">
        <v>101</v>
      </c>
      <c r="C39">
        <v>0.8</v>
      </c>
      <c r="D39">
        <v>1</v>
      </c>
      <c r="E39">
        <v>13</v>
      </c>
      <c r="F39">
        <v>0</v>
      </c>
      <c r="G39">
        <v>0</v>
      </c>
      <c r="H39" s="7">
        <v>8</v>
      </c>
      <c r="I39">
        <v>1000</v>
      </c>
    </row>
    <row r="40" spans="1:11">
      <c r="A40" s="6" t="s">
        <v>102</v>
      </c>
      <c r="B40" t="s">
        <v>104</v>
      </c>
      <c r="C40">
        <v>0.35</v>
      </c>
      <c r="D40">
        <v>0.6</v>
      </c>
      <c r="E40">
        <v>13</v>
      </c>
      <c r="F40">
        <v>0</v>
      </c>
      <c r="G40">
        <v>0</v>
      </c>
      <c r="H40" s="7">
        <v>3</v>
      </c>
      <c r="I40">
        <v>1000</v>
      </c>
    </row>
    <row r="41" spans="1:11">
      <c r="A41" s="6" t="s">
        <v>103</v>
      </c>
      <c r="B41" t="s">
        <v>105</v>
      </c>
      <c r="C41">
        <v>0.6</v>
      </c>
      <c r="D41">
        <v>0.4</v>
      </c>
      <c r="E41">
        <v>13</v>
      </c>
      <c r="F41">
        <v>0</v>
      </c>
      <c r="G41">
        <v>0</v>
      </c>
      <c r="H41" s="7" t="s">
        <v>186</v>
      </c>
      <c r="I41">
        <v>1000</v>
      </c>
      <c r="K41" t="s">
        <v>106</v>
      </c>
    </row>
    <row r="42" spans="1:11">
      <c r="A42" s="6" t="s">
        <v>107</v>
      </c>
      <c r="B42" t="s">
        <v>108</v>
      </c>
      <c r="C42">
        <v>0.8</v>
      </c>
      <c r="D42">
        <v>0.8</v>
      </c>
      <c r="E42">
        <v>13</v>
      </c>
      <c r="F42">
        <v>0</v>
      </c>
      <c r="G42">
        <v>0</v>
      </c>
      <c r="H42" s="7" t="s">
        <v>185</v>
      </c>
      <c r="I42">
        <v>1800</v>
      </c>
    </row>
    <row r="43" spans="1:11">
      <c r="A43" s="6" t="s">
        <v>109</v>
      </c>
      <c r="B43" t="s">
        <v>110</v>
      </c>
      <c r="C43">
        <v>0.8</v>
      </c>
      <c r="D43">
        <v>0.92</v>
      </c>
      <c r="E43">
        <v>13</v>
      </c>
      <c r="F43">
        <v>0</v>
      </c>
      <c r="G43">
        <v>0</v>
      </c>
      <c r="H43" s="7">
        <v>6</v>
      </c>
      <c r="I43">
        <v>1000</v>
      </c>
    </row>
    <row r="44" spans="1:11">
      <c r="A44" s="6" t="s">
        <v>111</v>
      </c>
      <c r="B44" t="s">
        <v>113</v>
      </c>
      <c r="C44">
        <v>1.1000000000000001</v>
      </c>
      <c r="D44">
        <v>1</v>
      </c>
      <c r="E44">
        <v>13</v>
      </c>
      <c r="F44">
        <v>0</v>
      </c>
      <c r="G44">
        <v>0</v>
      </c>
      <c r="H44" s="7">
        <v>18</v>
      </c>
      <c r="I44">
        <v>1000</v>
      </c>
    </row>
    <row r="45" spans="1:11">
      <c r="A45" s="5" t="s">
        <v>114</v>
      </c>
      <c r="B45" t="s">
        <v>115</v>
      </c>
      <c r="C45">
        <v>1</v>
      </c>
      <c r="D45">
        <v>1</v>
      </c>
      <c r="E45">
        <v>13</v>
      </c>
      <c r="F45">
        <v>0</v>
      </c>
      <c r="G45">
        <v>0</v>
      </c>
      <c r="H45" s="7">
        <v>7</v>
      </c>
      <c r="I45">
        <v>1000</v>
      </c>
    </row>
    <row r="46" spans="1:11">
      <c r="A46" s="5" t="s">
        <v>140</v>
      </c>
      <c r="B46" t="s">
        <v>112</v>
      </c>
      <c r="C46">
        <v>1</v>
      </c>
      <c r="D46">
        <v>1</v>
      </c>
      <c r="E46">
        <v>13</v>
      </c>
      <c r="F46">
        <v>0</v>
      </c>
      <c r="G46">
        <v>0</v>
      </c>
      <c r="H46" s="7">
        <v>11</v>
      </c>
      <c r="I46">
        <v>1000</v>
      </c>
    </row>
    <row r="47" spans="1:11">
      <c r="A47" s="5" t="s">
        <v>116</v>
      </c>
      <c r="B47" t="s">
        <v>115</v>
      </c>
      <c r="C47">
        <v>1</v>
      </c>
      <c r="D47">
        <v>1</v>
      </c>
      <c r="E47">
        <v>13</v>
      </c>
      <c r="F47">
        <v>0</v>
      </c>
      <c r="G47">
        <v>0</v>
      </c>
      <c r="H47" s="7">
        <v>7</v>
      </c>
      <c r="I47">
        <v>1000</v>
      </c>
      <c r="K47" t="s">
        <v>117</v>
      </c>
    </row>
    <row r="48" spans="1:11">
      <c r="A48" s="5" t="s">
        <v>118</v>
      </c>
      <c r="B48" t="s">
        <v>119</v>
      </c>
      <c r="C48">
        <v>1</v>
      </c>
      <c r="D48">
        <v>0.95</v>
      </c>
      <c r="E48">
        <v>13</v>
      </c>
      <c r="F48">
        <v>0</v>
      </c>
      <c r="G48">
        <v>0</v>
      </c>
      <c r="H48" s="7">
        <v>21</v>
      </c>
      <c r="I48">
        <v>1000</v>
      </c>
      <c r="K48" t="s">
        <v>120</v>
      </c>
    </row>
    <row r="49" spans="1:11">
      <c r="A49" s="5" t="s">
        <v>121</v>
      </c>
      <c r="B49" t="s">
        <v>94</v>
      </c>
      <c r="C49">
        <v>1</v>
      </c>
      <c r="D49">
        <v>0.9</v>
      </c>
      <c r="E49">
        <v>13</v>
      </c>
      <c r="F49">
        <v>0</v>
      </c>
      <c r="G49">
        <v>0</v>
      </c>
      <c r="H49" s="7">
        <v>26</v>
      </c>
      <c r="I49">
        <v>1000</v>
      </c>
    </row>
    <row r="50" spans="1:11">
      <c r="A50" s="5" t="s">
        <v>177</v>
      </c>
      <c r="B50" t="s">
        <v>93</v>
      </c>
      <c r="C50">
        <v>0.9</v>
      </c>
      <c r="D50">
        <v>0.9</v>
      </c>
      <c r="E50">
        <v>13</v>
      </c>
      <c r="F50">
        <v>0</v>
      </c>
      <c r="G50">
        <v>0</v>
      </c>
      <c r="H50" s="7">
        <v>28</v>
      </c>
      <c r="I50">
        <v>1000</v>
      </c>
    </row>
    <row r="51" spans="1:11">
      <c r="A51" s="2" t="s">
        <v>122</v>
      </c>
      <c r="B51" t="s">
        <v>123</v>
      </c>
      <c r="C51">
        <v>1.5</v>
      </c>
      <c r="D51">
        <v>0.6</v>
      </c>
      <c r="E51">
        <v>13</v>
      </c>
      <c r="F51">
        <v>0</v>
      </c>
      <c r="G51">
        <v>30</v>
      </c>
      <c r="H51" s="7" t="s">
        <v>187</v>
      </c>
      <c r="I51">
        <v>4500</v>
      </c>
    </row>
    <row r="52" spans="1:11">
      <c r="A52" s="6" t="s">
        <v>125</v>
      </c>
      <c r="B52" t="s">
        <v>126</v>
      </c>
      <c r="C52">
        <v>1</v>
      </c>
      <c r="D52">
        <v>0.95</v>
      </c>
      <c r="E52">
        <v>13</v>
      </c>
      <c r="F52">
        <v>0</v>
      </c>
      <c r="G52">
        <v>0</v>
      </c>
      <c r="H52" s="7">
        <v>29</v>
      </c>
      <c r="I52">
        <v>1000</v>
      </c>
    </row>
    <row r="53" spans="1:11">
      <c r="A53" s="1" t="s">
        <v>124</v>
      </c>
      <c r="B53" t="s">
        <v>128</v>
      </c>
      <c r="C53">
        <v>1</v>
      </c>
      <c r="D53">
        <v>1</v>
      </c>
      <c r="E53">
        <v>13</v>
      </c>
      <c r="F53">
        <v>0</v>
      </c>
      <c r="G53">
        <v>0</v>
      </c>
      <c r="H53" s="7" t="s">
        <v>188</v>
      </c>
      <c r="I53">
        <v>1000</v>
      </c>
    </row>
    <row r="54" spans="1:11">
      <c r="A54" s="5" t="s">
        <v>129</v>
      </c>
      <c r="B54" t="s">
        <v>91</v>
      </c>
      <c r="C54">
        <v>1</v>
      </c>
      <c r="D54">
        <v>1</v>
      </c>
      <c r="E54">
        <v>13</v>
      </c>
      <c r="F54">
        <v>0</v>
      </c>
      <c r="G54">
        <v>0</v>
      </c>
      <c r="H54" s="7">
        <v>5</v>
      </c>
      <c r="I54">
        <v>1000</v>
      </c>
    </row>
    <row r="55" spans="1:11">
      <c r="A55" s="5" t="s">
        <v>130</v>
      </c>
      <c r="B55" t="s">
        <v>131</v>
      </c>
      <c r="C55">
        <v>1</v>
      </c>
      <c r="D55">
        <v>1</v>
      </c>
      <c r="E55">
        <v>13</v>
      </c>
      <c r="F55">
        <v>0</v>
      </c>
      <c r="G55">
        <v>0</v>
      </c>
      <c r="H55" s="7">
        <v>15</v>
      </c>
      <c r="I55">
        <v>1000</v>
      </c>
    </row>
    <row r="56" spans="1:11">
      <c r="A56" s="1" t="s">
        <v>45</v>
      </c>
      <c r="B56" t="s">
        <v>132</v>
      </c>
      <c r="C56">
        <v>1</v>
      </c>
      <c r="D56">
        <v>1</v>
      </c>
      <c r="E56">
        <v>13</v>
      </c>
      <c r="F56">
        <v>0</v>
      </c>
      <c r="G56">
        <v>0</v>
      </c>
      <c r="H56" s="7" t="s">
        <v>189</v>
      </c>
      <c r="I56">
        <v>1000</v>
      </c>
    </row>
    <row r="57" spans="1:11">
      <c r="A57" s="5" t="s">
        <v>59</v>
      </c>
      <c r="B57" t="s">
        <v>133</v>
      </c>
      <c r="C57">
        <v>1.2</v>
      </c>
      <c r="D57">
        <v>0.8</v>
      </c>
      <c r="E57">
        <v>0</v>
      </c>
      <c r="F57">
        <v>0</v>
      </c>
      <c r="G57">
        <v>0</v>
      </c>
      <c r="H57" s="7" t="s">
        <v>190</v>
      </c>
      <c r="I57">
        <v>1000</v>
      </c>
    </row>
    <row r="58" spans="1:11">
      <c r="A58" s="5" t="s">
        <v>60</v>
      </c>
      <c r="B58" t="s">
        <v>134</v>
      </c>
      <c r="C58">
        <v>1</v>
      </c>
      <c r="D58">
        <v>1</v>
      </c>
      <c r="E58">
        <v>13</v>
      </c>
      <c r="F58">
        <v>0</v>
      </c>
      <c r="G58">
        <v>0</v>
      </c>
      <c r="H58" s="7" t="s">
        <v>191</v>
      </c>
      <c r="I58">
        <v>1000</v>
      </c>
    </row>
    <row r="59" spans="1:11">
      <c r="A59" s="5" t="s">
        <v>61</v>
      </c>
      <c r="B59" t="s">
        <v>135</v>
      </c>
      <c r="C59">
        <v>1.2</v>
      </c>
      <c r="D59">
        <v>1</v>
      </c>
      <c r="E59">
        <v>13</v>
      </c>
      <c r="F59">
        <v>0</v>
      </c>
      <c r="G59">
        <v>0</v>
      </c>
      <c r="H59" s="7" t="s">
        <v>192</v>
      </c>
      <c r="I59">
        <v>1000</v>
      </c>
    </row>
    <row r="60" spans="1:11">
      <c r="A60" s="5" t="s">
        <v>137</v>
      </c>
      <c r="B60" t="s">
        <v>115</v>
      </c>
      <c r="C60">
        <v>1</v>
      </c>
      <c r="D60">
        <v>0.75</v>
      </c>
      <c r="E60">
        <v>0</v>
      </c>
      <c r="F60">
        <v>0</v>
      </c>
      <c r="G60">
        <v>0</v>
      </c>
      <c r="H60" s="7">
        <v>7</v>
      </c>
      <c r="I60">
        <v>1000</v>
      </c>
    </row>
    <row r="61" spans="1:11">
      <c r="A61" s="5" t="s">
        <v>136</v>
      </c>
      <c r="B61" t="s">
        <v>115</v>
      </c>
      <c r="C61">
        <v>1</v>
      </c>
      <c r="D61">
        <v>0.75</v>
      </c>
      <c r="E61">
        <v>0</v>
      </c>
      <c r="F61">
        <v>0</v>
      </c>
      <c r="G61">
        <v>0</v>
      </c>
      <c r="H61" s="7">
        <v>7</v>
      </c>
      <c r="I61">
        <v>1000</v>
      </c>
      <c r="K61" t="s">
        <v>138</v>
      </c>
    </row>
    <row r="62" spans="1:11">
      <c r="A62" s="5" t="s">
        <v>136</v>
      </c>
      <c r="B62" t="s">
        <v>115</v>
      </c>
      <c r="C62">
        <v>1</v>
      </c>
      <c r="D62">
        <v>0.75</v>
      </c>
      <c r="E62">
        <v>0</v>
      </c>
      <c r="F62">
        <v>0</v>
      </c>
      <c r="G62">
        <v>0</v>
      </c>
      <c r="H62" s="7">
        <v>7</v>
      </c>
      <c r="I62">
        <v>1000</v>
      </c>
    </row>
    <row r="63" spans="1:11">
      <c r="A63" s="5" t="s">
        <v>173</v>
      </c>
      <c r="B63" t="s">
        <v>141</v>
      </c>
      <c r="C63">
        <v>1</v>
      </c>
      <c r="D63">
        <v>1</v>
      </c>
      <c r="E63">
        <v>13</v>
      </c>
      <c r="F63">
        <v>0</v>
      </c>
      <c r="G63">
        <v>30</v>
      </c>
      <c r="H63" s="7">
        <v>3</v>
      </c>
      <c r="I63">
        <v>500</v>
      </c>
    </row>
    <row r="64" spans="1:11">
      <c r="A64" s="5" t="s">
        <v>174</v>
      </c>
      <c r="B64" t="s">
        <v>143</v>
      </c>
      <c r="C64">
        <v>1</v>
      </c>
      <c r="D64">
        <v>1</v>
      </c>
      <c r="E64">
        <v>13</v>
      </c>
      <c r="F64">
        <v>15</v>
      </c>
      <c r="G64">
        <v>0</v>
      </c>
      <c r="H64" s="7">
        <v>11</v>
      </c>
      <c r="I64">
        <v>1000</v>
      </c>
    </row>
    <row r="65" spans="1:9">
      <c r="A65" s="5" t="s">
        <v>175</v>
      </c>
      <c r="B65" t="s">
        <v>144</v>
      </c>
      <c r="C65">
        <v>1</v>
      </c>
      <c r="D65">
        <v>1</v>
      </c>
      <c r="E65">
        <v>13</v>
      </c>
      <c r="F65">
        <v>0</v>
      </c>
      <c r="G65">
        <v>0</v>
      </c>
      <c r="H65" s="7">
        <v>21</v>
      </c>
      <c r="I65">
        <v>3000</v>
      </c>
    </row>
    <row r="66" spans="1:9">
      <c r="A66" s="5" t="s">
        <v>145</v>
      </c>
      <c r="B66" t="s">
        <v>146</v>
      </c>
      <c r="C66">
        <v>1</v>
      </c>
      <c r="D66">
        <v>1</v>
      </c>
      <c r="E66">
        <v>13</v>
      </c>
      <c r="F66">
        <v>0</v>
      </c>
      <c r="G66">
        <v>0</v>
      </c>
      <c r="H66" s="7">
        <v>13</v>
      </c>
      <c r="I66">
        <v>1000</v>
      </c>
    </row>
    <row r="67" spans="1:9">
      <c r="A67" s="5" t="s">
        <v>149</v>
      </c>
      <c r="B67" t="s">
        <v>148</v>
      </c>
      <c r="C67">
        <v>1</v>
      </c>
      <c r="D67">
        <v>1</v>
      </c>
      <c r="E67">
        <v>13</v>
      </c>
      <c r="F67">
        <v>0</v>
      </c>
      <c r="G67">
        <v>0</v>
      </c>
      <c r="H67" s="7">
        <v>0</v>
      </c>
      <c r="I67">
        <v>1000</v>
      </c>
    </row>
    <row r="68" spans="1:9">
      <c r="A68" s="5" t="s">
        <v>142</v>
      </c>
      <c r="B68" t="s">
        <v>147</v>
      </c>
      <c r="C68">
        <v>1</v>
      </c>
      <c r="D68">
        <v>1</v>
      </c>
      <c r="E68">
        <v>13</v>
      </c>
      <c r="F68">
        <v>0</v>
      </c>
      <c r="G68">
        <v>0</v>
      </c>
      <c r="H68" s="7">
        <v>7</v>
      </c>
      <c r="I68">
        <v>1000</v>
      </c>
    </row>
    <row r="69" spans="1:9">
      <c r="A69" s="5" t="s">
        <v>151</v>
      </c>
      <c r="B69" t="s">
        <v>152</v>
      </c>
      <c r="C69">
        <v>1</v>
      </c>
      <c r="D69">
        <v>1</v>
      </c>
      <c r="E69">
        <v>30</v>
      </c>
      <c r="F69">
        <v>0</v>
      </c>
      <c r="G69">
        <v>0</v>
      </c>
      <c r="H69" s="7">
        <v>0</v>
      </c>
      <c r="I69">
        <v>1000</v>
      </c>
    </row>
    <row r="70" spans="1:9">
      <c r="A70" s="5" t="s">
        <v>153</v>
      </c>
      <c r="B70" t="s">
        <v>176</v>
      </c>
      <c r="C70">
        <v>1.2</v>
      </c>
      <c r="D70">
        <v>1.1499999999999999</v>
      </c>
      <c r="E70">
        <v>15</v>
      </c>
      <c r="F70">
        <v>0</v>
      </c>
      <c r="G70">
        <v>15</v>
      </c>
      <c r="H70" s="7" t="s">
        <v>193</v>
      </c>
      <c r="I70">
        <v>3000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V490"/>
  <sheetViews>
    <sheetView topLeftCell="A436" workbookViewId="0">
      <selection activeCell="K2" sqref="K2:V490"/>
    </sheetView>
  </sheetViews>
  <sheetFormatPr defaultRowHeight="13.5"/>
  <cols>
    <col min="1" max="1" width="11.5" customWidth="1"/>
  </cols>
  <sheetData>
    <row r="1" spans="1:22">
      <c r="A1" t="s">
        <v>170</v>
      </c>
      <c r="B1" t="s">
        <v>0</v>
      </c>
      <c r="C1" t="s">
        <v>172</v>
      </c>
      <c r="D1" t="s">
        <v>42</v>
      </c>
      <c r="E1" t="s">
        <v>43</v>
      </c>
      <c r="F1" t="s">
        <v>44</v>
      </c>
      <c r="G1" t="s">
        <v>171</v>
      </c>
      <c r="H1" t="s">
        <v>57</v>
      </c>
      <c r="I1" t="s">
        <v>56</v>
      </c>
      <c r="J1" t="s">
        <v>55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</row>
    <row r="2" spans="1:22">
      <c r="A2" t="str">
        <f>[2]monster.xml!$D347</f>
        <v>战士幻象</v>
      </c>
      <c r="B2">
        <f>[2]monster.xml!$C347</f>
        <v>30</v>
      </c>
      <c r="C2">
        <v>1</v>
      </c>
      <c r="D2">
        <f>VLOOKUP(A2,怪物模型!A$15:Z$70,8,0)</f>
        <v>3</v>
      </c>
      <c r="E2">
        <f>VLOOKUP(A2,怪物模型!A$15:G$70,3,0)</f>
        <v>1</v>
      </c>
      <c r="F2">
        <f>VLOOKUP(A2,怪物模型!A$15:G$77,4,0)</f>
        <v>1</v>
      </c>
      <c r="G2">
        <v>1</v>
      </c>
      <c r="H2">
        <f>VLOOKUP(A2,怪物模型!A$15:G$77,5,0)</f>
        <v>13</v>
      </c>
      <c r="I2">
        <f>VLOOKUP(A2,怪物模型!A$15:G$77,6,0)</f>
        <v>0</v>
      </c>
      <c r="J2">
        <f>VLOOKUP(A2,怪物模型!A$15:G$77,7,0)</f>
        <v>30</v>
      </c>
      <c r="K2">
        <f>ROUND(VLOOKUP(C2,战士难度!A$1:C$135,3,0)/VLOOKUP(B2,怪物抗性与玩家穿透!A$2:Q$74,17,0)*F2,0)</f>
        <v>31817</v>
      </c>
      <c r="L2">
        <f>IF(A2="卡雷",42,IF(A2="法力风暴",ROUND(K2*0.1,0),VLOOKUP(A2,怪物模型!$A$15:$I$70,9,0)*(1+(B2-30)/100)))</f>
        <v>500</v>
      </c>
      <c r="M2">
        <f>ROUND(VLOOKUP(C2,战士难度!A$1:C$135,2,0)*0.91*E2,0)</f>
        <v>2320</v>
      </c>
      <c r="N2">
        <f>ROUND(M2*1.2,0)</f>
        <v>2784</v>
      </c>
      <c r="O2">
        <f>VLOOKUP(B2,怪物抗性与玩家穿透!A$2:Q$74,4,0)</f>
        <v>20</v>
      </c>
      <c r="P2">
        <f>VLOOKUP(B2,怪物抗性与玩家穿透!A$2:Q$74,5,0)</f>
        <v>0</v>
      </c>
      <c r="Q2">
        <f>P2</f>
        <v>0</v>
      </c>
      <c r="R2">
        <f>VLOOKUP(B2,[3]battleParameter.xml!$A$6:$E$107,5,0)*(I2/100)/(1-I2/100)</f>
        <v>0</v>
      </c>
      <c r="S2">
        <f>ROUND(VLOOKUP(B2,[3]battleParameter.xml!$A$6:$G$107,7,0)*(J2/100)/(1-J2/100),0)</f>
        <v>1206</v>
      </c>
      <c r="T2">
        <f>ROUND(VLOOKUP(B2,[3]battleParameter.xml!$A$6:$Z$107,8,0)*(MIN(H2/100+0.2,0.99))/(1-MIN(H2/100+0.2,0.99)),0)</f>
        <v>346</v>
      </c>
      <c r="U2">
        <v>0</v>
      </c>
      <c r="V2">
        <v>0</v>
      </c>
    </row>
    <row r="3" spans="1:22">
      <c r="A3" t="str">
        <f>[2]monster.xml!$D348</f>
        <v>法力风暴</v>
      </c>
      <c r="B3">
        <f>[2]monster.xml!$C348</f>
        <v>30</v>
      </c>
      <c r="C3">
        <f>IF(OR(A3="塔克",A3="多兰",A3="约翰",A3="血誓预言者",A3="血誓召唤者",A3="血誓领主"),C2,C2+1)</f>
        <v>2</v>
      </c>
      <c r="D3" t="str">
        <f>VLOOKUP(A3,怪物模型!A$15:Z$70,8,0)</f>
        <v>25,30</v>
      </c>
      <c r="E3">
        <f>VLOOKUP(A3,怪物模型!A$15:G$70,3,0)</f>
        <v>1.5</v>
      </c>
      <c r="F3">
        <f>VLOOKUP(A3,怪物模型!A$15:G$77,4,0)</f>
        <v>0.68</v>
      </c>
      <c r="G3">
        <v>1</v>
      </c>
      <c r="H3">
        <f>VLOOKUP(A3,怪物模型!A$15:G$77,5,0)</f>
        <v>13</v>
      </c>
      <c r="I3">
        <f>VLOOKUP(A3,怪物模型!A$15:G$77,6,0)</f>
        <v>0</v>
      </c>
      <c r="J3">
        <f>VLOOKUP(A3,怪物模型!A$15:G$77,7,0)</f>
        <v>0</v>
      </c>
      <c r="K3">
        <f>ROUND(VLOOKUP(C3,战士难度!A$1:C$135,3,0)/VLOOKUP(B3,怪物抗性与玩家穿透!A$2:Q$74,17,0)*F3,0)</f>
        <v>26745</v>
      </c>
      <c r="L3">
        <f>IF(A3="卡雷",42,IF(A3="法力风暴",ROUND(K3*0.1,0),VLOOKUP(A3,怪物模型!$A$15:$I$70,9,0)*(1+(B3-30)/100)))</f>
        <v>2675</v>
      </c>
      <c r="M3">
        <f>ROUND(VLOOKUP(C3,战士难度!A$1:C$135,2,0)*0.91*E3,0)</f>
        <v>3686</v>
      </c>
      <c r="N3">
        <f t="shared" ref="N3:N66" si="0">ROUND(M3*1.2,0)</f>
        <v>4423</v>
      </c>
      <c r="O3">
        <f>VLOOKUP(B3,怪物抗性与玩家穿透!A$2:Q$74,4,0)</f>
        <v>20</v>
      </c>
      <c r="P3">
        <f>VLOOKUP(B3,怪物抗性与玩家穿透!A$2:Q$74,5,0)</f>
        <v>0</v>
      </c>
      <c r="Q3">
        <f t="shared" ref="Q3:Q66" si="1">P3</f>
        <v>0</v>
      </c>
      <c r="R3">
        <f>VLOOKUP(B3,[3]battleParameter.xml!$A$6:$E$107,5,0)*(I3/100)/(1-I3/100)</f>
        <v>0</v>
      </c>
      <c r="S3">
        <f>ROUND(VLOOKUP(B3,[3]battleParameter.xml!$A$6:$G$107,7,0)*(J3/100)/(1-J3/100),0)</f>
        <v>0</v>
      </c>
      <c r="T3">
        <f>ROUND(VLOOKUP(B3,[3]battleParameter.xml!$A$6:$Z$107,8,0)*(MIN(H3/100+0.2,0.99))/(1-MIN(H3/100+0.2,0.99)),0)</f>
        <v>346</v>
      </c>
      <c r="U3">
        <v>0</v>
      </c>
      <c r="V3">
        <v>0</v>
      </c>
    </row>
    <row r="4" spans="1:22">
      <c r="A4" t="str">
        <f>[2]monster.xml!$D349</f>
        <v>角斗士里奥</v>
      </c>
      <c r="B4">
        <f>[2]monster.xml!$C349</f>
        <v>31</v>
      </c>
      <c r="C4">
        <f t="shared" ref="C4:C67" si="2">IF(OR(A4="塔克",A4="多兰",A4="约翰",A4="血誓预言者",A4="血誓召唤者",A4="血誓领主"),C3,C3+1)</f>
        <v>3</v>
      </c>
      <c r="D4">
        <f>VLOOKUP(A4,怪物模型!A$15:Z$70,8,0)</f>
        <v>5</v>
      </c>
      <c r="E4">
        <f>VLOOKUP(A4,怪物模型!A$15:G$70,3,0)</f>
        <v>1</v>
      </c>
      <c r="F4">
        <f>VLOOKUP(A4,怪物模型!A$15:G$77,4,0)</f>
        <v>1</v>
      </c>
      <c r="G4">
        <v>1</v>
      </c>
      <c r="H4">
        <f>VLOOKUP(A4,怪物模型!A$15:G$77,5,0)</f>
        <v>13</v>
      </c>
      <c r="I4">
        <f>VLOOKUP(A4,怪物模型!A$15:G$77,6,0)</f>
        <v>0</v>
      </c>
      <c r="J4">
        <f>VLOOKUP(A4,怪物模型!A$15:G$77,7,0)</f>
        <v>0</v>
      </c>
      <c r="K4">
        <f>ROUND(VLOOKUP(C4,战士难度!A$1:C$135,3,0)/VLOOKUP(B4,怪物抗性与玩家穿透!A$2:Q$74,17,0)*F4,0)</f>
        <v>51769</v>
      </c>
      <c r="L4">
        <f>IF(A4="卡雷",42,IF(A4="法力风暴",ROUND(K4*0.1,0),VLOOKUP(A4,怪物模型!$A$15:$I$70,9,0)*(1+(B4-30)/100)))</f>
        <v>1010</v>
      </c>
      <c r="M4">
        <f>ROUND(VLOOKUP(C4,战士难度!A$1:C$135,2,0)*0.91*E4,0)</f>
        <v>2653</v>
      </c>
      <c r="N4">
        <f t="shared" si="0"/>
        <v>3184</v>
      </c>
      <c r="O4">
        <f>VLOOKUP(B4,怪物抗性与玩家穿透!A$2:Q$74,4,0)</f>
        <v>50</v>
      </c>
      <c r="P4">
        <f>VLOOKUP(B4,怪物抗性与玩家穿透!A$2:Q$74,5,0)</f>
        <v>0</v>
      </c>
      <c r="Q4">
        <f t="shared" si="1"/>
        <v>0</v>
      </c>
      <c r="R4">
        <f>VLOOKUP(B4,[3]battleParameter.xml!$A$6:$E$107,5,0)*(I4/100)/(1-I4/100)</f>
        <v>0</v>
      </c>
      <c r="S4">
        <f>ROUND(VLOOKUP(B4,[3]battleParameter.xml!$A$6:$G$107,7,0)*(J4/100)/(1-J4/100),0)</f>
        <v>0</v>
      </c>
      <c r="T4">
        <f>ROUND(VLOOKUP(B4,[3]battleParameter.xml!$A$6:$Z$107,8,0)*(MIN(H4/100+0.2,0.99))/(1-MIN(H4/100+0.2,0.99)),0)</f>
        <v>369</v>
      </c>
      <c r="U4">
        <v>0</v>
      </c>
      <c r="V4">
        <v>0</v>
      </c>
    </row>
    <row r="5" spans="1:22">
      <c r="A5" t="str">
        <f>[2]monster.xml!$D350</f>
        <v>荒野游侠</v>
      </c>
      <c r="B5">
        <f>[2]monster.xml!$C350</f>
        <v>31</v>
      </c>
      <c r="C5">
        <f t="shared" si="2"/>
        <v>4</v>
      </c>
      <c r="D5">
        <f>VLOOKUP(A5,怪物模型!A$15:Z$70,8,0)</f>
        <v>16</v>
      </c>
      <c r="E5">
        <f>VLOOKUP(A5,怪物模型!A$15:G$70,3,0)</f>
        <v>1</v>
      </c>
      <c r="F5">
        <f>VLOOKUP(A5,怪物模型!A$15:G$77,4,0)</f>
        <v>0.8</v>
      </c>
      <c r="G5">
        <v>1</v>
      </c>
      <c r="H5">
        <f>VLOOKUP(A5,怪物模型!A$15:G$77,5,0)</f>
        <v>35</v>
      </c>
      <c r="I5">
        <f>VLOOKUP(A5,怪物模型!A$15:G$77,6,0)</f>
        <v>0</v>
      </c>
      <c r="J5">
        <f>VLOOKUP(A5,怪物模型!A$15:G$77,7,0)</f>
        <v>0</v>
      </c>
      <c r="K5">
        <f>ROUND(VLOOKUP(C5,战士难度!A$1:C$135,3,0)/VLOOKUP(B5,怪物抗性与玩家穿透!A$2:Q$74,17,0)*F5,0)</f>
        <v>46835</v>
      </c>
      <c r="L5">
        <f>IF(A5="卡雷",42,IF(A5="法力风暴",ROUND(K5*0.1,0),VLOOKUP(A5,怪物模型!$A$15:$I$70,9,0)*(1+(B5-30)/100)))</f>
        <v>2020</v>
      </c>
      <c r="M5">
        <f>ROUND(VLOOKUP(C5,战士难度!A$1:C$135,2,0)*0.91*E5,0)</f>
        <v>2784</v>
      </c>
      <c r="N5">
        <f t="shared" si="0"/>
        <v>3341</v>
      </c>
      <c r="O5">
        <f>VLOOKUP(B5,怪物抗性与玩家穿透!A$2:Q$74,4,0)</f>
        <v>50</v>
      </c>
      <c r="P5">
        <f>VLOOKUP(B5,怪物抗性与玩家穿透!A$2:Q$74,5,0)</f>
        <v>0</v>
      </c>
      <c r="Q5">
        <f t="shared" si="1"/>
        <v>0</v>
      </c>
      <c r="R5">
        <f>VLOOKUP(B5,[3]battleParameter.xml!$A$6:$E$107,5,0)*(I5/100)/(1-I5/100)</f>
        <v>0</v>
      </c>
      <c r="S5">
        <f>ROUND(VLOOKUP(B5,[3]battleParameter.xml!$A$6:$G$107,7,0)*(J5/100)/(1-J5/100),0)</f>
        <v>0</v>
      </c>
      <c r="T5">
        <f>ROUND(VLOOKUP(B5,[3]battleParameter.xml!$A$6:$Z$107,8,0)*(MIN(H5/100+0.2,0.99))/(1-MIN(H5/100+0.2,0.99)),0)</f>
        <v>917</v>
      </c>
      <c r="U5">
        <v>0</v>
      </c>
      <c r="V5">
        <v>0</v>
      </c>
    </row>
    <row r="6" spans="1:22">
      <c r="A6" t="str">
        <f>[2]monster.xml!$D351</f>
        <v>憾地者</v>
      </c>
      <c r="B6">
        <f>[2]monster.xml!$C351</f>
        <v>31</v>
      </c>
      <c r="C6">
        <f t="shared" si="2"/>
        <v>5</v>
      </c>
      <c r="D6">
        <f>VLOOKUP(A6,怪物模型!A$15:Z$70,8,0)</f>
        <v>4</v>
      </c>
      <c r="E6">
        <f>VLOOKUP(A6,怪物模型!A$15:G$70,3,0)</f>
        <v>0.85</v>
      </c>
      <c r="F6">
        <f>VLOOKUP(A6,怪物模型!A$15:G$77,4,0)</f>
        <v>1</v>
      </c>
      <c r="G6">
        <v>1</v>
      </c>
      <c r="H6">
        <f>VLOOKUP(A6,怪物模型!A$15:G$77,5,0)</f>
        <v>13</v>
      </c>
      <c r="I6">
        <f>VLOOKUP(A6,怪物模型!A$15:G$77,6,0)</f>
        <v>0</v>
      </c>
      <c r="J6">
        <f>VLOOKUP(A6,怪物模型!A$15:G$77,7,0)</f>
        <v>0</v>
      </c>
      <c r="K6">
        <f>ROUND(VLOOKUP(C6,战士难度!A$1:C$135,3,0)/VLOOKUP(B6,怪物抗性与玩家穿透!A$2:Q$74,17,0)*F6,0)</f>
        <v>66205</v>
      </c>
      <c r="L6">
        <f>IF(A6="卡雷",42,IF(A6="法力风暴",ROUND(K6*0.1,0),VLOOKUP(A6,怪物模型!$A$15:$I$70,9,0)*(1+(B6-30)/100)))</f>
        <v>1010</v>
      </c>
      <c r="M6">
        <f>ROUND(VLOOKUP(C6,战士难度!A$1:C$135,2,0)*0.91*E6,0)</f>
        <v>2483</v>
      </c>
      <c r="N6">
        <f t="shared" si="0"/>
        <v>2980</v>
      </c>
      <c r="O6">
        <f>VLOOKUP(B6,怪物抗性与玩家穿透!A$2:Q$74,4,0)</f>
        <v>50</v>
      </c>
      <c r="P6">
        <f>VLOOKUP(B6,怪物抗性与玩家穿透!A$2:Q$74,5,0)</f>
        <v>0</v>
      </c>
      <c r="Q6">
        <f t="shared" si="1"/>
        <v>0</v>
      </c>
      <c r="R6">
        <f>VLOOKUP(B6,[3]battleParameter.xml!$A$6:$E$107,5,0)*(I6/100)/(1-I6/100)</f>
        <v>0</v>
      </c>
      <c r="S6">
        <f>ROUND(VLOOKUP(B6,[3]battleParameter.xml!$A$6:$G$107,7,0)*(J6/100)/(1-J6/100),0)</f>
        <v>0</v>
      </c>
      <c r="T6">
        <f>ROUND(VLOOKUP(B6,[3]battleParameter.xml!$A$6:$Z$107,8,0)*(MIN(H6/100+0.2,0.99))/(1-MIN(H6/100+0.2,0.99)),0)</f>
        <v>369</v>
      </c>
      <c r="U6">
        <v>0</v>
      </c>
      <c r="V6">
        <v>0</v>
      </c>
    </row>
    <row r="7" spans="1:22">
      <c r="A7" t="str">
        <f>[2]monster.xml!$D352</f>
        <v>拉兹</v>
      </c>
      <c r="B7">
        <f>[2]monster.xml!$C352</f>
        <v>32</v>
      </c>
      <c r="C7">
        <f t="shared" si="2"/>
        <v>6</v>
      </c>
      <c r="D7">
        <f>VLOOKUP(A7,怪物模型!A$15:Z$70,8,0)</f>
        <v>10</v>
      </c>
      <c r="E7">
        <f>VLOOKUP(A7,怪物模型!A$15:G$70,3,0)</f>
        <v>1.2</v>
      </c>
      <c r="F7">
        <f>VLOOKUP(A7,怪物模型!A$15:G$77,4,0)</f>
        <v>1</v>
      </c>
      <c r="G7">
        <v>1</v>
      </c>
      <c r="H7">
        <f>VLOOKUP(A7,怪物模型!A$15:G$77,5,0)</f>
        <v>13</v>
      </c>
      <c r="I7">
        <f>VLOOKUP(A7,怪物模型!A$15:G$77,6,0)</f>
        <v>0</v>
      </c>
      <c r="J7">
        <f>VLOOKUP(A7,怪物模型!A$15:G$77,7,0)</f>
        <v>20</v>
      </c>
      <c r="K7">
        <f>ROUND(VLOOKUP(C7,战士难度!A$1:C$135,3,0)/VLOOKUP(B7,怪物抗性与玩家穿透!A$2:Q$74,17,0)*F7,0)</f>
        <v>77082</v>
      </c>
      <c r="L7">
        <f>IF(A7="卡雷",42,IF(A7="法力风暴",ROUND(K7*0.1,0),VLOOKUP(A7,怪物模型!$A$15:$I$70,9,0)*(1+(B7-30)/100)))</f>
        <v>2040</v>
      </c>
      <c r="M7">
        <f>ROUND(VLOOKUP(C7,战士难度!A$1:C$135,2,0)*0.91*E7,0)</f>
        <v>3738</v>
      </c>
      <c r="N7">
        <f t="shared" si="0"/>
        <v>4486</v>
      </c>
      <c r="O7">
        <f>VLOOKUP(B7,怪物抗性与玩家穿透!A$2:Q$74,4,0)</f>
        <v>80</v>
      </c>
      <c r="P7">
        <f>VLOOKUP(B7,怪物抗性与玩家穿透!A$2:Q$74,5,0)</f>
        <v>10</v>
      </c>
      <c r="Q7">
        <f t="shared" si="1"/>
        <v>10</v>
      </c>
      <c r="R7">
        <f>VLOOKUP(B7,[3]battleParameter.xml!$A$6:$E$107,5,0)*(I7/100)/(1-I7/100)</f>
        <v>0</v>
      </c>
      <c r="S7">
        <f>ROUND(VLOOKUP(B7,[3]battleParameter.xml!$A$6:$G$107,7,0)*(J7/100)/(1-J7/100),0)</f>
        <v>798</v>
      </c>
      <c r="T7">
        <f>ROUND(VLOOKUP(B7,[3]battleParameter.xml!$A$6:$Z$107,8,0)*(MIN(H7/100+0.2,0.99))/(1-MIN(H7/100+0.2,0.99)),0)</f>
        <v>393</v>
      </c>
      <c r="U7">
        <v>0</v>
      </c>
      <c r="V7">
        <v>0</v>
      </c>
    </row>
    <row r="8" spans="1:22">
      <c r="A8" t="str">
        <f>[2]monster.xml!$D353</f>
        <v>塔克</v>
      </c>
      <c r="B8">
        <f>[2]monster.xml!$C353</f>
        <v>32</v>
      </c>
      <c r="C8">
        <f t="shared" si="2"/>
        <v>6</v>
      </c>
      <c r="D8">
        <f>VLOOKUP(A8,怪物模型!A$15:Z$70,8,0)</f>
        <v>3</v>
      </c>
      <c r="E8">
        <f>VLOOKUP(A8,怪物模型!A$15:G$70,3,0)</f>
        <v>0.35</v>
      </c>
      <c r="F8">
        <f>VLOOKUP(A8,怪物模型!A$15:G$77,4,0)</f>
        <v>0.6</v>
      </c>
      <c r="G8">
        <v>1</v>
      </c>
      <c r="H8">
        <f>VLOOKUP(A8,怪物模型!A$15:G$77,5,0)</f>
        <v>13</v>
      </c>
      <c r="I8">
        <f>VLOOKUP(A8,怪物模型!A$15:G$77,6,0)</f>
        <v>0</v>
      </c>
      <c r="J8">
        <f>VLOOKUP(A8,怪物模型!A$15:G$77,7,0)</f>
        <v>0</v>
      </c>
      <c r="K8">
        <f>ROUND(VLOOKUP(C8,战士难度!A$1:C$135,3,0)/VLOOKUP(B8,怪物抗性与玩家穿透!A$2:Q$74,17,0)*F8,0)</f>
        <v>46249</v>
      </c>
      <c r="L8">
        <f>IF(A8="卡雷",42,IF(A8="法力风暴",ROUND(K8*0.1,0),VLOOKUP(A8,怪物模型!$A$15:$I$70,9,0)*(1+(B8-30)/100)))</f>
        <v>1020</v>
      </c>
      <c r="M8">
        <f>ROUND(VLOOKUP(C8,战士难度!A$1:C$135,2,0)*0.91*E8,0)</f>
        <v>1090</v>
      </c>
      <c r="N8">
        <f t="shared" si="0"/>
        <v>1308</v>
      </c>
      <c r="O8">
        <f>VLOOKUP(B8,怪物抗性与玩家穿透!A$2:Q$74,4,0)</f>
        <v>80</v>
      </c>
      <c r="P8">
        <f>VLOOKUP(B8,怪物抗性与玩家穿透!A$2:Q$74,5,0)</f>
        <v>10</v>
      </c>
      <c r="Q8">
        <f t="shared" si="1"/>
        <v>10</v>
      </c>
      <c r="R8">
        <f>VLOOKUP(B8,[3]battleParameter.xml!$A$6:$E$107,5,0)*(I8/100)/(1-I8/100)</f>
        <v>0</v>
      </c>
      <c r="S8">
        <f>ROUND(VLOOKUP(B8,[3]battleParameter.xml!$A$6:$G$107,7,0)*(J8/100)/(1-J8/100),0)</f>
        <v>0</v>
      </c>
      <c r="T8">
        <f>ROUND(VLOOKUP(B8,[3]battleParameter.xml!$A$6:$Z$107,8,0)*(MIN(H8/100+0.2,0.99))/(1-MIN(H8/100+0.2,0.99)),0)</f>
        <v>393</v>
      </c>
      <c r="U8">
        <v>0</v>
      </c>
      <c r="V8">
        <v>0</v>
      </c>
    </row>
    <row r="9" spans="1:22">
      <c r="A9" t="str">
        <f>[2]monster.xml!$D354</f>
        <v>迪皮斯</v>
      </c>
      <c r="B9">
        <f>[2]monster.xml!$C354</f>
        <v>32</v>
      </c>
      <c r="C9">
        <f t="shared" si="2"/>
        <v>7</v>
      </c>
      <c r="D9" t="str">
        <f>VLOOKUP(A9,怪物模型!A$15:Z$70,8,0)</f>
        <v>17,14</v>
      </c>
      <c r="E9">
        <f>VLOOKUP(A9,怪物模型!A$15:G$70,3,0)</f>
        <v>0.6</v>
      </c>
      <c r="F9">
        <f>VLOOKUP(A9,怪物模型!A$15:G$77,4,0)</f>
        <v>0.4</v>
      </c>
      <c r="G9">
        <v>1</v>
      </c>
      <c r="H9">
        <f>VLOOKUP(A9,怪物模型!A$15:G$77,5,0)</f>
        <v>13</v>
      </c>
      <c r="I9">
        <f>VLOOKUP(A9,怪物模型!A$15:G$77,6,0)</f>
        <v>0</v>
      </c>
      <c r="J9">
        <f>VLOOKUP(A9,怪物模型!A$15:G$77,7,0)</f>
        <v>0</v>
      </c>
      <c r="K9">
        <f>ROUND(VLOOKUP(C9,战士难度!A$1:C$135,3,0)/VLOOKUP(B9,怪物抗性与玩家穿透!A$2:Q$74,17,0)*F9,0)</f>
        <v>34458</v>
      </c>
      <c r="L9">
        <f>IF(A9="卡雷",42,IF(A9="法力风暴",ROUND(K9*0.1,0),VLOOKUP(A9,怪物模型!$A$15:$I$70,9,0)*(1+(B9-30)/100)))</f>
        <v>1020</v>
      </c>
      <c r="M9">
        <f>ROUND(VLOOKUP(C9,战士难度!A$1:C$135,2,0)*0.91*E9,0)</f>
        <v>1973</v>
      </c>
      <c r="N9">
        <f t="shared" si="0"/>
        <v>2368</v>
      </c>
      <c r="O9">
        <f>VLOOKUP(B9,怪物抗性与玩家穿透!A$2:Q$74,4,0)</f>
        <v>80</v>
      </c>
      <c r="P9">
        <f>VLOOKUP(B9,怪物抗性与玩家穿透!A$2:Q$74,5,0)</f>
        <v>10</v>
      </c>
      <c r="Q9">
        <f t="shared" si="1"/>
        <v>10</v>
      </c>
      <c r="R9">
        <f>VLOOKUP(B9,[3]battleParameter.xml!$A$6:$E$107,5,0)*(I9/100)/(1-I9/100)</f>
        <v>0</v>
      </c>
      <c r="S9">
        <f>ROUND(VLOOKUP(B9,[3]battleParameter.xml!$A$6:$G$107,7,0)*(J9/100)/(1-J9/100),0)</f>
        <v>0</v>
      </c>
      <c r="T9">
        <f>ROUND(VLOOKUP(B9,[3]battleParameter.xml!$A$6:$Z$107,8,0)*(MIN(H9/100+0.2,0.99))/(1-MIN(H9/100+0.2,0.99)),0)</f>
        <v>393</v>
      </c>
      <c r="U9">
        <v>0</v>
      </c>
      <c r="V9">
        <v>0</v>
      </c>
    </row>
    <row r="10" spans="1:22">
      <c r="A10" t="str">
        <f>[2]monster.xml!$D355</f>
        <v>狂野安东尼</v>
      </c>
      <c r="B10">
        <f>[2]monster.xml!$C355</f>
        <v>33</v>
      </c>
      <c r="C10">
        <f t="shared" si="2"/>
        <v>8</v>
      </c>
      <c r="D10">
        <f>VLOOKUP(A10,怪物模型!A$15:Z$70,8,0)</f>
        <v>7</v>
      </c>
      <c r="E10">
        <f>VLOOKUP(A10,怪物模型!A$15:G$70,3,0)</f>
        <v>1</v>
      </c>
      <c r="F10">
        <f>VLOOKUP(A10,怪物模型!A$15:G$77,4,0)</f>
        <v>1</v>
      </c>
      <c r="G10">
        <v>1</v>
      </c>
      <c r="H10">
        <f>VLOOKUP(A10,怪物模型!A$15:G$77,5,0)</f>
        <v>13</v>
      </c>
      <c r="I10">
        <f>VLOOKUP(A10,怪物模型!A$15:G$77,6,0)</f>
        <v>0</v>
      </c>
      <c r="J10">
        <f>VLOOKUP(A10,怪物模型!A$15:G$77,7,0)</f>
        <v>0</v>
      </c>
      <c r="K10">
        <f>ROUND(VLOOKUP(C10,战士难度!A$1:C$135,3,0)/VLOOKUP(B10,怪物抗性与玩家穿透!A$2:Q$74,17,0)*F10,0)</f>
        <v>95276</v>
      </c>
      <c r="L10">
        <f>IF(A10="卡雷",42,IF(A10="法力风暴",ROUND(K10*0.1,0),VLOOKUP(A10,怪物模型!$A$15:$I$70,9,0)*(1+(B10-30)/100)))</f>
        <v>1030</v>
      </c>
      <c r="M10">
        <f>ROUND(VLOOKUP(C10,战士难度!A$1:C$135,2,0)*0.91*E10,0)</f>
        <v>3472</v>
      </c>
      <c r="N10">
        <f t="shared" si="0"/>
        <v>4166</v>
      </c>
      <c r="O10">
        <f>VLOOKUP(B10,怪物抗性与玩家穿透!A$2:Q$74,4,0)</f>
        <v>110</v>
      </c>
      <c r="P10">
        <f>VLOOKUP(B10,怪物抗性与玩家穿透!A$2:Q$74,5,0)</f>
        <v>20</v>
      </c>
      <c r="Q10">
        <f t="shared" si="1"/>
        <v>20</v>
      </c>
      <c r="R10">
        <f>VLOOKUP(B10,[3]battleParameter.xml!$A$6:$E$107,5,0)*(I10/100)/(1-I10/100)</f>
        <v>0</v>
      </c>
      <c r="S10">
        <f>ROUND(VLOOKUP(B10,[3]battleParameter.xml!$A$6:$G$107,7,0)*(J10/100)/(1-J10/100),0)</f>
        <v>0</v>
      </c>
      <c r="T10">
        <f>ROUND(VLOOKUP(B10,[3]battleParameter.xml!$A$6:$Z$107,8,0)*(MIN(H10/100+0.2,0.99))/(1-MIN(H10/100+0.2,0.99)),0)</f>
        <v>417</v>
      </c>
      <c r="U10">
        <v>0</v>
      </c>
      <c r="V10">
        <v>0</v>
      </c>
    </row>
    <row r="11" spans="1:22">
      <c r="A11" t="str">
        <f>[2]monster.xml!$D356</f>
        <v>巡林者瑞克</v>
      </c>
      <c r="B11">
        <f>[2]monster.xml!$C356</f>
        <v>34</v>
      </c>
      <c r="C11">
        <f t="shared" si="2"/>
        <v>9</v>
      </c>
      <c r="D11">
        <f>VLOOKUP(A11,怪物模型!A$15:Z$70,8,0)</f>
        <v>15</v>
      </c>
      <c r="E11">
        <f>VLOOKUP(A11,怪物模型!A$15:G$70,3,0)</f>
        <v>1</v>
      </c>
      <c r="F11">
        <f>VLOOKUP(A11,怪物模型!A$15:G$77,4,0)</f>
        <v>1</v>
      </c>
      <c r="G11">
        <v>1</v>
      </c>
      <c r="H11">
        <f>VLOOKUP(A11,怪物模型!A$15:G$77,5,0)</f>
        <v>13</v>
      </c>
      <c r="I11">
        <f>VLOOKUP(A11,怪物模型!A$15:G$77,6,0)</f>
        <v>0</v>
      </c>
      <c r="J11">
        <f>VLOOKUP(A11,怪物模型!A$15:G$77,7,0)</f>
        <v>0</v>
      </c>
      <c r="K11">
        <f>ROUND(VLOOKUP(C11,战士难度!A$1:C$135,3,0)/VLOOKUP(B11,怪物抗性与玩家穿透!A$2:Q$74,17,0)*F11,0)</f>
        <v>109493</v>
      </c>
      <c r="L11">
        <f>IF(A11="卡雷",42,IF(A11="法力风暴",ROUND(K11*0.1,0),VLOOKUP(A11,怪物模型!$A$15:$I$70,9,0)*(1+(B11-30)/100)))</f>
        <v>1040</v>
      </c>
      <c r="M11">
        <f>ROUND(VLOOKUP(C11,战士难度!A$1:C$135,2,0)*0.91*E11,0)</f>
        <v>3732</v>
      </c>
      <c r="N11">
        <f t="shared" si="0"/>
        <v>4478</v>
      </c>
      <c r="O11">
        <f>VLOOKUP(B11,怪物抗性与玩家穿透!A$2:Q$74,4,0)</f>
        <v>140</v>
      </c>
      <c r="P11">
        <f>VLOOKUP(B11,怪物抗性与玩家穿透!A$2:Q$74,5,0)</f>
        <v>30</v>
      </c>
      <c r="Q11">
        <f t="shared" si="1"/>
        <v>30</v>
      </c>
      <c r="R11">
        <f>VLOOKUP(B11,[3]battleParameter.xml!$A$6:$E$107,5,0)*(I11/100)/(1-I11/100)</f>
        <v>0</v>
      </c>
      <c r="S11">
        <f>ROUND(VLOOKUP(B11,[3]battleParameter.xml!$A$6:$G$107,7,0)*(J11/100)/(1-J11/100),0)</f>
        <v>0</v>
      </c>
      <c r="T11">
        <f>ROUND(VLOOKUP(B11,[3]battleParameter.xml!$A$6:$Z$107,8,0)*(MIN(H11/100+0.2,0.99))/(1-MIN(H11/100+0.2,0.99)),0)</f>
        <v>442</v>
      </c>
      <c r="U11">
        <v>0</v>
      </c>
      <c r="V11">
        <v>0</v>
      </c>
    </row>
    <row r="12" spans="1:22">
      <c r="A12" t="str">
        <f>[2]monster.xml!$D357</f>
        <v>战士幻象</v>
      </c>
      <c r="B12">
        <f>[2]monster.xml!$C357</f>
        <v>35</v>
      </c>
      <c r="C12">
        <f t="shared" si="2"/>
        <v>10</v>
      </c>
      <c r="D12">
        <f>VLOOKUP(A12,怪物模型!A$15:Z$70,8,0)</f>
        <v>3</v>
      </c>
      <c r="E12">
        <f>VLOOKUP(A12,怪物模型!A$15:G$70,3,0)</f>
        <v>1</v>
      </c>
      <c r="F12">
        <f>VLOOKUP(A12,怪物模型!A$15:G$77,4,0)</f>
        <v>1</v>
      </c>
      <c r="G12">
        <v>1</v>
      </c>
      <c r="H12">
        <f>VLOOKUP(A12,怪物模型!A$15:G$77,5,0)</f>
        <v>13</v>
      </c>
      <c r="I12">
        <f>VLOOKUP(A12,怪物模型!A$15:G$77,6,0)</f>
        <v>0</v>
      </c>
      <c r="J12">
        <f>VLOOKUP(A12,怪物模型!A$15:G$77,7,0)</f>
        <v>30</v>
      </c>
      <c r="K12">
        <f>ROUND(VLOOKUP(C12,战士难度!A$1:C$135,3,0)/VLOOKUP(B12,怪物抗性与玩家穿透!A$2:Q$74,17,0)*F12,0)</f>
        <v>52983</v>
      </c>
      <c r="L12">
        <f>IF(A12="卡雷",42,IF(A12="法力风暴",ROUND(K12*0.1,0),VLOOKUP(A12,怪物模型!$A$15:$I$70,9,0)*(1+(B12-30)/100)))</f>
        <v>525</v>
      </c>
      <c r="M12">
        <f>ROUND(VLOOKUP(C12,战士难度!A$1:C$135,2,0)*0.91*E12,0)</f>
        <v>3472</v>
      </c>
      <c r="N12">
        <f t="shared" si="0"/>
        <v>4166</v>
      </c>
      <c r="O12">
        <f>VLOOKUP(B12,怪物抗性与玩家穿透!A$2:Q$74,4,0)</f>
        <v>170</v>
      </c>
      <c r="P12">
        <f>VLOOKUP(B12,怪物抗性与玩家穿透!A$2:Q$74,5,0)</f>
        <v>40</v>
      </c>
      <c r="Q12">
        <f t="shared" si="1"/>
        <v>40</v>
      </c>
      <c r="R12">
        <f>VLOOKUP(B12,[3]battleParameter.xml!$A$6:$E$107,5,0)*(I12/100)/(1-I12/100)</f>
        <v>0</v>
      </c>
      <c r="S12">
        <f>ROUND(VLOOKUP(B12,[3]battleParameter.xml!$A$6:$G$107,7,0)*(J12/100)/(1-J12/100),0)</f>
        <v>1629</v>
      </c>
      <c r="T12">
        <f>ROUND(VLOOKUP(B12,[3]battleParameter.xml!$A$6:$Z$107,8,0)*(MIN(H12/100+0.2,0.99))/(1-MIN(H12/100+0.2,0.99)),0)</f>
        <v>468</v>
      </c>
      <c r="U12">
        <v>0</v>
      </c>
      <c r="V12">
        <v>0</v>
      </c>
    </row>
    <row r="13" spans="1:22">
      <c r="A13" t="str">
        <f>[2]monster.xml!$D358</f>
        <v>法力风暴</v>
      </c>
      <c r="B13">
        <f>[2]monster.xml!$C358</f>
        <v>35</v>
      </c>
      <c r="C13">
        <f t="shared" si="2"/>
        <v>11</v>
      </c>
      <c r="D13" t="str">
        <f>VLOOKUP(A13,怪物模型!A$15:Z$70,8,0)</f>
        <v>25,30</v>
      </c>
      <c r="E13">
        <f>VLOOKUP(A13,怪物模型!A$15:G$70,3,0)</f>
        <v>1.5</v>
      </c>
      <c r="F13">
        <f>VLOOKUP(A13,怪物模型!A$15:G$77,4,0)</f>
        <v>0.68</v>
      </c>
      <c r="G13">
        <v>1</v>
      </c>
      <c r="H13">
        <f>VLOOKUP(A13,怪物模型!A$15:G$77,5,0)</f>
        <v>13</v>
      </c>
      <c r="I13">
        <f>VLOOKUP(A13,怪物模型!A$15:G$77,6,0)</f>
        <v>0</v>
      </c>
      <c r="J13">
        <f>VLOOKUP(A13,怪物模型!A$15:G$77,7,0)</f>
        <v>0</v>
      </c>
      <c r="K13">
        <f>ROUND(VLOOKUP(C13,战士难度!A$1:C$135,3,0)/VLOOKUP(B13,怪物抗性与玩家穿透!A$2:Q$74,17,0)*F13,0)</f>
        <v>43427</v>
      </c>
      <c r="L13">
        <f>IF(A13="卡雷",42,IF(A13="法力风暴",ROUND(K13*0.1,0),VLOOKUP(A13,怪物模型!$A$15:$I$70,9,0)*(1+(B13-30)/100)))</f>
        <v>4343</v>
      </c>
      <c r="M13">
        <f>ROUND(VLOOKUP(C13,战士难度!A$1:C$135,2,0)*0.91*E13,0)</f>
        <v>5721</v>
      </c>
      <c r="N13">
        <f t="shared" si="0"/>
        <v>6865</v>
      </c>
      <c r="O13">
        <f>VLOOKUP(B13,怪物抗性与玩家穿透!A$2:Q$74,4,0)</f>
        <v>170</v>
      </c>
      <c r="P13">
        <f>VLOOKUP(B13,怪物抗性与玩家穿透!A$2:Q$74,5,0)</f>
        <v>40</v>
      </c>
      <c r="Q13">
        <f t="shared" si="1"/>
        <v>40</v>
      </c>
      <c r="R13">
        <f>VLOOKUP(B13,[3]battleParameter.xml!$A$6:$E$107,5,0)*(I13/100)/(1-I13/100)</f>
        <v>0</v>
      </c>
      <c r="S13">
        <f>ROUND(VLOOKUP(B13,[3]battleParameter.xml!$A$6:$G$107,7,0)*(J13/100)/(1-J13/100),0)</f>
        <v>0</v>
      </c>
      <c r="T13">
        <f>ROUND(VLOOKUP(B13,[3]battleParameter.xml!$A$6:$Z$107,8,0)*(MIN(H13/100+0.2,0.99))/(1-MIN(H13/100+0.2,0.99)),0)</f>
        <v>468</v>
      </c>
      <c r="U13">
        <v>0</v>
      </c>
      <c r="V13">
        <v>0</v>
      </c>
    </row>
    <row r="14" spans="1:22">
      <c r="A14" t="str">
        <f>[2]monster.xml!$D359</f>
        <v>角斗士里奥</v>
      </c>
      <c r="B14">
        <f>[2]monster.xml!$C359</f>
        <v>36</v>
      </c>
      <c r="C14">
        <f t="shared" si="2"/>
        <v>12</v>
      </c>
      <c r="D14">
        <f>VLOOKUP(A14,怪物模型!A$15:Z$70,8,0)</f>
        <v>5</v>
      </c>
      <c r="E14">
        <f>VLOOKUP(A14,怪物模型!A$15:G$70,3,0)</f>
        <v>1</v>
      </c>
      <c r="F14">
        <f>VLOOKUP(A14,怪物模型!A$15:G$77,4,0)</f>
        <v>1</v>
      </c>
      <c r="G14">
        <v>1</v>
      </c>
      <c r="H14">
        <f>VLOOKUP(A14,怪物模型!A$15:G$77,5,0)</f>
        <v>13</v>
      </c>
      <c r="I14">
        <f>VLOOKUP(A14,怪物模型!A$15:G$77,6,0)</f>
        <v>0</v>
      </c>
      <c r="J14">
        <f>VLOOKUP(A14,怪物模型!A$15:G$77,7,0)</f>
        <v>0</v>
      </c>
      <c r="K14">
        <f>ROUND(VLOOKUP(C14,战士难度!A$1:C$135,3,0)/VLOOKUP(B14,怪物抗性与玩家穿透!A$2:Q$74,17,0)*F14,0)</f>
        <v>81344</v>
      </c>
      <c r="L14">
        <f>IF(A14="卡雷",42,IF(A14="法力风暴",ROUND(K14*0.1,0),VLOOKUP(A14,怪物模型!$A$15:$I$70,9,0)*(1+(B14-30)/100)))</f>
        <v>1060</v>
      </c>
      <c r="M14">
        <f>ROUND(VLOOKUP(C14,战士难度!A$1:C$135,2,0)*0.91*E14,0)</f>
        <v>4324</v>
      </c>
      <c r="N14">
        <f t="shared" si="0"/>
        <v>5189</v>
      </c>
      <c r="O14">
        <f>VLOOKUP(B14,怪物抗性与玩家穿透!A$2:Q$74,4,0)</f>
        <v>200</v>
      </c>
      <c r="P14">
        <f>VLOOKUP(B14,怪物抗性与玩家穿透!A$2:Q$74,5,0)</f>
        <v>50</v>
      </c>
      <c r="Q14">
        <f t="shared" si="1"/>
        <v>50</v>
      </c>
      <c r="R14">
        <f>VLOOKUP(B14,[3]battleParameter.xml!$A$6:$E$107,5,0)*(I14/100)/(1-I14/100)</f>
        <v>0</v>
      </c>
      <c r="S14">
        <f>ROUND(VLOOKUP(B14,[3]battleParameter.xml!$A$6:$G$107,7,0)*(J14/100)/(1-J14/100),0)</f>
        <v>0</v>
      </c>
      <c r="T14">
        <f>ROUND(VLOOKUP(B14,[3]battleParameter.xml!$A$6:$Z$107,8,0)*(MIN(H14/100+0.2,0.99))/(1-MIN(H14/100+0.2,0.99)),0)</f>
        <v>494</v>
      </c>
      <c r="U14">
        <v>0</v>
      </c>
      <c r="V14">
        <v>0</v>
      </c>
    </row>
    <row r="15" spans="1:22">
      <c r="A15" t="str">
        <f>[2]monster.xml!$D360</f>
        <v>荒野游侠</v>
      </c>
      <c r="B15">
        <f>[2]monster.xml!$C360</f>
        <v>36</v>
      </c>
      <c r="C15">
        <f t="shared" si="2"/>
        <v>13</v>
      </c>
      <c r="D15">
        <f>VLOOKUP(A15,怪物模型!A$15:Z$70,8,0)</f>
        <v>16</v>
      </c>
      <c r="E15">
        <f>VLOOKUP(A15,怪物模型!A$15:G$70,3,0)</f>
        <v>1</v>
      </c>
      <c r="F15">
        <f>VLOOKUP(A15,怪物模型!A$15:G$77,4,0)</f>
        <v>0.8</v>
      </c>
      <c r="G15">
        <v>1</v>
      </c>
      <c r="H15">
        <f>VLOOKUP(A15,怪物模型!A$15:G$77,5,0)</f>
        <v>35</v>
      </c>
      <c r="I15">
        <f>VLOOKUP(A15,怪物模型!A$15:G$77,6,0)</f>
        <v>0</v>
      </c>
      <c r="J15">
        <f>VLOOKUP(A15,怪物模型!A$15:G$77,7,0)</f>
        <v>0</v>
      </c>
      <c r="K15">
        <f>ROUND(VLOOKUP(C15,战士难度!A$1:C$135,3,0)/VLOOKUP(B15,怪物抗性与玩家穿透!A$2:Q$74,17,0)*F15,0)</f>
        <v>72950</v>
      </c>
      <c r="L15">
        <f>IF(A15="卡雷",42,IF(A15="法力风暴",ROUND(K15*0.1,0),VLOOKUP(A15,怪物模型!$A$15:$I$70,9,0)*(1+(B15-30)/100)))</f>
        <v>2120</v>
      </c>
      <c r="M15">
        <f>ROUND(VLOOKUP(C15,战士难度!A$1:C$135,2,0)*0.91*E15,0)</f>
        <v>4646</v>
      </c>
      <c r="N15">
        <f t="shared" si="0"/>
        <v>5575</v>
      </c>
      <c r="O15">
        <f>VLOOKUP(B15,怪物抗性与玩家穿透!A$2:Q$74,4,0)</f>
        <v>200</v>
      </c>
      <c r="P15">
        <f>VLOOKUP(B15,怪物抗性与玩家穿透!A$2:Q$74,5,0)</f>
        <v>50</v>
      </c>
      <c r="Q15">
        <f t="shared" si="1"/>
        <v>50</v>
      </c>
      <c r="R15">
        <f>VLOOKUP(B15,[3]battleParameter.xml!$A$6:$E$107,5,0)*(I15/100)/(1-I15/100)</f>
        <v>0</v>
      </c>
      <c r="S15">
        <f>ROUND(VLOOKUP(B15,[3]battleParameter.xml!$A$6:$G$107,7,0)*(J15/100)/(1-J15/100),0)</f>
        <v>0</v>
      </c>
      <c r="T15">
        <f>ROUND(VLOOKUP(B15,[3]battleParameter.xml!$A$6:$Z$107,8,0)*(MIN(H15/100+0.2,0.99))/(1-MIN(H15/100+0.2,0.99)),0)</f>
        <v>1226</v>
      </c>
      <c r="U15">
        <v>0</v>
      </c>
      <c r="V15">
        <v>0</v>
      </c>
    </row>
    <row r="16" spans="1:22">
      <c r="A16" t="str">
        <f>[2]monster.xml!$D361</f>
        <v>憾地者</v>
      </c>
      <c r="B16">
        <f>[2]monster.xml!$C361</f>
        <v>36</v>
      </c>
      <c r="C16">
        <f t="shared" si="2"/>
        <v>14</v>
      </c>
      <c r="D16">
        <f>VLOOKUP(A16,怪物模型!A$15:Z$70,8,0)</f>
        <v>4</v>
      </c>
      <c r="E16">
        <f>VLOOKUP(A16,怪物模型!A$15:G$70,3,0)</f>
        <v>0.85</v>
      </c>
      <c r="F16">
        <f>VLOOKUP(A16,怪物模型!A$15:G$77,4,0)</f>
        <v>1</v>
      </c>
      <c r="G16">
        <v>1</v>
      </c>
      <c r="H16">
        <f>VLOOKUP(A16,怪物模型!A$15:G$77,5,0)</f>
        <v>13</v>
      </c>
      <c r="I16">
        <f>VLOOKUP(A16,怪物模型!A$15:G$77,6,0)</f>
        <v>0</v>
      </c>
      <c r="J16">
        <f>VLOOKUP(A16,怪物模型!A$15:G$77,7,0)</f>
        <v>0</v>
      </c>
      <c r="K16">
        <f>ROUND(VLOOKUP(C16,战士难度!A$1:C$135,3,0)/VLOOKUP(B16,怪物抗性与玩家穿透!A$2:Q$74,17,0)*F16,0)</f>
        <v>102222</v>
      </c>
      <c r="L16">
        <f>IF(A16="卡雷",42,IF(A16="法力风暴",ROUND(K16*0.1,0),VLOOKUP(A16,怪物模型!$A$15:$I$70,9,0)*(1+(B16-30)/100)))</f>
        <v>1060</v>
      </c>
      <c r="M16">
        <f>ROUND(VLOOKUP(C16,战士难度!A$1:C$135,2,0)*0.91*E16,0)</f>
        <v>4242</v>
      </c>
      <c r="N16">
        <f t="shared" si="0"/>
        <v>5090</v>
      </c>
      <c r="O16">
        <f>VLOOKUP(B16,怪物抗性与玩家穿透!A$2:Q$74,4,0)</f>
        <v>200</v>
      </c>
      <c r="P16">
        <f>VLOOKUP(B16,怪物抗性与玩家穿透!A$2:Q$74,5,0)</f>
        <v>50</v>
      </c>
      <c r="Q16">
        <f t="shared" si="1"/>
        <v>50</v>
      </c>
      <c r="R16">
        <f>VLOOKUP(B16,[3]battleParameter.xml!$A$6:$E$107,5,0)*(I16/100)/(1-I16/100)</f>
        <v>0</v>
      </c>
      <c r="S16">
        <f>ROUND(VLOOKUP(B16,[3]battleParameter.xml!$A$6:$G$107,7,0)*(J16/100)/(1-J16/100),0)</f>
        <v>0</v>
      </c>
      <c r="T16">
        <f>ROUND(VLOOKUP(B16,[3]battleParameter.xml!$A$6:$Z$107,8,0)*(MIN(H16/100+0.2,0.99))/(1-MIN(H16/100+0.2,0.99)),0)</f>
        <v>494</v>
      </c>
      <c r="U16">
        <v>0</v>
      </c>
      <c r="V16">
        <v>0</v>
      </c>
    </row>
    <row r="17" spans="1:22">
      <c r="A17" t="str">
        <f>[2]monster.xml!$D362</f>
        <v>拉兹</v>
      </c>
      <c r="B17">
        <f>[2]monster.xml!$C362</f>
        <v>37</v>
      </c>
      <c r="C17">
        <f t="shared" si="2"/>
        <v>15</v>
      </c>
      <c r="D17">
        <f>VLOOKUP(A17,怪物模型!A$15:Z$70,8,0)</f>
        <v>10</v>
      </c>
      <c r="E17">
        <f>VLOOKUP(A17,怪物模型!A$15:G$70,3,0)</f>
        <v>1.2</v>
      </c>
      <c r="F17">
        <f>VLOOKUP(A17,怪物模型!A$15:G$77,4,0)</f>
        <v>1</v>
      </c>
      <c r="G17">
        <v>1</v>
      </c>
      <c r="H17">
        <f>VLOOKUP(A17,怪物模型!A$15:G$77,5,0)</f>
        <v>13</v>
      </c>
      <c r="I17">
        <f>VLOOKUP(A17,怪物模型!A$15:G$77,6,0)</f>
        <v>0</v>
      </c>
      <c r="J17">
        <f>VLOOKUP(A17,怪物模型!A$15:G$77,7,0)</f>
        <v>20</v>
      </c>
      <c r="K17">
        <f>ROUND(VLOOKUP(C17,战士难度!A$1:C$135,3,0)/VLOOKUP(B17,怪物抗性与玩家穿透!A$2:Q$74,17,0)*F17,0)</f>
        <v>118301</v>
      </c>
      <c r="L17">
        <f>IF(A17="卡雷",42,IF(A17="法力风暴",ROUND(K17*0.1,0),VLOOKUP(A17,怪物模型!$A$15:$I$70,9,0)*(1+(B17-30)/100)))</f>
        <v>2140</v>
      </c>
      <c r="M17">
        <f>ROUND(VLOOKUP(C17,战士难度!A$1:C$135,2,0)*0.91*E17,0)</f>
        <v>6588</v>
      </c>
      <c r="N17">
        <f t="shared" si="0"/>
        <v>7906</v>
      </c>
      <c r="O17">
        <f>VLOOKUP(B17,怪物抗性与玩家穿透!A$2:Q$74,4,0)</f>
        <v>230</v>
      </c>
      <c r="P17">
        <f>VLOOKUP(B17,怪物抗性与玩家穿透!A$2:Q$74,5,0)</f>
        <v>60</v>
      </c>
      <c r="Q17">
        <f t="shared" si="1"/>
        <v>60</v>
      </c>
      <c r="R17">
        <f>VLOOKUP(B17,[3]battleParameter.xml!$A$6:$E$107,5,0)*(I17/100)/(1-I17/100)</f>
        <v>0</v>
      </c>
      <c r="S17">
        <f>ROUND(VLOOKUP(B17,[3]battleParameter.xml!$A$6:$G$107,7,0)*(J17/100)/(1-J17/100),0)</f>
        <v>1059</v>
      </c>
      <c r="T17">
        <f>ROUND(VLOOKUP(B17,[3]battleParameter.xml!$A$6:$Z$107,8,0)*(MIN(H17/100+0.2,0.99))/(1-MIN(H17/100+0.2,0.99)),0)</f>
        <v>522</v>
      </c>
      <c r="U17">
        <v>0</v>
      </c>
      <c r="V17">
        <v>0</v>
      </c>
    </row>
    <row r="18" spans="1:22">
      <c r="A18" t="str">
        <f>[2]monster.xml!$D363</f>
        <v>塔克</v>
      </c>
      <c r="B18">
        <f>[2]monster.xml!$C363</f>
        <v>37</v>
      </c>
      <c r="C18">
        <f t="shared" si="2"/>
        <v>15</v>
      </c>
      <c r="D18">
        <f>VLOOKUP(A18,怪物模型!A$15:Z$70,8,0)</f>
        <v>3</v>
      </c>
      <c r="E18">
        <f>VLOOKUP(A18,怪物模型!A$15:G$70,3,0)</f>
        <v>0.35</v>
      </c>
      <c r="F18">
        <f>VLOOKUP(A18,怪物模型!A$15:G$77,4,0)</f>
        <v>0.6</v>
      </c>
      <c r="G18">
        <v>1</v>
      </c>
      <c r="H18">
        <f>VLOOKUP(A18,怪物模型!A$15:G$77,5,0)</f>
        <v>13</v>
      </c>
      <c r="I18">
        <f>VLOOKUP(A18,怪物模型!A$15:G$77,6,0)</f>
        <v>0</v>
      </c>
      <c r="J18">
        <f>VLOOKUP(A18,怪物模型!A$15:G$77,7,0)</f>
        <v>0</v>
      </c>
      <c r="K18">
        <f>ROUND(VLOOKUP(C18,战士难度!A$1:C$135,3,0)/VLOOKUP(B18,怪物抗性与玩家穿透!A$2:Q$74,17,0)*F18,0)</f>
        <v>70980</v>
      </c>
      <c r="L18">
        <f>IF(A18="卡雷",42,IF(A18="法力风暴",ROUND(K18*0.1,0),VLOOKUP(A18,怪物模型!$A$15:$I$70,9,0)*(1+(B18-30)/100)))</f>
        <v>1070</v>
      </c>
      <c r="M18">
        <f>ROUND(VLOOKUP(C18,战士难度!A$1:C$135,2,0)*0.91*E18,0)</f>
        <v>1922</v>
      </c>
      <c r="N18">
        <f t="shared" si="0"/>
        <v>2306</v>
      </c>
      <c r="O18">
        <f>VLOOKUP(B18,怪物抗性与玩家穿透!A$2:Q$74,4,0)</f>
        <v>230</v>
      </c>
      <c r="P18">
        <f>VLOOKUP(B18,怪物抗性与玩家穿透!A$2:Q$74,5,0)</f>
        <v>60</v>
      </c>
      <c r="Q18">
        <f t="shared" si="1"/>
        <v>60</v>
      </c>
      <c r="R18">
        <f>VLOOKUP(B18,[3]battleParameter.xml!$A$6:$E$107,5,0)*(I18/100)/(1-I18/100)</f>
        <v>0</v>
      </c>
      <c r="S18">
        <f>ROUND(VLOOKUP(B18,[3]battleParameter.xml!$A$6:$G$107,7,0)*(J18/100)/(1-J18/100),0)</f>
        <v>0</v>
      </c>
      <c r="T18">
        <f>ROUND(VLOOKUP(B18,[3]battleParameter.xml!$A$6:$Z$107,8,0)*(MIN(H18/100+0.2,0.99))/(1-MIN(H18/100+0.2,0.99)),0)</f>
        <v>522</v>
      </c>
      <c r="U18">
        <v>0</v>
      </c>
      <c r="V18">
        <v>0</v>
      </c>
    </row>
    <row r="19" spans="1:22">
      <c r="A19" t="str">
        <f>[2]monster.xml!$D364</f>
        <v>迪皮斯</v>
      </c>
      <c r="B19">
        <f>[2]monster.xml!$C364</f>
        <v>37</v>
      </c>
      <c r="C19">
        <f t="shared" si="2"/>
        <v>16</v>
      </c>
      <c r="D19" t="str">
        <f>VLOOKUP(A19,怪物模型!A$15:Z$70,8,0)</f>
        <v>17,14</v>
      </c>
      <c r="E19">
        <f>VLOOKUP(A19,怪物模型!A$15:G$70,3,0)</f>
        <v>0.6</v>
      </c>
      <c r="F19">
        <f>VLOOKUP(A19,怪物模型!A$15:G$77,4,0)</f>
        <v>0.4</v>
      </c>
      <c r="G19">
        <v>1</v>
      </c>
      <c r="H19">
        <f>VLOOKUP(A19,怪物模型!A$15:G$77,5,0)</f>
        <v>13</v>
      </c>
      <c r="I19">
        <f>VLOOKUP(A19,怪物模型!A$15:G$77,6,0)</f>
        <v>0</v>
      </c>
      <c r="J19">
        <f>VLOOKUP(A19,怪物模型!A$15:G$77,7,0)</f>
        <v>0</v>
      </c>
      <c r="K19">
        <f>ROUND(VLOOKUP(C19,战士难度!A$1:C$135,3,0)/VLOOKUP(B19,怪物抗性与玩家穿透!A$2:Q$74,17,0)*F19,0)</f>
        <v>52594</v>
      </c>
      <c r="L19">
        <f>IF(A19="卡雷",42,IF(A19="法力风暴",ROUND(K19*0.1,0),VLOOKUP(A19,怪物模型!$A$15:$I$70,9,0)*(1+(B19-30)/100)))</f>
        <v>1070</v>
      </c>
      <c r="M19">
        <f>ROUND(VLOOKUP(C19,战士难度!A$1:C$135,2,0)*0.91*E19,0)</f>
        <v>3550</v>
      </c>
      <c r="N19">
        <f t="shared" si="0"/>
        <v>4260</v>
      </c>
      <c r="O19">
        <f>VLOOKUP(B19,怪物抗性与玩家穿透!A$2:Q$74,4,0)</f>
        <v>230</v>
      </c>
      <c r="P19">
        <f>VLOOKUP(B19,怪物抗性与玩家穿透!A$2:Q$74,5,0)</f>
        <v>60</v>
      </c>
      <c r="Q19">
        <f t="shared" si="1"/>
        <v>60</v>
      </c>
      <c r="R19">
        <f>VLOOKUP(B19,[3]battleParameter.xml!$A$6:$E$107,5,0)*(I19/100)/(1-I19/100)</f>
        <v>0</v>
      </c>
      <c r="S19">
        <f>ROUND(VLOOKUP(B19,[3]battleParameter.xml!$A$6:$G$107,7,0)*(J19/100)/(1-J19/100),0)</f>
        <v>0</v>
      </c>
      <c r="T19">
        <f>ROUND(VLOOKUP(B19,[3]battleParameter.xml!$A$6:$Z$107,8,0)*(MIN(H19/100+0.2,0.99))/(1-MIN(H19/100+0.2,0.99)),0)</f>
        <v>522</v>
      </c>
      <c r="U19">
        <v>0</v>
      </c>
      <c r="V19">
        <v>0</v>
      </c>
    </row>
    <row r="20" spans="1:22">
      <c r="A20" t="str">
        <f>[2]monster.xml!$D365</f>
        <v>狂野安东尼</v>
      </c>
      <c r="B20">
        <f>[2]monster.xml!$C365</f>
        <v>38</v>
      </c>
      <c r="C20">
        <f t="shared" si="2"/>
        <v>17</v>
      </c>
      <c r="D20">
        <f>VLOOKUP(A20,怪物模型!A$15:Z$70,8,0)</f>
        <v>7</v>
      </c>
      <c r="E20">
        <f>VLOOKUP(A20,怪物模型!A$15:G$70,3,0)</f>
        <v>1</v>
      </c>
      <c r="F20">
        <f>VLOOKUP(A20,怪物模型!A$15:G$77,4,0)</f>
        <v>1</v>
      </c>
      <c r="G20">
        <v>1</v>
      </c>
      <c r="H20">
        <f>VLOOKUP(A20,怪物模型!A$15:G$77,5,0)</f>
        <v>13</v>
      </c>
      <c r="I20">
        <f>VLOOKUP(A20,怪物模型!A$15:G$77,6,0)</f>
        <v>0</v>
      </c>
      <c r="J20">
        <f>VLOOKUP(A20,怪物模型!A$15:G$77,7,0)</f>
        <v>0</v>
      </c>
      <c r="K20">
        <f>ROUND(VLOOKUP(C20,战士难度!A$1:C$135,3,0)/VLOOKUP(B20,怪物抗性与玩家穿透!A$2:Q$74,17,0)*F20,0)</f>
        <v>145338</v>
      </c>
      <c r="L20">
        <f>IF(A20="卡雷",42,IF(A20="法力风暴",ROUND(K20*0.1,0),VLOOKUP(A20,怪物模型!$A$15:$I$70,9,0)*(1+(B20-30)/100)))</f>
        <v>1080</v>
      </c>
      <c r="M20">
        <f>ROUND(VLOOKUP(C20,战士难度!A$1:C$135,2,0)*0.91*E20,0)</f>
        <v>6375</v>
      </c>
      <c r="N20">
        <f t="shared" si="0"/>
        <v>7650</v>
      </c>
      <c r="O20">
        <f>VLOOKUP(B20,怪物抗性与玩家穿透!A$2:Q$74,4,0)</f>
        <v>260</v>
      </c>
      <c r="P20">
        <f>VLOOKUP(B20,怪物抗性与玩家穿透!A$2:Q$74,5,0)</f>
        <v>70</v>
      </c>
      <c r="Q20">
        <f t="shared" si="1"/>
        <v>70</v>
      </c>
      <c r="R20">
        <f>VLOOKUP(B20,[3]battleParameter.xml!$A$6:$E$107,5,0)*(I20/100)/(1-I20/100)</f>
        <v>0</v>
      </c>
      <c r="S20">
        <f>ROUND(VLOOKUP(B20,[3]battleParameter.xml!$A$6:$G$107,7,0)*(J20/100)/(1-J20/100),0)</f>
        <v>0</v>
      </c>
      <c r="T20">
        <f>ROUND(VLOOKUP(B20,[3]battleParameter.xml!$A$6:$Z$107,8,0)*(MIN(H20/100+0.2,0.99))/(1-MIN(H20/100+0.2,0.99)),0)</f>
        <v>549</v>
      </c>
      <c r="U20">
        <v>0</v>
      </c>
      <c r="V20">
        <v>0</v>
      </c>
    </row>
    <row r="21" spans="1:22">
      <c r="A21" t="str">
        <f>[2]monster.xml!$D366</f>
        <v>巡林者瑞克</v>
      </c>
      <c r="B21">
        <f>[2]monster.xml!$C366</f>
        <v>39</v>
      </c>
      <c r="C21">
        <f t="shared" si="2"/>
        <v>18</v>
      </c>
      <c r="D21">
        <f>VLOOKUP(A21,怪物模型!A$15:Z$70,8,0)</f>
        <v>15</v>
      </c>
      <c r="E21">
        <f>VLOOKUP(A21,怪物模型!A$15:G$70,3,0)</f>
        <v>1</v>
      </c>
      <c r="F21">
        <f>VLOOKUP(A21,怪物模型!A$15:G$77,4,0)</f>
        <v>1</v>
      </c>
      <c r="G21">
        <v>1</v>
      </c>
      <c r="H21">
        <f>VLOOKUP(A21,怪物模型!A$15:G$77,5,0)</f>
        <v>13</v>
      </c>
      <c r="I21">
        <f>VLOOKUP(A21,怪物模型!A$15:G$77,6,0)</f>
        <v>0</v>
      </c>
      <c r="J21">
        <f>VLOOKUP(A21,怪物模型!A$15:G$77,7,0)</f>
        <v>0</v>
      </c>
      <c r="K21">
        <f>ROUND(VLOOKUP(C21,战士难度!A$1:C$135,3,0)/VLOOKUP(B21,怪物抗性与玩家穿透!A$2:Q$74,17,0)*F21,0)</f>
        <v>166513</v>
      </c>
      <c r="L21">
        <f>IF(A21="卡雷",42,IF(A21="法力风暴",ROUND(K21*0.1,0),VLOOKUP(A21,怪物模型!$A$15:$I$70,9,0)*(1+(B21-30)/100)))</f>
        <v>1090</v>
      </c>
      <c r="M21">
        <f>ROUND(VLOOKUP(C21,战士难度!A$1:C$135,2,0)*0.91*E21,0)</f>
        <v>7043</v>
      </c>
      <c r="N21">
        <f t="shared" si="0"/>
        <v>8452</v>
      </c>
      <c r="O21">
        <f>VLOOKUP(B21,怪物抗性与玩家穿透!A$2:Q$74,4,0)</f>
        <v>290</v>
      </c>
      <c r="P21">
        <f>VLOOKUP(B21,怪物抗性与玩家穿透!A$2:Q$74,5,0)</f>
        <v>80</v>
      </c>
      <c r="Q21">
        <f t="shared" si="1"/>
        <v>80</v>
      </c>
      <c r="R21">
        <f>VLOOKUP(B21,[3]battleParameter.xml!$A$6:$E$107,5,0)*(I21/100)/(1-I21/100)</f>
        <v>0</v>
      </c>
      <c r="S21">
        <f>ROUND(VLOOKUP(B21,[3]battleParameter.xml!$A$6:$G$107,7,0)*(J21/100)/(1-J21/100),0)</f>
        <v>0</v>
      </c>
      <c r="T21">
        <f>ROUND(VLOOKUP(B21,[3]battleParameter.xml!$A$6:$Z$107,8,0)*(MIN(H21/100+0.2,0.99))/(1-MIN(H21/100+0.2,0.99)),0)</f>
        <v>578</v>
      </c>
      <c r="U21">
        <v>0</v>
      </c>
      <c r="V21">
        <v>0</v>
      </c>
    </row>
    <row r="22" spans="1:22">
      <c r="A22" t="str">
        <f>[2]monster.xml!$D367</f>
        <v>战士幻象</v>
      </c>
      <c r="B22">
        <f>[2]monster.xml!$C367</f>
        <v>40</v>
      </c>
      <c r="C22">
        <f t="shared" si="2"/>
        <v>19</v>
      </c>
      <c r="D22">
        <f>VLOOKUP(A22,怪物模型!A$15:Z$70,8,0)</f>
        <v>3</v>
      </c>
      <c r="E22">
        <f>VLOOKUP(A22,怪物模型!A$15:G$70,3,0)</f>
        <v>1</v>
      </c>
      <c r="F22">
        <f>VLOOKUP(A22,怪物模型!A$15:G$77,4,0)</f>
        <v>1</v>
      </c>
      <c r="G22">
        <v>1</v>
      </c>
      <c r="H22">
        <f>VLOOKUP(A22,怪物模型!A$15:G$77,5,0)</f>
        <v>13</v>
      </c>
      <c r="I22">
        <f>VLOOKUP(A22,怪物模型!A$15:G$77,6,0)</f>
        <v>0</v>
      </c>
      <c r="J22">
        <f>VLOOKUP(A22,怪物模型!A$15:G$77,7,0)</f>
        <v>30</v>
      </c>
      <c r="K22">
        <f>ROUND(VLOOKUP(C22,战士难度!A$1:C$135,3,0)/VLOOKUP(B22,怪物抗性与玩家穿透!A$2:Q$74,17,0)*F22,0)</f>
        <v>85363</v>
      </c>
      <c r="L22">
        <f>IF(A22="卡雷",42,IF(A22="法力风暴",ROUND(K22*0.1,0),VLOOKUP(A22,怪物模型!$A$15:$I$70,9,0)*(1+(B22-30)/100)))</f>
        <v>550</v>
      </c>
      <c r="M22">
        <f>ROUND(VLOOKUP(C22,战士难度!A$1:C$135,2,0)*0.91*E22,0)</f>
        <v>5322</v>
      </c>
      <c r="N22">
        <f t="shared" si="0"/>
        <v>6386</v>
      </c>
      <c r="O22">
        <f>VLOOKUP(B22,怪物抗性与玩家穿透!A$2:Q$74,4,0)</f>
        <v>320</v>
      </c>
      <c r="P22">
        <f>VLOOKUP(B22,怪物抗性与玩家穿透!A$2:Q$74,5,0)</f>
        <v>90</v>
      </c>
      <c r="Q22">
        <f t="shared" si="1"/>
        <v>90</v>
      </c>
      <c r="R22">
        <f>VLOOKUP(B22,[3]battleParameter.xml!$A$6:$E$107,5,0)*(I22/100)/(1-I22/100)</f>
        <v>0</v>
      </c>
      <c r="S22">
        <f>ROUND(VLOOKUP(B22,[3]battleParameter.xml!$A$6:$G$107,7,0)*(J22/100)/(1-J22/100),0)</f>
        <v>2115</v>
      </c>
      <c r="T22">
        <f>ROUND(VLOOKUP(B22,[3]battleParameter.xml!$A$6:$Z$107,8,0)*(MIN(H22/100+0.2,0.99))/(1-MIN(H22/100+0.2,0.99)),0)</f>
        <v>607</v>
      </c>
      <c r="U22">
        <v>0</v>
      </c>
      <c r="V22">
        <v>0</v>
      </c>
    </row>
    <row r="23" spans="1:22">
      <c r="A23" t="str">
        <f>[2]monster.xml!$D368</f>
        <v>法力风暴</v>
      </c>
      <c r="B23">
        <f>[2]monster.xml!$C368</f>
        <v>40</v>
      </c>
      <c r="C23">
        <f t="shared" si="2"/>
        <v>20</v>
      </c>
      <c r="D23" t="str">
        <f>VLOOKUP(A23,怪物模型!A$15:Z$70,8,0)</f>
        <v>25,30</v>
      </c>
      <c r="E23">
        <f>VLOOKUP(A23,怪物模型!A$15:G$70,3,0)</f>
        <v>1.5</v>
      </c>
      <c r="F23">
        <f>VLOOKUP(A23,怪物模型!A$15:G$77,4,0)</f>
        <v>0.68</v>
      </c>
      <c r="G23">
        <v>1</v>
      </c>
      <c r="H23">
        <f>VLOOKUP(A23,怪物模型!A$15:G$77,5,0)</f>
        <v>13</v>
      </c>
      <c r="I23">
        <f>VLOOKUP(A23,怪物模型!A$15:G$77,6,0)</f>
        <v>0</v>
      </c>
      <c r="J23">
        <f>VLOOKUP(A23,怪物模型!A$15:G$77,7,0)</f>
        <v>0</v>
      </c>
      <c r="K23">
        <f>ROUND(VLOOKUP(C23,战士难度!A$1:C$135,3,0)/VLOOKUP(B23,怪物抗性与玩家穿透!A$2:Q$74,17,0)*F23,0)</f>
        <v>68268</v>
      </c>
      <c r="L23">
        <f>IF(A23="卡雷",42,IF(A23="法力风暴",ROUND(K23*0.1,0),VLOOKUP(A23,怪物模型!$A$15:$I$70,9,0)*(1+(B23-30)/100)))</f>
        <v>6827</v>
      </c>
      <c r="M23">
        <f>ROUND(VLOOKUP(C23,战士难度!A$1:C$135,2,0)*0.91*E23,0)</f>
        <v>9031</v>
      </c>
      <c r="N23">
        <f t="shared" si="0"/>
        <v>10837</v>
      </c>
      <c r="O23">
        <f>VLOOKUP(B23,怪物抗性与玩家穿透!A$2:Q$74,4,0)</f>
        <v>320</v>
      </c>
      <c r="P23">
        <f>VLOOKUP(B23,怪物抗性与玩家穿透!A$2:Q$74,5,0)</f>
        <v>90</v>
      </c>
      <c r="Q23">
        <f t="shared" si="1"/>
        <v>90</v>
      </c>
      <c r="R23">
        <f>VLOOKUP(B23,[3]battleParameter.xml!$A$6:$E$107,5,0)*(I23/100)/(1-I23/100)</f>
        <v>0</v>
      </c>
      <c r="S23">
        <f>ROUND(VLOOKUP(B23,[3]battleParameter.xml!$A$6:$G$107,7,0)*(J23/100)/(1-J23/100),0)</f>
        <v>0</v>
      </c>
      <c r="T23">
        <f>ROUND(VLOOKUP(B23,[3]battleParameter.xml!$A$6:$Z$107,8,0)*(MIN(H23/100+0.2,0.99))/(1-MIN(H23/100+0.2,0.99)),0)</f>
        <v>607</v>
      </c>
      <c r="U23">
        <v>0</v>
      </c>
      <c r="V23">
        <v>0</v>
      </c>
    </row>
    <row r="24" spans="1:22">
      <c r="A24" t="str">
        <f>[2]monster.xml!$D369</f>
        <v>角斗士里奥</v>
      </c>
      <c r="B24">
        <f>[2]monster.xml!$C369</f>
        <v>41</v>
      </c>
      <c r="C24">
        <f t="shared" si="2"/>
        <v>21</v>
      </c>
      <c r="D24">
        <f>VLOOKUP(A24,怪物模型!A$15:Z$70,8,0)</f>
        <v>5</v>
      </c>
      <c r="E24">
        <f>VLOOKUP(A24,怪物模型!A$15:G$70,3,0)</f>
        <v>1</v>
      </c>
      <c r="F24">
        <f>VLOOKUP(A24,怪物模型!A$15:G$77,4,0)</f>
        <v>1</v>
      </c>
      <c r="G24">
        <v>1</v>
      </c>
      <c r="H24">
        <f>VLOOKUP(A24,怪物模型!A$15:G$77,5,0)</f>
        <v>13</v>
      </c>
      <c r="I24">
        <f>VLOOKUP(A24,怪物模型!A$15:G$77,6,0)</f>
        <v>0</v>
      </c>
      <c r="J24">
        <f>VLOOKUP(A24,怪物模型!A$15:G$77,7,0)</f>
        <v>0</v>
      </c>
      <c r="K24">
        <f>ROUND(VLOOKUP(C24,战士难度!A$1:C$135,3,0)/VLOOKUP(B24,怪物抗性与玩家穿透!A$2:Q$74,17,0)*F24,0)</f>
        <v>124154</v>
      </c>
      <c r="L24">
        <f>IF(A24="卡雷",42,IF(A24="法力风暴",ROUND(K24*0.1,0),VLOOKUP(A24,怪物模型!$A$15:$I$70,9,0)*(1+(B24-30)/100)))</f>
        <v>1110</v>
      </c>
      <c r="M24">
        <f>ROUND(VLOOKUP(C24,战士难度!A$1:C$135,2,0)*0.91*E24,0)</f>
        <v>7098</v>
      </c>
      <c r="N24">
        <f t="shared" si="0"/>
        <v>8518</v>
      </c>
      <c r="O24">
        <f>VLOOKUP(B24,怪物抗性与玩家穿透!A$2:Q$74,4,0)</f>
        <v>350</v>
      </c>
      <c r="P24">
        <f>VLOOKUP(B24,怪物抗性与玩家穿透!A$2:Q$74,5,0)</f>
        <v>100</v>
      </c>
      <c r="Q24">
        <f t="shared" si="1"/>
        <v>100</v>
      </c>
      <c r="R24">
        <f>VLOOKUP(B24,[3]battleParameter.xml!$A$6:$E$107,5,0)*(I24/100)/(1-I24/100)</f>
        <v>0</v>
      </c>
      <c r="S24">
        <f>ROUND(VLOOKUP(B24,[3]battleParameter.xml!$A$6:$G$107,7,0)*(J24/100)/(1-J24/100),0)</f>
        <v>0</v>
      </c>
      <c r="T24">
        <f>ROUND(VLOOKUP(B24,[3]battleParameter.xml!$A$6:$Z$107,8,0)*(MIN(H24/100+0.2,0.99))/(1-MIN(H24/100+0.2,0.99)),0)</f>
        <v>638</v>
      </c>
      <c r="U24">
        <v>0</v>
      </c>
      <c r="V24">
        <v>0</v>
      </c>
    </row>
    <row r="25" spans="1:22">
      <c r="A25" t="str">
        <f>[2]monster.xml!$D370</f>
        <v>荒野游侠</v>
      </c>
      <c r="B25">
        <f>[2]monster.xml!$C370</f>
        <v>41</v>
      </c>
      <c r="C25">
        <f t="shared" si="2"/>
        <v>22</v>
      </c>
      <c r="D25">
        <f>VLOOKUP(A25,怪物模型!A$15:Z$70,8,0)</f>
        <v>16</v>
      </c>
      <c r="E25">
        <f>VLOOKUP(A25,怪物模型!A$15:G$70,3,0)</f>
        <v>1</v>
      </c>
      <c r="F25">
        <f>VLOOKUP(A25,怪物模型!A$15:G$77,4,0)</f>
        <v>0.8</v>
      </c>
      <c r="G25">
        <v>1</v>
      </c>
      <c r="H25">
        <f>VLOOKUP(A25,怪物模型!A$15:G$77,5,0)</f>
        <v>35</v>
      </c>
      <c r="I25">
        <f>VLOOKUP(A25,怪物模型!A$15:G$77,6,0)</f>
        <v>0</v>
      </c>
      <c r="J25">
        <f>VLOOKUP(A25,怪物模型!A$15:G$77,7,0)</f>
        <v>0</v>
      </c>
      <c r="K25">
        <f>ROUND(VLOOKUP(C25,战士难度!A$1:C$135,3,0)/VLOOKUP(B25,怪物抗性与玩家穿透!A$2:Q$74,17,0)*F25,0)</f>
        <v>110285</v>
      </c>
      <c r="L25">
        <f>IF(A25="卡雷",42,IF(A25="法力风暴",ROUND(K25*0.1,0),VLOOKUP(A25,怪物模型!$A$15:$I$70,9,0)*(1+(B25-30)/100)))</f>
        <v>2220</v>
      </c>
      <c r="M25">
        <f>ROUND(VLOOKUP(C25,战士难度!A$1:C$135,2,0)*0.91*E25,0)</f>
        <v>7744</v>
      </c>
      <c r="N25">
        <f t="shared" si="0"/>
        <v>9293</v>
      </c>
      <c r="O25">
        <f>VLOOKUP(B25,怪物抗性与玩家穿透!A$2:Q$74,4,0)</f>
        <v>350</v>
      </c>
      <c r="P25">
        <f>VLOOKUP(B25,怪物抗性与玩家穿透!A$2:Q$74,5,0)</f>
        <v>100</v>
      </c>
      <c r="Q25">
        <f t="shared" si="1"/>
        <v>100</v>
      </c>
      <c r="R25">
        <f>VLOOKUP(B25,[3]battleParameter.xml!$A$6:$E$107,5,0)*(I25/100)/(1-I25/100)</f>
        <v>0</v>
      </c>
      <c r="S25">
        <f>ROUND(VLOOKUP(B25,[3]battleParameter.xml!$A$6:$G$107,7,0)*(J25/100)/(1-J25/100),0)</f>
        <v>0</v>
      </c>
      <c r="T25">
        <f>ROUND(VLOOKUP(B25,[3]battleParameter.xml!$A$6:$Z$107,8,0)*(MIN(H25/100+0.2,0.99))/(1-MIN(H25/100+0.2,0.99)),0)</f>
        <v>1583</v>
      </c>
      <c r="U25">
        <v>0</v>
      </c>
      <c r="V25">
        <v>0</v>
      </c>
    </row>
    <row r="26" spans="1:22">
      <c r="A26" t="str">
        <f>[2]monster.xml!$D371</f>
        <v>憾地者</v>
      </c>
      <c r="B26">
        <f>[2]monster.xml!$C371</f>
        <v>41</v>
      </c>
      <c r="C26">
        <f t="shared" si="2"/>
        <v>23</v>
      </c>
      <c r="D26">
        <f>VLOOKUP(A26,怪物模型!A$15:Z$70,8,0)</f>
        <v>4</v>
      </c>
      <c r="E26">
        <f>VLOOKUP(A26,怪物模型!A$15:G$70,3,0)</f>
        <v>0.85</v>
      </c>
      <c r="F26">
        <f>VLOOKUP(A26,怪物模型!A$15:G$77,4,0)</f>
        <v>1</v>
      </c>
      <c r="G26">
        <v>1</v>
      </c>
      <c r="H26">
        <f>VLOOKUP(A26,怪物模型!A$15:G$77,5,0)</f>
        <v>13</v>
      </c>
      <c r="I26">
        <f>VLOOKUP(A26,怪物模型!A$15:G$77,6,0)</f>
        <v>0</v>
      </c>
      <c r="J26">
        <f>VLOOKUP(A26,怪物模型!A$15:G$77,7,0)</f>
        <v>0</v>
      </c>
      <c r="K26">
        <f>ROUND(VLOOKUP(C26,战士难度!A$1:C$135,3,0)/VLOOKUP(B26,怪物抗性与玩家穿透!A$2:Q$74,17,0)*F26,0)</f>
        <v>153072</v>
      </c>
      <c r="L26">
        <f>IF(A26="卡雷",42,IF(A26="法力风暴",ROUND(K26*0.1,0),VLOOKUP(A26,怪物模型!$A$15:$I$70,9,0)*(1+(B26-30)/100)))</f>
        <v>1110</v>
      </c>
      <c r="M26">
        <f>ROUND(VLOOKUP(C26,战士难度!A$1:C$135,2,0)*0.91*E26,0)</f>
        <v>7183</v>
      </c>
      <c r="N26">
        <f t="shared" si="0"/>
        <v>8620</v>
      </c>
      <c r="O26">
        <f>VLOOKUP(B26,怪物抗性与玩家穿透!A$2:Q$74,4,0)</f>
        <v>350</v>
      </c>
      <c r="P26">
        <f>VLOOKUP(B26,怪物抗性与玩家穿透!A$2:Q$74,5,0)</f>
        <v>100</v>
      </c>
      <c r="Q26">
        <f t="shared" si="1"/>
        <v>100</v>
      </c>
      <c r="R26">
        <f>VLOOKUP(B26,[3]battleParameter.xml!$A$6:$E$107,5,0)*(I26/100)/(1-I26/100)</f>
        <v>0</v>
      </c>
      <c r="S26">
        <f>ROUND(VLOOKUP(B26,[3]battleParameter.xml!$A$6:$G$107,7,0)*(J26/100)/(1-J26/100),0)</f>
        <v>0</v>
      </c>
      <c r="T26">
        <f>ROUND(VLOOKUP(B26,[3]battleParameter.xml!$A$6:$Z$107,8,0)*(MIN(H26/100+0.2,0.99))/(1-MIN(H26/100+0.2,0.99)),0)</f>
        <v>638</v>
      </c>
      <c r="U26">
        <v>0</v>
      </c>
      <c r="V26">
        <v>0</v>
      </c>
    </row>
    <row r="27" spans="1:22">
      <c r="A27" t="str">
        <f>[2]monster.xml!$D372</f>
        <v>拉兹</v>
      </c>
      <c r="B27">
        <f>[2]monster.xml!$C372</f>
        <v>42</v>
      </c>
      <c r="C27">
        <f t="shared" si="2"/>
        <v>24</v>
      </c>
      <c r="D27">
        <f>VLOOKUP(A27,怪物模型!A$15:Z$70,8,0)</f>
        <v>10</v>
      </c>
      <c r="E27">
        <f>VLOOKUP(A27,怪物模型!A$15:G$70,3,0)</f>
        <v>1.2</v>
      </c>
      <c r="F27">
        <f>VLOOKUP(A27,怪物模型!A$15:G$77,4,0)</f>
        <v>1</v>
      </c>
      <c r="G27">
        <v>1</v>
      </c>
      <c r="H27">
        <f>VLOOKUP(A27,怪物模型!A$15:G$77,5,0)</f>
        <v>13</v>
      </c>
      <c r="I27">
        <f>VLOOKUP(A27,怪物模型!A$15:G$77,6,0)</f>
        <v>0</v>
      </c>
      <c r="J27">
        <f>VLOOKUP(A27,怪物模型!A$15:G$77,7,0)</f>
        <v>20</v>
      </c>
      <c r="K27">
        <f>ROUND(VLOOKUP(C27,战士难度!A$1:C$135,3,0)/VLOOKUP(B27,怪物抗性与玩家穿透!A$2:Q$74,17,0)*F27,0)</f>
        <v>175407</v>
      </c>
      <c r="L27">
        <f>IF(A27="卡雷",42,IF(A27="法力风暴",ROUND(K27*0.1,0),VLOOKUP(A27,怪物模型!$A$15:$I$70,9,0)*(1+(B27-30)/100)))</f>
        <v>2240</v>
      </c>
      <c r="M27">
        <f>ROUND(VLOOKUP(C27,战士难度!A$1:C$135,2,0)*0.91*E27,0)</f>
        <v>11390</v>
      </c>
      <c r="N27">
        <f t="shared" si="0"/>
        <v>13668</v>
      </c>
      <c r="O27">
        <f>VLOOKUP(B27,怪物抗性与玩家穿透!A$2:Q$74,4,0)</f>
        <v>380</v>
      </c>
      <c r="P27">
        <f>VLOOKUP(B27,怪物抗性与玩家穿透!A$2:Q$74,5,0)</f>
        <v>110</v>
      </c>
      <c r="Q27">
        <f t="shared" si="1"/>
        <v>110</v>
      </c>
      <c r="R27">
        <f>VLOOKUP(B27,[3]battleParameter.xml!$A$6:$E$107,5,0)*(I27/100)/(1-I27/100)</f>
        <v>0</v>
      </c>
      <c r="S27">
        <f>ROUND(VLOOKUP(B27,[3]battleParameter.xml!$A$6:$G$107,7,0)*(J27/100)/(1-J27/100),0)</f>
        <v>1358</v>
      </c>
      <c r="T27">
        <f>ROUND(VLOOKUP(B27,[3]battleParameter.xml!$A$6:$Z$107,8,0)*(MIN(H27/100+0.2,0.99))/(1-MIN(H27/100+0.2,0.99)),0)</f>
        <v>668</v>
      </c>
      <c r="U27">
        <v>0</v>
      </c>
      <c r="V27">
        <v>0</v>
      </c>
    </row>
    <row r="28" spans="1:22">
      <c r="A28" t="str">
        <f>[2]monster.xml!$D373</f>
        <v>塔克</v>
      </c>
      <c r="B28">
        <f>[2]monster.xml!$C373</f>
        <v>42</v>
      </c>
      <c r="C28">
        <f t="shared" si="2"/>
        <v>24</v>
      </c>
      <c r="D28">
        <f>VLOOKUP(A28,怪物模型!A$15:Z$70,8,0)</f>
        <v>3</v>
      </c>
      <c r="E28">
        <f>VLOOKUP(A28,怪物模型!A$15:G$70,3,0)</f>
        <v>0.35</v>
      </c>
      <c r="F28">
        <f>VLOOKUP(A28,怪物模型!A$15:G$77,4,0)</f>
        <v>0.6</v>
      </c>
      <c r="G28">
        <v>1</v>
      </c>
      <c r="H28">
        <f>VLOOKUP(A28,怪物模型!A$15:G$77,5,0)</f>
        <v>13</v>
      </c>
      <c r="I28">
        <f>VLOOKUP(A28,怪物模型!A$15:G$77,6,0)</f>
        <v>0</v>
      </c>
      <c r="J28">
        <f>VLOOKUP(A28,怪物模型!A$15:G$77,7,0)</f>
        <v>0</v>
      </c>
      <c r="K28">
        <f>ROUND(VLOOKUP(C28,战士难度!A$1:C$135,3,0)/VLOOKUP(B28,怪物抗性与玩家穿透!A$2:Q$74,17,0)*F28,0)</f>
        <v>105244</v>
      </c>
      <c r="L28">
        <f>IF(A28="卡雷",42,IF(A28="法力风暴",ROUND(K28*0.1,0),VLOOKUP(A28,怪物模型!$A$15:$I$70,9,0)*(1+(B28-30)/100)))</f>
        <v>1120</v>
      </c>
      <c r="M28">
        <f>ROUND(VLOOKUP(C28,战士难度!A$1:C$135,2,0)*0.91*E28,0)</f>
        <v>3322</v>
      </c>
      <c r="N28">
        <f t="shared" si="0"/>
        <v>3986</v>
      </c>
      <c r="O28">
        <f>VLOOKUP(B28,怪物抗性与玩家穿透!A$2:Q$74,4,0)</f>
        <v>380</v>
      </c>
      <c r="P28">
        <f>VLOOKUP(B28,怪物抗性与玩家穿透!A$2:Q$74,5,0)</f>
        <v>110</v>
      </c>
      <c r="Q28">
        <f t="shared" si="1"/>
        <v>110</v>
      </c>
      <c r="R28">
        <f>VLOOKUP(B28,[3]battleParameter.xml!$A$6:$E$107,5,0)*(I28/100)/(1-I28/100)</f>
        <v>0</v>
      </c>
      <c r="S28">
        <f>ROUND(VLOOKUP(B28,[3]battleParameter.xml!$A$6:$G$107,7,0)*(J28/100)/(1-J28/100),0)</f>
        <v>0</v>
      </c>
      <c r="T28">
        <f>ROUND(VLOOKUP(B28,[3]battleParameter.xml!$A$6:$Z$107,8,0)*(MIN(H28/100+0.2,0.99))/(1-MIN(H28/100+0.2,0.99)),0)</f>
        <v>668</v>
      </c>
      <c r="U28">
        <v>0</v>
      </c>
      <c r="V28">
        <v>0</v>
      </c>
    </row>
    <row r="29" spans="1:22">
      <c r="A29" t="str">
        <f>[2]monster.xml!$D374</f>
        <v>迪皮斯</v>
      </c>
      <c r="B29">
        <f>[2]monster.xml!$C374</f>
        <v>42</v>
      </c>
      <c r="C29">
        <f t="shared" si="2"/>
        <v>25</v>
      </c>
      <c r="D29" t="str">
        <f>VLOOKUP(A29,怪物模型!A$15:Z$70,8,0)</f>
        <v>17,14</v>
      </c>
      <c r="E29">
        <f>VLOOKUP(A29,怪物模型!A$15:G$70,3,0)</f>
        <v>0.6</v>
      </c>
      <c r="F29">
        <f>VLOOKUP(A29,怪物模型!A$15:G$77,4,0)</f>
        <v>0.4</v>
      </c>
      <c r="G29">
        <v>1</v>
      </c>
      <c r="H29">
        <f>VLOOKUP(A29,怪物模型!A$15:G$77,5,0)</f>
        <v>13</v>
      </c>
      <c r="I29">
        <f>VLOOKUP(A29,怪物模型!A$15:G$77,6,0)</f>
        <v>0</v>
      </c>
      <c r="J29">
        <f>VLOOKUP(A29,怪物模型!A$15:G$77,7,0)</f>
        <v>0</v>
      </c>
      <c r="K29">
        <f>ROUND(VLOOKUP(C29,战士难度!A$1:C$135,3,0)/VLOOKUP(B29,怪物抗性与玩家穿透!A$2:Q$74,17,0)*F29,0)</f>
        <v>77495</v>
      </c>
      <c r="L29">
        <f>IF(A29="卡雷",42,IF(A29="法力风暴",ROUND(K29*0.1,0),VLOOKUP(A29,怪物模型!$A$15:$I$70,9,0)*(1+(B29-30)/100)))</f>
        <v>1120</v>
      </c>
      <c r="M29">
        <f>ROUND(VLOOKUP(C29,战士难度!A$1:C$135,2,0)*0.91*E29,0)</f>
        <v>6212</v>
      </c>
      <c r="N29">
        <f t="shared" si="0"/>
        <v>7454</v>
      </c>
      <c r="O29">
        <f>VLOOKUP(B29,怪物抗性与玩家穿透!A$2:Q$74,4,0)</f>
        <v>380</v>
      </c>
      <c r="P29">
        <f>VLOOKUP(B29,怪物抗性与玩家穿透!A$2:Q$74,5,0)</f>
        <v>110</v>
      </c>
      <c r="Q29">
        <f t="shared" si="1"/>
        <v>110</v>
      </c>
      <c r="R29">
        <f>VLOOKUP(B29,[3]battleParameter.xml!$A$6:$E$107,5,0)*(I29/100)/(1-I29/100)</f>
        <v>0</v>
      </c>
      <c r="S29">
        <f>ROUND(VLOOKUP(B29,[3]battleParameter.xml!$A$6:$G$107,7,0)*(J29/100)/(1-J29/100),0)</f>
        <v>0</v>
      </c>
      <c r="T29">
        <f>ROUND(VLOOKUP(B29,[3]battleParameter.xml!$A$6:$Z$107,8,0)*(MIN(H29/100+0.2,0.99))/(1-MIN(H29/100+0.2,0.99)),0)</f>
        <v>668</v>
      </c>
      <c r="U29">
        <v>0</v>
      </c>
      <c r="V29">
        <v>0</v>
      </c>
    </row>
    <row r="30" spans="1:22">
      <c r="A30" t="str">
        <f>[2]monster.xml!$D375</f>
        <v>狂野安东尼</v>
      </c>
      <c r="B30">
        <f>[2]monster.xml!$C375</f>
        <v>43</v>
      </c>
      <c r="C30">
        <f t="shared" si="2"/>
        <v>26</v>
      </c>
      <c r="D30">
        <f>VLOOKUP(A30,怪物模型!A$15:Z$70,8,0)</f>
        <v>7</v>
      </c>
      <c r="E30">
        <f>VLOOKUP(A30,怪物模型!A$15:G$70,3,0)</f>
        <v>1</v>
      </c>
      <c r="F30">
        <f>VLOOKUP(A30,怪物模型!A$15:G$77,4,0)</f>
        <v>1</v>
      </c>
      <c r="G30">
        <v>1</v>
      </c>
      <c r="H30">
        <f>VLOOKUP(A30,怪物模型!A$15:G$77,5,0)</f>
        <v>13</v>
      </c>
      <c r="I30">
        <f>VLOOKUP(A30,怪物模型!A$15:G$77,6,0)</f>
        <v>0</v>
      </c>
      <c r="J30">
        <f>VLOOKUP(A30,怪物模型!A$15:G$77,7,0)</f>
        <v>0</v>
      </c>
      <c r="K30">
        <f>ROUND(VLOOKUP(C30,战士难度!A$1:C$135,3,0)/VLOOKUP(B30,怪物抗性与玩家穿透!A$2:Q$74,17,0)*F30,0)</f>
        <v>213342</v>
      </c>
      <c r="L30">
        <f>IF(A30="卡雷",42,IF(A30="法力风暴",ROUND(K30*0.1,0),VLOOKUP(A30,怪物模型!$A$15:$I$70,9,0)*(1+(B30-30)/100)))</f>
        <v>1130</v>
      </c>
      <c r="M30">
        <f>ROUND(VLOOKUP(C30,战士难度!A$1:C$135,2,0)*0.91*E30,0)</f>
        <v>11295</v>
      </c>
      <c r="N30">
        <f t="shared" si="0"/>
        <v>13554</v>
      </c>
      <c r="O30">
        <f>VLOOKUP(B30,怪物抗性与玩家穿透!A$2:Q$74,4,0)</f>
        <v>410</v>
      </c>
      <c r="P30">
        <f>VLOOKUP(B30,怪物抗性与玩家穿透!A$2:Q$74,5,0)</f>
        <v>120</v>
      </c>
      <c r="Q30">
        <f t="shared" si="1"/>
        <v>120</v>
      </c>
      <c r="R30">
        <f>VLOOKUP(B30,[3]battleParameter.xml!$A$6:$E$107,5,0)*(I30/100)/(1-I30/100)</f>
        <v>0</v>
      </c>
      <c r="S30">
        <f>ROUND(VLOOKUP(B30,[3]battleParameter.xml!$A$6:$G$107,7,0)*(J30/100)/(1-J30/100),0)</f>
        <v>0</v>
      </c>
      <c r="T30">
        <f>ROUND(VLOOKUP(B30,[3]battleParameter.xml!$A$6:$Z$107,8,0)*(MIN(H30/100+0.2,0.99))/(1-MIN(H30/100+0.2,0.99)),0)</f>
        <v>700</v>
      </c>
      <c r="U30">
        <v>0</v>
      </c>
      <c r="V30">
        <v>0</v>
      </c>
    </row>
    <row r="31" spans="1:22">
      <c r="A31" t="str">
        <f>[2]monster.xml!$D376</f>
        <v>巡林者瑞克</v>
      </c>
      <c r="B31">
        <f>[2]monster.xml!$C376</f>
        <v>44</v>
      </c>
      <c r="C31">
        <f t="shared" si="2"/>
        <v>27</v>
      </c>
      <c r="D31">
        <f>VLOOKUP(A31,怪物模型!A$15:Z$70,8,0)</f>
        <v>15</v>
      </c>
      <c r="E31">
        <f>VLOOKUP(A31,怪物模型!A$15:G$70,3,0)</f>
        <v>1</v>
      </c>
      <c r="F31">
        <f>VLOOKUP(A31,怪物模型!A$15:G$77,4,0)</f>
        <v>1</v>
      </c>
      <c r="G31">
        <v>1</v>
      </c>
      <c r="H31">
        <f>VLOOKUP(A31,怪物模型!A$15:G$77,5,0)</f>
        <v>13</v>
      </c>
      <c r="I31">
        <f>VLOOKUP(A31,怪物模型!A$15:G$77,6,0)</f>
        <v>0</v>
      </c>
      <c r="J31">
        <f>VLOOKUP(A31,怪物模型!A$15:G$77,7,0)</f>
        <v>0</v>
      </c>
      <c r="K31">
        <f>ROUND(VLOOKUP(C31,战士难度!A$1:C$135,3,0)/VLOOKUP(B31,怪物抗性与玩家穿透!A$2:Q$74,17,0)*F31,0)</f>
        <v>242928</v>
      </c>
      <c r="L31">
        <f>IF(A31="卡雷",42,IF(A31="法力风暴",ROUND(K31*0.1,0),VLOOKUP(A31,怪物模型!$A$15:$I$70,9,0)*(1+(B31-30)/100)))</f>
        <v>1140.0000000000002</v>
      </c>
      <c r="M31">
        <f>ROUND(VLOOKUP(C31,战士难度!A$1:C$135,2,0)*0.91*E31,0)</f>
        <v>12684</v>
      </c>
      <c r="N31">
        <f t="shared" si="0"/>
        <v>15221</v>
      </c>
      <c r="O31">
        <f>VLOOKUP(B31,怪物抗性与玩家穿透!A$2:Q$74,4,0)</f>
        <v>440</v>
      </c>
      <c r="P31">
        <f>VLOOKUP(B31,怪物抗性与玩家穿透!A$2:Q$74,5,0)</f>
        <v>130</v>
      </c>
      <c r="Q31">
        <f t="shared" si="1"/>
        <v>130</v>
      </c>
      <c r="R31">
        <f>VLOOKUP(B31,[3]battleParameter.xml!$A$6:$E$107,5,0)*(I31/100)/(1-I31/100)</f>
        <v>0</v>
      </c>
      <c r="S31">
        <f>ROUND(VLOOKUP(B31,[3]battleParameter.xml!$A$6:$G$107,7,0)*(J31/100)/(1-J31/100),0)</f>
        <v>0</v>
      </c>
      <c r="T31">
        <f>ROUND(VLOOKUP(B31,[3]battleParameter.xml!$A$6:$Z$107,8,0)*(MIN(H31/100+0.2,0.99))/(1-MIN(H31/100+0.2,0.99)),0)</f>
        <v>732</v>
      </c>
      <c r="U31">
        <v>0</v>
      </c>
      <c r="V31">
        <v>0</v>
      </c>
    </row>
    <row r="32" spans="1:22">
      <c r="A32" t="str">
        <f>[2]monster.xml!$D377</f>
        <v>战士幻象</v>
      </c>
      <c r="B32">
        <f>[2]monster.xml!$C377</f>
        <v>45</v>
      </c>
      <c r="C32">
        <f t="shared" si="2"/>
        <v>28</v>
      </c>
      <c r="D32">
        <f>VLOOKUP(A32,怪物模型!A$15:Z$70,8,0)</f>
        <v>3</v>
      </c>
      <c r="E32">
        <f>VLOOKUP(A32,怪物模型!A$15:G$70,3,0)</f>
        <v>1</v>
      </c>
      <c r="F32">
        <f>VLOOKUP(A32,怪物模型!A$15:G$77,4,0)</f>
        <v>1</v>
      </c>
      <c r="G32">
        <v>1</v>
      </c>
      <c r="H32">
        <f>VLOOKUP(A32,怪物模型!A$15:G$77,5,0)</f>
        <v>13</v>
      </c>
      <c r="I32">
        <f>VLOOKUP(A32,怪物模型!A$15:G$77,6,0)</f>
        <v>0</v>
      </c>
      <c r="J32">
        <f>VLOOKUP(A32,怪物模型!A$15:G$77,7,0)</f>
        <v>30</v>
      </c>
      <c r="K32">
        <f>ROUND(VLOOKUP(C32,战士难度!A$1:C$135,3,0)/VLOOKUP(B32,怪物抗性与玩家穿透!A$2:Q$74,17,0)*F32,0)</f>
        <v>123693</v>
      </c>
      <c r="L32">
        <f>IF(A32="卡雷",42,IF(A32="法力风暴",ROUND(K32*0.1,0),VLOOKUP(A32,怪物模型!$A$15:$I$70,9,0)*(1+(B32-30)/100)))</f>
        <v>575</v>
      </c>
      <c r="M32">
        <f>ROUND(VLOOKUP(C32,战士难度!A$1:C$135,2,0)*0.91*E32,0)</f>
        <v>6757</v>
      </c>
      <c r="N32">
        <f t="shared" si="0"/>
        <v>8108</v>
      </c>
      <c r="O32">
        <f>VLOOKUP(B32,怪物抗性与玩家穿透!A$2:Q$74,4,0)</f>
        <v>470</v>
      </c>
      <c r="P32">
        <f>VLOOKUP(B32,怪物抗性与玩家穿透!A$2:Q$74,5,0)</f>
        <v>140</v>
      </c>
      <c r="Q32">
        <f t="shared" si="1"/>
        <v>140</v>
      </c>
      <c r="R32">
        <f>VLOOKUP(B32,[3]battleParameter.xml!$A$6:$E$107,5,0)*(I32/100)/(1-I32/100)</f>
        <v>0</v>
      </c>
      <c r="S32">
        <f>ROUND(VLOOKUP(B32,[3]battleParameter.xml!$A$6:$G$107,7,0)*(J32/100)/(1-J32/100),0)</f>
        <v>2666</v>
      </c>
      <c r="T32">
        <f>ROUND(VLOOKUP(B32,[3]battleParameter.xml!$A$6:$Z$107,8,0)*(MIN(H32/100+0.2,0.99))/(1-MIN(H32/100+0.2,0.99)),0)</f>
        <v>766</v>
      </c>
      <c r="U32">
        <v>0</v>
      </c>
      <c r="V32">
        <v>0</v>
      </c>
    </row>
    <row r="33" spans="1:22">
      <c r="A33" t="str">
        <f>[2]monster.xml!$D378</f>
        <v>法力风暴</v>
      </c>
      <c r="B33">
        <f>[2]monster.xml!$C378</f>
        <v>45</v>
      </c>
      <c r="C33">
        <f t="shared" si="2"/>
        <v>29</v>
      </c>
      <c r="D33" t="str">
        <f>VLOOKUP(A33,怪物模型!A$15:Z$70,8,0)</f>
        <v>25,30</v>
      </c>
      <c r="E33">
        <f>VLOOKUP(A33,怪物模型!A$15:G$70,3,0)</f>
        <v>1.5</v>
      </c>
      <c r="F33">
        <f>VLOOKUP(A33,怪物模型!A$15:G$77,4,0)</f>
        <v>0.68</v>
      </c>
      <c r="G33">
        <v>1</v>
      </c>
      <c r="H33">
        <f>VLOOKUP(A33,怪物模型!A$15:G$77,5,0)</f>
        <v>13</v>
      </c>
      <c r="I33">
        <f>VLOOKUP(A33,怪物模型!A$15:G$77,6,0)</f>
        <v>0</v>
      </c>
      <c r="J33">
        <f>VLOOKUP(A33,怪物模型!A$15:G$77,7,0)</f>
        <v>0</v>
      </c>
      <c r="K33">
        <f>ROUND(VLOOKUP(C33,战士难度!A$1:C$135,3,0)/VLOOKUP(B33,怪物抗性与玩家穿透!A$2:Q$74,17,0)*F33,0)</f>
        <v>98042</v>
      </c>
      <c r="L33">
        <f>IF(A33="卡雷",42,IF(A33="法力风暴",ROUND(K33*0.1,0),VLOOKUP(A33,怪物模型!$A$15:$I$70,9,0)*(1+(B33-30)/100)))</f>
        <v>9804</v>
      </c>
      <c r="M33">
        <f>ROUND(VLOOKUP(C33,战士难度!A$1:C$135,2,0)*0.91*E33,0)</f>
        <v>11876</v>
      </c>
      <c r="N33">
        <f t="shared" si="0"/>
        <v>14251</v>
      </c>
      <c r="O33">
        <f>VLOOKUP(B33,怪物抗性与玩家穿透!A$2:Q$74,4,0)</f>
        <v>470</v>
      </c>
      <c r="P33">
        <f>VLOOKUP(B33,怪物抗性与玩家穿透!A$2:Q$74,5,0)</f>
        <v>140</v>
      </c>
      <c r="Q33">
        <f t="shared" si="1"/>
        <v>140</v>
      </c>
      <c r="R33">
        <f>VLOOKUP(B33,[3]battleParameter.xml!$A$6:$E$107,5,0)*(I33/100)/(1-I33/100)</f>
        <v>0</v>
      </c>
      <c r="S33">
        <f>ROUND(VLOOKUP(B33,[3]battleParameter.xml!$A$6:$G$107,7,0)*(J33/100)/(1-J33/100),0)</f>
        <v>0</v>
      </c>
      <c r="T33">
        <f>ROUND(VLOOKUP(B33,[3]battleParameter.xml!$A$6:$Z$107,8,0)*(MIN(H33/100+0.2,0.99))/(1-MIN(H33/100+0.2,0.99)),0)</f>
        <v>766</v>
      </c>
      <c r="U33">
        <v>0</v>
      </c>
      <c r="V33">
        <v>0</v>
      </c>
    </row>
    <row r="34" spans="1:22">
      <c r="A34" t="str">
        <f>[2]monster.xml!$D379</f>
        <v>角斗士里奥</v>
      </c>
      <c r="B34">
        <f>[2]monster.xml!$C379</f>
        <v>46</v>
      </c>
      <c r="C34">
        <f t="shared" si="2"/>
        <v>30</v>
      </c>
      <c r="D34">
        <f>VLOOKUP(A34,怪物模型!A$15:Z$70,8,0)</f>
        <v>5</v>
      </c>
      <c r="E34">
        <f>VLOOKUP(A34,怪物模型!A$15:G$70,3,0)</f>
        <v>1</v>
      </c>
      <c r="F34">
        <f>VLOOKUP(A34,怪物模型!A$15:G$77,4,0)</f>
        <v>1</v>
      </c>
      <c r="G34">
        <v>1</v>
      </c>
      <c r="H34">
        <f>VLOOKUP(A34,怪物模型!A$15:G$77,5,0)</f>
        <v>13</v>
      </c>
      <c r="I34">
        <f>VLOOKUP(A34,怪物模型!A$15:G$77,6,0)</f>
        <v>0</v>
      </c>
      <c r="J34">
        <f>VLOOKUP(A34,怪物模型!A$15:G$77,7,0)</f>
        <v>0</v>
      </c>
      <c r="K34">
        <f>ROUND(VLOOKUP(C34,战士难度!A$1:C$135,3,0)/VLOOKUP(B34,怪物抗性与玩家穿透!A$2:Q$74,17,0)*F34,0)</f>
        <v>176498</v>
      </c>
      <c r="L34">
        <f>IF(A34="卡雷",42,IF(A34="法力风暴",ROUND(K34*0.1,0),VLOOKUP(A34,怪物模型!$A$15:$I$70,9,0)*(1+(B34-30)/100)))</f>
        <v>1160</v>
      </c>
      <c r="M34">
        <f>ROUND(VLOOKUP(C34,战士难度!A$1:C$135,2,0)*0.91*E34,0)</f>
        <v>9781</v>
      </c>
      <c r="N34">
        <f t="shared" si="0"/>
        <v>11737</v>
      </c>
      <c r="O34">
        <f>VLOOKUP(B34,怪物抗性与玩家穿透!A$2:Q$74,4,0)</f>
        <v>500</v>
      </c>
      <c r="P34">
        <f>VLOOKUP(B34,怪物抗性与玩家穿透!A$2:Q$74,5,0)</f>
        <v>150</v>
      </c>
      <c r="Q34">
        <f t="shared" si="1"/>
        <v>150</v>
      </c>
      <c r="R34">
        <f>VLOOKUP(B34,[3]battleParameter.xml!$A$6:$E$107,5,0)*(I34/100)/(1-I34/100)</f>
        <v>0</v>
      </c>
      <c r="S34">
        <f>ROUND(VLOOKUP(B34,[3]battleParameter.xml!$A$6:$G$107,7,0)*(J34/100)/(1-J34/100),0)</f>
        <v>0</v>
      </c>
      <c r="T34">
        <f>ROUND(VLOOKUP(B34,[3]battleParameter.xml!$A$6:$Z$107,8,0)*(MIN(H34/100+0.2,0.99))/(1-MIN(H34/100+0.2,0.99)),0)</f>
        <v>799</v>
      </c>
      <c r="U34">
        <v>0</v>
      </c>
      <c r="V34">
        <v>0</v>
      </c>
    </row>
    <row r="35" spans="1:22">
      <c r="A35" t="str">
        <f>[2]monster.xml!$D380</f>
        <v>荒野游侠</v>
      </c>
      <c r="B35">
        <f>[2]monster.xml!$C380</f>
        <v>46</v>
      </c>
      <c r="C35">
        <f t="shared" si="2"/>
        <v>31</v>
      </c>
      <c r="D35">
        <f>VLOOKUP(A35,怪物模型!A$15:Z$70,8,0)</f>
        <v>16</v>
      </c>
      <c r="E35">
        <f>VLOOKUP(A35,怪物模型!A$15:G$70,3,0)</f>
        <v>1</v>
      </c>
      <c r="F35">
        <f>VLOOKUP(A35,怪物模型!A$15:G$77,4,0)</f>
        <v>0.8</v>
      </c>
      <c r="G35">
        <v>1</v>
      </c>
      <c r="H35">
        <f>VLOOKUP(A35,怪物模型!A$15:G$77,5,0)</f>
        <v>35</v>
      </c>
      <c r="I35">
        <f>VLOOKUP(A35,怪物模型!A$15:G$77,6,0)</f>
        <v>0</v>
      </c>
      <c r="J35">
        <f>VLOOKUP(A35,怪物模型!A$15:G$77,7,0)</f>
        <v>0</v>
      </c>
      <c r="K35">
        <f>ROUND(VLOOKUP(C35,战士难度!A$1:C$135,3,0)/VLOOKUP(B35,怪物抗性与玩家穿透!A$2:Q$74,17,0)*F35,0)</f>
        <v>156195</v>
      </c>
      <c r="L35">
        <f>IF(A35="卡雷",42,IF(A35="法力风暴",ROUND(K35*0.1,0),VLOOKUP(A35,怪物模型!$A$15:$I$70,9,0)*(1+(B35-30)/100)))</f>
        <v>2320</v>
      </c>
      <c r="M35">
        <f>ROUND(VLOOKUP(C35,战士难度!A$1:C$135,2,0)*0.91*E35,0)</f>
        <v>10844</v>
      </c>
      <c r="N35">
        <f t="shared" si="0"/>
        <v>13013</v>
      </c>
      <c r="O35">
        <f>VLOOKUP(B35,怪物抗性与玩家穿透!A$2:Q$74,4,0)</f>
        <v>500</v>
      </c>
      <c r="P35">
        <f>VLOOKUP(B35,怪物抗性与玩家穿透!A$2:Q$74,5,0)</f>
        <v>150</v>
      </c>
      <c r="Q35">
        <f t="shared" si="1"/>
        <v>150</v>
      </c>
      <c r="R35">
        <f>VLOOKUP(B35,[3]battleParameter.xml!$A$6:$E$107,5,0)*(I35/100)/(1-I35/100)</f>
        <v>0</v>
      </c>
      <c r="S35">
        <f>ROUND(VLOOKUP(B35,[3]battleParameter.xml!$A$6:$G$107,7,0)*(J35/100)/(1-J35/100),0)</f>
        <v>0</v>
      </c>
      <c r="T35">
        <f>ROUND(VLOOKUP(B35,[3]battleParameter.xml!$A$6:$Z$107,8,0)*(MIN(H35/100+0.2,0.99))/(1-MIN(H35/100+0.2,0.99)),0)</f>
        <v>1984</v>
      </c>
      <c r="U35">
        <v>0</v>
      </c>
      <c r="V35">
        <v>0</v>
      </c>
    </row>
    <row r="36" spans="1:22">
      <c r="A36" t="str">
        <f>[2]monster.xml!$D381</f>
        <v>憾地者</v>
      </c>
      <c r="B36">
        <f>[2]monster.xml!$C381</f>
        <v>46</v>
      </c>
      <c r="C36">
        <f t="shared" si="2"/>
        <v>32</v>
      </c>
      <c r="D36">
        <f>VLOOKUP(A36,怪物模型!A$15:Z$70,8,0)</f>
        <v>4</v>
      </c>
      <c r="E36">
        <f>VLOOKUP(A36,怪物模型!A$15:G$70,3,0)</f>
        <v>0.85</v>
      </c>
      <c r="F36">
        <f>VLOOKUP(A36,怪物模型!A$15:G$77,4,0)</f>
        <v>1</v>
      </c>
      <c r="G36">
        <v>1</v>
      </c>
      <c r="H36">
        <f>VLOOKUP(A36,怪物模型!A$15:G$77,5,0)</f>
        <v>13</v>
      </c>
      <c r="I36">
        <f>VLOOKUP(A36,怪物模型!A$15:G$77,6,0)</f>
        <v>0</v>
      </c>
      <c r="J36">
        <f>VLOOKUP(A36,怪物模型!A$15:G$77,7,0)</f>
        <v>0</v>
      </c>
      <c r="K36">
        <f>ROUND(VLOOKUP(C36,战士难度!A$1:C$135,3,0)/VLOOKUP(B36,怪物抗性与玩家穿透!A$2:Q$74,17,0)*F36,0)</f>
        <v>215981</v>
      </c>
      <c r="L36">
        <f>IF(A36="卡雷",42,IF(A36="法力风暴",ROUND(K36*0.1,0),VLOOKUP(A36,怪物模型!$A$15:$I$70,9,0)*(1+(B36-30)/100)))</f>
        <v>1160</v>
      </c>
      <c r="M36">
        <f>ROUND(VLOOKUP(C36,战士难度!A$1:C$135,2,0)*0.91*E36,0)</f>
        <v>10219</v>
      </c>
      <c r="N36">
        <f t="shared" si="0"/>
        <v>12263</v>
      </c>
      <c r="O36">
        <f>VLOOKUP(B36,怪物抗性与玩家穿透!A$2:Q$74,4,0)</f>
        <v>500</v>
      </c>
      <c r="P36">
        <f>VLOOKUP(B36,怪物抗性与玩家穿透!A$2:Q$74,5,0)</f>
        <v>150</v>
      </c>
      <c r="Q36">
        <f t="shared" si="1"/>
        <v>150</v>
      </c>
      <c r="R36">
        <f>VLOOKUP(B36,[3]battleParameter.xml!$A$6:$E$107,5,0)*(I36/100)/(1-I36/100)</f>
        <v>0</v>
      </c>
      <c r="S36">
        <f>ROUND(VLOOKUP(B36,[3]battleParameter.xml!$A$6:$G$107,7,0)*(J36/100)/(1-J36/100),0)</f>
        <v>0</v>
      </c>
      <c r="T36">
        <f>ROUND(VLOOKUP(B36,[3]battleParameter.xml!$A$6:$Z$107,8,0)*(MIN(H36/100+0.2,0.99))/(1-MIN(H36/100+0.2,0.99)),0)</f>
        <v>799</v>
      </c>
      <c r="U36">
        <v>0</v>
      </c>
      <c r="V36">
        <v>0</v>
      </c>
    </row>
    <row r="37" spans="1:22">
      <c r="A37" t="str">
        <f>[2]monster.xml!$D382</f>
        <v>拉兹</v>
      </c>
      <c r="B37">
        <f>[2]monster.xml!$C382</f>
        <v>47</v>
      </c>
      <c r="C37">
        <f t="shared" si="2"/>
        <v>33</v>
      </c>
      <c r="D37">
        <f>VLOOKUP(A37,怪物模型!A$15:Z$70,8,0)</f>
        <v>10</v>
      </c>
      <c r="E37">
        <f>VLOOKUP(A37,怪物模型!A$15:G$70,3,0)</f>
        <v>1.2</v>
      </c>
      <c r="F37">
        <f>VLOOKUP(A37,怪物模型!A$15:G$77,4,0)</f>
        <v>1</v>
      </c>
      <c r="G37">
        <v>1</v>
      </c>
      <c r="H37">
        <f>VLOOKUP(A37,怪物模型!A$15:G$77,5,0)</f>
        <v>13</v>
      </c>
      <c r="I37">
        <f>VLOOKUP(A37,怪物模型!A$15:G$77,6,0)</f>
        <v>0</v>
      </c>
      <c r="J37">
        <f>VLOOKUP(A37,怪物模型!A$15:G$77,7,0)</f>
        <v>20</v>
      </c>
      <c r="K37">
        <f>ROUND(VLOOKUP(C37,战士难度!A$1:C$135,3,0)/VLOOKUP(B37,怪物抗性与玩家穿透!A$2:Q$74,17,0)*F37,0)</f>
        <v>226657</v>
      </c>
      <c r="L37">
        <f>IF(A37="卡雷",42,IF(A37="法力风暴",ROUND(K37*0.1,0),VLOOKUP(A37,怪物模型!$A$15:$I$70,9,0)*(1+(B37-30)/100)))</f>
        <v>2340</v>
      </c>
      <c r="M37">
        <f>ROUND(VLOOKUP(C37,战士难度!A$1:C$135,2,0)*0.91*E37,0)</f>
        <v>16554</v>
      </c>
      <c r="N37">
        <f t="shared" si="0"/>
        <v>19865</v>
      </c>
      <c r="O37">
        <f>VLOOKUP(B37,怪物抗性与玩家穿透!A$2:Q$74,4,0)</f>
        <v>1000</v>
      </c>
      <c r="P37">
        <f>VLOOKUP(B37,怪物抗性与玩家穿透!A$2:Q$74,5,0)</f>
        <v>300</v>
      </c>
      <c r="Q37">
        <f t="shared" si="1"/>
        <v>300</v>
      </c>
      <c r="R37">
        <f>VLOOKUP(B37,[3]battleParameter.xml!$A$6:$E$107,5,0)*(I37/100)/(1-I37/100)</f>
        <v>0</v>
      </c>
      <c r="S37">
        <f>ROUND(VLOOKUP(B37,[3]battleParameter.xml!$A$6:$G$107,7,0)*(J37/100)/(1-J37/100),0)</f>
        <v>1694</v>
      </c>
      <c r="T37">
        <f>ROUND(VLOOKUP(B37,[3]battleParameter.xml!$A$6:$Z$107,8,0)*(MIN(H37/100+0.2,0.99))/(1-MIN(H37/100+0.2,0.99)),0)</f>
        <v>834</v>
      </c>
      <c r="U37">
        <v>0</v>
      </c>
      <c r="V37">
        <v>0</v>
      </c>
    </row>
    <row r="38" spans="1:22">
      <c r="A38" t="str">
        <f>[2]monster.xml!$D383</f>
        <v>塔克</v>
      </c>
      <c r="B38">
        <f>[2]monster.xml!$C383</f>
        <v>47</v>
      </c>
      <c r="C38">
        <f t="shared" si="2"/>
        <v>33</v>
      </c>
      <c r="D38">
        <f>VLOOKUP(A38,怪物模型!A$15:Z$70,8,0)</f>
        <v>3</v>
      </c>
      <c r="E38">
        <f>VLOOKUP(A38,怪物模型!A$15:G$70,3,0)</f>
        <v>0.35</v>
      </c>
      <c r="F38">
        <f>VLOOKUP(A38,怪物模型!A$15:G$77,4,0)</f>
        <v>0.6</v>
      </c>
      <c r="G38">
        <v>1</v>
      </c>
      <c r="H38">
        <f>VLOOKUP(A38,怪物模型!A$15:G$77,5,0)</f>
        <v>13</v>
      </c>
      <c r="I38">
        <f>VLOOKUP(A38,怪物模型!A$15:G$77,6,0)</f>
        <v>0</v>
      </c>
      <c r="J38">
        <f>VLOOKUP(A38,怪物模型!A$15:G$77,7,0)</f>
        <v>0</v>
      </c>
      <c r="K38">
        <f>ROUND(VLOOKUP(C38,战士难度!A$1:C$135,3,0)/VLOOKUP(B38,怪物抗性与玩家穿透!A$2:Q$74,17,0)*F38,0)</f>
        <v>135994</v>
      </c>
      <c r="L38">
        <f>IF(A38="卡雷",42,IF(A38="法力风暴",ROUND(K38*0.1,0),VLOOKUP(A38,怪物模型!$A$15:$I$70,9,0)*(1+(B38-30)/100)))</f>
        <v>1170</v>
      </c>
      <c r="M38">
        <f>ROUND(VLOOKUP(C38,战士难度!A$1:C$135,2,0)*0.91*E38,0)</f>
        <v>4828</v>
      </c>
      <c r="N38">
        <f t="shared" si="0"/>
        <v>5794</v>
      </c>
      <c r="O38">
        <f>VLOOKUP(B38,怪物抗性与玩家穿透!A$2:Q$74,4,0)</f>
        <v>1000</v>
      </c>
      <c r="P38">
        <f>VLOOKUP(B38,怪物抗性与玩家穿透!A$2:Q$74,5,0)</f>
        <v>300</v>
      </c>
      <c r="Q38">
        <f t="shared" si="1"/>
        <v>300</v>
      </c>
      <c r="R38">
        <f>VLOOKUP(B38,[3]battleParameter.xml!$A$6:$E$107,5,0)*(I38/100)/(1-I38/100)</f>
        <v>0</v>
      </c>
      <c r="S38">
        <f>ROUND(VLOOKUP(B38,[3]battleParameter.xml!$A$6:$G$107,7,0)*(J38/100)/(1-J38/100),0)</f>
        <v>0</v>
      </c>
      <c r="T38">
        <f>ROUND(VLOOKUP(B38,[3]battleParameter.xml!$A$6:$Z$107,8,0)*(MIN(H38/100+0.2,0.99))/(1-MIN(H38/100+0.2,0.99)),0)</f>
        <v>834</v>
      </c>
      <c r="U38">
        <v>0</v>
      </c>
      <c r="V38">
        <v>0</v>
      </c>
    </row>
    <row r="39" spans="1:22">
      <c r="A39" t="str">
        <f>[2]monster.xml!$D384</f>
        <v>迪皮斯</v>
      </c>
      <c r="B39">
        <f>[2]monster.xml!$C384</f>
        <v>47</v>
      </c>
      <c r="C39">
        <f t="shared" si="2"/>
        <v>34</v>
      </c>
      <c r="D39" t="str">
        <f>VLOOKUP(A39,怪物模型!A$15:Z$70,8,0)</f>
        <v>17,14</v>
      </c>
      <c r="E39">
        <f>VLOOKUP(A39,怪物模型!A$15:G$70,3,0)</f>
        <v>0.6</v>
      </c>
      <c r="F39">
        <f>VLOOKUP(A39,怪物模型!A$15:G$77,4,0)</f>
        <v>0.4</v>
      </c>
      <c r="G39">
        <v>1</v>
      </c>
      <c r="H39">
        <f>VLOOKUP(A39,怪物模型!A$15:G$77,5,0)</f>
        <v>13</v>
      </c>
      <c r="I39">
        <f>VLOOKUP(A39,怪物模型!A$15:G$77,6,0)</f>
        <v>0</v>
      </c>
      <c r="J39">
        <f>VLOOKUP(A39,怪物模型!A$15:G$77,7,0)</f>
        <v>0</v>
      </c>
      <c r="K39">
        <f>ROUND(VLOOKUP(C39,战士难度!A$1:C$135,3,0)/VLOOKUP(B39,怪物抗性与玩家穿透!A$2:Q$74,17,0)*F39,0)</f>
        <v>99881</v>
      </c>
      <c r="L39">
        <f>IF(A39="卡雷",42,IF(A39="法力风暴",ROUND(K39*0.1,0),VLOOKUP(A39,怪物模型!$A$15:$I$70,9,0)*(1+(B39-30)/100)))</f>
        <v>1170</v>
      </c>
      <c r="M39">
        <f>ROUND(VLOOKUP(C39,战士难度!A$1:C$135,2,0)*0.91*E39,0)</f>
        <v>9132</v>
      </c>
      <c r="N39">
        <f t="shared" si="0"/>
        <v>10958</v>
      </c>
      <c r="O39">
        <f>VLOOKUP(B39,怪物抗性与玩家穿透!A$2:Q$74,4,0)</f>
        <v>1000</v>
      </c>
      <c r="P39">
        <f>VLOOKUP(B39,怪物抗性与玩家穿透!A$2:Q$74,5,0)</f>
        <v>300</v>
      </c>
      <c r="Q39">
        <f t="shared" si="1"/>
        <v>300</v>
      </c>
      <c r="R39">
        <f>VLOOKUP(B39,[3]battleParameter.xml!$A$6:$E$107,5,0)*(I39/100)/(1-I39/100)</f>
        <v>0</v>
      </c>
      <c r="S39">
        <f>ROUND(VLOOKUP(B39,[3]battleParameter.xml!$A$6:$G$107,7,0)*(J39/100)/(1-J39/100),0)</f>
        <v>0</v>
      </c>
      <c r="T39">
        <f>ROUND(VLOOKUP(B39,[3]battleParameter.xml!$A$6:$Z$107,8,0)*(MIN(H39/100+0.2,0.99))/(1-MIN(H39/100+0.2,0.99)),0)</f>
        <v>834</v>
      </c>
      <c r="U39">
        <v>0</v>
      </c>
      <c r="V39">
        <v>0</v>
      </c>
    </row>
    <row r="40" spans="1:22">
      <c r="A40" t="str">
        <f>[2]monster.xml!$D385</f>
        <v>狂野安东尼</v>
      </c>
      <c r="B40">
        <f>[2]monster.xml!$C385</f>
        <v>48</v>
      </c>
      <c r="C40">
        <f t="shared" si="2"/>
        <v>35</v>
      </c>
      <c r="D40">
        <f>VLOOKUP(A40,怪物模型!A$15:Z$70,8,0)</f>
        <v>7</v>
      </c>
      <c r="E40">
        <f>VLOOKUP(A40,怪物模型!A$15:G$70,3,0)</f>
        <v>1</v>
      </c>
      <c r="F40">
        <f>VLOOKUP(A40,怪物模型!A$15:G$77,4,0)</f>
        <v>1</v>
      </c>
      <c r="G40">
        <v>1</v>
      </c>
      <c r="H40">
        <f>VLOOKUP(A40,怪物模型!A$15:G$77,5,0)</f>
        <v>13</v>
      </c>
      <c r="I40">
        <f>VLOOKUP(A40,怪物模型!A$15:G$77,6,0)</f>
        <v>0</v>
      </c>
      <c r="J40">
        <f>VLOOKUP(A40,怪物模型!A$15:G$77,7,0)</f>
        <v>0</v>
      </c>
      <c r="K40">
        <f>ROUND(VLOOKUP(C40,战士难度!A$1:C$135,3,0)/VLOOKUP(B40,怪物抗性与玩家穿透!A$2:Q$74,17,0)*F40,0)</f>
        <v>254937</v>
      </c>
      <c r="L40">
        <f>IF(A40="卡雷",42,IF(A40="法力风暴",ROUND(K40*0.1,0),VLOOKUP(A40,怪物模型!$A$15:$I$70,9,0)*(1+(B40-30)/100)))</f>
        <v>1180</v>
      </c>
      <c r="M40">
        <f>ROUND(VLOOKUP(C40,战士难度!A$1:C$135,2,0)*0.91*E40,0)</f>
        <v>16794</v>
      </c>
      <c r="N40">
        <f t="shared" si="0"/>
        <v>20153</v>
      </c>
      <c r="O40">
        <f>VLOOKUP(B40,怪物抗性与玩家穿透!A$2:Q$74,4,0)</f>
        <v>1500</v>
      </c>
      <c r="P40">
        <f>VLOOKUP(B40,怪物抗性与玩家穿透!A$2:Q$74,5,0)</f>
        <v>450</v>
      </c>
      <c r="Q40">
        <f t="shared" si="1"/>
        <v>450</v>
      </c>
      <c r="R40">
        <f>VLOOKUP(B40,[3]battleParameter.xml!$A$6:$E$107,5,0)*(I40/100)/(1-I40/100)</f>
        <v>0</v>
      </c>
      <c r="S40">
        <f>ROUND(VLOOKUP(B40,[3]battleParameter.xml!$A$6:$G$107,7,0)*(J40/100)/(1-J40/100),0)</f>
        <v>0</v>
      </c>
      <c r="T40">
        <f>ROUND(VLOOKUP(B40,[3]battleParameter.xml!$A$6:$Z$107,8,0)*(MIN(H40/100+0.2,0.99))/(1-MIN(H40/100+0.2,0.99)),0)</f>
        <v>869</v>
      </c>
      <c r="U40">
        <v>0</v>
      </c>
      <c r="V40">
        <v>0</v>
      </c>
    </row>
    <row r="41" spans="1:22">
      <c r="A41" t="str">
        <f>[2]monster.xml!$D386</f>
        <v>巡林者瑞克</v>
      </c>
      <c r="B41">
        <f>[2]monster.xml!$C386</f>
        <v>49</v>
      </c>
      <c r="C41">
        <f t="shared" si="2"/>
        <v>36</v>
      </c>
      <c r="D41">
        <f>VLOOKUP(A41,怪物模型!A$15:Z$70,8,0)</f>
        <v>15</v>
      </c>
      <c r="E41">
        <f>VLOOKUP(A41,怪物模型!A$15:G$70,3,0)</f>
        <v>1</v>
      </c>
      <c r="F41">
        <f>VLOOKUP(A41,怪物模型!A$15:G$77,4,0)</f>
        <v>1</v>
      </c>
      <c r="G41">
        <v>1</v>
      </c>
      <c r="H41">
        <f>VLOOKUP(A41,怪物模型!A$15:G$77,5,0)</f>
        <v>13</v>
      </c>
      <c r="I41">
        <f>VLOOKUP(A41,怪物模型!A$15:G$77,6,0)</f>
        <v>0</v>
      </c>
      <c r="J41">
        <f>VLOOKUP(A41,怪物模型!A$15:G$77,7,0)</f>
        <v>0</v>
      </c>
      <c r="K41">
        <f>ROUND(VLOOKUP(C41,战士难度!A$1:C$135,3,0)/VLOOKUP(B41,怪物抗性与玩家穿透!A$2:Q$74,17,0)*F41,0)</f>
        <v>271159</v>
      </c>
      <c r="L41">
        <f>IF(A41="卡雷",42,IF(A41="法力风暴",ROUND(K41*0.1,0),VLOOKUP(A41,怪物模型!$A$15:$I$70,9,0)*(1+(B41-30)/100)))</f>
        <v>1190</v>
      </c>
      <c r="M41">
        <f>ROUND(VLOOKUP(C41,战士难度!A$1:C$135,2,0)*0.91*E41,0)</f>
        <v>19147</v>
      </c>
      <c r="N41">
        <f t="shared" si="0"/>
        <v>22976</v>
      </c>
      <c r="O41">
        <f>VLOOKUP(B41,怪物抗性与玩家穿透!A$2:Q$74,4,0)</f>
        <v>2000</v>
      </c>
      <c r="P41">
        <f>VLOOKUP(B41,怪物抗性与玩家穿透!A$2:Q$74,5,0)</f>
        <v>600</v>
      </c>
      <c r="Q41">
        <f t="shared" si="1"/>
        <v>600</v>
      </c>
      <c r="R41">
        <f>VLOOKUP(B41,[3]battleParameter.xml!$A$6:$E$107,5,0)*(I41/100)/(1-I41/100)</f>
        <v>0</v>
      </c>
      <c r="S41">
        <f>ROUND(VLOOKUP(B41,[3]battleParameter.xml!$A$6:$G$107,7,0)*(J41/100)/(1-J41/100),0)</f>
        <v>0</v>
      </c>
      <c r="T41">
        <f>ROUND(VLOOKUP(B41,[3]battleParameter.xml!$A$6:$Z$107,8,0)*(MIN(H41/100+0.2,0.99))/(1-MIN(H41/100+0.2,0.99)),0)</f>
        <v>906</v>
      </c>
      <c r="U41">
        <v>0</v>
      </c>
      <c r="V41">
        <v>0</v>
      </c>
    </row>
    <row r="42" spans="1:22">
      <c r="A42" t="str">
        <f>[2]monster.xml!$D387</f>
        <v>战士幻象</v>
      </c>
      <c r="B42">
        <f>[2]monster.xml!$C387</f>
        <v>50</v>
      </c>
      <c r="C42">
        <f t="shared" si="2"/>
        <v>37</v>
      </c>
      <c r="D42">
        <f>VLOOKUP(A42,怪物模型!A$15:Z$70,8,0)</f>
        <v>3</v>
      </c>
      <c r="E42">
        <f>VLOOKUP(A42,怪物模型!A$15:G$70,3,0)</f>
        <v>1</v>
      </c>
      <c r="F42">
        <f>VLOOKUP(A42,怪物模型!A$15:G$77,4,0)</f>
        <v>1</v>
      </c>
      <c r="G42">
        <v>1</v>
      </c>
      <c r="H42">
        <f>VLOOKUP(A42,怪物模型!A$15:G$77,5,0)</f>
        <v>13</v>
      </c>
      <c r="I42">
        <f>VLOOKUP(A42,怪物模型!A$15:G$77,6,0)</f>
        <v>0</v>
      </c>
      <c r="J42">
        <f>VLOOKUP(A42,怪物模型!A$15:G$77,7,0)</f>
        <v>30</v>
      </c>
      <c r="K42">
        <f>ROUND(VLOOKUP(C42,战士难度!A$1:C$135,3,0)/VLOOKUP(B42,怪物抗性与玩家穿透!A$2:Q$74,17,0)*F42,0)</f>
        <v>139584</v>
      </c>
      <c r="L42">
        <f>IF(A42="卡雷",42,IF(A42="法力风暴",ROUND(K42*0.1,0),VLOOKUP(A42,怪物模型!$A$15:$I$70,9,0)*(1+(B42-30)/100)))</f>
        <v>600</v>
      </c>
      <c r="M42">
        <f>ROUND(VLOOKUP(C42,战士难度!A$1:C$135,2,0)*0.91*E42,0)</f>
        <v>10096</v>
      </c>
      <c r="N42">
        <f t="shared" si="0"/>
        <v>12115</v>
      </c>
      <c r="O42">
        <f>VLOOKUP(B42,怪物抗性与玩家穿透!A$2:Q$74,4,0)</f>
        <v>2500</v>
      </c>
      <c r="P42">
        <f>VLOOKUP(B42,怪物抗性与玩家穿透!A$2:Q$74,5,0)</f>
        <v>750</v>
      </c>
      <c r="Q42">
        <f t="shared" si="1"/>
        <v>750</v>
      </c>
      <c r="R42">
        <f>VLOOKUP(B42,[3]battleParameter.xml!$A$6:$E$107,5,0)*(I42/100)/(1-I42/100)</f>
        <v>0</v>
      </c>
      <c r="S42">
        <f>ROUND(VLOOKUP(B42,[3]battleParameter.xml!$A$6:$G$107,7,0)*(J42/100)/(1-J42/100),0)</f>
        <v>3281</v>
      </c>
      <c r="T42">
        <f>ROUND(VLOOKUP(B42,[3]battleParameter.xml!$A$6:$Z$107,8,0)*(MIN(H42/100+0.2,0.99))/(1-MIN(H42/100+0.2,0.99)),0)</f>
        <v>942</v>
      </c>
      <c r="U42">
        <v>0</v>
      </c>
      <c r="V42">
        <v>0</v>
      </c>
    </row>
    <row r="43" spans="1:22">
      <c r="A43" t="str">
        <f>[2]monster.xml!$D388</f>
        <v>法力风暴</v>
      </c>
      <c r="B43">
        <f>[2]monster.xml!$C388</f>
        <v>50</v>
      </c>
      <c r="C43">
        <f t="shared" si="2"/>
        <v>38</v>
      </c>
      <c r="D43" t="str">
        <f>VLOOKUP(A43,怪物模型!A$15:Z$70,8,0)</f>
        <v>25,30</v>
      </c>
      <c r="E43">
        <f>VLOOKUP(A43,怪物模型!A$15:G$70,3,0)</f>
        <v>1.5</v>
      </c>
      <c r="F43">
        <f>VLOOKUP(A43,怪物模型!A$15:G$77,4,0)</f>
        <v>0.68</v>
      </c>
      <c r="G43">
        <v>1</v>
      </c>
      <c r="H43">
        <f>VLOOKUP(A43,怪物模型!A$15:G$77,5,0)</f>
        <v>13</v>
      </c>
      <c r="I43">
        <f>VLOOKUP(A43,怪物模型!A$15:G$77,6,0)</f>
        <v>0</v>
      </c>
      <c r="J43">
        <f>VLOOKUP(A43,怪物模型!A$15:G$77,7,0)</f>
        <v>0</v>
      </c>
      <c r="K43">
        <f>ROUND(VLOOKUP(C43,战士难度!A$1:C$135,3,0)/VLOOKUP(B43,怪物抗性与玩家穿透!A$2:Q$74,17,0)*F43,0)</f>
        <v>108883</v>
      </c>
      <c r="L43">
        <f>IF(A43="卡雷",42,IF(A43="法力风暴",ROUND(K43*0.1,0),VLOOKUP(A43,怪物模型!$A$15:$I$70,9,0)*(1+(B43-30)/100)))</f>
        <v>10888</v>
      </c>
      <c r="M43">
        <f>ROUND(VLOOKUP(C43,战士难度!A$1:C$135,2,0)*0.91*E43,0)</f>
        <v>18182</v>
      </c>
      <c r="N43">
        <f t="shared" si="0"/>
        <v>21818</v>
      </c>
      <c r="O43">
        <f>VLOOKUP(B43,怪物抗性与玩家穿透!A$2:Q$74,4,0)</f>
        <v>2500</v>
      </c>
      <c r="P43">
        <f>VLOOKUP(B43,怪物抗性与玩家穿透!A$2:Q$74,5,0)</f>
        <v>750</v>
      </c>
      <c r="Q43">
        <f t="shared" si="1"/>
        <v>750</v>
      </c>
      <c r="R43">
        <f>VLOOKUP(B43,[3]battleParameter.xml!$A$6:$E$107,5,0)*(I43/100)/(1-I43/100)</f>
        <v>0</v>
      </c>
      <c r="S43">
        <f>ROUND(VLOOKUP(B43,[3]battleParameter.xml!$A$6:$G$107,7,0)*(J43/100)/(1-J43/100),0)</f>
        <v>0</v>
      </c>
      <c r="T43">
        <f>ROUND(VLOOKUP(B43,[3]battleParameter.xml!$A$6:$Z$107,8,0)*(MIN(H43/100+0.2,0.99))/(1-MIN(H43/100+0.2,0.99)),0)</f>
        <v>942</v>
      </c>
      <c r="U43">
        <v>0</v>
      </c>
      <c r="V43">
        <v>0</v>
      </c>
    </row>
    <row r="44" spans="1:22">
      <c r="A44" t="str">
        <f>[2]monster.xml!$D389</f>
        <v>角斗士里奥</v>
      </c>
      <c r="B44">
        <f>[2]monster.xml!$C389</f>
        <v>51</v>
      </c>
      <c r="C44">
        <f t="shared" si="2"/>
        <v>39</v>
      </c>
      <c r="D44">
        <f>VLOOKUP(A44,怪物模型!A$15:Z$70,8,0)</f>
        <v>5</v>
      </c>
      <c r="E44">
        <f>VLOOKUP(A44,怪物模型!A$15:G$70,3,0)</f>
        <v>1</v>
      </c>
      <c r="F44">
        <f>VLOOKUP(A44,怪物模型!A$15:G$77,4,0)</f>
        <v>1</v>
      </c>
      <c r="G44">
        <v>1</v>
      </c>
      <c r="H44">
        <f>VLOOKUP(A44,怪物模型!A$15:G$77,5,0)</f>
        <v>13</v>
      </c>
      <c r="I44">
        <f>VLOOKUP(A44,怪物模型!A$15:G$77,6,0)</f>
        <v>0</v>
      </c>
      <c r="J44">
        <f>VLOOKUP(A44,怪物模型!A$15:G$77,7,0)</f>
        <v>0</v>
      </c>
      <c r="K44">
        <f>ROUND(VLOOKUP(C44,战士难度!A$1:C$135,3,0)/VLOOKUP(B44,怪物抗性与玩家穿透!A$2:Q$74,17,0)*F44,0)</f>
        <v>182233</v>
      </c>
      <c r="L44">
        <f>IF(A44="卡雷",42,IF(A44="法力风暴",ROUND(K44*0.1,0),VLOOKUP(A44,怪物模型!$A$15:$I$70,9,0)*(1+(B44-30)/100)))</f>
        <v>1210</v>
      </c>
      <c r="M44">
        <f>ROUND(VLOOKUP(C44,战士难度!A$1:C$135,2,0)*0.91*E44,0)</f>
        <v>15470</v>
      </c>
      <c r="N44">
        <f t="shared" si="0"/>
        <v>18564</v>
      </c>
      <c r="O44">
        <f>VLOOKUP(B44,怪物抗性与玩家穿透!A$2:Q$74,4,0)</f>
        <v>3000</v>
      </c>
      <c r="P44">
        <f>VLOOKUP(B44,怪物抗性与玩家穿透!A$2:Q$74,5,0)</f>
        <v>900</v>
      </c>
      <c r="Q44">
        <f t="shared" si="1"/>
        <v>900</v>
      </c>
      <c r="R44">
        <f>VLOOKUP(B44,[3]battleParameter.xml!$A$6:$E$107,5,0)*(I44/100)/(1-I44/100)</f>
        <v>0</v>
      </c>
      <c r="S44">
        <f>ROUND(VLOOKUP(B44,[3]battleParameter.xml!$A$6:$G$107,7,0)*(J44/100)/(1-J44/100),0)</f>
        <v>0</v>
      </c>
      <c r="T44">
        <f>ROUND(VLOOKUP(B44,[3]battleParameter.xml!$A$6:$Z$107,8,0)*(MIN(H44/100+0.2,0.99))/(1-MIN(H44/100+0.2,0.99)),0)</f>
        <v>980</v>
      </c>
      <c r="U44">
        <v>0</v>
      </c>
      <c r="V44">
        <v>0</v>
      </c>
    </row>
    <row r="45" spans="1:22">
      <c r="A45" t="str">
        <f>[2]monster.xml!$D390</f>
        <v>荒野游侠</v>
      </c>
      <c r="B45">
        <f>[2]monster.xml!$C390</f>
        <v>51</v>
      </c>
      <c r="C45">
        <f t="shared" si="2"/>
        <v>40</v>
      </c>
      <c r="D45">
        <f>VLOOKUP(A45,怪物模型!A$15:Z$70,8,0)</f>
        <v>16</v>
      </c>
      <c r="E45">
        <f>VLOOKUP(A45,怪物模型!A$15:G$70,3,0)</f>
        <v>1</v>
      </c>
      <c r="F45">
        <f>VLOOKUP(A45,怪物模型!A$15:G$77,4,0)</f>
        <v>0.8</v>
      </c>
      <c r="G45">
        <v>1</v>
      </c>
      <c r="H45">
        <f>VLOOKUP(A45,怪物模型!A$15:G$77,5,0)</f>
        <v>35</v>
      </c>
      <c r="I45">
        <f>VLOOKUP(A45,怪物模型!A$15:G$77,6,0)</f>
        <v>0</v>
      </c>
      <c r="J45">
        <f>VLOOKUP(A45,怪物模型!A$15:G$77,7,0)</f>
        <v>0</v>
      </c>
      <c r="K45">
        <f>ROUND(VLOOKUP(C45,战士难度!A$1:C$135,3,0)/VLOOKUP(B45,怪物抗性与玩家穿透!A$2:Q$74,17,0)*F45,0)</f>
        <v>160127</v>
      </c>
      <c r="L45">
        <f>IF(A45="卡雷",42,IF(A45="法力风暴",ROUND(K45*0.1,0),VLOOKUP(A45,怪物模型!$A$15:$I$70,9,0)*(1+(B45-30)/100)))</f>
        <v>2420</v>
      </c>
      <c r="M45">
        <f>ROUND(VLOOKUP(C45,战士难度!A$1:C$135,2,0)*0.91*E45,0)</f>
        <v>17317</v>
      </c>
      <c r="N45">
        <f t="shared" si="0"/>
        <v>20780</v>
      </c>
      <c r="O45">
        <f>VLOOKUP(B45,怪物抗性与玩家穿透!A$2:Q$74,4,0)</f>
        <v>3000</v>
      </c>
      <c r="P45">
        <f>VLOOKUP(B45,怪物抗性与玩家穿透!A$2:Q$74,5,0)</f>
        <v>900</v>
      </c>
      <c r="Q45">
        <f t="shared" si="1"/>
        <v>900</v>
      </c>
      <c r="R45">
        <f>VLOOKUP(B45,[3]battleParameter.xml!$A$6:$E$107,5,0)*(I45/100)/(1-I45/100)</f>
        <v>0</v>
      </c>
      <c r="S45">
        <f>ROUND(VLOOKUP(B45,[3]battleParameter.xml!$A$6:$G$107,7,0)*(J45/100)/(1-J45/100),0)</f>
        <v>0</v>
      </c>
      <c r="T45">
        <f>ROUND(VLOOKUP(B45,[3]battleParameter.xml!$A$6:$Z$107,8,0)*(MIN(H45/100+0.2,0.99))/(1-MIN(H45/100+0.2,0.99)),0)</f>
        <v>2432</v>
      </c>
      <c r="U45">
        <v>0</v>
      </c>
      <c r="V45">
        <v>0</v>
      </c>
    </row>
    <row r="46" spans="1:22">
      <c r="A46" t="str">
        <f>[2]monster.xml!$D391</f>
        <v>憾地者</v>
      </c>
      <c r="B46">
        <f>[2]monster.xml!$C391</f>
        <v>51</v>
      </c>
      <c r="C46">
        <f t="shared" si="2"/>
        <v>41</v>
      </c>
      <c r="D46">
        <f>VLOOKUP(A46,怪物模型!A$15:Z$70,8,0)</f>
        <v>4</v>
      </c>
      <c r="E46">
        <f>VLOOKUP(A46,怪物模型!A$15:G$70,3,0)</f>
        <v>0.85</v>
      </c>
      <c r="F46">
        <f>VLOOKUP(A46,怪物模型!A$15:G$77,4,0)</f>
        <v>1</v>
      </c>
      <c r="G46">
        <v>1</v>
      </c>
      <c r="H46">
        <f>VLOOKUP(A46,怪物模型!A$15:G$77,5,0)</f>
        <v>13</v>
      </c>
      <c r="I46">
        <f>VLOOKUP(A46,怪物模型!A$15:G$77,6,0)</f>
        <v>0</v>
      </c>
      <c r="J46">
        <f>VLOOKUP(A46,怪物模型!A$15:G$77,7,0)</f>
        <v>0</v>
      </c>
      <c r="K46">
        <f>ROUND(VLOOKUP(C46,战士难度!A$1:C$135,3,0)/VLOOKUP(B46,怪物抗性与玩家穿透!A$2:Q$74,17,0)*F46,0)</f>
        <v>219847</v>
      </c>
      <c r="L46">
        <f>IF(A46="卡雷",42,IF(A46="法力风暴",ROUND(K46*0.1,0),VLOOKUP(A46,怪物模型!$A$15:$I$70,9,0)*(1+(B46-30)/100)))</f>
        <v>1210</v>
      </c>
      <c r="M46">
        <f>ROUND(VLOOKUP(C46,战士难度!A$1:C$135,2,0)*0.91*E46,0)</f>
        <v>16479</v>
      </c>
      <c r="N46">
        <f t="shared" si="0"/>
        <v>19775</v>
      </c>
      <c r="O46">
        <f>VLOOKUP(B46,怪物抗性与玩家穿透!A$2:Q$74,4,0)</f>
        <v>3000</v>
      </c>
      <c r="P46">
        <f>VLOOKUP(B46,怪物抗性与玩家穿透!A$2:Q$74,5,0)</f>
        <v>900</v>
      </c>
      <c r="Q46">
        <f t="shared" si="1"/>
        <v>900</v>
      </c>
      <c r="R46">
        <f>VLOOKUP(B46,[3]battleParameter.xml!$A$6:$E$107,5,0)*(I46/100)/(1-I46/100)</f>
        <v>0</v>
      </c>
      <c r="S46">
        <f>ROUND(VLOOKUP(B46,[3]battleParameter.xml!$A$6:$G$107,7,0)*(J46/100)/(1-J46/100),0)</f>
        <v>0</v>
      </c>
      <c r="T46">
        <f>ROUND(VLOOKUP(B46,[3]battleParameter.xml!$A$6:$Z$107,8,0)*(MIN(H46/100+0.2,0.99))/(1-MIN(H46/100+0.2,0.99)),0)</f>
        <v>980</v>
      </c>
      <c r="U46">
        <v>0</v>
      </c>
      <c r="V46">
        <v>0</v>
      </c>
    </row>
    <row r="47" spans="1:22">
      <c r="A47" t="str">
        <f>[2]monster.xml!$D392</f>
        <v>拉兹</v>
      </c>
      <c r="B47">
        <f>[2]monster.xml!$C392</f>
        <v>52</v>
      </c>
      <c r="C47">
        <f t="shared" si="2"/>
        <v>42</v>
      </c>
      <c r="D47">
        <f>VLOOKUP(A47,怪物模型!A$15:Z$70,8,0)</f>
        <v>10</v>
      </c>
      <c r="E47">
        <f>VLOOKUP(A47,怪物模型!A$15:G$70,3,0)</f>
        <v>1.2</v>
      </c>
      <c r="F47">
        <f>VLOOKUP(A47,怪物模型!A$15:G$77,4,0)</f>
        <v>1</v>
      </c>
      <c r="G47">
        <v>1</v>
      </c>
      <c r="H47">
        <f>VLOOKUP(A47,怪物模型!A$15:G$77,5,0)</f>
        <v>13</v>
      </c>
      <c r="I47">
        <f>VLOOKUP(A47,怪物模型!A$15:G$77,6,0)</f>
        <v>0</v>
      </c>
      <c r="J47">
        <f>VLOOKUP(A47,怪物模型!A$15:G$77,7,0)</f>
        <v>20</v>
      </c>
      <c r="K47">
        <f>ROUND(VLOOKUP(C47,战士难度!A$1:C$135,3,0)/VLOOKUP(B47,怪物抗性与玩家穿透!A$2:Q$74,17,0)*F47,0)</f>
        <v>237430</v>
      </c>
      <c r="L47">
        <f>IF(A47="卡雷",42,IF(A47="法力风暴",ROUND(K47*0.1,0),VLOOKUP(A47,怪物模型!$A$15:$I$70,9,0)*(1+(B47-30)/100)))</f>
        <v>2440</v>
      </c>
      <c r="M47">
        <f>ROUND(VLOOKUP(C47,战士难度!A$1:C$135,2,0)*0.91*E47,0)</f>
        <v>27040</v>
      </c>
      <c r="N47">
        <f t="shared" si="0"/>
        <v>32448</v>
      </c>
      <c r="O47">
        <f>VLOOKUP(B47,怪物抗性与玩家穿透!A$2:Q$74,4,0)</f>
        <v>3500</v>
      </c>
      <c r="P47">
        <f>VLOOKUP(B47,怪物抗性与玩家穿透!A$2:Q$74,5,0)</f>
        <v>1050</v>
      </c>
      <c r="Q47">
        <f t="shared" si="1"/>
        <v>1050</v>
      </c>
      <c r="R47">
        <f>VLOOKUP(B47,[3]battleParameter.xml!$A$6:$E$107,5,0)*(I47/100)/(1-I47/100)</f>
        <v>0</v>
      </c>
      <c r="S47">
        <f>ROUND(VLOOKUP(B47,[3]battleParameter.xml!$A$6:$G$107,7,0)*(J47/100)/(1-J47/100),0)</f>
        <v>2068</v>
      </c>
      <c r="T47">
        <f>ROUND(VLOOKUP(B47,[3]battleParameter.xml!$A$6:$Z$107,8,0)*(MIN(H47/100+0.2,0.99))/(1-MIN(H47/100+0.2,0.99)),0)</f>
        <v>1018</v>
      </c>
      <c r="U47">
        <v>0</v>
      </c>
      <c r="V47">
        <v>0</v>
      </c>
    </row>
    <row r="48" spans="1:22">
      <c r="A48" t="str">
        <f>[2]monster.xml!$D393</f>
        <v>塔克</v>
      </c>
      <c r="B48">
        <f>[2]monster.xml!$C393</f>
        <v>52</v>
      </c>
      <c r="C48">
        <f t="shared" si="2"/>
        <v>42</v>
      </c>
      <c r="D48">
        <f>VLOOKUP(A48,怪物模型!A$15:Z$70,8,0)</f>
        <v>3</v>
      </c>
      <c r="E48">
        <f>VLOOKUP(A48,怪物模型!A$15:G$70,3,0)</f>
        <v>0.35</v>
      </c>
      <c r="F48">
        <f>VLOOKUP(A48,怪物模型!A$15:G$77,4,0)</f>
        <v>0.6</v>
      </c>
      <c r="G48">
        <v>1</v>
      </c>
      <c r="H48">
        <f>VLOOKUP(A48,怪物模型!A$15:G$77,5,0)</f>
        <v>13</v>
      </c>
      <c r="I48">
        <f>VLOOKUP(A48,怪物模型!A$15:G$77,6,0)</f>
        <v>0</v>
      </c>
      <c r="J48">
        <f>VLOOKUP(A48,怪物模型!A$15:G$77,7,0)</f>
        <v>0</v>
      </c>
      <c r="K48">
        <f>ROUND(VLOOKUP(C48,战士难度!A$1:C$135,3,0)/VLOOKUP(B48,怪物抗性与玩家穿透!A$2:Q$74,17,0)*F48,0)</f>
        <v>142458</v>
      </c>
      <c r="L48">
        <f>IF(A48="卡雷",42,IF(A48="法力风暴",ROUND(K48*0.1,0),VLOOKUP(A48,怪物模型!$A$15:$I$70,9,0)*(1+(B48-30)/100)))</f>
        <v>1220</v>
      </c>
      <c r="M48">
        <f>ROUND(VLOOKUP(C48,战士难度!A$1:C$135,2,0)*0.91*E48,0)</f>
        <v>7887</v>
      </c>
      <c r="N48">
        <f t="shared" si="0"/>
        <v>9464</v>
      </c>
      <c r="O48">
        <f>VLOOKUP(B48,怪物抗性与玩家穿透!A$2:Q$74,4,0)</f>
        <v>3500</v>
      </c>
      <c r="P48">
        <f>VLOOKUP(B48,怪物抗性与玩家穿透!A$2:Q$74,5,0)</f>
        <v>1050</v>
      </c>
      <c r="Q48">
        <f t="shared" si="1"/>
        <v>1050</v>
      </c>
      <c r="R48">
        <f>VLOOKUP(B48,[3]battleParameter.xml!$A$6:$E$107,5,0)*(I48/100)/(1-I48/100)</f>
        <v>0</v>
      </c>
      <c r="S48">
        <f>ROUND(VLOOKUP(B48,[3]battleParameter.xml!$A$6:$G$107,7,0)*(J48/100)/(1-J48/100),0)</f>
        <v>0</v>
      </c>
      <c r="T48">
        <f>ROUND(VLOOKUP(B48,[3]battleParameter.xml!$A$6:$Z$107,8,0)*(MIN(H48/100+0.2,0.99))/(1-MIN(H48/100+0.2,0.99)),0)</f>
        <v>1018</v>
      </c>
      <c r="U48">
        <v>0</v>
      </c>
      <c r="V48">
        <v>0</v>
      </c>
    </row>
    <row r="49" spans="1:22">
      <c r="A49" t="str">
        <f>[2]monster.xml!$D394</f>
        <v>迪皮斯</v>
      </c>
      <c r="B49">
        <f>[2]monster.xml!$C394</f>
        <v>52</v>
      </c>
      <c r="C49">
        <f t="shared" si="2"/>
        <v>43</v>
      </c>
      <c r="D49" t="str">
        <f>VLOOKUP(A49,怪物模型!A$15:Z$70,8,0)</f>
        <v>17,14</v>
      </c>
      <c r="E49">
        <f>VLOOKUP(A49,怪物模型!A$15:G$70,3,0)</f>
        <v>0.6</v>
      </c>
      <c r="F49">
        <f>VLOOKUP(A49,怪物模型!A$15:G$77,4,0)</f>
        <v>0.4</v>
      </c>
      <c r="G49">
        <v>1</v>
      </c>
      <c r="H49">
        <f>VLOOKUP(A49,怪物模型!A$15:G$77,5,0)</f>
        <v>13</v>
      </c>
      <c r="I49">
        <f>VLOOKUP(A49,怪物模型!A$15:G$77,6,0)</f>
        <v>0</v>
      </c>
      <c r="J49">
        <f>VLOOKUP(A49,怪物模型!A$15:G$77,7,0)</f>
        <v>0</v>
      </c>
      <c r="K49">
        <f>ROUND(VLOOKUP(C49,战士难度!A$1:C$135,3,0)/VLOOKUP(B49,怪物抗性与玩家穿透!A$2:Q$74,17,0)*F49,0)</f>
        <v>104106</v>
      </c>
      <c r="L49">
        <f>IF(A49="卡雷",42,IF(A49="法力风暴",ROUND(K49*0.1,0),VLOOKUP(A49,怪物模型!$A$15:$I$70,9,0)*(1+(B49-30)/100)))</f>
        <v>1220</v>
      </c>
      <c r="M49">
        <f>ROUND(VLOOKUP(C49,战士难度!A$1:C$135,2,0)*0.91*E49,0)</f>
        <v>15013</v>
      </c>
      <c r="N49">
        <f t="shared" si="0"/>
        <v>18016</v>
      </c>
      <c r="O49">
        <f>VLOOKUP(B49,怪物抗性与玩家穿透!A$2:Q$74,4,0)</f>
        <v>3500</v>
      </c>
      <c r="P49">
        <f>VLOOKUP(B49,怪物抗性与玩家穿透!A$2:Q$74,5,0)</f>
        <v>1050</v>
      </c>
      <c r="Q49">
        <f t="shared" si="1"/>
        <v>1050</v>
      </c>
      <c r="R49">
        <f>VLOOKUP(B49,[3]battleParameter.xml!$A$6:$E$107,5,0)*(I49/100)/(1-I49/100)</f>
        <v>0</v>
      </c>
      <c r="S49">
        <f>ROUND(VLOOKUP(B49,[3]battleParameter.xml!$A$6:$G$107,7,0)*(J49/100)/(1-J49/100),0)</f>
        <v>0</v>
      </c>
      <c r="T49">
        <f>ROUND(VLOOKUP(B49,[3]battleParameter.xml!$A$6:$Z$107,8,0)*(MIN(H49/100+0.2,0.99))/(1-MIN(H49/100+0.2,0.99)),0)</f>
        <v>1018</v>
      </c>
      <c r="U49">
        <v>0</v>
      </c>
      <c r="V49">
        <v>0</v>
      </c>
    </row>
    <row r="50" spans="1:22">
      <c r="A50" t="str">
        <f>[2]monster.xml!$D395</f>
        <v>狂野安东尼</v>
      </c>
      <c r="B50">
        <f>[2]monster.xml!$C395</f>
        <v>53</v>
      </c>
      <c r="C50">
        <f t="shared" si="2"/>
        <v>44</v>
      </c>
      <c r="D50">
        <f>VLOOKUP(A50,怪物模型!A$15:Z$70,8,0)</f>
        <v>7</v>
      </c>
      <c r="E50">
        <f>VLOOKUP(A50,怪物模型!A$15:G$70,3,0)</f>
        <v>1</v>
      </c>
      <c r="F50">
        <f>VLOOKUP(A50,怪物模型!A$15:G$77,4,0)</f>
        <v>1</v>
      </c>
      <c r="G50">
        <v>1</v>
      </c>
      <c r="H50">
        <f>VLOOKUP(A50,怪物模型!A$15:G$77,5,0)</f>
        <v>13</v>
      </c>
      <c r="I50">
        <f>VLOOKUP(A50,怪物模型!A$15:G$77,6,0)</f>
        <v>0</v>
      </c>
      <c r="J50">
        <f>VLOOKUP(A50,怪物模型!A$15:G$77,7,0)</f>
        <v>0</v>
      </c>
      <c r="K50">
        <f>ROUND(VLOOKUP(C50,战士难度!A$1:C$135,3,0)/VLOOKUP(B50,怪物抗性与玩家穿透!A$2:Q$74,17,0)*F50,0)</f>
        <v>273194</v>
      </c>
      <c r="L50">
        <f>IF(A50="卡雷",42,IF(A50="法力风暴",ROUND(K50*0.1,0),VLOOKUP(A50,怪物模型!$A$15:$I$70,9,0)*(1+(B50-30)/100)))</f>
        <v>1230</v>
      </c>
      <c r="M50">
        <f>ROUND(VLOOKUP(C50,战士难度!A$1:C$135,2,0)*0.91*E50,0)</f>
        <v>27785</v>
      </c>
      <c r="N50">
        <f t="shared" si="0"/>
        <v>33342</v>
      </c>
      <c r="O50">
        <f>VLOOKUP(B50,怪物抗性与玩家穿透!A$2:Q$74,4,0)</f>
        <v>4000</v>
      </c>
      <c r="P50">
        <f>VLOOKUP(B50,怪物抗性与玩家穿透!A$2:Q$74,5,0)</f>
        <v>1200</v>
      </c>
      <c r="Q50">
        <f t="shared" si="1"/>
        <v>1200</v>
      </c>
      <c r="R50">
        <f>VLOOKUP(B50,[3]battleParameter.xml!$A$6:$E$107,5,0)*(I50/100)/(1-I50/100)</f>
        <v>0</v>
      </c>
      <c r="S50">
        <f>ROUND(VLOOKUP(B50,[3]battleParameter.xml!$A$6:$G$107,7,0)*(J50/100)/(1-J50/100),0)</f>
        <v>0</v>
      </c>
      <c r="T50">
        <f>ROUND(VLOOKUP(B50,[3]battleParameter.xml!$A$6:$Z$107,8,0)*(MIN(H50/100+0.2,0.99))/(1-MIN(H50/100+0.2,0.99)),0)</f>
        <v>1057</v>
      </c>
      <c r="U50">
        <v>0</v>
      </c>
      <c r="V50">
        <v>0</v>
      </c>
    </row>
    <row r="51" spans="1:22">
      <c r="A51" t="str">
        <f>[2]monster.xml!$D396</f>
        <v>巡林者瑞克</v>
      </c>
      <c r="B51">
        <f>[2]monster.xml!$C396</f>
        <v>54</v>
      </c>
      <c r="C51">
        <f t="shared" si="2"/>
        <v>45</v>
      </c>
      <c r="D51">
        <f>VLOOKUP(A51,怪物模型!A$15:Z$70,8,0)</f>
        <v>15</v>
      </c>
      <c r="E51">
        <f>VLOOKUP(A51,怪物模型!A$15:G$70,3,0)</f>
        <v>1</v>
      </c>
      <c r="F51">
        <f>VLOOKUP(A51,怪物模型!A$15:G$77,4,0)</f>
        <v>1</v>
      </c>
      <c r="G51">
        <v>1</v>
      </c>
      <c r="H51">
        <f>VLOOKUP(A51,怪物模型!A$15:G$77,5,0)</f>
        <v>13</v>
      </c>
      <c r="I51">
        <f>VLOOKUP(A51,怪物模型!A$15:G$77,6,0)</f>
        <v>0</v>
      </c>
      <c r="J51">
        <f>VLOOKUP(A51,怪物模型!A$15:G$77,7,0)</f>
        <v>0</v>
      </c>
      <c r="K51">
        <f>ROUND(VLOOKUP(C51,战士难度!A$1:C$135,3,0)/VLOOKUP(B51,怪物抗性与玩家穿透!A$2:Q$74,17,0)*F51,0)</f>
        <v>296935</v>
      </c>
      <c r="L51">
        <f>IF(A51="卡雷",42,IF(A51="法力风暴",ROUND(K51*0.1,0),VLOOKUP(A51,怪物模型!$A$15:$I$70,9,0)*(1+(B51-30)/100)))</f>
        <v>1240</v>
      </c>
      <c r="M51">
        <f>ROUND(VLOOKUP(C51,战士难度!A$1:C$135,2,0)*0.91*E51,0)</f>
        <v>31950</v>
      </c>
      <c r="N51">
        <f t="shared" si="0"/>
        <v>38340</v>
      </c>
      <c r="O51">
        <f>VLOOKUP(B51,怪物抗性与玩家穿透!A$2:Q$74,4,0)</f>
        <v>4500</v>
      </c>
      <c r="P51">
        <f>VLOOKUP(B51,怪物抗性与玩家穿透!A$2:Q$74,5,0)</f>
        <v>1350</v>
      </c>
      <c r="Q51">
        <f t="shared" si="1"/>
        <v>1350</v>
      </c>
      <c r="R51">
        <f>VLOOKUP(B51,[3]battleParameter.xml!$A$6:$E$107,5,0)*(I51/100)/(1-I51/100)</f>
        <v>0</v>
      </c>
      <c r="S51">
        <f>ROUND(VLOOKUP(B51,[3]battleParameter.xml!$A$6:$G$107,7,0)*(J51/100)/(1-J51/100),0)</f>
        <v>0</v>
      </c>
      <c r="T51">
        <f>ROUND(VLOOKUP(B51,[3]battleParameter.xml!$A$6:$Z$107,8,0)*(MIN(H51/100+0.2,0.99))/(1-MIN(H51/100+0.2,0.99)),0)</f>
        <v>1097</v>
      </c>
      <c r="U51">
        <v>0</v>
      </c>
      <c r="V51">
        <v>0</v>
      </c>
    </row>
    <row r="52" spans="1:22">
      <c r="A52" t="str">
        <f>[2]monster.xml!$D397</f>
        <v>战士幻象</v>
      </c>
      <c r="B52">
        <f>[2]monster.xml!$C397</f>
        <v>55</v>
      </c>
      <c r="C52">
        <f t="shared" si="2"/>
        <v>46</v>
      </c>
      <c r="D52">
        <f>VLOOKUP(A52,怪物模型!A$15:Z$70,8,0)</f>
        <v>3</v>
      </c>
      <c r="E52">
        <f>VLOOKUP(A52,怪物模型!A$15:G$70,3,0)</f>
        <v>1</v>
      </c>
      <c r="F52">
        <f>VLOOKUP(A52,怪物模型!A$15:G$77,4,0)</f>
        <v>1</v>
      </c>
      <c r="G52">
        <v>1</v>
      </c>
      <c r="H52">
        <f>VLOOKUP(A52,怪物模型!A$15:G$77,5,0)</f>
        <v>13</v>
      </c>
      <c r="I52">
        <f>VLOOKUP(A52,怪物模型!A$15:G$77,6,0)</f>
        <v>0</v>
      </c>
      <c r="J52">
        <f>VLOOKUP(A52,怪物模型!A$15:G$77,7,0)</f>
        <v>30</v>
      </c>
      <c r="K52">
        <f>ROUND(VLOOKUP(C52,战士难度!A$1:C$135,3,0)/VLOOKUP(B52,怪物抗性与玩家穿透!A$2:Q$74,17,0)*F52,0)</f>
        <v>161706</v>
      </c>
      <c r="L52">
        <f>IF(A52="卡雷",42,IF(A52="法力风暴",ROUND(K52*0.1,0),VLOOKUP(A52,怪物模型!$A$15:$I$70,9,0)*(1+(B52-30)/100)))</f>
        <v>625</v>
      </c>
      <c r="M52">
        <f>ROUND(VLOOKUP(C52,战士难度!A$1:C$135,2,0)*0.91*E52,0)</f>
        <v>14969</v>
      </c>
      <c r="N52">
        <f t="shared" si="0"/>
        <v>17963</v>
      </c>
      <c r="O52">
        <f>VLOOKUP(B52,怪物抗性与玩家穿透!A$2:Q$74,4,0)</f>
        <v>5000</v>
      </c>
      <c r="P52">
        <f>VLOOKUP(B52,怪物抗性与玩家穿透!A$2:Q$74,5,0)</f>
        <v>1500</v>
      </c>
      <c r="Q52">
        <f t="shared" si="1"/>
        <v>1500</v>
      </c>
      <c r="R52">
        <f>VLOOKUP(B52,[3]battleParameter.xml!$A$6:$E$107,5,0)*(I52/100)/(1-I52/100)</f>
        <v>0</v>
      </c>
      <c r="S52">
        <f>ROUND(VLOOKUP(B52,[3]battleParameter.xml!$A$6:$G$107,7,0)*(J52/100)/(1-J52/100),0)</f>
        <v>3960</v>
      </c>
      <c r="T52">
        <f>ROUND(VLOOKUP(B52,[3]battleParameter.xml!$A$6:$Z$107,8,0)*(MIN(H52/100+0.2,0.99))/(1-MIN(H52/100+0.2,0.99)),0)</f>
        <v>1138</v>
      </c>
      <c r="U52">
        <v>0</v>
      </c>
      <c r="V52">
        <v>0</v>
      </c>
    </row>
    <row r="53" spans="1:22">
      <c r="A53" t="str">
        <f>[2]monster.xml!$D398</f>
        <v>法力风暴</v>
      </c>
      <c r="B53">
        <f>[2]monster.xml!$C398</f>
        <v>55</v>
      </c>
      <c r="C53">
        <f t="shared" si="2"/>
        <v>47</v>
      </c>
      <c r="D53" t="str">
        <f>VLOOKUP(A53,怪物模型!A$15:Z$70,8,0)</f>
        <v>25,30</v>
      </c>
      <c r="E53">
        <f>VLOOKUP(A53,怪物模型!A$15:G$70,3,0)</f>
        <v>1.5</v>
      </c>
      <c r="F53">
        <f>VLOOKUP(A53,怪物模型!A$15:G$77,4,0)</f>
        <v>0.68</v>
      </c>
      <c r="G53">
        <v>1</v>
      </c>
      <c r="H53">
        <f>VLOOKUP(A53,怪物模型!A$15:G$77,5,0)</f>
        <v>13</v>
      </c>
      <c r="I53">
        <f>VLOOKUP(A53,怪物模型!A$15:G$77,6,0)</f>
        <v>0</v>
      </c>
      <c r="J53">
        <f>VLOOKUP(A53,怪物模型!A$15:G$77,7,0)</f>
        <v>0</v>
      </c>
      <c r="K53">
        <f>ROUND(VLOOKUP(C53,战士难度!A$1:C$135,3,0)/VLOOKUP(B53,怪物抗性与玩家穿透!A$2:Q$74,17,0)*F53,0)</f>
        <v>124727</v>
      </c>
      <c r="L53">
        <f>IF(A53="卡雷",42,IF(A53="法力风暴",ROUND(K53*0.1,0),VLOOKUP(A53,怪物模型!$A$15:$I$70,9,0)*(1+(B53-30)/100)))</f>
        <v>12473</v>
      </c>
      <c r="M53">
        <f>ROUND(VLOOKUP(C53,战士难度!A$1:C$135,2,0)*0.91*E53,0)</f>
        <v>27585</v>
      </c>
      <c r="N53">
        <f t="shared" si="0"/>
        <v>33102</v>
      </c>
      <c r="O53">
        <f>VLOOKUP(B53,怪物抗性与玩家穿透!A$2:Q$74,4,0)</f>
        <v>5000</v>
      </c>
      <c r="P53">
        <f>VLOOKUP(B53,怪物抗性与玩家穿透!A$2:Q$74,5,0)</f>
        <v>1500</v>
      </c>
      <c r="Q53">
        <f t="shared" si="1"/>
        <v>1500</v>
      </c>
      <c r="R53">
        <f>VLOOKUP(B53,[3]battleParameter.xml!$A$6:$E$107,5,0)*(I53/100)/(1-I53/100)</f>
        <v>0</v>
      </c>
      <c r="S53">
        <f>ROUND(VLOOKUP(B53,[3]battleParameter.xml!$A$6:$G$107,7,0)*(J53/100)/(1-J53/100),0)</f>
        <v>0</v>
      </c>
      <c r="T53">
        <f>ROUND(VLOOKUP(B53,[3]battleParameter.xml!$A$6:$Z$107,8,0)*(MIN(H53/100+0.2,0.99))/(1-MIN(H53/100+0.2,0.99)),0)</f>
        <v>1138</v>
      </c>
      <c r="U53">
        <v>0</v>
      </c>
      <c r="V53">
        <v>0</v>
      </c>
    </row>
    <row r="54" spans="1:22">
      <c r="A54" t="str">
        <f>[2]monster.xml!$D399</f>
        <v>角斗士里奥</v>
      </c>
      <c r="B54">
        <f>[2]monster.xml!$C399</f>
        <v>56</v>
      </c>
      <c r="C54">
        <f t="shared" si="2"/>
        <v>48</v>
      </c>
      <c r="D54">
        <f>VLOOKUP(A54,怪物模型!A$15:Z$70,8,0)</f>
        <v>5</v>
      </c>
      <c r="E54">
        <f>VLOOKUP(A54,怪物模型!A$15:G$70,3,0)</f>
        <v>1</v>
      </c>
      <c r="F54">
        <f>VLOOKUP(A54,怪物模型!A$15:G$77,4,0)</f>
        <v>1</v>
      </c>
      <c r="G54">
        <v>1</v>
      </c>
      <c r="H54">
        <f>VLOOKUP(A54,怪物模型!A$15:G$77,5,0)</f>
        <v>13</v>
      </c>
      <c r="I54">
        <f>VLOOKUP(A54,怪物模型!A$15:G$77,6,0)</f>
        <v>0</v>
      </c>
      <c r="J54">
        <f>VLOOKUP(A54,怪物模型!A$15:G$77,7,0)</f>
        <v>0</v>
      </c>
      <c r="K54">
        <f>ROUND(VLOOKUP(C54,战士难度!A$1:C$135,3,0)/VLOOKUP(B54,怪物抗性与玩家穿透!A$2:Q$74,17,0)*F54,0)</f>
        <v>210135</v>
      </c>
      <c r="L54">
        <f>IF(A54="卡雷",42,IF(A54="法力风暴",ROUND(K54*0.1,0),VLOOKUP(A54,怪物模型!$A$15:$I$70,9,0)*(1+(B54-30)/100)))</f>
        <v>1260</v>
      </c>
      <c r="M54">
        <f>ROUND(VLOOKUP(C54,战士难度!A$1:C$135,2,0)*0.91*E54,0)</f>
        <v>24199</v>
      </c>
      <c r="N54">
        <f t="shared" si="0"/>
        <v>29039</v>
      </c>
      <c r="O54">
        <f>VLOOKUP(B54,怪物抗性与玩家穿透!A$2:Q$74,4,0)</f>
        <v>5500</v>
      </c>
      <c r="P54">
        <f>VLOOKUP(B54,怪物抗性与玩家穿透!A$2:Q$74,5,0)</f>
        <v>1650</v>
      </c>
      <c r="Q54">
        <f t="shared" si="1"/>
        <v>1650</v>
      </c>
      <c r="R54">
        <f>VLOOKUP(B54,[3]battleParameter.xml!$A$6:$E$107,5,0)*(I54/100)/(1-I54/100)</f>
        <v>0</v>
      </c>
      <c r="S54">
        <f>ROUND(VLOOKUP(B54,[3]battleParameter.xml!$A$6:$G$107,7,0)*(J54/100)/(1-J54/100),0)</f>
        <v>0</v>
      </c>
      <c r="T54">
        <f>ROUND(VLOOKUP(B54,[3]battleParameter.xml!$A$6:$Z$107,8,0)*(MIN(H54/100+0.2,0.99))/(1-MIN(H54/100+0.2,0.99)),0)</f>
        <v>1179</v>
      </c>
      <c r="U54">
        <v>0</v>
      </c>
      <c r="V54">
        <v>0</v>
      </c>
    </row>
    <row r="55" spans="1:22">
      <c r="A55" t="str">
        <f>[2]monster.xml!$D400</f>
        <v>荒野游侠</v>
      </c>
      <c r="B55">
        <f>[2]monster.xml!$C400</f>
        <v>56</v>
      </c>
      <c r="C55">
        <f t="shared" si="2"/>
        <v>49</v>
      </c>
      <c r="D55">
        <f>VLOOKUP(A55,怪物模型!A$15:Z$70,8,0)</f>
        <v>16</v>
      </c>
      <c r="E55">
        <f>VLOOKUP(A55,怪物模型!A$15:G$70,3,0)</f>
        <v>1</v>
      </c>
      <c r="F55">
        <f>VLOOKUP(A55,怪物模型!A$15:G$77,4,0)</f>
        <v>0.8</v>
      </c>
      <c r="G55">
        <v>1</v>
      </c>
      <c r="H55">
        <f>VLOOKUP(A55,怪物模型!A$15:G$77,5,0)</f>
        <v>35</v>
      </c>
      <c r="I55">
        <f>VLOOKUP(A55,怪物模型!A$15:G$77,6,0)</f>
        <v>0</v>
      </c>
      <c r="J55">
        <f>VLOOKUP(A55,怪物模型!A$15:G$77,7,0)</f>
        <v>0</v>
      </c>
      <c r="K55">
        <f>ROUND(VLOOKUP(C55,战士难度!A$1:C$135,3,0)/VLOOKUP(B55,怪物抗性与玩家穿透!A$2:Q$74,17,0)*F55,0)</f>
        <v>183658</v>
      </c>
      <c r="L55">
        <f>IF(A55="卡雷",42,IF(A55="法力风暴",ROUND(K55*0.1,0),VLOOKUP(A55,怪物模型!$A$15:$I$70,9,0)*(1+(B55-30)/100)))</f>
        <v>2520</v>
      </c>
      <c r="M55">
        <f>ROUND(VLOOKUP(C55,战士难度!A$1:C$135,2,0)*0.91*E55,0)</f>
        <v>27309</v>
      </c>
      <c r="N55">
        <f t="shared" si="0"/>
        <v>32771</v>
      </c>
      <c r="O55">
        <f>VLOOKUP(B55,怪物抗性与玩家穿透!A$2:Q$74,4,0)</f>
        <v>5500</v>
      </c>
      <c r="P55">
        <f>VLOOKUP(B55,怪物抗性与玩家穿透!A$2:Q$74,5,0)</f>
        <v>1650</v>
      </c>
      <c r="Q55">
        <f t="shared" si="1"/>
        <v>1650</v>
      </c>
      <c r="R55">
        <f>VLOOKUP(B55,[3]battleParameter.xml!$A$6:$E$107,5,0)*(I55/100)/(1-I55/100)</f>
        <v>0</v>
      </c>
      <c r="S55">
        <f>ROUND(VLOOKUP(B55,[3]battleParameter.xml!$A$6:$G$107,7,0)*(J55/100)/(1-J55/100),0)</f>
        <v>0</v>
      </c>
      <c r="T55">
        <f>ROUND(VLOOKUP(B55,[3]battleParameter.xml!$A$6:$Z$107,8,0)*(MIN(H55/100+0.2,0.99))/(1-MIN(H55/100+0.2,0.99)),0)</f>
        <v>2925</v>
      </c>
      <c r="U55">
        <v>0</v>
      </c>
      <c r="V55">
        <v>0</v>
      </c>
    </row>
    <row r="56" spans="1:22">
      <c r="A56" t="str">
        <f>[2]monster.xml!$D401</f>
        <v>憾地者</v>
      </c>
      <c r="B56">
        <f>[2]monster.xml!$C401</f>
        <v>56</v>
      </c>
      <c r="C56">
        <f t="shared" si="2"/>
        <v>50</v>
      </c>
      <c r="D56">
        <f>VLOOKUP(A56,怪物模型!A$15:Z$70,8,0)</f>
        <v>4</v>
      </c>
      <c r="E56">
        <f>VLOOKUP(A56,怪物模型!A$15:G$70,3,0)</f>
        <v>0.85</v>
      </c>
      <c r="F56">
        <f>VLOOKUP(A56,怪物模型!A$15:G$77,4,0)</f>
        <v>1</v>
      </c>
      <c r="G56">
        <v>1</v>
      </c>
      <c r="H56">
        <f>VLOOKUP(A56,怪物模型!A$15:G$77,5,0)</f>
        <v>13</v>
      </c>
      <c r="I56">
        <f>VLOOKUP(A56,怪物模型!A$15:G$77,6,0)</f>
        <v>0</v>
      </c>
      <c r="J56">
        <f>VLOOKUP(A56,怪物模型!A$15:G$77,7,0)</f>
        <v>0</v>
      </c>
      <c r="K56">
        <f>ROUND(VLOOKUP(C56,战士难度!A$1:C$135,3,0)/VLOOKUP(B56,怪物抗性与玩家穿透!A$2:Q$74,17,0)*F56,0)</f>
        <v>250806</v>
      </c>
      <c r="L56">
        <f>IF(A56="卡雷",42,IF(A56="法力风暴",ROUND(K56*0.1,0),VLOOKUP(A56,怪物模型!$A$15:$I$70,9,0)*(1+(B56-30)/100)))</f>
        <v>1260</v>
      </c>
      <c r="M56">
        <f>ROUND(VLOOKUP(C56,战士难度!A$1:C$135,2,0)*0.91*E56,0)</f>
        <v>26197</v>
      </c>
      <c r="N56">
        <f t="shared" si="0"/>
        <v>31436</v>
      </c>
      <c r="O56">
        <f>VLOOKUP(B56,怪物抗性与玩家穿透!A$2:Q$74,4,0)</f>
        <v>5500</v>
      </c>
      <c r="P56">
        <f>VLOOKUP(B56,怪物抗性与玩家穿透!A$2:Q$74,5,0)</f>
        <v>1650</v>
      </c>
      <c r="Q56">
        <f t="shared" si="1"/>
        <v>1650</v>
      </c>
      <c r="R56">
        <f>VLOOKUP(B56,[3]battleParameter.xml!$A$6:$E$107,5,0)*(I56/100)/(1-I56/100)</f>
        <v>0</v>
      </c>
      <c r="S56">
        <f>ROUND(VLOOKUP(B56,[3]battleParameter.xml!$A$6:$G$107,7,0)*(J56/100)/(1-J56/100),0)</f>
        <v>0</v>
      </c>
      <c r="T56">
        <f>ROUND(VLOOKUP(B56,[3]battleParameter.xml!$A$6:$Z$107,8,0)*(MIN(H56/100+0.2,0.99))/(1-MIN(H56/100+0.2,0.99)),0)</f>
        <v>1179</v>
      </c>
      <c r="U56">
        <v>0</v>
      </c>
      <c r="V56">
        <v>0</v>
      </c>
    </row>
    <row r="57" spans="1:22">
      <c r="A57" t="str">
        <f>[2]monster.xml!$D402</f>
        <v>拉兹</v>
      </c>
      <c r="B57">
        <f>[2]monster.xml!$C402</f>
        <v>57</v>
      </c>
      <c r="C57">
        <f t="shared" si="2"/>
        <v>51</v>
      </c>
      <c r="D57">
        <f>VLOOKUP(A57,怪物模型!A$15:Z$70,8,0)</f>
        <v>10</v>
      </c>
      <c r="E57">
        <f>VLOOKUP(A57,怪物模型!A$15:G$70,3,0)</f>
        <v>1.2</v>
      </c>
      <c r="F57">
        <f>VLOOKUP(A57,怪物模型!A$15:G$77,4,0)</f>
        <v>1</v>
      </c>
      <c r="G57">
        <v>1</v>
      </c>
      <c r="H57">
        <f>VLOOKUP(A57,怪物模型!A$15:G$77,5,0)</f>
        <v>13</v>
      </c>
      <c r="I57">
        <f>VLOOKUP(A57,怪物模型!A$15:G$77,6,0)</f>
        <v>0</v>
      </c>
      <c r="J57">
        <f>VLOOKUP(A57,怪物模型!A$15:G$77,7,0)</f>
        <v>20</v>
      </c>
      <c r="K57">
        <f>ROUND(VLOOKUP(C57,战士难度!A$1:C$135,3,0)/VLOOKUP(B57,怪物抗性与玩家穿透!A$2:Q$74,17,0)*F57,0)</f>
        <v>274115</v>
      </c>
      <c r="L57">
        <f>IF(A57="卡雷",42,IF(A57="法力风暴",ROUND(K57*0.1,0),VLOOKUP(A57,怪物模型!$A$15:$I$70,9,0)*(1+(B57-30)/100)))</f>
        <v>2540</v>
      </c>
      <c r="M57">
        <f>ROUND(VLOOKUP(C57,战士难度!A$1:C$135,2,0)*0.91*E57,0)</f>
        <v>43455</v>
      </c>
      <c r="N57">
        <f t="shared" si="0"/>
        <v>52146</v>
      </c>
      <c r="O57">
        <f>VLOOKUP(B57,怪物抗性与玩家穿透!A$2:Q$74,4,0)</f>
        <v>6000</v>
      </c>
      <c r="P57">
        <f>VLOOKUP(B57,怪物抗性与玩家穿透!A$2:Q$74,5,0)</f>
        <v>1800</v>
      </c>
      <c r="Q57">
        <f t="shared" si="1"/>
        <v>1800</v>
      </c>
      <c r="R57">
        <f>VLOOKUP(B57,[3]battleParameter.xml!$A$6:$E$107,5,0)*(I57/100)/(1-I57/100)</f>
        <v>0</v>
      </c>
      <c r="S57">
        <f>ROUND(VLOOKUP(B57,[3]battleParameter.xml!$A$6:$G$107,7,0)*(J57/100)/(1-J57/100),0)</f>
        <v>2479</v>
      </c>
      <c r="T57">
        <f>ROUND(VLOOKUP(B57,[3]battleParameter.xml!$A$6:$Z$107,8,0)*(MIN(H57/100+0.2,0.99))/(1-MIN(H57/100+0.2,0.99)),0)</f>
        <v>1221</v>
      </c>
      <c r="U57">
        <v>0</v>
      </c>
      <c r="V57">
        <v>0</v>
      </c>
    </row>
    <row r="58" spans="1:22">
      <c r="A58" t="str">
        <f>[2]monster.xml!$D403</f>
        <v>塔克</v>
      </c>
      <c r="B58">
        <f>[2]monster.xml!$C403</f>
        <v>57</v>
      </c>
      <c r="C58">
        <f t="shared" si="2"/>
        <v>51</v>
      </c>
      <c r="D58">
        <f>VLOOKUP(A58,怪物模型!A$15:Z$70,8,0)</f>
        <v>3</v>
      </c>
      <c r="E58">
        <f>VLOOKUP(A58,怪物模型!A$15:G$70,3,0)</f>
        <v>0.35</v>
      </c>
      <c r="F58">
        <f>VLOOKUP(A58,怪物模型!A$15:G$77,4,0)</f>
        <v>0.6</v>
      </c>
      <c r="G58">
        <v>1</v>
      </c>
      <c r="H58">
        <f>VLOOKUP(A58,怪物模型!A$15:G$77,5,0)</f>
        <v>13</v>
      </c>
      <c r="I58">
        <f>VLOOKUP(A58,怪物模型!A$15:G$77,6,0)</f>
        <v>0</v>
      </c>
      <c r="J58">
        <f>VLOOKUP(A58,怪物模型!A$15:G$77,7,0)</f>
        <v>0</v>
      </c>
      <c r="K58">
        <f>ROUND(VLOOKUP(C58,战士难度!A$1:C$135,3,0)/VLOOKUP(B58,怪物抗性与玩家穿透!A$2:Q$74,17,0)*F58,0)</f>
        <v>164469</v>
      </c>
      <c r="L58">
        <f>IF(A58="卡雷",42,IF(A58="法力风暴",ROUND(K58*0.1,0),VLOOKUP(A58,怪物模型!$A$15:$I$70,9,0)*(1+(B58-30)/100)))</f>
        <v>1270</v>
      </c>
      <c r="M58">
        <f>ROUND(VLOOKUP(C58,战士难度!A$1:C$135,2,0)*0.91*E58,0)</f>
        <v>12674</v>
      </c>
      <c r="N58">
        <f t="shared" si="0"/>
        <v>15209</v>
      </c>
      <c r="O58">
        <f>VLOOKUP(B58,怪物抗性与玩家穿透!A$2:Q$74,4,0)</f>
        <v>6000</v>
      </c>
      <c r="P58">
        <f>VLOOKUP(B58,怪物抗性与玩家穿透!A$2:Q$74,5,0)</f>
        <v>1800</v>
      </c>
      <c r="Q58">
        <f t="shared" si="1"/>
        <v>1800</v>
      </c>
      <c r="R58">
        <f>VLOOKUP(B58,[3]battleParameter.xml!$A$6:$E$107,5,0)*(I58/100)/(1-I58/100)</f>
        <v>0</v>
      </c>
      <c r="S58">
        <f>ROUND(VLOOKUP(B58,[3]battleParameter.xml!$A$6:$G$107,7,0)*(J58/100)/(1-J58/100),0)</f>
        <v>0</v>
      </c>
      <c r="T58">
        <f>ROUND(VLOOKUP(B58,[3]battleParameter.xml!$A$6:$Z$107,8,0)*(MIN(H58/100+0.2,0.99))/(1-MIN(H58/100+0.2,0.99)),0)</f>
        <v>1221</v>
      </c>
      <c r="U58">
        <v>0</v>
      </c>
      <c r="V58">
        <v>0</v>
      </c>
    </row>
    <row r="59" spans="1:22">
      <c r="A59" t="str">
        <f>[2]monster.xml!$D404</f>
        <v>迪皮斯</v>
      </c>
      <c r="B59">
        <f>[2]monster.xml!$C404</f>
        <v>57</v>
      </c>
      <c r="C59">
        <f t="shared" si="2"/>
        <v>52</v>
      </c>
      <c r="D59" t="str">
        <f>VLOOKUP(A59,怪物模型!A$15:Z$70,8,0)</f>
        <v>17,14</v>
      </c>
      <c r="E59">
        <f>VLOOKUP(A59,怪物模型!A$15:G$70,3,0)</f>
        <v>0.6</v>
      </c>
      <c r="F59">
        <f>VLOOKUP(A59,怪物模型!A$15:G$77,4,0)</f>
        <v>0.4</v>
      </c>
      <c r="G59">
        <v>1</v>
      </c>
      <c r="H59">
        <f>VLOOKUP(A59,怪物模型!A$15:G$77,5,0)</f>
        <v>13</v>
      </c>
      <c r="I59">
        <f>VLOOKUP(A59,怪物模型!A$15:G$77,6,0)</f>
        <v>0</v>
      </c>
      <c r="J59">
        <f>VLOOKUP(A59,怪物模型!A$15:G$77,7,0)</f>
        <v>0</v>
      </c>
      <c r="K59">
        <f>ROUND(VLOOKUP(C59,战士难度!A$1:C$135,3,0)/VLOOKUP(B59,怪物抗性与玩家穿透!A$2:Q$74,17,0)*F59,0)</f>
        <v>119722</v>
      </c>
      <c r="L59">
        <f>IF(A59="卡雷",42,IF(A59="法力风暴",ROUND(K59*0.1,0),VLOOKUP(A59,怪物模型!$A$15:$I$70,9,0)*(1+(B59-30)/100)))</f>
        <v>1270</v>
      </c>
      <c r="M59">
        <f>ROUND(VLOOKUP(C59,战士难度!A$1:C$135,2,0)*0.91*E59,0)</f>
        <v>24251</v>
      </c>
      <c r="N59">
        <f t="shared" si="0"/>
        <v>29101</v>
      </c>
      <c r="O59">
        <f>VLOOKUP(B59,怪物抗性与玩家穿透!A$2:Q$74,4,0)</f>
        <v>6000</v>
      </c>
      <c r="P59">
        <f>VLOOKUP(B59,怪物抗性与玩家穿透!A$2:Q$74,5,0)</f>
        <v>1800</v>
      </c>
      <c r="Q59">
        <f t="shared" si="1"/>
        <v>1800</v>
      </c>
      <c r="R59">
        <f>VLOOKUP(B59,[3]battleParameter.xml!$A$6:$E$107,5,0)*(I59/100)/(1-I59/100)</f>
        <v>0</v>
      </c>
      <c r="S59">
        <f>ROUND(VLOOKUP(B59,[3]battleParameter.xml!$A$6:$G$107,7,0)*(J59/100)/(1-J59/100),0)</f>
        <v>0</v>
      </c>
      <c r="T59">
        <f>ROUND(VLOOKUP(B59,[3]battleParameter.xml!$A$6:$Z$107,8,0)*(MIN(H59/100+0.2,0.99))/(1-MIN(H59/100+0.2,0.99)),0)</f>
        <v>1221</v>
      </c>
      <c r="U59">
        <v>0</v>
      </c>
      <c r="V59">
        <v>0</v>
      </c>
    </row>
    <row r="60" spans="1:22">
      <c r="A60" t="str">
        <f>[2]monster.xml!$D405</f>
        <v>狂野安东尼</v>
      </c>
      <c r="B60">
        <f>[2]monster.xml!$C405</f>
        <v>58</v>
      </c>
      <c r="C60">
        <f t="shared" si="2"/>
        <v>53</v>
      </c>
      <c r="D60">
        <f>VLOOKUP(A60,怪物模型!A$15:Z$70,8,0)</f>
        <v>7</v>
      </c>
      <c r="E60">
        <f>VLOOKUP(A60,怪物模型!A$15:G$70,3,0)</f>
        <v>1</v>
      </c>
      <c r="F60">
        <f>VLOOKUP(A60,怪物模型!A$15:G$77,4,0)</f>
        <v>1</v>
      </c>
      <c r="G60">
        <v>1</v>
      </c>
      <c r="H60">
        <f>VLOOKUP(A60,怪物模型!A$15:G$77,5,0)</f>
        <v>13</v>
      </c>
      <c r="I60">
        <f>VLOOKUP(A60,怪物模型!A$15:G$77,6,0)</f>
        <v>0</v>
      </c>
      <c r="J60">
        <f>VLOOKUP(A60,怪物模型!A$15:G$77,7,0)</f>
        <v>0</v>
      </c>
      <c r="K60">
        <f>ROUND(VLOOKUP(C60,战士难度!A$1:C$135,3,0)/VLOOKUP(B60,怪物抗性与玩家穿透!A$2:Q$74,17,0)*F60,0)</f>
        <v>318282</v>
      </c>
      <c r="L60">
        <f>IF(A60="卡雷",42,IF(A60="法力风暴",ROUND(K60*0.1,0),VLOOKUP(A60,怪物模型!$A$15:$I$70,9,0)*(1+(B60-30)/100)))</f>
        <v>1280</v>
      </c>
      <c r="M60">
        <f>ROUND(VLOOKUP(C60,战士难度!A$1:C$135,2,0)*0.91*E60,0)</f>
        <v>45113</v>
      </c>
      <c r="N60">
        <f t="shared" si="0"/>
        <v>54136</v>
      </c>
      <c r="O60">
        <f>VLOOKUP(B60,怪物抗性与玩家穿透!A$2:Q$74,4,0)</f>
        <v>6500</v>
      </c>
      <c r="P60">
        <f>VLOOKUP(B60,怪物抗性与玩家穿透!A$2:Q$74,5,0)</f>
        <v>1950</v>
      </c>
      <c r="Q60">
        <f t="shared" si="1"/>
        <v>1950</v>
      </c>
      <c r="R60">
        <f>VLOOKUP(B60,[3]battleParameter.xml!$A$6:$E$107,5,0)*(I60/100)/(1-I60/100)</f>
        <v>0</v>
      </c>
      <c r="S60">
        <f>ROUND(VLOOKUP(B60,[3]battleParameter.xml!$A$6:$G$107,7,0)*(J60/100)/(1-J60/100),0)</f>
        <v>0</v>
      </c>
      <c r="T60">
        <f>ROUND(VLOOKUP(B60,[3]battleParameter.xml!$A$6:$Z$107,8,0)*(MIN(H60/100+0.2,0.99))/(1-MIN(H60/100+0.2,0.99)),0)</f>
        <v>1263</v>
      </c>
      <c r="U60">
        <v>0</v>
      </c>
      <c r="V60">
        <v>0</v>
      </c>
    </row>
    <row r="61" spans="1:22">
      <c r="A61" t="str">
        <f>[2]monster.xml!$D406</f>
        <v>巡林者瑞克</v>
      </c>
      <c r="B61">
        <f>[2]monster.xml!$C406</f>
        <v>59</v>
      </c>
      <c r="C61">
        <f t="shared" si="2"/>
        <v>54</v>
      </c>
      <c r="D61">
        <f>VLOOKUP(A61,怪物模型!A$15:Z$70,8,0)</f>
        <v>15</v>
      </c>
      <c r="E61">
        <f>VLOOKUP(A61,怪物模型!A$15:G$70,3,0)</f>
        <v>1</v>
      </c>
      <c r="F61">
        <f>VLOOKUP(A61,怪物模型!A$15:G$77,4,0)</f>
        <v>1</v>
      </c>
      <c r="G61">
        <v>1</v>
      </c>
      <c r="H61">
        <f>VLOOKUP(A61,怪物模型!A$15:G$77,5,0)</f>
        <v>13</v>
      </c>
      <c r="I61">
        <f>VLOOKUP(A61,怪物模型!A$15:G$77,6,0)</f>
        <v>0</v>
      </c>
      <c r="J61">
        <f>VLOOKUP(A61,怪物模型!A$15:G$77,7,0)</f>
        <v>0</v>
      </c>
      <c r="K61">
        <f>ROUND(VLOOKUP(C61,战士难度!A$1:C$135,3,0)/VLOOKUP(B61,怪物抗性与玩家穿透!A$2:Q$74,17,0)*F61,0)</f>
        <v>349358</v>
      </c>
      <c r="L61">
        <f>IF(A61="卡雷",42,IF(A61="法力风暴",ROUND(K61*0.1,0),VLOOKUP(A61,怪物模型!$A$15:$I$70,9,0)*(1+(B61-30)/100)))</f>
        <v>1290</v>
      </c>
      <c r="M61">
        <f>ROUND(VLOOKUP(C61,战士难度!A$1:C$135,2,0)*0.91*E61,0)</f>
        <v>52232</v>
      </c>
      <c r="N61">
        <f t="shared" si="0"/>
        <v>62678</v>
      </c>
      <c r="O61">
        <f>VLOOKUP(B61,怪物抗性与玩家穿透!A$2:Q$74,4,0)</f>
        <v>7000</v>
      </c>
      <c r="P61">
        <f>VLOOKUP(B61,怪物抗性与玩家穿透!A$2:Q$74,5,0)</f>
        <v>2100</v>
      </c>
      <c r="Q61">
        <f t="shared" si="1"/>
        <v>2100</v>
      </c>
      <c r="R61">
        <f>VLOOKUP(B61,[3]battleParameter.xml!$A$6:$E$107,5,0)*(I61/100)/(1-I61/100)</f>
        <v>0</v>
      </c>
      <c r="S61">
        <f>ROUND(VLOOKUP(B61,[3]battleParameter.xml!$A$6:$G$107,7,0)*(J61/100)/(1-J61/100),0)</f>
        <v>0</v>
      </c>
      <c r="T61">
        <f>ROUND(VLOOKUP(B61,[3]battleParameter.xml!$A$6:$Z$107,8,0)*(MIN(H61/100+0.2,0.99))/(1-MIN(H61/100+0.2,0.99)),0)</f>
        <v>1307</v>
      </c>
      <c r="U61">
        <v>0</v>
      </c>
      <c r="V61">
        <v>0</v>
      </c>
    </row>
    <row r="62" spans="1:22">
      <c r="A62" t="str">
        <f>[2]monster.xml!$D407</f>
        <v>坚定的格雷格</v>
      </c>
      <c r="B62">
        <f>[2]monster.xml!$C407</f>
        <v>60</v>
      </c>
      <c r="C62">
        <f t="shared" si="2"/>
        <v>55</v>
      </c>
      <c r="D62">
        <f>VLOOKUP(A62,怪物模型!A$15:Z$70,8,0)</f>
        <v>3</v>
      </c>
      <c r="E62">
        <f>VLOOKUP(A62,怪物模型!A$15:G$70,3,0)</f>
        <v>0.7</v>
      </c>
      <c r="F62">
        <f>VLOOKUP(A62,怪物模型!A$15:G$77,4,0)</f>
        <v>0.8</v>
      </c>
      <c r="G62">
        <v>1</v>
      </c>
      <c r="H62">
        <f>VLOOKUP(A62,怪物模型!A$15:G$77,5,0)</f>
        <v>13</v>
      </c>
      <c r="I62">
        <f>VLOOKUP(A62,怪物模型!A$15:G$77,6,0)</f>
        <v>0</v>
      </c>
      <c r="J62">
        <f>VLOOKUP(A62,怪物模型!A$15:G$77,7,0)</f>
        <v>0</v>
      </c>
      <c r="K62">
        <f>ROUND(VLOOKUP(C62,战士难度!A$1:C$135,3,0)/VLOOKUP(B62,怪物抗性与玩家穿透!A$2:Q$74,17,0)*F62,0)</f>
        <v>168190</v>
      </c>
      <c r="L62">
        <f>IF(A62="卡雷",42,IF(A62="法力风暴",ROUND(K62*0.1,0),VLOOKUP(A62,怪物模型!$A$15:$I$70,9,0)*(1+(B62-30)/100)))</f>
        <v>780</v>
      </c>
      <c r="M62">
        <f>ROUND(VLOOKUP(C62,战士难度!A$1:C$135,2,0)*0.91*E62,0)</f>
        <v>15483</v>
      </c>
      <c r="N62">
        <f t="shared" si="0"/>
        <v>18580</v>
      </c>
      <c r="O62">
        <f>VLOOKUP(B62,怪物抗性与玩家穿透!A$2:Q$74,4,0)</f>
        <v>7500</v>
      </c>
      <c r="P62">
        <f>VLOOKUP(B62,怪物抗性与玩家穿透!A$2:Q$74,5,0)</f>
        <v>2250</v>
      </c>
      <c r="Q62">
        <f t="shared" si="1"/>
        <v>2250</v>
      </c>
      <c r="R62">
        <f>VLOOKUP(B62,[3]battleParameter.xml!$A$6:$E$107,5,0)*(I62/100)/(1-I62/100)</f>
        <v>0</v>
      </c>
      <c r="S62">
        <f>ROUND(VLOOKUP(B62,[3]battleParameter.xml!$A$6:$G$107,7,0)*(J62/100)/(1-J62/100),0)</f>
        <v>0</v>
      </c>
      <c r="T62">
        <f>ROUND(VLOOKUP(B62,[3]battleParameter.xml!$A$6:$Z$107,8,0)*(MIN(H62/100+0.2,0.99))/(1-MIN(H62/100+0.2,0.99)),0)</f>
        <v>1351</v>
      </c>
      <c r="U62">
        <v>0</v>
      </c>
      <c r="V62">
        <v>0</v>
      </c>
    </row>
    <row r="63" spans="1:22">
      <c r="A63" t="str">
        <f>[2]monster.xml!$D408</f>
        <v>莱恩的倒影</v>
      </c>
      <c r="B63">
        <f>[2]monster.xml!$C408</f>
        <v>60</v>
      </c>
      <c r="C63">
        <f t="shared" si="2"/>
        <v>56</v>
      </c>
      <c r="D63" t="str">
        <f>VLOOKUP(A63,怪物模型!A$15:Z$70,8,0)</f>
        <v>1,2</v>
      </c>
      <c r="E63">
        <f>VLOOKUP(A63,怪物模型!A$15:G$70,3,0)</f>
        <v>1.2</v>
      </c>
      <c r="F63">
        <f>VLOOKUP(A63,怪物模型!A$15:G$77,4,0)</f>
        <v>0.8</v>
      </c>
      <c r="G63">
        <v>1</v>
      </c>
      <c r="H63">
        <f>VLOOKUP(A63,怪物模型!A$15:G$77,5,0)</f>
        <v>0</v>
      </c>
      <c r="I63">
        <f>VLOOKUP(A63,怪物模型!A$15:G$77,6,0)</f>
        <v>0</v>
      </c>
      <c r="J63">
        <f>VLOOKUP(A63,怪物模型!A$15:G$77,7,0)</f>
        <v>0</v>
      </c>
      <c r="K63">
        <f>ROUND(VLOOKUP(C63,战士难度!A$1:C$135,3,0)/VLOOKUP(B63,怪物抗性与玩家穿透!A$2:Q$74,17,0)*F63,0)</f>
        <v>189181</v>
      </c>
      <c r="L63">
        <f>IF(A63="卡雷",42,IF(A63="法力风暴",ROUND(K63*0.1,0),VLOOKUP(A63,怪物模型!$A$15:$I$70,9,0)*(1+(B63-30)/100)))</f>
        <v>1300</v>
      </c>
      <c r="M63">
        <f>ROUND(VLOOKUP(C63,战士难度!A$1:C$135,2,0)*0.91*E63,0)</f>
        <v>33045</v>
      </c>
      <c r="N63">
        <f t="shared" si="0"/>
        <v>39654</v>
      </c>
      <c r="O63">
        <f>VLOOKUP(B63,怪物抗性与玩家穿透!A$2:Q$74,4,0)</f>
        <v>7500</v>
      </c>
      <c r="P63">
        <f>VLOOKUP(B63,怪物抗性与玩家穿透!A$2:Q$74,5,0)</f>
        <v>2250</v>
      </c>
      <c r="Q63">
        <f t="shared" si="1"/>
        <v>2250</v>
      </c>
      <c r="R63">
        <f>VLOOKUP(B63,[3]battleParameter.xml!$A$6:$E$107,5,0)*(I63/100)/(1-I63/100)</f>
        <v>0</v>
      </c>
      <c r="S63">
        <f>ROUND(VLOOKUP(B63,[3]battleParameter.xml!$A$6:$G$107,7,0)*(J63/100)/(1-J63/100),0)</f>
        <v>0</v>
      </c>
      <c r="T63">
        <f>ROUND(VLOOKUP(B63,[3]battleParameter.xml!$A$6:$Z$107,8,0)*(MIN(H63/100+0.2,0.99))/(1-MIN(H63/100+0.2,0.99)),0)</f>
        <v>686</v>
      </c>
      <c r="U63">
        <v>0</v>
      </c>
      <c r="V63">
        <v>0</v>
      </c>
    </row>
    <row r="64" spans="1:22">
      <c r="A64" t="str">
        <f>[2]monster.xml!$D409</f>
        <v>混乱的玛尔达</v>
      </c>
      <c r="B64">
        <f>[2]monster.xml!$C409</f>
        <v>61</v>
      </c>
      <c r="C64">
        <f t="shared" si="2"/>
        <v>57</v>
      </c>
      <c r="D64" t="str">
        <f>VLOOKUP(A64,怪物模型!A$15:Z$70,8,0)</f>
        <v>6,19,23</v>
      </c>
      <c r="E64">
        <f>VLOOKUP(A64,怪物模型!A$15:G$70,3,0)</f>
        <v>1</v>
      </c>
      <c r="F64">
        <f>VLOOKUP(A64,怪物模型!A$15:G$77,4,0)</f>
        <v>1.1000000000000001</v>
      </c>
      <c r="G64">
        <v>1</v>
      </c>
      <c r="H64">
        <f>VLOOKUP(A64,怪物模型!A$15:G$77,5,0)</f>
        <v>13</v>
      </c>
      <c r="I64">
        <f>VLOOKUP(A64,怪物模型!A$15:G$77,6,0)</f>
        <v>0</v>
      </c>
      <c r="J64">
        <f>VLOOKUP(A64,怪物模型!A$15:G$77,7,0)</f>
        <v>0</v>
      </c>
      <c r="K64">
        <f>ROUND(VLOOKUP(C64,战士难度!A$1:C$135,3,0)/VLOOKUP(B64,怪物抗性与玩家穿透!A$2:Q$74,17,0)*F64,0)</f>
        <v>298267</v>
      </c>
      <c r="L64">
        <f>IF(A64="卡雷",42,IF(A64="法力风暴",ROUND(K64*0.1,0),VLOOKUP(A64,怪物模型!$A$15:$I$70,9,0)*(1+(B64-30)/100)))</f>
        <v>2358</v>
      </c>
      <c r="M64">
        <f>ROUND(VLOOKUP(C64,战士难度!A$1:C$135,2,0)*0.91*E64,0)</f>
        <v>36884</v>
      </c>
      <c r="N64">
        <f t="shared" si="0"/>
        <v>44261</v>
      </c>
      <c r="O64">
        <f>VLOOKUP(B64,怪物抗性与玩家穿透!A$2:Q$74,4,0)</f>
        <v>8000</v>
      </c>
      <c r="P64">
        <f>VLOOKUP(B64,怪物抗性与玩家穿透!A$2:Q$74,5,0)</f>
        <v>2400</v>
      </c>
      <c r="Q64">
        <f t="shared" si="1"/>
        <v>2400</v>
      </c>
      <c r="R64">
        <f>VLOOKUP(B64,[3]battleParameter.xml!$A$6:$E$107,5,0)*(I64/100)/(1-I64/100)</f>
        <v>0</v>
      </c>
      <c r="S64">
        <f>ROUND(VLOOKUP(B64,[3]battleParameter.xml!$A$6:$G$107,7,0)*(J64/100)/(1-J64/100),0)</f>
        <v>0</v>
      </c>
      <c r="T64">
        <f>ROUND(VLOOKUP(B64,[3]battleParameter.xml!$A$6:$Z$107,8,0)*(MIN(H64/100+0.2,0.99))/(1-MIN(H64/100+0.2,0.99)),0)</f>
        <v>1396</v>
      </c>
      <c r="U64">
        <v>0</v>
      </c>
      <c r="V64">
        <v>0</v>
      </c>
    </row>
    <row r="65" spans="1:22">
      <c r="A65" t="str">
        <f>[2]monster.xml!$D410</f>
        <v>驯兽师瓦纳</v>
      </c>
      <c r="B65">
        <f>[2]monster.xml!$C410</f>
        <v>61</v>
      </c>
      <c r="C65">
        <f t="shared" si="2"/>
        <v>58</v>
      </c>
      <c r="D65">
        <f>VLOOKUP(A65,怪物模型!A$15:Z$70,8,0)</f>
        <v>2</v>
      </c>
      <c r="E65">
        <f>VLOOKUP(A65,怪物模型!A$15:G$70,3,0)</f>
        <v>0.6</v>
      </c>
      <c r="F65">
        <f>VLOOKUP(A65,怪物模型!A$15:G$77,4,0)</f>
        <v>0.6</v>
      </c>
      <c r="G65">
        <v>1</v>
      </c>
      <c r="H65">
        <f>VLOOKUP(A65,怪物模型!A$15:G$77,5,0)</f>
        <v>13</v>
      </c>
      <c r="I65">
        <f>VLOOKUP(A65,怪物模型!A$15:G$77,6,0)</f>
        <v>0</v>
      </c>
      <c r="J65">
        <f>VLOOKUP(A65,怪物模型!A$15:G$77,7,0)</f>
        <v>0</v>
      </c>
      <c r="K65">
        <f>ROUND(VLOOKUP(C65,战士难度!A$1:C$135,3,0)/VLOOKUP(B65,怪物抗性与玩家穿透!A$2:Q$74,17,0)*F65,0)</f>
        <v>176995</v>
      </c>
      <c r="L65">
        <f>IF(A65="卡雷",42,IF(A65="法力风暴",ROUND(K65*0.1,0),VLOOKUP(A65,怪物模型!$A$15:$I$70,9,0)*(1+(B65-30)/100)))</f>
        <v>1048</v>
      </c>
      <c r="M65">
        <f>ROUND(VLOOKUP(C65,战士难度!A$1:C$135,2,0)*0.91*E65,0)</f>
        <v>25084</v>
      </c>
      <c r="N65">
        <f t="shared" si="0"/>
        <v>30101</v>
      </c>
      <c r="O65">
        <f>VLOOKUP(B65,怪物抗性与玩家穿透!A$2:Q$74,4,0)</f>
        <v>8000</v>
      </c>
      <c r="P65">
        <f>VLOOKUP(B65,怪物抗性与玩家穿透!A$2:Q$74,5,0)</f>
        <v>2400</v>
      </c>
      <c r="Q65">
        <f t="shared" si="1"/>
        <v>2400</v>
      </c>
      <c r="R65">
        <f>VLOOKUP(B65,[3]battleParameter.xml!$A$6:$E$107,5,0)*(I65/100)/(1-I65/100)</f>
        <v>0</v>
      </c>
      <c r="S65">
        <f>ROUND(VLOOKUP(B65,[3]battleParameter.xml!$A$6:$G$107,7,0)*(J65/100)/(1-J65/100),0)</f>
        <v>0</v>
      </c>
      <c r="T65">
        <f>ROUND(VLOOKUP(B65,[3]battleParameter.xml!$A$6:$Z$107,8,0)*(MIN(H65/100+0.2,0.99))/(1-MIN(H65/100+0.2,0.99)),0)</f>
        <v>1396</v>
      </c>
      <c r="U65">
        <v>0</v>
      </c>
      <c r="V65">
        <v>0</v>
      </c>
    </row>
    <row r="66" spans="1:22">
      <c r="A66" t="str">
        <f>[2]monster.xml!$D411</f>
        <v>多兰</v>
      </c>
      <c r="B66">
        <f>[2]monster.xml!$C411</f>
        <v>61</v>
      </c>
      <c r="C66">
        <f t="shared" si="2"/>
        <v>58</v>
      </c>
      <c r="D66">
        <f>VLOOKUP(A66,怪物模型!A$15:Z$70,8,0)</f>
        <v>9</v>
      </c>
      <c r="E66">
        <f>VLOOKUP(A66,怪物模型!A$15:G$70,3,0)</f>
        <v>0.35</v>
      </c>
      <c r="F66">
        <f>VLOOKUP(A66,怪物模型!A$15:G$77,4,0)</f>
        <v>0.28000000000000003</v>
      </c>
      <c r="G66">
        <v>1</v>
      </c>
      <c r="H66">
        <f>VLOOKUP(A66,怪物模型!A$15:G$77,5,0)</f>
        <v>13</v>
      </c>
      <c r="I66">
        <f>VLOOKUP(A66,怪物模型!A$15:G$77,6,0)</f>
        <v>0</v>
      </c>
      <c r="J66">
        <f>VLOOKUP(A66,怪物模型!A$15:G$77,7,0)</f>
        <v>0</v>
      </c>
      <c r="K66">
        <f>ROUND(VLOOKUP(C66,战士难度!A$1:C$135,3,0)/VLOOKUP(B66,怪物抗性与玩家穿透!A$2:Q$74,17,0)*F66,0)</f>
        <v>82598</v>
      </c>
      <c r="L66">
        <f>IF(A66="卡雷",42,IF(A66="法力风暴",ROUND(K66*0.1,0),VLOOKUP(A66,怪物模型!$A$15:$I$70,9,0)*(1+(B66-30)/100)))</f>
        <v>1310</v>
      </c>
      <c r="M66">
        <f>ROUND(VLOOKUP(C66,战士难度!A$1:C$135,2,0)*0.91*E66,0)</f>
        <v>14633</v>
      </c>
      <c r="N66">
        <f t="shared" si="0"/>
        <v>17560</v>
      </c>
      <c r="O66">
        <f>VLOOKUP(B66,怪物抗性与玩家穿透!A$2:Q$74,4,0)</f>
        <v>8000</v>
      </c>
      <c r="P66">
        <f>VLOOKUP(B66,怪物抗性与玩家穿透!A$2:Q$74,5,0)</f>
        <v>2400</v>
      </c>
      <c r="Q66">
        <f t="shared" si="1"/>
        <v>2400</v>
      </c>
      <c r="R66">
        <f>VLOOKUP(B66,[3]battleParameter.xml!$A$6:$E$107,5,0)*(I66/100)/(1-I66/100)</f>
        <v>0</v>
      </c>
      <c r="S66">
        <f>ROUND(VLOOKUP(B66,[3]battleParameter.xml!$A$6:$G$107,7,0)*(J66/100)/(1-J66/100),0)</f>
        <v>0</v>
      </c>
      <c r="T66">
        <f>ROUND(VLOOKUP(B66,[3]battleParameter.xml!$A$6:$Z$107,8,0)*(MIN(H66/100+0.2,0.99))/(1-MIN(H66/100+0.2,0.99)),0)</f>
        <v>1396</v>
      </c>
      <c r="U66">
        <v>0</v>
      </c>
      <c r="V66">
        <v>0</v>
      </c>
    </row>
    <row r="67" spans="1:22">
      <c r="A67" t="str">
        <f>[2]monster.xml!$D412</f>
        <v>约翰</v>
      </c>
      <c r="B67">
        <f>[2]monster.xml!$C412</f>
        <v>61</v>
      </c>
      <c r="C67">
        <f t="shared" si="2"/>
        <v>58</v>
      </c>
      <c r="D67">
        <f>VLOOKUP(A67,怪物模型!A$15:Z$70,8,0)</f>
        <v>10</v>
      </c>
      <c r="E67">
        <f>VLOOKUP(A67,怪物模型!A$15:G$70,3,0)</f>
        <v>0.35</v>
      </c>
      <c r="F67">
        <f>VLOOKUP(A67,怪物模型!A$15:G$77,4,0)</f>
        <v>0.28000000000000003</v>
      </c>
      <c r="G67">
        <v>1</v>
      </c>
      <c r="H67">
        <f>VLOOKUP(A67,怪物模型!A$15:G$77,5,0)</f>
        <v>13</v>
      </c>
      <c r="I67">
        <f>VLOOKUP(A67,怪物模型!A$15:G$77,6,0)</f>
        <v>0</v>
      </c>
      <c r="J67">
        <f>VLOOKUP(A67,怪物模型!A$15:G$77,7,0)</f>
        <v>0</v>
      </c>
      <c r="K67">
        <f>ROUND(VLOOKUP(C67,战士难度!A$1:C$135,3,0)/VLOOKUP(B67,怪物抗性与玩家穿透!A$2:Q$74,17,0)*F67,0)</f>
        <v>82598</v>
      </c>
      <c r="L67">
        <f>IF(A67="卡雷",42,IF(A67="法力风暴",ROUND(K67*0.1,0),VLOOKUP(A67,怪物模型!$A$15:$I$70,9,0)*(1+(B67-30)/100)))</f>
        <v>1310</v>
      </c>
      <c r="M67">
        <f>ROUND(VLOOKUP(C67,战士难度!A$1:C$135,2,0)*0.91*E67,0)</f>
        <v>14633</v>
      </c>
      <c r="N67">
        <f t="shared" ref="N67:N130" si="3">ROUND(M67*1.2,0)</f>
        <v>17560</v>
      </c>
      <c r="O67">
        <f>VLOOKUP(B67,怪物抗性与玩家穿透!A$2:Q$74,4,0)</f>
        <v>8000</v>
      </c>
      <c r="P67">
        <f>VLOOKUP(B67,怪物抗性与玩家穿透!A$2:Q$74,5,0)</f>
        <v>2400</v>
      </c>
      <c r="Q67">
        <f t="shared" ref="Q67:Q130" si="4">P67</f>
        <v>2400</v>
      </c>
      <c r="R67">
        <f>VLOOKUP(B67,[3]battleParameter.xml!$A$6:$E$107,5,0)*(I67/100)/(1-I67/100)</f>
        <v>0</v>
      </c>
      <c r="S67">
        <f>ROUND(VLOOKUP(B67,[3]battleParameter.xml!$A$6:$G$107,7,0)*(J67/100)/(1-J67/100),0)</f>
        <v>0</v>
      </c>
      <c r="T67">
        <f>ROUND(VLOOKUP(B67,[3]battleParameter.xml!$A$6:$Z$107,8,0)*(MIN(H67/100+0.2,0.99))/(1-MIN(H67/100+0.2,0.99)),0)</f>
        <v>1396</v>
      </c>
      <c r="U67">
        <v>0</v>
      </c>
      <c r="V67">
        <v>0</v>
      </c>
    </row>
    <row r="68" spans="1:22">
      <c r="A68" t="str">
        <f>[2]monster.xml!$D413</f>
        <v>炎之安苏</v>
      </c>
      <c r="B68">
        <f>[2]monster.xml!$C413</f>
        <v>61</v>
      </c>
      <c r="C68">
        <f t="shared" ref="C68:C131" si="5">IF(OR(A68="塔克",A68="多兰",A68="约翰",A68="血誓预言者",A68="血誓召唤者",A68="血誓领主"),C67,C67+1)</f>
        <v>59</v>
      </c>
      <c r="D68">
        <f>VLOOKUP(A68,怪物模型!A$15:Z$70,8,0)</f>
        <v>21</v>
      </c>
      <c r="E68">
        <f>VLOOKUP(A68,怪物模型!A$15:G$70,3,0)</f>
        <v>1</v>
      </c>
      <c r="F68">
        <f>VLOOKUP(A68,怪物模型!A$15:G$77,4,0)</f>
        <v>0.95</v>
      </c>
      <c r="G68">
        <v>1</v>
      </c>
      <c r="H68">
        <f>VLOOKUP(A68,怪物模型!A$15:G$77,5,0)</f>
        <v>13</v>
      </c>
      <c r="I68">
        <f>VLOOKUP(A68,怪物模型!A$15:G$77,6,0)</f>
        <v>0</v>
      </c>
      <c r="J68">
        <f>VLOOKUP(A68,怪物模型!A$15:G$77,7,0)</f>
        <v>0</v>
      </c>
      <c r="K68">
        <f>ROUND(VLOOKUP(C68,战士难度!A$1:C$135,3,0)/VLOOKUP(B68,怪物抗性与玩家穿透!A$2:Q$74,17,0)*F68,0)</f>
        <v>304882</v>
      </c>
      <c r="L68">
        <f>IF(A68="卡雷",42,IF(A68="法力风暴",ROUND(K68*0.1,0),VLOOKUP(A68,怪物模型!$A$15:$I$70,9,0)*(1+(B68-30)/100)))</f>
        <v>1310</v>
      </c>
      <c r="M68">
        <f>ROUND(VLOOKUP(C68,战士难度!A$1:C$135,2,0)*0.91*E68,0)</f>
        <v>47387</v>
      </c>
      <c r="N68">
        <f t="shared" si="3"/>
        <v>56864</v>
      </c>
      <c r="O68">
        <f>VLOOKUP(B68,怪物抗性与玩家穿透!A$2:Q$74,4,0)</f>
        <v>8000</v>
      </c>
      <c r="P68">
        <f>VLOOKUP(B68,怪物抗性与玩家穿透!A$2:Q$74,5,0)</f>
        <v>2400</v>
      </c>
      <c r="Q68">
        <f t="shared" si="4"/>
        <v>2400</v>
      </c>
      <c r="R68">
        <f>VLOOKUP(B68,[3]battleParameter.xml!$A$6:$E$107,5,0)*(I68/100)/(1-I68/100)</f>
        <v>0</v>
      </c>
      <c r="S68">
        <f>ROUND(VLOOKUP(B68,[3]battleParameter.xml!$A$6:$G$107,7,0)*(J68/100)/(1-J68/100),0)</f>
        <v>0</v>
      </c>
      <c r="T68">
        <f>ROUND(VLOOKUP(B68,[3]battleParameter.xml!$A$6:$Z$107,8,0)*(MIN(H68/100+0.2,0.99))/(1-MIN(H68/100+0.2,0.99)),0)</f>
        <v>1396</v>
      </c>
      <c r="U68">
        <v>0</v>
      </c>
      <c r="V68">
        <v>0</v>
      </c>
    </row>
    <row r="69" spans="1:22">
      <c r="A69" t="str">
        <f>[2]monster.xml!$D414</f>
        <v>迅捷的维恩</v>
      </c>
      <c r="B69">
        <f>[2]monster.xml!$C414</f>
        <v>62</v>
      </c>
      <c r="C69">
        <f t="shared" si="5"/>
        <v>60</v>
      </c>
      <c r="D69">
        <f>VLOOKUP(A69,怪物模型!A$15:Z$70,8,0)</f>
        <v>14</v>
      </c>
      <c r="E69">
        <f>VLOOKUP(A69,怪物模型!A$15:G$70,3,0)</f>
        <v>1</v>
      </c>
      <c r="F69">
        <f>VLOOKUP(A69,怪物模型!A$15:G$77,4,0)</f>
        <v>1</v>
      </c>
      <c r="G69">
        <v>1</v>
      </c>
      <c r="H69">
        <f>VLOOKUP(A69,怪物模型!A$15:G$77,5,0)</f>
        <v>0</v>
      </c>
      <c r="I69">
        <f>VLOOKUP(A69,怪物模型!A$15:G$77,6,0)</f>
        <v>0</v>
      </c>
      <c r="J69">
        <f>VLOOKUP(A69,怪物模型!A$15:G$77,7,0)</f>
        <v>0</v>
      </c>
      <c r="K69">
        <f>ROUND(VLOOKUP(C69,战士难度!A$1:C$135,3,0)/VLOOKUP(B69,怪物抗性与玩家穿透!A$2:Q$74,17,0)*F69,0)</f>
        <v>352605</v>
      </c>
      <c r="L69">
        <f>IF(A69="卡雷",42,IF(A69="法力风暴",ROUND(K69*0.1,0),VLOOKUP(A69,怪物模型!$A$15:$I$70,9,0)*(1+(B69-30)/100)))</f>
        <v>1320</v>
      </c>
      <c r="M69">
        <f>ROUND(VLOOKUP(C69,战士难度!A$1:C$135,2,0)*0.91*E69,0)</f>
        <v>56003</v>
      </c>
      <c r="N69">
        <f t="shared" si="3"/>
        <v>67204</v>
      </c>
      <c r="O69">
        <f>VLOOKUP(B69,怪物抗性与玩家穿透!A$2:Q$74,4,0)</f>
        <v>8500</v>
      </c>
      <c r="P69">
        <f>VLOOKUP(B69,怪物抗性与玩家穿透!A$2:Q$74,5,0)</f>
        <v>2550</v>
      </c>
      <c r="Q69">
        <f t="shared" si="4"/>
        <v>2550</v>
      </c>
      <c r="R69">
        <f>VLOOKUP(B69,[3]battleParameter.xml!$A$6:$E$107,5,0)*(I69/100)/(1-I69/100)</f>
        <v>0</v>
      </c>
      <c r="S69">
        <f>ROUND(VLOOKUP(B69,[3]battleParameter.xml!$A$6:$G$107,7,0)*(J69/100)/(1-J69/100),0)</f>
        <v>0</v>
      </c>
      <c r="T69">
        <f>ROUND(VLOOKUP(B69,[3]battleParameter.xml!$A$6:$Z$107,8,0)*(MIN(H69/100+0.2,0.99))/(1-MIN(H69/100+0.2,0.99)),0)</f>
        <v>732</v>
      </c>
      <c r="U69">
        <v>0</v>
      </c>
      <c r="V69">
        <v>0</v>
      </c>
    </row>
    <row r="70" spans="1:22">
      <c r="A70" t="str">
        <f>[2]monster.xml!$D415</f>
        <v>暮光预言者</v>
      </c>
      <c r="B70">
        <f>[2]monster.xml!$C415</f>
        <v>62</v>
      </c>
      <c r="C70">
        <f t="shared" si="5"/>
        <v>61</v>
      </c>
      <c r="D70">
        <f>VLOOKUP(A70,怪物模型!A$15:Z$70,8,0)</f>
        <v>13</v>
      </c>
      <c r="E70">
        <f>VLOOKUP(A70,怪物模型!A$15:G$70,3,0)</f>
        <v>0.7</v>
      </c>
      <c r="F70">
        <f>VLOOKUP(A70,怪物模型!A$15:G$77,4,0)</f>
        <v>1</v>
      </c>
      <c r="G70">
        <v>1</v>
      </c>
      <c r="H70">
        <f>VLOOKUP(A70,怪物模型!A$15:G$77,5,0)</f>
        <v>0</v>
      </c>
      <c r="I70">
        <f>VLOOKUP(A70,怪物模型!A$15:G$77,6,0)</f>
        <v>0</v>
      </c>
      <c r="J70">
        <f>VLOOKUP(A70,怪物模型!A$15:G$77,7,0)</f>
        <v>0</v>
      </c>
      <c r="K70">
        <f>ROUND(VLOOKUP(C70,战士难度!A$1:C$135,3,0)/VLOOKUP(B70,怪物抗性与玩家穿透!A$2:Q$74,17,0)*F70,0)</f>
        <v>383798</v>
      </c>
      <c r="L70">
        <f>IF(A70="卡雷",42,IF(A70="法力风暴",ROUND(K70*0.1,0),VLOOKUP(A70,怪物模型!$A$15:$I$70,9,0)*(1+(B70-30)/100)))</f>
        <v>1056</v>
      </c>
      <c r="M70">
        <f>ROUND(VLOOKUP(C70,战士难度!A$1:C$135,2,0)*0.91*E70,0)</f>
        <v>43872</v>
      </c>
      <c r="N70">
        <f t="shared" si="3"/>
        <v>52646</v>
      </c>
      <c r="O70">
        <f>VLOOKUP(B70,怪物抗性与玩家穿透!A$2:Q$74,4,0)</f>
        <v>8500</v>
      </c>
      <c r="P70">
        <f>VLOOKUP(B70,怪物抗性与玩家穿透!A$2:Q$74,5,0)</f>
        <v>2550</v>
      </c>
      <c r="Q70">
        <f t="shared" si="4"/>
        <v>2550</v>
      </c>
      <c r="R70">
        <f>VLOOKUP(B70,[3]battleParameter.xml!$A$6:$E$107,5,0)*(I70/100)/(1-I70/100)</f>
        <v>0</v>
      </c>
      <c r="S70">
        <f>ROUND(VLOOKUP(B70,[3]battleParameter.xml!$A$6:$G$107,7,0)*(J70/100)/(1-J70/100),0)</f>
        <v>0</v>
      </c>
      <c r="T70">
        <f>ROUND(VLOOKUP(B70,[3]battleParameter.xml!$A$6:$Z$107,8,0)*(MIN(H70/100+0.2,0.99))/(1-MIN(H70/100+0.2,0.99)),0)</f>
        <v>732</v>
      </c>
      <c r="U70">
        <v>0</v>
      </c>
      <c r="V70">
        <v>0</v>
      </c>
    </row>
    <row r="71" spans="1:22">
      <c r="A71" t="str">
        <f>[2]monster.xml!$D416</f>
        <v>卡雷</v>
      </c>
      <c r="B71">
        <f>[2]monster.xml!$C416</f>
        <v>63</v>
      </c>
      <c r="C71">
        <f t="shared" si="5"/>
        <v>62</v>
      </c>
      <c r="D71">
        <f>VLOOKUP(A71,怪物模型!A$15:Z$70,8,0)</f>
        <v>25</v>
      </c>
      <c r="E71">
        <f>VLOOKUP(A71,怪物模型!A$15:G$70,3,0)</f>
        <v>1.25</v>
      </c>
      <c r="F71">
        <f>VLOOKUP(A71,怪物模型!A$15:G$77,4,0)</f>
        <v>1</v>
      </c>
      <c r="G71">
        <v>1</v>
      </c>
      <c r="H71">
        <f>VLOOKUP(A71,怪物模型!A$15:G$77,5,0)</f>
        <v>13</v>
      </c>
      <c r="I71">
        <f>VLOOKUP(A71,怪物模型!A$15:G$77,6,0)</f>
        <v>0</v>
      </c>
      <c r="J71">
        <f>VLOOKUP(A71,怪物模型!A$15:G$77,7,0)</f>
        <v>0</v>
      </c>
      <c r="K71">
        <f>ROUND(VLOOKUP(C71,战士难度!A$1:C$135,3,0)/VLOOKUP(B71,怪物抗性与玩家穿透!A$2:Q$74,17,0)*F71,0)</f>
        <v>410858</v>
      </c>
      <c r="L71">
        <f>IF(A71="卡雷",42,IF(A71="法力风暴",ROUND(K71*0.1,0),VLOOKUP(A71,怪物模型!$A$15:$I$70,9,0)*(1+(B71-30)/100)))</f>
        <v>42</v>
      </c>
      <c r="M71">
        <f>ROUND(VLOOKUP(C71,战士难度!A$1:C$135,2,0)*0.91*E71,0)</f>
        <v>87675</v>
      </c>
      <c r="N71">
        <f t="shared" si="3"/>
        <v>105210</v>
      </c>
      <c r="O71">
        <f>VLOOKUP(B71,怪物抗性与玩家穿透!A$2:Q$74,4,0)</f>
        <v>9000</v>
      </c>
      <c r="P71">
        <f>VLOOKUP(B71,怪物抗性与玩家穿透!A$2:Q$74,5,0)</f>
        <v>2700</v>
      </c>
      <c r="Q71">
        <f t="shared" si="4"/>
        <v>2700</v>
      </c>
      <c r="R71">
        <f>VLOOKUP(B71,[3]battleParameter.xml!$A$6:$E$107,5,0)*(I71/100)/(1-I71/100)</f>
        <v>0</v>
      </c>
      <c r="S71">
        <f>ROUND(VLOOKUP(B71,[3]battleParameter.xml!$A$6:$G$107,7,0)*(J71/100)/(1-J71/100),0)</f>
        <v>0</v>
      </c>
      <c r="T71">
        <f>ROUND(VLOOKUP(B71,[3]battleParameter.xml!$A$6:$Z$107,8,0)*(MIN(H71/100+0.2,0.99))/(1-MIN(H71/100+0.2,0.99)),0)</f>
        <v>1488</v>
      </c>
      <c r="U71">
        <v>0</v>
      </c>
      <c r="V71">
        <v>0</v>
      </c>
    </row>
    <row r="72" spans="1:22">
      <c r="A72" t="str">
        <f>[2]monster.xml!$D417</f>
        <v>日光弗雷尔</v>
      </c>
      <c r="B72">
        <f>[2]monster.xml!$C417</f>
        <v>64</v>
      </c>
      <c r="C72">
        <f t="shared" si="5"/>
        <v>63</v>
      </c>
      <c r="D72">
        <f>VLOOKUP(A72,怪物模型!A$15:Z$70,8,0)</f>
        <v>28</v>
      </c>
      <c r="E72">
        <f>VLOOKUP(A72,怪物模型!A$15:G$70,3,0)</f>
        <v>0.9</v>
      </c>
      <c r="F72">
        <f>VLOOKUP(A72,怪物模型!A$15:G$77,4,0)</f>
        <v>0.9</v>
      </c>
      <c r="G72">
        <v>1</v>
      </c>
      <c r="H72">
        <f>VLOOKUP(A72,怪物模型!A$15:G$77,5,0)</f>
        <v>13</v>
      </c>
      <c r="I72">
        <f>VLOOKUP(A72,怪物模型!A$15:G$77,6,0)</f>
        <v>0</v>
      </c>
      <c r="J72">
        <f>VLOOKUP(A72,怪物模型!A$15:G$77,7,0)</f>
        <v>0</v>
      </c>
      <c r="K72">
        <f>ROUND(VLOOKUP(C72,战士难度!A$1:C$135,3,0)/VLOOKUP(B72,怪物抗性与玩家穿透!A$2:Q$74,17,0)*F72,0)</f>
        <v>407778</v>
      </c>
      <c r="L72">
        <f>IF(A72="卡雷",42,IF(A72="法力风暴",ROUND(K72*0.1,0),VLOOKUP(A72,怪物模型!$A$15:$I$70,9,0)*(1+(B72-30)/100)))</f>
        <v>1340</v>
      </c>
      <c r="M72">
        <f>ROUND(VLOOKUP(C72,战士难度!A$1:C$135,2,0)*0.91*E72,0)</f>
        <v>73346</v>
      </c>
      <c r="N72">
        <f t="shared" si="3"/>
        <v>88015</v>
      </c>
      <c r="O72">
        <f>VLOOKUP(B72,怪物抗性与玩家穿透!A$2:Q$74,4,0)</f>
        <v>9500</v>
      </c>
      <c r="P72">
        <f>VLOOKUP(B72,怪物抗性与玩家穿透!A$2:Q$74,5,0)</f>
        <v>2850</v>
      </c>
      <c r="Q72">
        <f t="shared" si="4"/>
        <v>2850</v>
      </c>
      <c r="R72">
        <f>VLOOKUP(B72,[3]battleParameter.xml!$A$6:$E$107,5,0)*(I72/100)/(1-I72/100)</f>
        <v>0</v>
      </c>
      <c r="S72">
        <f>ROUND(VLOOKUP(B72,[3]battleParameter.xml!$A$6:$G$107,7,0)*(J72/100)/(1-J72/100),0)</f>
        <v>0</v>
      </c>
      <c r="T72">
        <f>ROUND(VLOOKUP(B72,[3]battleParameter.xml!$A$6:$Z$107,8,0)*(MIN(H72/100+0.2,0.99))/(1-MIN(H72/100+0.2,0.99)),0)</f>
        <v>1535</v>
      </c>
      <c r="U72">
        <v>0</v>
      </c>
      <c r="V72">
        <v>0</v>
      </c>
    </row>
    <row r="73" spans="1:22">
      <c r="A73" t="str">
        <f>[2]monster.xml!$D418</f>
        <v>坚定的格雷格</v>
      </c>
      <c r="B73">
        <f>[2]monster.xml!$C418</f>
        <v>65</v>
      </c>
      <c r="C73">
        <f t="shared" si="5"/>
        <v>64</v>
      </c>
      <c r="D73">
        <f>VLOOKUP(A73,怪物模型!A$15:Z$70,8,0)</f>
        <v>3</v>
      </c>
      <c r="E73">
        <f>VLOOKUP(A73,怪物模型!A$15:G$70,3,0)</f>
        <v>0.7</v>
      </c>
      <c r="F73">
        <f>VLOOKUP(A73,怪物模型!A$15:G$77,4,0)</f>
        <v>0.8</v>
      </c>
      <c r="G73">
        <v>1</v>
      </c>
      <c r="H73">
        <f>VLOOKUP(A73,怪物模型!A$15:G$77,5,0)</f>
        <v>13</v>
      </c>
      <c r="I73">
        <f>VLOOKUP(A73,怪物模型!A$15:G$77,6,0)</f>
        <v>0</v>
      </c>
      <c r="J73">
        <f>VLOOKUP(A73,怪物模型!A$15:G$77,7,0)</f>
        <v>0</v>
      </c>
      <c r="K73">
        <f>ROUND(VLOOKUP(C73,战士难度!A$1:C$135,3,0)/VLOOKUP(B73,怪物抗性与玩家穿透!A$2:Q$74,17,0)*F73,0)</f>
        <v>225950</v>
      </c>
      <c r="L73">
        <f>IF(A73="卡雷",42,IF(A73="法力风暴",ROUND(K73*0.1,0),VLOOKUP(A73,怪物模型!$A$15:$I$70,9,0)*(1+(B73-30)/100)))</f>
        <v>810</v>
      </c>
      <c r="M73">
        <f>ROUND(VLOOKUP(C73,战士难度!A$1:C$135,2,0)*0.91*E73,0)</f>
        <v>24600</v>
      </c>
      <c r="N73">
        <f t="shared" si="3"/>
        <v>29520</v>
      </c>
      <c r="O73">
        <f>VLOOKUP(B73,怪物抗性与玩家穿透!A$2:Q$74,4,0)</f>
        <v>10000</v>
      </c>
      <c r="P73">
        <f>VLOOKUP(B73,怪物抗性与玩家穿透!A$2:Q$74,5,0)</f>
        <v>3000</v>
      </c>
      <c r="Q73">
        <f t="shared" si="4"/>
        <v>3000</v>
      </c>
      <c r="R73">
        <f>VLOOKUP(B73,[3]battleParameter.xml!$A$6:$E$107,5,0)*(I73/100)/(1-I73/100)</f>
        <v>0</v>
      </c>
      <c r="S73">
        <f>ROUND(VLOOKUP(B73,[3]battleParameter.xml!$A$6:$G$107,7,0)*(J73/100)/(1-J73/100),0)</f>
        <v>0</v>
      </c>
      <c r="T73">
        <f>ROUND(VLOOKUP(B73,[3]battleParameter.xml!$A$6:$Z$107,8,0)*(MIN(H73/100+0.2,0.99))/(1-MIN(H73/100+0.2,0.99)),0)</f>
        <v>1584</v>
      </c>
      <c r="U73">
        <v>0</v>
      </c>
      <c r="V73">
        <v>0</v>
      </c>
    </row>
    <row r="74" spans="1:22">
      <c r="A74" t="str">
        <f>[2]monster.xml!$D419</f>
        <v>莱恩的倒影</v>
      </c>
      <c r="B74">
        <f>[2]monster.xml!$C419</f>
        <v>65</v>
      </c>
      <c r="C74">
        <f t="shared" si="5"/>
        <v>65</v>
      </c>
      <c r="D74" t="str">
        <f>VLOOKUP(A74,怪物模型!A$15:Z$70,8,0)</f>
        <v>1,2</v>
      </c>
      <c r="E74">
        <f>VLOOKUP(A74,怪物模型!A$15:G$70,3,0)</f>
        <v>1.2</v>
      </c>
      <c r="F74">
        <f>VLOOKUP(A74,怪物模型!A$15:G$77,4,0)</f>
        <v>0.8</v>
      </c>
      <c r="G74">
        <v>1</v>
      </c>
      <c r="H74">
        <f>VLOOKUP(A74,怪物模型!A$15:G$77,5,0)</f>
        <v>0</v>
      </c>
      <c r="I74">
        <f>VLOOKUP(A74,怪物模型!A$15:G$77,6,0)</f>
        <v>0</v>
      </c>
      <c r="J74">
        <f>VLOOKUP(A74,怪物模型!A$15:G$77,7,0)</f>
        <v>0</v>
      </c>
      <c r="K74">
        <f>ROUND(VLOOKUP(C74,战士难度!A$1:C$135,3,0)/VLOOKUP(B74,怪物抗性与玩家穿透!A$2:Q$74,17,0)*F74,0)</f>
        <v>251796</v>
      </c>
      <c r="L74">
        <f>IF(A74="卡雷",42,IF(A74="法力风暴",ROUND(K74*0.1,0),VLOOKUP(A74,怪物模型!$A$15:$I$70,9,0)*(1+(B74-30)/100)))</f>
        <v>1350</v>
      </c>
      <c r="M74">
        <f>ROUND(VLOOKUP(C74,战士难度!A$1:C$135,2,0)*0.91*E74,0)</f>
        <v>52711</v>
      </c>
      <c r="N74">
        <f t="shared" si="3"/>
        <v>63253</v>
      </c>
      <c r="O74">
        <f>VLOOKUP(B74,怪物抗性与玩家穿透!A$2:Q$74,4,0)</f>
        <v>10000</v>
      </c>
      <c r="P74">
        <f>VLOOKUP(B74,怪物抗性与玩家穿透!A$2:Q$74,5,0)</f>
        <v>3000</v>
      </c>
      <c r="Q74">
        <f t="shared" si="4"/>
        <v>3000</v>
      </c>
      <c r="R74">
        <f>VLOOKUP(B74,[3]battleParameter.xml!$A$6:$E$107,5,0)*(I74/100)/(1-I74/100)</f>
        <v>0</v>
      </c>
      <c r="S74">
        <f>ROUND(VLOOKUP(B74,[3]battleParameter.xml!$A$6:$G$107,7,0)*(J74/100)/(1-J74/100),0)</f>
        <v>0</v>
      </c>
      <c r="T74">
        <f>ROUND(VLOOKUP(B74,[3]battleParameter.xml!$A$6:$Z$107,8,0)*(MIN(H74/100+0.2,0.99))/(1-MIN(H74/100+0.2,0.99)),0)</f>
        <v>804</v>
      </c>
      <c r="U74">
        <v>0</v>
      </c>
      <c r="V74">
        <v>0</v>
      </c>
    </row>
    <row r="75" spans="1:22">
      <c r="A75" t="str">
        <f>[2]monster.xml!$D420</f>
        <v>混乱的玛尔达</v>
      </c>
      <c r="B75">
        <f>[2]monster.xml!$C420</f>
        <v>66</v>
      </c>
      <c r="C75">
        <f t="shared" si="5"/>
        <v>66</v>
      </c>
      <c r="D75" t="str">
        <f>VLOOKUP(A75,怪物模型!A$15:Z$70,8,0)</f>
        <v>6,19,23</v>
      </c>
      <c r="E75">
        <f>VLOOKUP(A75,怪物模型!A$15:G$70,3,0)</f>
        <v>1</v>
      </c>
      <c r="F75">
        <f>VLOOKUP(A75,怪物模型!A$15:G$77,4,0)</f>
        <v>1.1000000000000001</v>
      </c>
      <c r="G75">
        <v>1</v>
      </c>
      <c r="H75">
        <f>VLOOKUP(A75,怪物模型!A$15:G$77,5,0)</f>
        <v>13</v>
      </c>
      <c r="I75">
        <f>VLOOKUP(A75,怪物模型!A$15:G$77,6,0)</f>
        <v>0</v>
      </c>
      <c r="J75">
        <f>VLOOKUP(A75,怪物模型!A$15:G$77,7,0)</f>
        <v>0</v>
      </c>
      <c r="K75">
        <f>ROUND(VLOOKUP(C75,战士难度!A$1:C$135,3,0)/VLOOKUP(B75,怪物抗性与玩家穿透!A$2:Q$74,17,0)*F75,0)</f>
        <v>394974</v>
      </c>
      <c r="L75">
        <f>IF(A75="卡雷",42,IF(A75="法力风暴",ROUND(K75*0.1,0),VLOOKUP(A75,怪物模型!$A$15:$I$70,9,0)*(1+(B75-30)/100)))</f>
        <v>2448</v>
      </c>
      <c r="M75">
        <f>ROUND(VLOOKUP(C75,战士难度!A$1:C$135,2,0)*0.91*E75,0)</f>
        <v>59143</v>
      </c>
      <c r="N75">
        <f t="shared" si="3"/>
        <v>70972</v>
      </c>
      <c r="O75">
        <f>VLOOKUP(B75,怪物抗性与玩家穿透!A$2:Q$74,4,0)</f>
        <v>10500</v>
      </c>
      <c r="P75">
        <f>VLOOKUP(B75,怪物抗性与玩家穿透!A$2:Q$74,5,0)</f>
        <v>3150</v>
      </c>
      <c r="Q75">
        <f t="shared" si="4"/>
        <v>3150</v>
      </c>
      <c r="R75">
        <f>VLOOKUP(B75,[3]battleParameter.xml!$A$6:$E$107,5,0)*(I75/100)/(1-I75/100)</f>
        <v>0</v>
      </c>
      <c r="S75">
        <f>ROUND(VLOOKUP(B75,[3]battleParameter.xml!$A$6:$G$107,7,0)*(J75/100)/(1-J75/100),0)</f>
        <v>0</v>
      </c>
      <c r="T75">
        <f>ROUND(VLOOKUP(B75,[3]battleParameter.xml!$A$6:$Z$107,8,0)*(MIN(H75/100+0.2,0.99))/(1-MIN(H75/100+0.2,0.99)),0)</f>
        <v>1632</v>
      </c>
      <c r="U75">
        <v>0</v>
      </c>
      <c r="V75">
        <v>0</v>
      </c>
    </row>
    <row r="76" spans="1:22">
      <c r="A76" t="str">
        <f>[2]monster.xml!$D421</f>
        <v>驯兽师瓦纳</v>
      </c>
      <c r="B76">
        <f>[2]monster.xml!$C421</f>
        <v>66</v>
      </c>
      <c r="C76">
        <f t="shared" si="5"/>
        <v>67</v>
      </c>
      <c r="D76">
        <f>VLOOKUP(A76,怪物模型!A$15:Z$70,8,0)</f>
        <v>2</v>
      </c>
      <c r="E76">
        <f>VLOOKUP(A76,怪物模型!A$15:G$70,3,0)</f>
        <v>0.6</v>
      </c>
      <c r="F76">
        <f>VLOOKUP(A76,怪物模型!A$15:G$77,4,0)</f>
        <v>0.6</v>
      </c>
      <c r="G76">
        <v>1</v>
      </c>
      <c r="H76">
        <f>VLOOKUP(A76,怪物模型!A$15:G$77,5,0)</f>
        <v>13</v>
      </c>
      <c r="I76">
        <f>VLOOKUP(A76,怪物模型!A$15:G$77,6,0)</f>
        <v>0</v>
      </c>
      <c r="J76">
        <f>VLOOKUP(A76,怪物模型!A$15:G$77,7,0)</f>
        <v>0</v>
      </c>
      <c r="K76">
        <f>ROUND(VLOOKUP(C76,战士难度!A$1:C$135,3,0)/VLOOKUP(B76,怪物抗性与玩家穿透!A$2:Q$74,17,0)*F76,0)</f>
        <v>233246</v>
      </c>
      <c r="L76">
        <f>IF(A76="卡雷",42,IF(A76="法力风暴",ROUND(K76*0.1,0),VLOOKUP(A76,怪物模型!$A$15:$I$70,9,0)*(1+(B76-30)/100)))</f>
        <v>1088</v>
      </c>
      <c r="M76">
        <f>ROUND(VLOOKUP(C76,战士难度!A$1:C$135,2,0)*0.91*E76,0)</f>
        <v>40272</v>
      </c>
      <c r="N76">
        <f t="shared" si="3"/>
        <v>48326</v>
      </c>
      <c r="O76">
        <f>VLOOKUP(B76,怪物抗性与玩家穿透!A$2:Q$74,4,0)</f>
        <v>10500</v>
      </c>
      <c r="P76">
        <f>VLOOKUP(B76,怪物抗性与玩家穿透!A$2:Q$74,5,0)</f>
        <v>3150</v>
      </c>
      <c r="Q76">
        <f t="shared" si="4"/>
        <v>3150</v>
      </c>
      <c r="R76">
        <f>VLOOKUP(B76,[3]battleParameter.xml!$A$6:$E$107,5,0)*(I76/100)/(1-I76/100)</f>
        <v>0</v>
      </c>
      <c r="S76">
        <f>ROUND(VLOOKUP(B76,[3]battleParameter.xml!$A$6:$G$107,7,0)*(J76/100)/(1-J76/100),0)</f>
        <v>0</v>
      </c>
      <c r="T76">
        <f>ROUND(VLOOKUP(B76,[3]battleParameter.xml!$A$6:$Z$107,8,0)*(MIN(H76/100+0.2,0.99))/(1-MIN(H76/100+0.2,0.99)),0)</f>
        <v>1632</v>
      </c>
      <c r="U76">
        <v>0</v>
      </c>
      <c r="V76">
        <v>0</v>
      </c>
    </row>
    <row r="77" spans="1:22">
      <c r="A77" t="str">
        <f>[2]monster.xml!$D422</f>
        <v>多兰</v>
      </c>
      <c r="B77">
        <f>[2]monster.xml!$C422</f>
        <v>66</v>
      </c>
      <c r="C77">
        <f t="shared" si="5"/>
        <v>67</v>
      </c>
      <c r="D77">
        <f>VLOOKUP(A77,怪物模型!A$15:Z$70,8,0)</f>
        <v>9</v>
      </c>
      <c r="E77">
        <f>VLOOKUP(A77,怪物模型!A$15:G$70,3,0)</f>
        <v>0.35</v>
      </c>
      <c r="F77">
        <f>VLOOKUP(A77,怪物模型!A$15:G$77,4,0)</f>
        <v>0.28000000000000003</v>
      </c>
      <c r="G77">
        <v>1</v>
      </c>
      <c r="H77">
        <f>VLOOKUP(A77,怪物模型!A$15:G$77,5,0)</f>
        <v>13</v>
      </c>
      <c r="I77">
        <f>VLOOKUP(A77,怪物模型!A$15:G$77,6,0)</f>
        <v>0</v>
      </c>
      <c r="J77">
        <f>VLOOKUP(A77,怪物模型!A$15:G$77,7,0)</f>
        <v>0</v>
      </c>
      <c r="K77">
        <f>ROUND(VLOOKUP(C77,战士难度!A$1:C$135,3,0)/VLOOKUP(B77,怪物抗性与玩家穿透!A$2:Q$74,17,0)*F77,0)</f>
        <v>108848</v>
      </c>
      <c r="L77">
        <f>IF(A77="卡雷",42,IF(A77="法力风暴",ROUND(K77*0.1,0),VLOOKUP(A77,怪物模型!$A$15:$I$70,9,0)*(1+(B77-30)/100)))</f>
        <v>1359.9999999999998</v>
      </c>
      <c r="M77">
        <f>ROUND(VLOOKUP(C77,战士难度!A$1:C$135,2,0)*0.91*E77,0)</f>
        <v>23492</v>
      </c>
      <c r="N77">
        <f t="shared" si="3"/>
        <v>28190</v>
      </c>
      <c r="O77">
        <f>VLOOKUP(B77,怪物抗性与玩家穿透!A$2:Q$74,4,0)</f>
        <v>10500</v>
      </c>
      <c r="P77">
        <f>VLOOKUP(B77,怪物抗性与玩家穿透!A$2:Q$74,5,0)</f>
        <v>3150</v>
      </c>
      <c r="Q77">
        <f t="shared" si="4"/>
        <v>3150</v>
      </c>
      <c r="R77">
        <f>VLOOKUP(B77,[3]battleParameter.xml!$A$6:$E$107,5,0)*(I77/100)/(1-I77/100)</f>
        <v>0</v>
      </c>
      <c r="S77">
        <f>ROUND(VLOOKUP(B77,[3]battleParameter.xml!$A$6:$G$107,7,0)*(J77/100)/(1-J77/100),0)</f>
        <v>0</v>
      </c>
      <c r="T77">
        <f>ROUND(VLOOKUP(B77,[3]battleParameter.xml!$A$6:$Z$107,8,0)*(MIN(H77/100+0.2,0.99))/(1-MIN(H77/100+0.2,0.99)),0)</f>
        <v>1632</v>
      </c>
      <c r="U77">
        <v>0</v>
      </c>
      <c r="V77">
        <v>0</v>
      </c>
    </row>
    <row r="78" spans="1:22">
      <c r="A78" t="str">
        <f>[2]monster.xml!$D423</f>
        <v>约翰</v>
      </c>
      <c r="B78">
        <f>[2]monster.xml!$C423</f>
        <v>66</v>
      </c>
      <c r="C78">
        <f t="shared" si="5"/>
        <v>67</v>
      </c>
      <c r="D78">
        <f>VLOOKUP(A78,怪物模型!A$15:Z$70,8,0)</f>
        <v>10</v>
      </c>
      <c r="E78">
        <f>VLOOKUP(A78,怪物模型!A$15:G$70,3,0)</f>
        <v>0.35</v>
      </c>
      <c r="F78">
        <f>VLOOKUP(A78,怪物模型!A$15:G$77,4,0)</f>
        <v>0.28000000000000003</v>
      </c>
      <c r="G78">
        <v>1</v>
      </c>
      <c r="H78">
        <f>VLOOKUP(A78,怪物模型!A$15:G$77,5,0)</f>
        <v>13</v>
      </c>
      <c r="I78">
        <f>VLOOKUP(A78,怪物模型!A$15:G$77,6,0)</f>
        <v>0</v>
      </c>
      <c r="J78">
        <f>VLOOKUP(A78,怪物模型!A$15:G$77,7,0)</f>
        <v>0</v>
      </c>
      <c r="K78">
        <f>ROUND(VLOOKUP(C78,战士难度!A$1:C$135,3,0)/VLOOKUP(B78,怪物抗性与玩家穿透!A$2:Q$74,17,0)*F78,0)</f>
        <v>108848</v>
      </c>
      <c r="L78">
        <f>IF(A78="卡雷",42,IF(A78="法力风暴",ROUND(K78*0.1,0),VLOOKUP(A78,怪物模型!$A$15:$I$70,9,0)*(1+(B78-30)/100)))</f>
        <v>1359.9999999999998</v>
      </c>
      <c r="M78">
        <f>ROUND(VLOOKUP(C78,战士难度!A$1:C$135,2,0)*0.91*E78,0)</f>
        <v>23492</v>
      </c>
      <c r="N78">
        <f t="shared" si="3"/>
        <v>28190</v>
      </c>
      <c r="O78">
        <f>VLOOKUP(B78,怪物抗性与玩家穿透!A$2:Q$74,4,0)</f>
        <v>10500</v>
      </c>
      <c r="P78">
        <f>VLOOKUP(B78,怪物抗性与玩家穿透!A$2:Q$74,5,0)</f>
        <v>3150</v>
      </c>
      <c r="Q78">
        <f t="shared" si="4"/>
        <v>3150</v>
      </c>
      <c r="R78">
        <f>VLOOKUP(B78,[3]battleParameter.xml!$A$6:$E$107,5,0)*(I78/100)/(1-I78/100)</f>
        <v>0</v>
      </c>
      <c r="S78">
        <f>ROUND(VLOOKUP(B78,[3]battleParameter.xml!$A$6:$G$107,7,0)*(J78/100)/(1-J78/100),0)</f>
        <v>0</v>
      </c>
      <c r="T78">
        <f>ROUND(VLOOKUP(B78,[3]battleParameter.xml!$A$6:$Z$107,8,0)*(MIN(H78/100+0.2,0.99))/(1-MIN(H78/100+0.2,0.99)),0)</f>
        <v>1632</v>
      </c>
      <c r="U78">
        <v>0</v>
      </c>
      <c r="V78">
        <v>0</v>
      </c>
    </row>
    <row r="79" spans="1:22">
      <c r="A79" t="str">
        <f>[2]monster.xml!$D424</f>
        <v>炎之安苏</v>
      </c>
      <c r="B79">
        <f>[2]monster.xml!$C424</f>
        <v>66</v>
      </c>
      <c r="C79">
        <f t="shared" si="5"/>
        <v>68</v>
      </c>
      <c r="D79">
        <f>VLOOKUP(A79,怪物模型!A$15:Z$70,8,0)</f>
        <v>21</v>
      </c>
      <c r="E79">
        <f>VLOOKUP(A79,怪物模型!A$15:G$70,3,0)</f>
        <v>1</v>
      </c>
      <c r="F79">
        <f>VLOOKUP(A79,怪物模型!A$15:G$77,4,0)</f>
        <v>0.95</v>
      </c>
      <c r="G79">
        <v>1</v>
      </c>
      <c r="H79">
        <f>VLOOKUP(A79,怪物模型!A$15:G$77,5,0)</f>
        <v>13</v>
      </c>
      <c r="I79">
        <f>VLOOKUP(A79,怪物模型!A$15:G$77,6,0)</f>
        <v>0</v>
      </c>
      <c r="J79">
        <f>VLOOKUP(A79,怪物模型!A$15:G$77,7,0)</f>
        <v>0</v>
      </c>
      <c r="K79">
        <f>ROUND(VLOOKUP(C79,战士难度!A$1:C$135,3,0)/VLOOKUP(B79,怪物抗性与玩家穿透!A$2:Q$74,17,0)*F79,0)</f>
        <v>399827</v>
      </c>
      <c r="L79">
        <f>IF(A79="卡雷",42,IF(A79="法力风暴",ROUND(K79*0.1,0),VLOOKUP(A79,怪物模型!$A$15:$I$70,9,0)*(1+(B79-30)/100)))</f>
        <v>1359.9999999999998</v>
      </c>
      <c r="M79">
        <f>ROUND(VLOOKUP(C79,战士难度!A$1:C$135,2,0)*0.91*E79,0)</f>
        <v>76172</v>
      </c>
      <c r="N79">
        <f t="shared" si="3"/>
        <v>91406</v>
      </c>
      <c r="O79">
        <f>VLOOKUP(B79,怪物抗性与玩家穿透!A$2:Q$74,4,0)</f>
        <v>10500</v>
      </c>
      <c r="P79">
        <f>VLOOKUP(B79,怪物抗性与玩家穿透!A$2:Q$74,5,0)</f>
        <v>3150</v>
      </c>
      <c r="Q79">
        <f t="shared" si="4"/>
        <v>3150</v>
      </c>
      <c r="R79">
        <f>VLOOKUP(B79,[3]battleParameter.xml!$A$6:$E$107,5,0)*(I79/100)/(1-I79/100)</f>
        <v>0</v>
      </c>
      <c r="S79">
        <f>ROUND(VLOOKUP(B79,[3]battleParameter.xml!$A$6:$G$107,7,0)*(J79/100)/(1-J79/100),0)</f>
        <v>0</v>
      </c>
      <c r="T79">
        <f>ROUND(VLOOKUP(B79,[3]battleParameter.xml!$A$6:$Z$107,8,0)*(MIN(H79/100+0.2,0.99))/(1-MIN(H79/100+0.2,0.99)),0)</f>
        <v>1632</v>
      </c>
      <c r="U79">
        <v>0</v>
      </c>
      <c r="V79">
        <v>0</v>
      </c>
    </row>
    <row r="80" spans="1:22">
      <c r="A80" t="str">
        <f>[2]monster.xml!$D425</f>
        <v>迅捷的维恩</v>
      </c>
      <c r="B80">
        <f>[2]monster.xml!$C425</f>
        <v>67</v>
      </c>
      <c r="C80">
        <f t="shared" si="5"/>
        <v>69</v>
      </c>
      <c r="D80">
        <f>VLOOKUP(A80,怪物模型!A$15:Z$70,8,0)</f>
        <v>14</v>
      </c>
      <c r="E80">
        <f>VLOOKUP(A80,怪物模型!A$15:G$70,3,0)</f>
        <v>1</v>
      </c>
      <c r="F80">
        <f>VLOOKUP(A80,怪物模型!A$15:G$77,4,0)</f>
        <v>1</v>
      </c>
      <c r="G80">
        <v>1</v>
      </c>
      <c r="H80">
        <f>VLOOKUP(A80,怪物模型!A$15:G$77,5,0)</f>
        <v>0</v>
      </c>
      <c r="I80">
        <f>VLOOKUP(A80,怪物模型!A$15:G$77,6,0)</f>
        <v>0</v>
      </c>
      <c r="J80">
        <f>VLOOKUP(A80,怪物模型!A$15:G$77,7,0)</f>
        <v>0</v>
      </c>
      <c r="K80">
        <f>ROUND(VLOOKUP(C80,战士难度!A$1:C$135,3,0)/VLOOKUP(B80,怪物抗性与玩家穿透!A$2:Q$74,17,0)*F80,0)</f>
        <v>462502</v>
      </c>
      <c r="L80">
        <f>IF(A80="卡雷",42,IF(A80="法力风暴",ROUND(K80*0.1,0),VLOOKUP(A80,怪物模型!$A$15:$I$70,9,0)*(1+(B80-30)/100)))</f>
        <v>1370</v>
      </c>
      <c r="M80">
        <f>ROUND(VLOOKUP(C80,战士难度!A$1:C$135,2,0)*0.91*E80,0)</f>
        <v>90170</v>
      </c>
      <c r="N80">
        <f t="shared" si="3"/>
        <v>108204</v>
      </c>
      <c r="O80">
        <f>VLOOKUP(B80,怪物抗性与玩家穿透!A$2:Q$74,4,0)</f>
        <v>11000</v>
      </c>
      <c r="P80">
        <f>VLOOKUP(B80,怪物抗性与玩家穿透!A$2:Q$74,5,0)</f>
        <v>3300</v>
      </c>
      <c r="Q80">
        <f t="shared" si="4"/>
        <v>3300</v>
      </c>
      <c r="R80">
        <f>VLOOKUP(B80,[3]battleParameter.xml!$A$6:$E$107,5,0)*(I80/100)/(1-I80/100)</f>
        <v>0</v>
      </c>
      <c r="S80">
        <f>ROUND(VLOOKUP(B80,[3]battleParameter.xml!$A$6:$G$107,7,0)*(J80/100)/(1-J80/100),0)</f>
        <v>0</v>
      </c>
      <c r="T80">
        <f>ROUND(VLOOKUP(B80,[3]battleParameter.xml!$A$6:$Z$107,8,0)*(MIN(H80/100+0.2,0.99))/(1-MIN(H80/100+0.2,0.99)),0)</f>
        <v>854</v>
      </c>
      <c r="U80">
        <v>0</v>
      </c>
      <c r="V80">
        <v>0</v>
      </c>
    </row>
    <row r="81" spans="1:22">
      <c r="A81" t="str">
        <f>[2]monster.xml!$D426</f>
        <v>暮光预言者</v>
      </c>
      <c r="B81">
        <f>[2]monster.xml!$C426</f>
        <v>67</v>
      </c>
      <c r="C81">
        <f t="shared" si="5"/>
        <v>70</v>
      </c>
      <c r="D81">
        <f>VLOOKUP(A81,怪物模型!A$15:Z$70,8,0)</f>
        <v>13</v>
      </c>
      <c r="E81">
        <f>VLOOKUP(A81,怪物模型!A$15:G$70,3,0)</f>
        <v>0.7</v>
      </c>
      <c r="F81">
        <f>VLOOKUP(A81,怪物模型!A$15:G$77,4,0)</f>
        <v>1</v>
      </c>
      <c r="G81">
        <v>1</v>
      </c>
      <c r="H81">
        <f>VLOOKUP(A81,怪物模型!A$15:G$77,5,0)</f>
        <v>0</v>
      </c>
      <c r="I81">
        <f>VLOOKUP(A81,怪物模型!A$15:G$77,6,0)</f>
        <v>0</v>
      </c>
      <c r="J81">
        <f>VLOOKUP(A81,怪物模型!A$15:G$77,7,0)</f>
        <v>0</v>
      </c>
      <c r="K81">
        <f>ROUND(VLOOKUP(C81,战士难度!A$1:C$135,3,0)/VLOOKUP(B81,怪物抗性与玩家穿透!A$2:Q$74,17,0)*F81,0)</f>
        <v>501536</v>
      </c>
      <c r="L81">
        <f>IF(A81="卡雷",42,IF(A81="法力风暴",ROUND(K81*0.1,0),VLOOKUP(A81,怪物模型!$A$15:$I$70,9,0)*(1+(B81-30)/100)))</f>
        <v>1096</v>
      </c>
      <c r="M81">
        <f>ROUND(VLOOKUP(C81,战士难度!A$1:C$135,2,0)*0.91*E81,0)</f>
        <v>70690</v>
      </c>
      <c r="N81">
        <f t="shared" si="3"/>
        <v>84828</v>
      </c>
      <c r="O81">
        <f>VLOOKUP(B81,怪物抗性与玩家穿透!A$2:Q$74,4,0)</f>
        <v>11000</v>
      </c>
      <c r="P81">
        <f>VLOOKUP(B81,怪物抗性与玩家穿透!A$2:Q$74,5,0)</f>
        <v>3300</v>
      </c>
      <c r="Q81">
        <f t="shared" si="4"/>
        <v>3300</v>
      </c>
      <c r="R81">
        <f>VLOOKUP(B81,[3]battleParameter.xml!$A$6:$E$107,5,0)*(I81/100)/(1-I81/100)</f>
        <v>0</v>
      </c>
      <c r="S81">
        <f>ROUND(VLOOKUP(B81,[3]battleParameter.xml!$A$6:$G$107,7,0)*(J81/100)/(1-J81/100),0)</f>
        <v>0</v>
      </c>
      <c r="T81">
        <f>ROUND(VLOOKUP(B81,[3]battleParameter.xml!$A$6:$Z$107,8,0)*(MIN(H81/100+0.2,0.99))/(1-MIN(H81/100+0.2,0.99)),0)</f>
        <v>854</v>
      </c>
      <c r="U81">
        <v>0</v>
      </c>
      <c r="V81">
        <v>0</v>
      </c>
    </row>
    <row r="82" spans="1:22">
      <c r="A82" t="str">
        <f>[2]monster.xml!$D427</f>
        <v>卡雷</v>
      </c>
      <c r="B82">
        <f>[2]monster.xml!$C427</f>
        <v>68</v>
      </c>
      <c r="C82">
        <f t="shared" si="5"/>
        <v>71</v>
      </c>
      <c r="D82">
        <f>VLOOKUP(A82,怪物模型!A$15:Z$70,8,0)</f>
        <v>25</v>
      </c>
      <c r="E82">
        <f>VLOOKUP(A82,怪物模型!A$15:G$70,3,0)</f>
        <v>1.25</v>
      </c>
      <c r="F82">
        <f>VLOOKUP(A82,怪物模型!A$15:G$77,4,0)</f>
        <v>1</v>
      </c>
      <c r="G82">
        <v>1</v>
      </c>
      <c r="H82">
        <f>VLOOKUP(A82,怪物模型!A$15:G$77,5,0)</f>
        <v>13</v>
      </c>
      <c r="I82">
        <f>VLOOKUP(A82,怪物模型!A$15:G$77,6,0)</f>
        <v>0</v>
      </c>
      <c r="J82">
        <f>VLOOKUP(A82,怪物模型!A$15:G$77,7,0)</f>
        <v>0</v>
      </c>
      <c r="K82">
        <f>ROUND(VLOOKUP(C82,战士难度!A$1:C$135,3,0)/VLOOKUP(B82,怪物抗性与玩家穿透!A$2:Q$74,17,0)*F82,0)</f>
        <v>538164</v>
      </c>
      <c r="L82">
        <f>IF(A82="卡雷",42,IF(A82="法力风暴",ROUND(K82*0.1,0),VLOOKUP(A82,怪物模型!$A$15:$I$70,9,0)*(1+(B82-30)/100)))</f>
        <v>42</v>
      </c>
      <c r="M82">
        <f>ROUND(VLOOKUP(C82,战士难度!A$1:C$135,2,0)*0.91*E82,0)</f>
        <v>141374</v>
      </c>
      <c r="N82">
        <f t="shared" si="3"/>
        <v>169649</v>
      </c>
      <c r="O82">
        <f>VLOOKUP(B82,怪物抗性与玩家穿透!A$2:Q$74,4,0)</f>
        <v>11500</v>
      </c>
      <c r="P82">
        <f>VLOOKUP(B82,怪物抗性与玩家穿透!A$2:Q$74,5,0)</f>
        <v>3450</v>
      </c>
      <c r="Q82">
        <f t="shared" si="4"/>
        <v>3450</v>
      </c>
      <c r="R82">
        <f>VLOOKUP(B82,[3]battleParameter.xml!$A$6:$E$107,5,0)*(I82/100)/(1-I82/100)</f>
        <v>0</v>
      </c>
      <c r="S82">
        <f>ROUND(VLOOKUP(B82,[3]battleParameter.xml!$A$6:$G$107,7,0)*(J82/100)/(1-J82/100),0)</f>
        <v>0</v>
      </c>
      <c r="T82">
        <f>ROUND(VLOOKUP(B82,[3]battleParameter.xml!$A$6:$Z$107,8,0)*(MIN(H82/100+0.2,0.99))/(1-MIN(H82/100+0.2,0.99)),0)</f>
        <v>1731</v>
      </c>
      <c r="U82">
        <v>0</v>
      </c>
      <c r="V82">
        <v>0</v>
      </c>
    </row>
    <row r="83" spans="1:22">
      <c r="A83" t="str">
        <f>[2]monster.xml!$D428</f>
        <v>日光弗雷尔</v>
      </c>
      <c r="B83">
        <f>[2]monster.xml!$C428</f>
        <v>69</v>
      </c>
      <c r="C83">
        <f t="shared" si="5"/>
        <v>72</v>
      </c>
      <c r="D83">
        <f>VLOOKUP(A83,怪物模型!A$15:Z$70,8,0)</f>
        <v>28</v>
      </c>
      <c r="E83">
        <f>VLOOKUP(A83,怪物模型!A$15:G$70,3,0)</f>
        <v>0.9</v>
      </c>
      <c r="F83">
        <f>VLOOKUP(A83,怪物模型!A$15:G$77,4,0)</f>
        <v>0.9</v>
      </c>
      <c r="G83">
        <v>1</v>
      </c>
      <c r="H83">
        <f>VLOOKUP(A83,怪物模型!A$15:G$77,5,0)</f>
        <v>13</v>
      </c>
      <c r="I83">
        <f>VLOOKUP(A83,怪物模型!A$15:G$77,6,0)</f>
        <v>0</v>
      </c>
      <c r="J83">
        <f>VLOOKUP(A83,怪物模型!A$15:G$77,7,0)</f>
        <v>0</v>
      </c>
      <c r="K83">
        <f>ROUND(VLOOKUP(C83,战士难度!A$1:C$135,3,0)/VLOOKUP(B83,怪物抗性与玩家穿透!A$2:Q$74,17,0)*F83,0)</f>
        <v>534447</v>
      </c>
      <c r="L83">
        <f>IF(A83="卡雷",42,IF(A83="法力风暴",ROUND(K83*0.1,0),VLOOKUP(A83,怪物模型!$A$15:$I$70,9,0)*(1+(B83-30)/100)))</f>
        <v>1390.0000000000002</v>
      </c>
      <c r="M83">
        <f>ROUND(VLOOKUP(C83,战士难度!A$1:C$135,2,0)*0.91*E83,0)</f>
        <v>118386</v>
      </c>
      <c r="N83">
        <f t="shared" si="3"/>
        <v>142063</v>
      </c>
      <c r="O83">
        <f>VLOOKUP(B83,怪物抗性与玩家穿透!A$2:Q$74,4,0)</f>
        <v>12000</v>
      </c>
      <c r="P83">
        <f>VLOOKUP(B83,怪物抗性与玩家穿透!A$2:Q$74,5,0)</f>
        <v>3600</v>
      </c>
      <c r="Q83">
        <f t="shared" si="4"/>
        <v>3600</v>
      </c>
      <c r="R83">
        <f>VLOOKUP(B83,[3]battleParameter.xml!$A$6:$E$107,5,0)*(I83/100)/(1-I83/100)</f>
        <v>0</v>
      </c>
      <c r="S83">
        <f>ROUND(VLOOKUP(B83,[3]battleParameter.xml!$A$6:$G$107,7,0)*(J83/100)/(1-J83/100),0)</f>
        <v>0</v>
      </c>
      <c r="T83">
        <f>ROUND(VLOOKUP(B83,[3]battleParameter.xml!$A$6:$Z$107,8,0)*(MIN(H83/100+0.2,0.99))/(1-MIN(H83/100+0.2,0.99)),0)</f>
        <v>1782</v>
      </c>
      <c r="U83">
        <v>0</v>
      </c>
      <c r="V83">
        <v>0</v>
      </c>
    </row>
    <row r="84" spans="1:22">
      <c r="A84" t="str">
        <f>[2]monster.xml!$D429</f>
        <v>坚定的格雷格</v>
      </c>
      <c r="B84">
        <f>[2]monster.xml!$C429</f>
        <v>70</v>
      </c>
      <c r="C84">
        <f t="shared" si="5"/>
        <v>73</v>
      </c>
      <c r="D84">
        <f>VLOOKUP(A84,怪物模型!A$15:Z$70,8,0)</f>
        <v>3</v>
      </c>
      <c r="E84">
        <f>VLOOKUP(A84,怪物模型!A$15:G$70,3,0)</f>
        <v>0.7</v>
      </c>
      <c r="F84">
        <f>VLOOKUP(A84,怪物模型!A$15:G$77,4,0)</f>
        <v>0.8</v>
      </c>
      <c r="G84">
        <v>1</v>
      </c>
      <c r="H84">
        <f>VLOOKUP(A84,怪物模型!A$15:G$77,5,0)</f>
        <v>13</v>
      </c>
      <c r="I84">
        <f>VLOOKUP(A84,怪物模型!A$15:G$77,6,0)</f>
        <v>0</v>
      </c>
      <c r="J84">
        <f>VLOOKUP(A84,怪物模型!A$15:G$77,7,0)</f>
        <v>0</v>
      </c>
      <c r="K84">
        <f>ROUND(VLOOKUP(C84,战士难度!A$1:C$135,3,0)/VLOOKUP(B84,怪物抗性与玩家穿透!A$2:Q$74,17,0)*F84,0)</f>
        <v>305073</v>
      </c>
      <c r="L84">
        <f>IF(A84="卡雷",42,IF(A84="法力风暴",ROUND(K84*0.1,0),VLOOKUP(A84,怪物模型!$A$15:$I$70,9,0)*(1+(B84-30)/100)))</f>
        <v>840</v>
      </c>
      <c r="M84">
        <f>ROUND(VLOOKUP(C84,战士难度!A$1:C$135,2,0)*0.91*E84,0)</f>
        <v>36874</v>
      </c>
      <c r="N84">
        <f t="shared" si="3"/>
        <v>44249</v>
      </c>
      <c r="O84">
        <f>VLOOKUP(B84,怪物抗性与玩家穿透!A$2:Q$74,4,0)</f>
        <v>12500</v>
      </c>
      <c r="P84">
        <f>VLOOKUP(B84,怪物抗性与玩家穿透!A$2:Q$74,5,0)</f>
        <v>3750</v>
      </c>
      <c r="Q84">
        <f t="shared" si="4"/>
        <v>3750</v>
      </c>
      <c r="R84">
        <f>VLOOKUP(B84,[3]battleParameter.xml!$A$6:$E$107,5,0)*(I84/100)/(1-I84/100)</f>
        <v>0</v>
      </c>
      <c r="S84">
        <f>ROUND(VLOOKUP(B84,[3]battleParameter.xml!$A$6:$G$107,7,0)*(J84/100)/(1-J84/100),0)</f>
        <v>0</v>
      </c>
      <c r="T84">
        <f>ROUND(VLOOKUP(B84,[3]battleParameter.xml!$A$6:$Z$107,8,0)*(MIN(H84/100+0.2,0.99))/(1-MIN(H84/100+0.2,0.99)),0)</f>
        <v>1834</v>
      </c>
      <c r="U84">
        <v>0</v>
      </c>
      <c r="V84">
        <v>0</v>
      </c>
    </row>
    <row r="85" spans="1:22">
      <c r="A85" t="str">
        <f>[2]monster.xml!$D430</f>
        <v>莱恩的倒影</v>
      </c>
      <c r="B85">
        <f>[2]monster.xml!$C430</f>
        <v>70</v>
      </c>
      <c r="C85">
        <f t="shared" si="5"/>
        <v>74</v>
      </c>
      <c r="D85" t="str">
        <f>VLOOKUP(A85,怪物模型!A$15:Z$70,8,0)</f>
        <v>1,2</v>
      </c>
      <c r="E85">
        <f>VLOOKUP(A85,怪物模型!A$15:G$70,3,0)</f>
        <v>1.2</v>
      </c>
      <c r="F85">
        <f>VLOOKUP(A85,怪物模型!A$15:G$77,4,0)</f>
        <v>0.8</v>
      </c>
      <c r="G85">
        <v>1</v>
      </c>
      <c r="H85">
        <f>VLOOKUP(A85,怪物模型!A$15:G$77,5,0)</f>
        <v>0</v>
      </c>
      <c r="I85">
        <f>VLOOKUP(A85,怪物模型!A$15:G$77,6,0)</f>
        <v>0</v>
      </c>
      <c r="J85">
        <f>VLOOKUP(A85,怪物模型!A$15:G$77,7,0)</f>
        <v>0</v>
      </c>
      <c r="K85">
        <f>ROUND(VLOOKUP(C85,战士难度!A$1:C$135,3,0)/VLOOKUP(B85,怪物抗性与玩家穿透!A$2:Q$74,17,0)*F85,0)</f>
        <v>338522</v>
      </c>
      <c r="L85">
        <f>IF(A85="卡雷",42,IF(A85="法力风暴",ROUND(K85*0.1,0),VLOOKUP(A85,怪物模型!$A$15:$I$70,9,0)*(1+(B85-30)/100)))</f>
        <v>1400</v>
      </c>
      <c r="M85">
        <f>ROUND(VLOOKUP(C85,战士难度!A$1:C$135,2,0)*0.91*E85,0)</f>
        <v>79792</v>
      </c>
      <c r="N85">
        <f t="shared" si="3"/>
        <v>95750</v>
      </c>
      <c r="O85">
        <f>VLOOKUP(B85,怪物抗性与玩家穿透!A$2:Q$74,4,0)</f>
        <v>12500</v>
      </c>
      <c r="P85">
        <f>VLOOKUP(B85,怪物抗性与玩家穿透!A$2:Q$74,5,0)</f>
        <v>3750</v>
      </c>
      <c r="Q85">
        <f t="shared" si="4"/>
        <v>3750</v>
      </c>
      <c r="R85">
        <f>VLOOKUP(B85,[3]battleParameter.xml!$A$6:$E$107,5,0)*(I85/100)/(1-I85/100)</f>
        <v>0</v>
      </c>
      <c r="S85">
        <f>ROUND(VLOOKUP(B85,[3]battleParameter.xml!$A$6:$G$107,7,0)*(J85/100)/(1-J85/100),0)</f>
        <v>0</v>
      </c>
      <c r="T85">
        <f>ROUND(VLOOKUP(B85,[3]battleParameter.xml!$A$6:$Z$107,8,0)*(MIN(H85/100+0.2,0.99))/(1-MIN(H85/100+0.2,0.99)),0)</f>
        <v>931</v>
      </c>
      <c r="U85">
        <v>0</v>
      </c>
      <c r="V85">
        <v>0</v>
      </c>
    </row>
    <row r="86" spans="1:22">
      <c r="A86" t="str">
        <f>[2]monster.xml!$D431</f>
        <v>混乱的玛尔达</v>
      </c>
      <c r="B86">
        <f>[2]monster.xml!$C431</f>
        <v>71</v>
      </c>
      <c r="C86">
        <f t="shared" si="5"/>
        <v>75</v>
      </c>
      <c r="D86" t="str">
        <f>VLOOKUP(A86,怪物模型!A$15:Z$70,8,0)</f>
        <v>6,19,23</v>
      </c>
      <c r="E86">
        <f>VLOOKUP(A86,怪物模型!A$15:G$70,3,0)</f>
        <v>1</v>
      </c>
      <c r="F86">
        <f>VLOOKUP(A86,怪物模型!A$15:G$77,4,0)</f>
        <v>1.1000000000000001</v>
      </c>
      <c r="G86">
        <v>1</v>
      </c>
      <c r="H86">
        <f>VLOOKUP(A86,怪物模型!A$15:G$77,5,0)</f>
        <v>13</v>
      </c>
      <c r="I86">
        <f>VLOOKUP(A86,怪物模型!A$15:G$77,6,0)</f>
        <v>0</v>
      </c>
      <c r="J86">
        <f>VLOOKUP(A86,怪物模型!A$15:G$77,7,0)</f>
        <v>0</v>
      </c>
      <c r="K86">
        <f>ROUND(VLOOKUP(C86,战士难度!A$1:C$135,3,0)/VLOOKUP(B86,怪物抗性与玩家穿透!A$2:Q$74,17,0)*F86,0)</f>
        <v>531096</v>
      </c>
      <c r="L86">
        <f>IF(A86="卡雷",42,IF(A86="法力风暴",ROUND(K86*0.1,0),VLOOKUP(A86,怪物模型!$A$15:$I$70,9,0)*(1+(B86-30)/100)))</f>
        <v>2538</v>
      </c>
      <c r="M86">
        <f>ROUND(VLOOKUP(C86,战士难度!A$1:C$135,2,0)*0.91*E86,0)</f>
        <v>90712</v>
      </c>
      <c r="N86">
        <f t="shared" si="3"/>
        <v>108854</v>
      </c>
      <c r="O86">
        <f>VLOOKUP(B86,怪物抗性与玩家穿透!A$2:Q$74,4,0)</f>
        <v>13000</v>
      </c>
      <c r="P86">
        <f>VLOOKUP(B86,怪物抗性与玩家穿透!A$2:Q$74,5,0)</f>
        <v>3900</v>
      </c>
      <c r="Q86">
        <f t="shared" si="4"/>
        <v>3900</v>
      </c>
      <c r="R86">
        <f>VLOOKUP(B86,[3]battleParameter.xml!$A$6:$E$107,5,0)*(I86/100)/(1-I86/100)</f>
        <v>0</v>
      </c>
      <c r="S86">
        <f>ROUND(VLOOKUP(B86,[3]battleParameter.xml!$A$6:$G$107,7,0)*(J86/100)/(1-J86/100),0)</f>
        <v>0</v>
      </c>
      <c r="T86">
        <f>ROUND(VLOOKUP(B86,[3]battleParameter.xml!$A$6:$Z$107,8,0)*(MIN(H86/100+0.2,0.99))/(1-MIN(H86/100+0.2,0.99)),0)</f>
        <v>1886</v>
      </c>
      <c r="U86">
        <v>0</v>
      </c>
      <c r="V86">
        <v>0</v>
      </c>
    </row>
    <row r="87" spans="1:22">
      <c r="A87" t="str">
        <f>[2]monster.xml!$D432</f>
        <v>驯兽师瓦纳</v>
      </c>
      <c r="B87">
        <f>[2]monster.xml!$C432</f>
        <v>71</v>
      </c>
      <c r="C87">
        <f t="shared" si="5"/>
        <v>76</v>
      </c>
      <c r="D87">
        <f>VLOOKUP(A87,怪物模型!A$15:Z$70,8,0)</f>
        <v>2</v>
      </c>
      <c r="E87">
        <f>VLOOKUP(A87,怪物模型!A$15:G$70,3,0)</f>
        <v>0.6</v>
      </c>
      <c r="F87">
        <f>VLOOKUP(A87,怪物模型!A$15:G$77,4,0)</f>
        <v>0.6</v>
      </c>
      <c r="G87">
        <v>1</v>
      </c>
      <c r="H87">
        <f>VLOOKUP(A87,怪物模型!A$15:G$77,5,0)</f>
        <v>13</v>
      </c>
      <c r="I87">
        <f>VLOOKUP(A87,怪物模型!A$15:G$77,6,0)</f>
        <v>0</v>
      </c>
      <c r="J87">
        <f>VLOOKUP(A87,怪物模型!A$15:G$77,7,0)</f>
        <v>0</v>
      </c>
      <c r="K87">
        <f>ROUND(VLOOKUP(C87,战士难度!A$1:C$135,3,0)/VLOOKUP(B87,怪物抗性与玩家穿透!A$2:Q$74,17,0)*F87,0)</f>
        <v>312907</v>
      </c>
      <c r="L87">
        <f>IF(A87="卡雷",42,IF(A87="法力风暴",ROUND(K87*0.1,0),VLOOKUP(A87,怪物模型!$A$15:$I$70,9,0)*(1+(B87-30)/100)))</f>
        <v>1128</v>
      </c>
      <c r="M87">
        <f>ROUND(VLOOKUP(C87,战士难度!A$1:C$135,2,0)*0.91*E87,0)</f>
        <v>61954</v>
      </c>
      <c r="N87">
        <f t="shared" si="3"/>
        <v>74345</v>
      </c>
      <c r="O87">
        <f>VLOOKUP(B87,怪物抗性与玩家穿透!A$2:Q$74,4,0)</f>
        <v>13000</v>
      </c>
      <c r="P87">
        <f>VLOOKUP(B87,怪物抗性与玩家穿透!A$2:Q$74,5,0)</f>
        <v>3900</v>
      </c>
      <c r="Q87">
        <f t="shared" si="4"/>
        <v>3900</v>
      </c>
      <c r="R87">
        <f>VLOOKUP(B87,[3]battleParameter.xml!$A$6:$E$107,5,0)*(I87/100)/(1-I87/100)</f>
        <v>0</v>
      </c>
      <c r="S87">
        <f>ROUND(VLOOKUP(B87,[3]battleParameter.xml!$A$6:$G$107,7,0)*(J87/100)/(1-J87/100),0)</f>
        <v>0</v>
      </c>
      <c r="T87">
        <f>ROUND(VLOOKUP(B87,[3]battleParameter.xml!$A$6:$Z$107,8,0)*(MIN(H87/100+0.2,0.99))/(1-MIN(H87/100+0.2,0.99)),0)</f>
        <v>1886</v>
      </c>
      <c r="U87">
        <v>0</v>
      </c>
      <c r="V87">
        <v>0</v>
      </c>
    </row>
    <row r="88" spans="1:22">
      <c r="A88" t="str">
        <f>[2]monster.xml!$D433</f>
        <v>多兰</v>
      </c>
      <c r="B88">
        <f>[2]monster.xml!$C433</f>
        <v>71</v>
      </c>
      <c r="C88">
        <f t="shared" si="5"/>
        <v>76</v>
      </c>
      <c r="D88">
        <f>VLOOKUP(A88,怪物模型!A$15:Z$70,8,0)</f>
        <v>9</v>
      </c>
      <c r="E88">
        <f>VLOOKUP(A88,怪物模型!A$15:G$70,3,0)</f>
        <v>0.35</v>
      </c>
      <c r="F88">
        <f>VLOOKUP(A88,怪物模型!A$15:G$77,4,0)</f>
        <v>0.28000000000000003</v>
      </c>
      <c r="G88">
        <v>1</v>
      </c>
      <c r="H88">
        <f>VLOOKUP(A88,怪物模型!A$15:G$77,5,0)</f>
        <v>13</v>
      </c>
      <c r="I88">
        <f>VLOOKUP(A88,怪物模型!A$15:G$77,6,0)</f>
        <v>0</v>
      </c>
      <c r="J88">
        <f>VLOOKUP(A88,怪物模型!A$15:G$77,7,0)</f>
        <v>0</v>
      </c>
      <c r="K88">
        <f>ROUND(VLOOKUP(C88,战士难度!A$1:C$135,3,0)/VLOOKUP(B88,怪物抗性与玩家穿透!A$2:Q$74,17,0)*F88,0)</f>
        <v>146023</v>
      </c>
      <c r="L88">
        <f>IF(A88="卡雷",42,IF(A88="法力风暴",ROUND(K88*0.1,0),VLOOKUP(A88,怪物模型!$A$15:$I$70,9,0)*(1+(B88-30)/100)))</f>
        <v>1410</v>
      </c>
      <c r="M88">
        <f>ROUND(VLOOKUP(C88,战士难度!A$1:C$135,2,0)*0.91*E88,0)</f>
        <v>36140</v>
      </c>
      <c r="N88">
        <f t="shared" si="3"/>
        <v>43368</v>
      </c>
      <c r="O88">
        <f>VLOOKUP(B88,怪物抗性与玩家穿透!A$2:Q$74,4,0)</f>
        <v>13000</v>
      </c>
      <c r="P88">
        <f>VLOOKUP(B88,怪物抗性与玩家穿透!A$2:Q$74,5,0)</f>
        <v>3900</v>
      </c>
      <c r="Q88">
        <f t="shared" si="4"/>
        <v>3900</v>
      </c>
      <c r="R88">
        <f>VLOOKUP(B88,[3]battleParameter.xml!$A$6:$E$107,5,0)*(I88/100)/(1-I88/100)</f>
        <v>0</v>
      </c>
      <c r="S88">
        <f>ROUND(VLOOKUP(B88,[3]battleParameter.xml!$A$6:$G$107,7,0)*(J88/100)/(1-J88/100),0)</f>
        <v>0</v>
      </c>
      <c r="T88">
        <f>ROUND(VLOOKUP(B88,[3]battleParameter.xml!$A$6:$Z$107,8,0)*(MIN(H88/100+0.2,0.99))/(1-MIN(H88/100+0.2,0.99)),0)</f>
        <v>1886</v>
      </c>
      <c r="U88">
        <v>0</v>
      </c>
      <c r="V88">
        <v>0</v>
      </c>
    </row>
    <row r="89" spans="1:22">
      <c r="A89" t="str">
        <f>[2]monster.xml!$D434</f>
        <v>约翰</v>
      </c>
      <c r="B89">
        <f>[2]monster.xml!$C434</f>
        <v>71</v>
      </c>
      <c r="C89">
        <f t="shared" si="5"/>
        <v>76</v>
      </c>
      <c r="D89">
        <f>VLOOKUP(A89,怪物模型!A$15:Z$70,8,0)</f>
        <v>10</v>
      </c>
      <c r="E89">
        <f>VLOOKUP(A89,怪物模型!A$15:G$70,3,0)</f>
        <v>0.35</v>
      </c>
      <c r="F89">
        <f>VLOOKUP(A89,怪物模型!A$15:G$77,4,0)</f>
        <v>0.28000000000000003</v>
      </c>
      <c r="G89">
        <v>1</v>
      </c>
      <c r="H89">
        <f>VLOOKUP(A89,怪物模型!A$15:G$77,5,0)</f>
        <v>13</v>
      </c>
      <c r="I89">
        <f>VLOOKUP(A89,怪物模型!A$15:G$77,6,0)</f>
        <v>0</v>
      </c>
      <c r="J89">
        <f>VLOOKUP(A89,怪物模型!A$15:G$77,7,0)</f>
        <v>0</v>
      </c>
      <c r="K89">
        <f>ROUND(VLOOKUP(C89,战士难度!A$1:C$135,3,0)/VLOOKUP(B89,怪物抗性与玩家穿透!A$2:Q$74,17,0)*F89,0)</f>
        <v>146023</v>
      </c>
      <c r="L89">
        <f>IF(A89="卡雷",42,IF(A89="法力风暴",ROUND(K89*0.1,0),VLOOKUP(A89,怪物模型!$A$15:$I$70,9,0)*(1+(B89-30)/100)))</f>
        <v>1410</v>
      </c>
      <c r="M89">
        <f>ROUND(VLOOKUP(C89,战士难度!A$1:C$135,2,0)*0.91*E89,0)</f>
        <v>36140</v>
      </c>
      <c r="N89">
        <f t="shared" si="3"/>
        <v>43368</v>
      </c>
      <c r="O89">
        <f>VLOOKUP(B89,怪物抗性与玩家穿透!A$2:Q$74,4,0)</f>
        <v>13000</v>
      </c>
      <c r="P89">
        <f>VLOOKUP(B89,怪物抗性与玩家穿透!A$2:Q$74,5,0)</f>
        <v>3900</v>
      </c>
      <c r="Q89">
        <f t="shared" si="4"/>
        <v>3900</v>
      </c>
      <c r="R89">
        <f>VLOOKUP(B89,[3]battleParameter.xml!$A$6:$E$107,5,0)*(I89/100)/(1-I89/100)</f>
        <v>0</v>
      </c>
      <c r="S89">
        <f>ROUND(VLOOKUP(B89,[3]battleParameter.xml!$A$6:$G$107,7,0)*(J89/100)/(1-J89/100),0)</f>
        <v>0</v>
      </c>
      <c r="T89">
        <f>ROUND(VLOOKUP(B89,[3]battleParameter.xml!$A$6:$Z$107,8,0)*(MIN(H89/100+0.2,0.99))/(1-MIN(H89/100+0.2,0.99)),0)</f>
        <v>1886</v>
      </c>
      <c r="U89">
        <v>0</v>
      </c>
      <c r="V89">
        <v>0</v>
      </c>
    </row>
    <row r="90" spans="1:22">
      <c r="A90" t="str">
        <f>[2]monster.xml!$D435</f>
        <v>炎之安苏</v>
      </c>
      <c r="B90">
        <f>[2]monster.xml!$C435</f>
        <v>71</v>
      </c>
      <c r="C90">
        <f t="shared" si="5"/>
        <v>77</v>
      </c>
      <c r="D90">
        <f>VLOOKUP(A90,怪物模型!A$15:Z$70,8,0)</f>
        <v>21</v>
      </c>
      <c r="E90">
        <f>VLOOKUP(A90,怪物模型!A$15:G$70,3,0)</f>
        <v>1</v>
      </c>
      <c r="F90">
        <f>VLOOKUP(A90,怪物模型!A$15:G$77,4,0)</f>
        <v>0.95</v>
      </c>
      <c r="G90">
        <v>1</v>
      </c>
      <c r="H90">
        <f>VLOOKUP(A90,怪物模型!A$15:G$77,5,0)</f>
        <v>13</v>
      </c>
      <c r="I90">
        <f>VLOOKUP(A90,怪物模型!A$15:G$77,6,0)</f>
        <v>0</v>
      </c>
      <c r="J90">
        <f>VLOOKUP(A90,怪物模型!A$15:G$77,7,0)</f>
        <v>0</v>
      </c>
      <c r="K90">
        <f>ROUND(VLOOKUP(C90,战士难度!A$1:C$135,3,0)/VLOOKUP(B90,怪物抗性与玩家穿透!A$2:Q$74,17,0)*F90,0)</f>
        <v>535146</v>
      </c>
      <c r="L90">
        <f>IF(A90="卡雷",42,IF(A90="法力风暴",ROUND(K90*0.1,0),VLOOKUP(A90,怪物模型!$A$15:$I$70,9,0)*(1+(B90-30)/100)))</f>
        <v>1410</v>
      </c>
      <c r="M90">
        <f>ROUND(VLOOKUP(C90,战士难度!A$1:C$135,2,0)*0.91*E90,0)</f>
        <v>117537</v>
      </c>
      <c r="N90">
        <f t="shared" si="3"/>
        <v>141044</v>
      </c>
      <c r="O90">
        <f>VLOOKUP(B90,怪物抗性与玩家穿透!A$2:Q$74,4,0)</f>
        <v>13000</v>
      </c>
      <c r="P90">
        <f>VLOOKUP(B90,怪物抗性与玩家穿透!A$2:Q$74,5,0)</f>
        <v>3900</v>
      </c>
      <c r="Q90">
        <f t="shared" si="4"/>
        <v>3900</v>
      </c>
      <c r="R90">
        <f>VLOOKUP(B90,[3]battleParameter.xml!$A$6:$E$107,5,0)*(I90/100)/(1-I90/100)</f>
        <v>0</v>
      </c>
      <c r="S90">
        <f>ROUND(VLOOKUP(B90,[3]battleParameter.xml!$A$6:$G$107,7,0)*(J90/100)/(1-J90/100),0)</f>
        <v>0</v>
      </c>
      <c r="T90">
        <f>ROUND(VLOOKUP(B90,[3]battleParameter.xml!$A$6:$Z$107,8,0)*(MIN(H90/100+0.2,0.99))/(1-MIN(H90/100+0.2,0.99)),0)</f>
        <v>1886</v>
      </c>
      <c r="U90">
        <v>0</v>
      </c>
      <c r="V90">
        <v>0</v>
      </c>
    </row>
    <row r="91" spans="1:22">
      <c r="A91" t="str">
        <f>[2]monster.xml!$D436</f>
        <v>迅捷的维恩</v>
      </c>
      <c r="B91">
        <f>[2]monster.xml!$C436</f>
        <v>72</v>
      </c>
      <c r="C91">
        <f t="shared" si="5"/>
        <v>78</v>
      </c>
      <c r="D91">
        <f>VLOOKUP(A91,怪物模型!A$15:Z$70,8,0)</f>
        <v>14</v>
      </c>
      <c r="E91">
        <f>VLOOKUP(A91,怪物模型!A$15:G$70,3,0)</f>
        <v>1</v>
      </c>
      <c r="F91">
        <f>VLOOKUP(A91,怪物模型!A$15:G$77,4,0)</f>
        <v>1</v>
      </c>
      <c r="G91">
        <v>1</v>
      </c>
      <c r="H91">
        <f>VLOOKUP(A91,怪物模型!A$15:G$77,5,0)</f>
        <v>0</v>
      </c>
      <c r="I91">
        <f>VLOOKUP(A91,怪物模型!A$15:G$77,6,0)</f>
        <v>0</v>
      </c>
      <c r="J91">
        <f>VLOOKUP(A91,怪物模型!A$15:G$77,7,0)</f>
        <v>0</v>
      </c>
      <c r="K91">
        <f>ROUND(VLOOKUP(C91,战士难度!A$1:C$135,3,0)/VLOOKUP(B91,怪物抗性与玩家穿透!A$2:Q$74,17,0)*F91,0)</f>
        <v>621205</v>
      </c>
      <c r="L91">
        <f>IF(A91="卡雷",42,IF(A91="法力风暴",ROUND(K91*0.1,0),VLOOKUP(A91,怪物模型!$A$15:$I$70,9,0)*(1+(B91-30)/100)))</f>
        <v>1420</v>
      </c>
      <c r="M91">
        <f>ROUND(VLOOKUP(C91,战士难度!A$1:C$135,2,0)*0.91*E91,0)</f>
        <v>139694</v>
      </c>
      <c r="N91">
        <f t="shared" si="3"/>
        <v>167633</v>
      </c>
      <c r="O91">
        <f>VLOOKUP(B91,怪物抗性与玩家穿透!A$2:Q$74,4,0)</f>
        <v>13500</v>
      </c>
      <c r="P91">
        <f>VLOOKUP(B91,怪物抗性与玩家穿透!A$2:Q$74,5,0)</f>
        <v>4050</v>
      </c>
      <c r="Q91">
        <f t="shared" si="4"/>
        <v>4050</v>
      </c>
      <c r="R91">
        <f>VLOOKUP(B91,[3]battleParameter.xml!$A$6:$E$107,5,0)*(I91/100)/(1-I91/100)</f>
        <v>0</v>
      </c>
      <c r="S91">
        <f>ROUND(VLOOKUP(B91,[3]battleParameter.xml!$A$6:$G$107,7,0)*(J91/100)/(1-J91/100),0)</f>
        <v>0</v>
      </c>
      <c r="T91">
        <f>ROUND(VLOOKUP(B91,[3]battleParameter.xml!$A$6:$Z$107,8,0)*(MIN(H91/100+0.2,0.99))/(1-MIN(H91/100+0.2,0.99)),0)</f>
        <v>984</v>
      </c>
      <c r="U91">
        <v>0</v>
      </c>
      <c r="V91">
        <v>0</v>
      </c>
    </row>
    <row r="92" spans="1:22">
      <c r="A92" t="str">
        <f>[2]monster.xml!$D437</f>
        <v>暮光预言者</v>
      </c>
      <c r="B92">
        <f>[2]monster.xml!$C437</f>
        <v>72</v>
      </c>
      <c r="C92">
        <f t="shared" si="5"/>
        <v>79</v>
      </c>
      <c r="D92">
        <f>VLOOKUP(A92,怪物模型!A$15:Z$70,8,0)</f>
        <v>13</v>
      </c>
      <c r="E92">
        <f>VLOOKUP(A92,怪物模型!A$15:G$70,3,0)</f>
        <v>0.7</v>
      </c>
      <c r="F92">
        <f>VLOOKUP(A92,怪物模型!A$15:G$77,4,0)</f>
        <v>1</v>
      </c>
      <c r="G92">
        <v>1</v>
      </c>
      <c r="H92">
        <f>VLOOKUP(A92,怪物模型!A$15:G$77,5,0)</f>
        <v>0</v>
      </c>
      <c r="I92">
        <f>VLOOKUP(A92,怪物模型!A$15:G$77,6,0)</f>
        <v>0</v>
      </c>
      <c r="J92">
        <f>VLOOKUP(A92,怪物模型!A$15:G$77,7,0)</f>
        <v>0</v>
      </c>
      <c r="K92">
        <f>ROUND(VLOOKUP(C92,战士难度!A$1:C$135,3,0)/VLOOKUP(B92,怪物抗性与玩家穿透!A$2:Q$74,17,0)*F92,0)</f>
        <v>672412</v>
      </c>
      <c r="L92">
        <f>IF(A92="卡雷",42,IF(A92="法力风暴",ROUND(K92*0.1,0),VLOOKUP(A92,怪物模型!$A$15:$I$70,9,0)*(1+(B92-30)/100)))</f>
        <v>1136</v>
      </c>
      <c r="M92">
        <f>ROUND(VLOOKUP(C92,战士难度!A$1:C$135,2,0)*0.91*E92,0)</f>
        <v>109711</v>
      </c>
      <c r="N92">
        <f t="shared" si="3"/>
        <v>131653</v>
      </c>
      <c r="O92">
        <f>VLOOKUP(B92,怪物抗性与玩家穿透!A$2:Q$74,4,0)</f>
        <v>13500</v>
      </c>
      <c r="P92">
        <f>VLOOKUP(B92,怪物抗性与玩家穿透!A$2:Q$74,5,0)</f>
        <v>4050</v>
      </c>
      <c r="Q92">
        <f t="shared" si="4"/>
        <v>4050</v>
      </c>
      <c r="R92">
        <f>VLOOKUP(B92,[3]battleParameter.xml!$A$6:$E$107,5,0)*(I92/100)/(1-I92/100)</f>
        <v>0</v>
      </c>
      <c r="S92">
        <f>ROUND(VLOOKUP(B92,[3]battleParameter.xml!$A$6:$G$107,7,0)*(J92/100)/(1-J92/100),0)</f>
        <v>0</v>
      </c>
      <c r="T92">
        <f>ROUND(VLOOKUP(B92,[3]battleParameter.xml!$A$6:$Z$107,8,0)*(MIN(H92/100+0.2,0.99))/(1-MIN(H92/100+0.2,0.99)),0)</f>
        <v>984</v>
      </c>
      <c r="U92">
        <v>0</v>
      </c>
      <c r="V92">
        <v>0</v>
      </c>
    </row>
    <row r="93" spans="1:22">
      <c r="A93" t="str">
        <f>[2]monster.xml!$D438</f>
        <v>卡雷</v>
      </c>
      <c r="B93">
        <f>[2]monster.xml!$C438</f>
        <v>73</v>
      </c>
      <c r="C93">
        <f t="shared" si="5"/>
        <v>80</v>
      </c>
      <c r="D93">
        <f>VLOOKUP(A93,怪物模型!A$15:Z$70,8,0)</f>
        <v>25</v>
      </c>
      <c r="E93">
        <f>VLOOKUP(A93,怪物模型!A$15:G$70,3,0)</f>
        <v>1.25</v>
      </c>
      <c r="F93">
        <f>VLOOKUP(A93,怪物模型!A$15:G$77,4,0)</f>
        <v>1</v>
      </c>
      <c r="G93">
        <v>1</v>
      </c>
      <c r="H93">
        <f>VLOOKUP(A93,怪物模型!A$15:G$77,5,0)</f>
        <v>13</v>
      </c>
      <c r="I93">
        <f>VLOOKUP(A93,怪物模型!A$15:G$77,6,0)</f>
        <v>0</v>
      </c>
      <c r="J93">
        <f>VLOOKUP(A93,怪物模型!A$15:G$77,7,0)</f>
        <v>0</v>
      </c>
      <c r="K93">
        <f>ROUND(VLOOKUP(C93,战士难度!A$1:C$135,3,0)/VLOOKUP(B93,怪物抗性与玩家穿透!A$2:Q$74,17,0)*F93,0)</f>
        <v>725496</v>
      </c>
      <c r="L93">
        <f>IF(A93="卡雷",42,IF(A93="法力风暴",ROUND(K93*0.1,0),VLOOKUP(A93,怪物模型!$A$15:$I$70,9,0)*(1+(B93-30)/100)))</f>
        <v>42</v>
      </c>
      <c r="M93">
        <f>ROUND(VLOOKUP(C93,战士难度!A$1:C$135,2,0)*0.91*E93,0)</f>
        <v>219805</v>
      </c>
      <c r="N93">
        <f t="shared" si="3"/>
        <v>263766</v>
      </c>
      <c r="O93">
        <f>VLOOKUP(B93,怪物抗性与玩家穿透!A$2:Q$74,4,0)</f>
        <v>14000</v>
      </c>
      <c r="P93">
        <f>VLOOKUP(B93,怪物抗性与玩家穿透!A$2:Q$74,5,0)</f>
        <v>4200</v>
      </c>
      <c r="Q93">
        <f t="shared" si="4"/>
        <v>4200</v>
      </c>
      <c r="R93">
        <f>VLOOKUP(B93,[3]battleParameter.xml!$A$6:$E$107,5,0)*(I93/100)/(1-I93/100)</f>
        <v>0</v>
      </c>
      <c r="S93">
        <f>ROUND(VLOOKUP(B93,[3]battleParameter.xml!$A$6:$G$107,7,0)*(J93/100)/(1-J93/100),0)</f>
        <v>0</v>
      </c>
      <c r="T93">
        <f>ROUND(VLOOKUP(B93,[3]battleParameter.xml!$A$6:$Z$107,8,0)*(MIN(H93/100+0.2,0.99))/(1-MIN(H93/100+0.2,0.99)),0)</f>
        <v>1993</v>
      </c>
      <c r="U93">
        <v>0</v>
      </c>
      <c r="V93">
        <v>0</v>
      </c>
    </row>
    <row r="94" spans="1:22">
      <c r="A94" t="str">
        <f>[2]monster.xml!$D439</f>
        <v>日光弗雷尔</v>
      </c>
      <c r="B94">
        <f>[2]monster.xml!$C439</f>
        <v>74</v>
      </c>
      <c r="C94">
        <f t="shared" si="5"/>
        <v>81</v>
      </c>
      <c r="D94">
        <f>VLOOKUP(A94,怪物模型!A$15:Z$70,8,0)</f>
        <v>28</v>
      </c>
      <c r="E94">
        <f>VLOOKUP(A94,怪物模型!A$15:G$70,3,0)</f>
        <v>0.9</v>
      </c>
      <c r="F94">
        <f>VLOOKUP(A94,怪物模型!A$15:G$77,4,0)</f>
        <v>0.9</v>
      </c>
      <c r="G94">
        <v>1</v>
      </c>
      <c r="H94">
        <f>VLOOKUP(A94,怪物模型!A$15:G$77,5,0)</f>
        <v>13</v>
      </c>
      <c r="I94">
        <f>VLOOKUP(A94,怪物模型!A$15:G$77,6,0)</f>
        <v>0</v>
      </c>
      <c r="J94">
        <f>VLOOKUP(A94,怪物模型!A$15:G$77,7,0)</f>
        <v>0</v>
      </c>
      <c r="K94">
        <f>ROUND(VLOOKUP(C94,战士难度!A$1:C$135,3,0)/VLOOKUP(B94,怪物抗性与玩家穿透!A$2:Q$74,17,0)*F94,0)</f>
        <v>724526</v>
      </c>
      <c r="L94">
        <f>IF(A94="卡雷",42,IF(A94="法力风暴",ROUND(K94*0.1,0),VLOOKUP(A94,怪物模型!$A$15:$I$70,9,0)*(1+(B94-30)/100)))</f>
        <v>1440</v>
      </c>
      <c r="M94">
        <f>ROUND(VLOOKUP(C94,战士难度!A$1:C$135,2,0)*0.91*E94,0)</f>
        <v>184503</v>
      </c>
      <c r="N94">
        <f t="shared" si="3"/>
        <v>221404</v>
      </c>
      <c r="O94">
        <f>VLOOKUP(B94,怪物抗性与玩家穿透!A$2:Q$74,4,0)</f>
        <v>14500</v>
      </c>
      <c r="P94">
        <f>VLOOKUP(B94,怪物抗性与玩家穿透!A$2:Q$74,5,0)</f>
        <v>4350</v>
      </c>
      <c r="Q94">
        <f t="shared" si="4"/>
        <v>4350</v>
      </c>
      <c r="R94">
        <f>VLOOKUP(B94,[3]battleParameter.xml!$A$6:$E$107,5,0)*(I94/100)/(1-I94/100)</f>
        <v>0</v>
      </c>
      <c r="S94">
        <f>ROUND(VLOOKUP(B94,[3]battleParameter.xml!$A$6:$G$107,7,0)*(J94/100)/(1-J94/100),0)</f>
        <v>0</v>
      </c>
      <c r="T94">
        <f>ROUND(VLOOKUP(B94,[3]battleParameter.xml!$A$6:$Z$107,8,0)*(MIN(H94/100+0.2,0.99))/(1-MIN(H94/100+0.2,0.99)),0)</f>
        <v>2047</v>
      </c>
      <c r="U94">
        <v>0</v>
      </c>
      <c r="V94">
        <v>0</v>
      </c>
    </row>
    <row r="95" spans="1:22">
      <c r="A95" t="str">
        <f>[2]monster.xml!$D440</f>
        <v>坚定的格雷格</v>
      </c>
      <c r="B95">
        <f>[2]monster.xml!$C440</f>
        <v>75</v>
      </c>
      <c r="C95">
        <f t="shared" si="5"/>
        <v>82</v>
      </c>
      <c r="D95">
        <f>VLOOKUP(A95,怪物模型!A$15:Z$70,8,0)</f>
        <v>3</v>
      </c>
      <c r="E95">
        <f>VLOOKUP(A95,怪物模型!A$15:G$70,3,0)</f>
        <v>0.7</v>
      </c>
      <c r="F95">
        <f>VLOOKUP(A95,怪物模型!A$15:G$77,4,0)</f>
        <v>0.8</v>
      </c>
      <c r="G95">
        <v>1</v>
      </c>
      <c r="H95">
        <f>VLOOKUP(A95,怪物模型!A$15:G$77,5,0)</f>
        <v>13</v>
      </c>
      <c r="I95">
        <f>VLOOKUP(A95,怪物模型!A$15:G$77,6,0)</f>
        <v>0</v>
      </c>
      <c r="J95">
        <f>VLOOKUP(A95,怪物模型!A$15:G$77,7,0)</f>
        <v>0</v>
      </c>
      <c r="K95">
        <f>ROUND(VLOOKUP(C95,战士难度!A$1:C$135,3,0)/VLOOKUP(B95,怪物抗性与玩家穿透!A$2:Q$74,17,0)*F95,0)</f>
        <v>410439</v>
      </c>
      <c r="L95">
        <f>IF(A95="卡雷",42,IF(A95="法力风暴",ROUND(K95*0.1,0),VLOOKUP(A95,怪物模型!$A$15:$I$70,9,0)*(1+(B95-30)/100)))</f>
        <v>870</v>
      </c>
      <c r="M95">
        <f>ROUND(VLOOKUP(C95,战士难度!A$1:C$135,2,0)*0.91*E95,0)</f>
        <v>53784</v>
      </c>
      <c r="N95">
        <f t="shared" si="3"/>
        <v>64541</v>
      </c>
      <c r="O95">
        <f>VLOOKUP(B95,怪物抗性与玩家穿透!A$2:Q$74,4,0)</f>
        <v>15000</v>
      </c>
      <c r="P95">
        <f>VLOOKUP(B95,怪物抗性与玩家穿透!A$2:Q$74,5,0)</f>
        <v>4500</v>
      </c>
      <c r="Q95">
        <f t="shared" si="4"/>
        <v>4500</v>
      </c>
      <c r="R95">
        <f>VLOOKUP(B95,[3]battleParameter.xml!$A$6:$E$107,5,0)*(I95/100)/(1-I95/100)</f>
        <v>0</v>
      </c>
      <c r="S95">
        <f>ROUND(VLOOKUP(B95,[3]battleParameter.xml!$A$6:$G$107,7,0)*(J95/100)/(1-J95/100),0)</f>
        <v>0</v>
      </c>
      <c r="T95">
        <f>ROUND(VLOOKUP(B95,[3]battleParameter.xml!$A$6:$Z$107,8,0)*(MIN(H95/100+0.2,0.99))/(1-MIN(H95/100+0.2,0.99)),0)</f>
        <v>2103</v>
      </c>
      <c r="U95">
        <v>0</v>
      </c>
      <c r="V95">
        <v>0</v>
      </c>
    </row>
    <row r="96" spans="1:22">
      <c r="A96" t="str">
        <f>[2]monster.xml!$D441</f>
        <v>莱恩的倒影</v>
      </c>
      <c r="B96">
        <f>[2]monster.xml!$C441</f>
        <v>75</v>
      </c>
      <c r="C96">
        <f t="shared" si="5"/>
        <v>83</v>
      </c>
      <c r="D96" t="str">
        <f>VLOOKUP(A96,怪物模型!A$15:Z$70,8,0)</f>
        <v>1,2</v>
      </c>
      <c r="E96">
        <f>VLOOKUP(A96,怪物模型!A$15:G$70,3,0)</f>
        <v>1.2</v>
      </c>
      <c r="F96">
        <f>VLOOKUP(A96,怪物模型!A$15:G$77,4,0)</f>
        <v>0.8</v>
      </c>
      <c r="G96">
        <v>1</v>
      </c>
      <c r="H96">
        <f>VLOOKUP(A96,怪物模型!A$15:G$77,5,0)</f>
        <v>0</v>
      </c>
      <c r="I96">
        <f>VLOOKUP(A96,怪物模型!A$15:G$77,6,0)</f>
        <v>0</v>
      </c>
      <c r="J96">
        <f>VLOOKUP(A96,怪物模型!A$15:G$77,7,0)</f>
        <v>0</v>
      </c>
      <c r="K96">
        <f>ROUND(VLOOKUP(C96,战士难度!A$1:C$135,3,0)/VLOOKUP(B96,怪物抗性与玩家穿透!A$2:Q$74,17,0)*F96,0)</f>
        <v>457194</v>
      </c>
      <c r="L96">
        <f>IF(A96="卡雷",42,IF(A96="法力风暴",ROUND(K96*0.1,0),VLOOKUP(A96,怪物模型!$A$15:$I$70,9,0)*(1+(B96-30)/100)))</f>
        <v>1450</v>
      </c>
      <c r="M96">
        <f>ROUND(VLOOKUP(C96,战士难度!A$1:C$135,2,0)*0.91*E96,0)</f>
        <v>118596</v>
      </c>
      <c r="N96">
        <f t="shared" si="3"/>
        <v>142315</v>
      </c>
      <c r="O96">
        <f>VLOOKUP(B96,怪物抗性与玩家穿透!A$2:Q$74,4,0)</f>
        <v>15000</v>
      </c>
      <c r="P96">
        <f>VLOOKUP(B96,怪物抗性与玩家穿透!A$2:Q$74,5,0)</f>
        <v>4500</v>
      </c>
      <c r="Q96">
        <f t="shared" si="4"/>
        <v>4500</v>
      </c>
      <c r="R96">
        <f>VLOOKUP(B96,[3]battleParameter.xml!$A$6:$E$107,5,0)*(I96/100)/(1-I96/100)</f>
        <v>0</v>
      </c>
      <c r="S96">
        <f>ROUND(VLOOKUP(B96,[3]battleParameter.xml!$A$6:$G$107,7,0)*(J96/100)/(1-J96/100),0)</f>
        <v>0</v>
      </c>
      <c r="T96">
        <f>ROUND(VLOOKUP(B96,[3]battleParameter.xml!$A$6:$Z$107,8,0)*(MIN(H96/100+0.2,0.99))/(1-MIN(H96/100+0.2,0.99)),0)</f>
        <v>1068</v>
      </c>
      <c r="U96">
        <v>0</v>
      </c>
      <c r="V96">
        <v>0</v>
      </c>
    </row>
    <row r="97" spans="1:22">
      <c r="A97" t="str">
        <f>[2]monster.xml!$D442</f>
        <v>混乱的玛尔达</v>
      </c>
      <c r="B97">
        <f>[2]monster.xml!$C442</f>
        <v>76</v>
      </c>
      <c r="C97">
        <f t="shared" si="5"/>
        <v>84</v>
      </c>
      <c r="D97" t="str">
        <f>VLOOKUP(A97,怪物模型!A$15:Z$70,8,0)</f>
        <v>6,19,23</v>
      </c>
      <c r="E97">
        <f>VLOOKUP(A97,怪物模型!A$15:G$70,3,0)</f>
        <v>1</v>
      </c>
      <c r="F97">
        <f>VLOOKUP(A97,怪物模型!A$15:G$77,4,0)</f>
        <v>1.1000000000000001</v>
      </c>
      <c r="G97">
        <v>1</v>
      </c>
      <c r="H97">
        <f>VLOOKUP(A97,怪物模型!A$15:G$77,5,0)</f>
        <v>13</v>
      </c>
      <c r="I97">
        <f>VLOOKUP(A97,怪物模型!A$15:G$77,6,0)</f>
        <v>0</v>
      </c>
      <c r="J97">
        <f>VLOOKUP(A97,怪物模型!A$15:G$77,7,0)</f>
        <v>0</v>
      </c>
      <c r="K97">
        <f>ROUND(VLOOKUP(C97,战士难度!A$1:C$135,3,0)/VLOOKUP(B97,怪物抗性与玩家穿透!A$2:Q$74,17,0)*F97,0)</f>
        <v>726866</v>
      </c>
      <c r="L97">
        <f>IF(A97="卡雷",42,IF(A97="法力风暴",ROUND(K97*0.1,0),VLOOKUP(A97,怪物模型!$A$15:$I$70,9,0)*(1+(B97-30)/100)))</f>
        <v>2628</v>
      </c>
      <c r="M97">
        <f>ROUND(VLOOKUP(C97,战士难度!A$1:C$135,2,0)*0.91*E97,0)</f>
        <v>138249</v>
      </c>
      <c r="N97">
        <f t="shared" si="3"/>
        <v>165899</v>
      </c>
      <c r="O97">
        <f>VLOOKUP(B97,怪物抗性与玩家穿透!A$2:Q$74,4,0)</f>
        <v>15500</v>
      </c>
      <c r="P97">
        <f>VLOOKUP(B97,怪物抗性与玩家穿透!A$2:Q$74,5,0)</f>
        <v>4650</v>
      </c>
      <c r="Q97">
        <f t="shared" si="4"/>
        <v>4650</v>
      </c>
      <c r="R97">
        <f>VLOOKUP(B97,[3]battleParameter.xml!$A$6:$E$107,5,0)*(I97/100)/(1-I97/100)</f>
        <v>0</v>
      </c>
      <c r="S97">
        <f>ROUND(VLOOKUP(B97,[3]battleParameter.xml!$A$6:$G$107,7,0)*(J97/100)/(1-J97/100),0)</f>
        <v>0</v>
      </c>
      <c r="T97">
        <f>ROUND(VLOOKUP(B97,[3]battleParameter.xml!$A$6:$Z$107,8,0)*(MIN(H97/100+0.2,0.99))/(1-MIN(H97/100+0.2,0.99)),0)</f>
        <v>2159</v>
      </c>
      <c r="U97">
        <v>0</v>
      </c>
      <c r="V97">
        <v>0</v>
      </c>
    </row>
    <row r="98" spans="1:22">
      <c r="A98" t="str">
        <f>[2]monster.xml!$D443</f>
        <v>驯兽师瓦纳</v>
      </c>
      <c r="B98">
        <f>[2]monster.xml!$C443</f>
        <v>76</v>
      </c>
      <c r="C98">
        <f t="shared" si="5"/>
        <v>85</v>
      </c>
      <c r="D98">
        <f>VLOOKUP(A98,怪物模型!A$15:Z$70,8,0)</f>
        <v>2</v>
      </c>
      <c r="E98">
        <f>VLOOKUP(A98,怪物模型!A$15:G$70,3,0)</f>
        <v>0.6</v>
      </c>
      <c r="F98">
        <f>VLOOKUP(A98,怪物模型!A$15:G$77,4,0)</f>
        <v>0.6</v>
      </c>
      <c r="G98">
        <v>1</v>
      </c>
      <c r="H98">
        <f>VLOOKUP(A98,怪物模型!A$15:G$77,5,0)</f>
        <v>13</v>
      </c>
      <c r="I98">
        <f>VLOOKUP(A98,怪物模型!A$15:G$77,6,0)</f>
        <v>0</v>
      </c>
      <c r="J98">
        <f>VLOOKUP(A98,怪物模型!A$15:G$77,7,0)</f>
        <v>0</v>
      </c>
      <c r="K98">
        <f>ROUND(VLOOKUP(C98,战士难度!A$1:C$135,3,0)/VLOOKUP(B98,怪物抗性与玩家穿透!A$2:Q$74,17,0)*F98,0)</f>
        <v>429142</v>
      </c>
      <c r="L98">
        <f>IF(A98="卡雷",42,IF(A98="法力风暴",ROUND(K98*0.1,0),VLOOKUP(A98,怪物模型!$A$15:$I$70,9,0)*(1+(B98-30)/100)))</f>
        <v>1168</v>
      </c>
      <c r="M98">
        <f>ROUND(VLOOKUP(C98,战士难度!A$1:C$135,2,0)*0.91*E98,0)</f>
        <v>94931</v>
      </c>
      <c r="N98">
        <f t="shared" si="3"/>
        <v>113917</v>
      </c>
      <c r="O98">
        <f>VLOOKUP(B98,怪物抗性与玩家穿透!A$2:Q$74,4,0)</f>
        <v>15500</v>
      </c>
      <c r="P98">
        <f>VLOOKUP(B98,怪物抗性与玩家穿透!A$2:Q$74,5,0)</f>
        <v>4650</v>
      </c>
      <c r="Q98">
        <f t="shared" si="4"/>
        <v>4650</v>
      </c>
      <c r="R98">
        <f>VLOOKUP(B98,[3]battleParameter.xml!$A$6:$E$107,5,0)*(I98/100)/(1-I98/100)</f>
        <v>0</v>
      </c>
      <c r="S98">
        <f>ROUND(VLOOKUP(B98,[3]battleParameter.xml!$A$6:$G$107,7,0)*(J98/100)/(1-J98/100),0)</f>
        <v>0</v>
      </c>
      <c r="T98">
        <f>ROUND(VLOOKUP(B98,[3]battleParameter.xml!$A$6:$Z$107,8,0)*(MIN(H98/100+0.2,0.99))/(1-MIN(H98/100+0.2,0.99)),0)</f>
        <v>2159</v>
      </c>
      <c r="U98">
        <v>0</v>
      </c>
      <c r="V98">
        <v>0</v>
      </c>
    </row>
    <row r="99" spans="1:22">
      <c r="A99" t="str">
        <f>[2]monster.xml!$D444</f>
        <v>多兰</v>
      </c>
      <c r="B99">
        <f>[2]monster.xml!$C444</f>
        <v>76</v>
      </c>
      <c r="C99">
        <f t="shared" si="5"/>
        <v>85</v>
      </c>
      <c r="D99">
        <f>VLOOKUP(A99,怪物模型!A$15:Z$70,8,0)</f>
        <v>9</v>
      </c>
      <c r="E99">
        <f>VLOOKUP(A99,怪物模型!A$15:G$70,3,0)</f>
        <v>0.35</v>
      </c>
      <c r="F99">
        <f>VLOOKUP(A99,怪物模型!A$15:G$77,4,0)</f>
        <v>0.28000000000000003</v>
      </c>
      <c r="G99">
        <v>1</v>
      </c>
      <c r="H99">
        <f>VLOOKUP(A99,怪物模型!A$15:G$77,5,0)</f>
        <v>13</v>
      </c>
      <c r="I99">
        <f>VLOOKUP(A99,怪物模型!A$15:G$77,6,0)</f>
        <v>0</v>
      </c>
      <c r="J99">
        <f>VLOOKUP(A99,怪物模型!A$15:G$77,7,0)</f>
        <v>0</v>
      </c>
      <c r="K99">
        <f>ROUND(VLOOKUP(C99,战士难度!A$1:C$135,3,0)/VLOOKUP(B99,怪物抗性与玩家穿透!A$2:Q$74,17,0)*F99,0)</f>
        <v>200266</v>
      </c>
      <c r="L99">
        <f>IF(A99="卡雷",42,IF(A99="法力风暴",ROUND(K99*0.1,0),VLOOKUP(A99,怪物模型!$A$15:$I$70,9,0)*(1+(B99-30)/100)))</f>
        <v>1460</v>
      </c>
      <c r="M99">
        <f>ROUND(VLOOKUP(C99,战士难度!A$1:C$135,2,0)*0.91*E99,0)</f>
        <v>55377</v>
      </c>
      <c r="N99">
        <f t="shared" si="3"/>
        <v>66452</v>
      </c>
      <c r="O99">
        <f>VLOOKUP(B99,怪物抗性与玩家穿透!A$2:Q$74,4,0)</f>
        <v>15500</v>
      </c>
      <c r="P99">
        <f>VLOOKUP(B99,怪物抗性与玩家穿透!A$2:Q$74,5,0)</f>
        <v>4650</v>
      </c>
      <c r="Q99">
        <f t="shared" si="4"/>
        <v>4650</v>
      </c>
      <c r="R99">
        <f>VLOOKUP(B99,[3]battleParameter.xml!$A$6:$E$107,5,0)*(I99/100)/(1-I99/100)</f>
        <v>0</v>
      </c>
      <c r="S99">
        <f>ROUND(VLOOKUP(B99,[3]battleParameter.xml!$A$6:$G$107,7,0)*(J99/100)/(1-J99/100),0)</f>
        <v>0</v>
      </c>
      <c r="T99">
        <f>ROUND(VLOOKUP(B99,[3]battleParameter.xml!$A$6:$Z$107,8,0)*(MIN(H99/100+0.2,0.99))/(1-MIN(H99/100+0.2,0.99)),0)</f>
        <v>2159</v>
      </c>
      <c r="U99">
        <v>0</v>
      </c>
      <c r="V99">
        <v>0</v>
      </c>
    </row>
    <row r="100" spans="1:22">
      <c r="A100" t="str">
        <f>[2]monster.xml!$D445</f>
        <v>约翰</v>
      </c>
      <c r="B100">
        <f>[2]monster.xml!$C445</f>
        <v>76</v>
      </c>
      <c r="C100">
        <f t="shared" si="5"/>
        <v>85</v>
      </c>
      <c r="D100">
        <f>VLOOKUP(A100,怪物模型!A$15:Z$70,8,0)</f>
        <v>10</v>
      </c>
      <c r="E100">
        <f>VLOOKUP(A100,怪物模型!A$15:G$70,3,0)</f>
        <v>0.35</v>
      </c>
      <c r="F100">
        <f>VLOOKUP(A100,怪物模型!A$15:G$77,4,0)</f>
        <v>0.28000000000000003</v>
      </c>
      <c r="G100">
        <v>1</v>
      </c>
      <c r="H100">
        <f>VLOOKUP(A100,怪物模型!A$15:G$77,5,0)</f>
        <v>13</v>
      </c>
      <c r="I100">
        <f>VLOOKUP(A100,怪物模型!A$15:G$77,6,0)</f>
        <v>0</v>
      </c>
      <c r="J100">
        <f>VLOOKUP(A100,怪物模型!A$15:G$77,7,0)</f>
        <v>0</v>
      </c>
      <c r="K100">
        <f>ROUND(VLOOKUP(C100,战士难度!A$1:C$135,3,0)/VLOOKUP(B100,怪物抗性与玩家穿透!A$2:Q$74,17,0)*F100,0)</f>
        <v>200266</v>
      </c>
      <c r="L100">
        <f>IF(A100="卡雷",42,IF(A100="法力风暴",ROUND(K100*0.1,0),VLOOKUP(A100,怪物模型!$A$15:$I$70,9,0)*(1+(B100-30)/100)))</f>
        <v>1460</v>
      </c>
      <c r="M100">
        <f>ROUND(VLOOKUP(C100,战士难度!A$1:C$135,2,0)*0.91*E100,0)</f>
        <v>55377</v>
      </c>
      <c r="N100">
        <f t="shared" si="3"/>
        <v>66452</v>
      </c>
      <c r="O100">
        <f>VLOOKUP(B100,怪物抗性与玩家穿透!A$2:Q$74,4,0)</f>
        <v>15500</v>
      </c>
      <c r="P100">
        <f>VLOOKUP(B100,怪物抗性与玩家穿透!A$2:Q$74,5,0)</f>
        <v>4650</v>
      </c>
      <c r="Q100">
        <f t="shared" si="4"/>
        <v>4650</v>
      </c>
      <c r="R100">
        <f>VLOOKUP(B100,[3]battleParameter.xml!$A$6:$E$107,5,0)*(I100/100)/(1-I100/100)</f>
        <v>0</v>
      </c>
      <c r="S100">
        <f>ROUND(VLOOKUP(B100,[3]battleParameter.xml!$A$6:$G$107,7,0)*(J100/100)/(1-J100/100),0)</f>
        <v>0</v>
      </c>
      <c r="T100">
        <f>ROUND(VLOOKUP(B100,[3]battleParameter.xml!$A$6:$Z$107,8,0)*(MIN(H100/100+0.2,0.99))/(1-MIN(H100/100+0.2,0.99)),0)</f>
        <v>2159</v>
      </c>
      <c r="U100">
        <v>0</v>
      </c>
      <c r="V100">
        <v>0</v>
      </c>
    </row>
    <row r="101" spans="1:22">
      <c r="A101" t="str">
        <f>[2]monster.xml!$D446</f>
        <v>炎之安苏</v>
      </c>
      <c r="B101">
        <f>[2]monster.xml!$C446</f>
        <v>76</v>
      </c>
      <c r="C101">
        <f t="shared" si="5"/>
        <v>86</v>
      </c>
      <c r="D101">
        <f>VLOOKUP(A101,怪物模型!A$15:Z$70,8,0)</f>
        <v>21</v>
      </c>
      <c r="E101">
        <f>VLOOKUP(A101,怪物模型!A$15:G$70,3,0)</f>
        <v>1</v>
      </c>
      <c r="F101">
        <f>VLOOKUP(A101,怪物模型!A$15:G$77,4,0)</f>
        <v>0.95</v>
      </c>
      <c r="G101">
        <v>1</v>
      </c>
      <c r="H101">
        <f>VLOOKUP(A101,怪物模型!A$15:G$77,5,0)</f>
        <v>13</v>
      </c>
      <c r="I101">
        <f>VLOOKUP(A101,怪物模型!A$15:G$77,6,0)</f>
        <v>0</v>
      </c>
      <c r="J101">
        <f>VLOOKUP(A101,怪物模型!A$15:G$77,7,0)</f>
        <v>0</v>
      </c>
      <c r="K101">
        <f>ROUND(VLOOKUP(C101,战士难度!A$1:C$135,3,0)/VLOOKUP(B101,怪物抗性与玩家穿透!A$2:Q$74,17,0)*F101,0)</f>
        <v>735463</v>
      </c>
      <c r="L101">
        <f>IF(A101="卡雷",42,IF(A101="法力风暴",ROUND(K101*0.1,0),VLOOKUP(A101,怪物模型!$A$15:$I$70,9,0)*(1+(B101-30)/100)))</f>
        <v>1460</v>
      </c>
      <c r="M101">
        <f>ROUND(VLOOKUP(C101,战士难度!A$1:C$135,2,0)*0.91*E101,0)</f>
        <v>181074</v>
      </c>
      <c r="N101">
        <f t="shared" si="3"/>
        <v>217289</v>
      </c>
      <c r="O101">
        <f>VLOOKUP(B101,怪物抗性与玩家穿透!A$2:Q$74,4,0)</f>
        <v>15500</v>
      </c>
      <c r="P101">
        <f>VLOOKUP(B101,怪物抗性与玩家穿透!A$2:Q$74,5,0)</f>
        <v>4650</v>
      </c>
      <c r="Q101">
        <f t="shared" si="4"/>
        <v>4650</v>
      </c>
      <c r="R101">
        <f>VLOOKUP(B101,[3]battleParameter.xml!$A$6:$E$107,5,0)*(I101/100)/(1-I101/100)</f>
        <v>0</v>
      </c>
      <c r="S101">
        <f>ROUND(VLOOKUP(B101,[3]battleParameter.xml!$A$6:$G$107,7,0)*(J101/100)/(1-J101/100),0)</f>
        <v>0</v>
      </c>
      <c r="T101">
        <f>ROUND(VLOOKUP(B101,[3]battleParameter.xml!$A$6:$Z$107,8,0)*(MIN(H101/100+0.2,0.99))/(1-MIN(H101/100+0.2,0.99)),0)</f>
        <v>2159</v>
      </c>
      <c r="U101">
        <v>0</v>
      </c>
      <c r="V101">
        <v>0</v>
      </c>
    </row>
    <row r="102" spans="1:22">
      <c r="A102" t="str">
        <f>[2]monster.xml!$D447</f>
        <v>迅捷的维恩</v>
      </c>
      <c r="B102">
        <f>[2]monster.xml!$C447</f>
        <v>77</v>
      </c>
      <c r="C102">
        <f t="shared" si="5"/>
        <v>87</v>
      </c>
      <c r="D102">
        <f>VLOOKUP(A102,怪物模型!A$15:Z$70,8,0)</f>
        <v>14</v>
      </c>
      <c r="E102">
        <f>VLOOKUP(A102,怪物模型!A$15:G$70,3,0)</f>
        <v>1</v>
      </c>
      <c r="F102">
        <f>VLOOKUP(A102,怪物模型!A$15:G$77,4,0)</f>
        <v>1</v>
      </c>
      <c r="G102">
        <v>1</v>
      </c>
      <c r="H102">
        <f>VLOOKUP(A102,怪物模型!A$15:G$77,5,0)</f>
        <v>0</v>
      </c>
      <c r="I102">
        <f>VLOOKUP(A102,怪物模型!A$15:G$77,6,0)</f>
        <v>0</v>
      </c>
      <c r="J102">
        <f>VLOOKUP(A102,怪物模型!A$15:G$77,7,0)</f>
        <v>0</v>
      </c>
      <c r="K102">
        <f>ROUND(VLOOKUP(C102,战士难度!A$1:C$135,3,0)/VLOOKUP(B102,怪物抗性与玩家穿透!A$2:Q$74,17,0)*F102,0)</f>
        <v>862639</v>
      </c>
      <c r="L102">
        <f>IF(A102="卡雷",42,IF(A102="法力风暴",ROUND(K102*0.1,0),VLOOKUP(A102,怪物模型!$A$15:$I$70,9,0)*(1+(B102-30)/100)))</f>
        <v>1470</v>
      </c>
      <c r="M102">
        <f>ROUND(VLOOKUP(C102,战士难度!A$1:C$135,2,0)*0.91*E102,0)</f>
        <v>216763</v>
      </c>
      <c r="N102">
        <f t="shared" si="3"/>
        <v>260116</v>
      </c>
      <c r="O102">
        <f>VLOOKUP(B102,怪物抗性与玩家穿透!A$2:Q$74,4,0)</f>
        <v>16000</v>
      </c>
      <c r="P102">
        <f>VLOOKUP(B102,怪物抗性与玩家穿透!A$2:Q$74,5,0)</f>
        <v>4800</v>
      </c>
      <c r="Q102">
        <f t="shared" si="4"/>
        <v>4800</v>
      </c>
      <c r="R102">
        <f>VLOOKUP(B102,[3]battleParameter.xml!$A$6:$E$107,5,0)*(I102/100)/(1-I102/100)</f>
        <v>0</v>
      </c>
      <c r="S102">
        <f>ROUND(VLOOKUP(B102,[3]battleParameter.xml!$A$6:$G$107,7,0)*(J102/100)/(1-J102/100),0)</f>
        <v>0</v>
      </c>
      <c r="T102">
        <f>ROUND(VLOOKUP(B102,[3]battleParameter.xml!$A$6:$Z$107,8,0)*(MIN(H102/100+0.2,0.99))/(1-MIN(H102/100+0.2,0.99)),0)</f>
        <v>1125</v>
      </c>
      <c r="U102">
        <v>0</v>
      </c>
      <c r="V102">
        <v>0</v>
      </c>
    </row>
    <row r="103" spans="1:22">
      <c r="A103" t="str">
        <f>[2]monster.xml!$D448</f>
        <v>暮光预言者</v>
      </c>
      <c r="B103">
        <f>[2]monster.xml!$C448</f>
        <v>77</v>
      </c>
      <c r="C103">
        <f t="shared" si="5"/>
        <v>88</v>
      </c>
      <c r="D103">
        <f>VLOOKUP(A103,怪物模型!A$15:Z$70,8,0)</f>
        <v>13</v>
      </c>
      <c r="E103">
        <f>VLOOKUP(A103,怪物模型!A$15:G$70,3,0)</f>
        <v>0.7</v>
      </c>
      <c r="F103">
        <f>VLOOKUP(A103,怪物模型!A$15:G$77,4,0)</f>
        <v>1</v>
      </c>
      <c r="G103">
        <v>1</v>
      </c>
      <c r="H103">
        <f>VLOOKUP(A103,怪物模型!A$15:G$77,5,0)</f>
        <v>0</v>
      </c>
      <c r="I103">
        <f>VLOOKUP(A103,怪物模型!A$15:G$77,6,0)</f>
        <v>0</v>
      </c>
      <c r="J103">
        <f>VLOOKUP(A103,怪物模型!A$15:G$77,7,0)</f>
        <v>0</v>
      </c>
      <c r="K103">
        <f>ROUND(VLOOKUP(C103,战士难度!A$1:C$135,3,0)/VLOOKUP(B103,怪物抗性与玩家穿透!A$2:Q$74,17,0)*F103,0)</f>
        <v>935279</v>
      </c>
      <c r="L103">
        <f>IF(A103="卡雷",42,IF(A103="法力风暴",ROUND(K103*0.1,0),VLOOKUP(A103,怪物模型!$A$15:$I$70,9,0)*(1+(B103-30)/100)))</f>
        <v>1176</v>
      </c>
      <c r="M103">
        <f>ROUND(VLOOKUP(C103,战士难度!A$1:C$135,2,0)*0.91*E103,0)</f>
        <v>170773</v>
      </c>
      <c r="N103">
        <f t="shared" si="3"/>
        <v>204928</v>
      </c>
      <c r="O103">
        <f>VLOOKUP(B103,怪物抗性与玩家穿透!A$2:Q$74,4,0)</f>
        <v>16000</v>
      </c>
      <c r="P103">
        <f>VLOOKUP(B103,怪物抗性与玩家穿透!A$2:Q$74,5,0)</f>
        <v>4800</v>
      </c>
      <c r="Q103">
        <f t="shared" si="4"/>
        <v>4800</v>
      </c>
      <c r="R103">
        <f>VLOOKUP(B103,[3]battleParameter.xml!$A$6:$E$107,5,0)*(I103/100)/(1-I103/100)</f>
        <v>0</v>
      </c>
      <c r="S103">
        <f>ROUND(VLOOKUP(B103,[3]battleParameter.xml!$A$6:$G$107,7,0)*(J103/100)/(1-J103/100),0)</f>
        <v>0</v>
      </c>
      <c r="T103">
        <f>ROUND(VLOOKUP(B103,[3]battleParameter.xml!$A$6:$Z$107,8,0)*(MIN(H103/100+0.2,0.99))/(1-MIN(H103/100+0.2,0.99)),0)</f>
        <v>1125</v>
      </c>
      <c r="U103">
        <v>0</v>
      </c>
      <c r="V103">
        <v>0</v>
      </c>
    </row>
    <row r="104" spans="1:22">
      <c r="A104" t="str">
        <f>[2]monster.xml!$D449</f>
        <v>卡雷</v>
      </c>
      <c r="B104">
        <f>[2]monster.xml!$C449</f>
        <v>78</v>
      </c>
      <c r="C104">
        <f t="shared" si="5"/>
        <v>89</v>
      </c>
      <c r="D104">
        <f>VLOOKUP(A104,怪物模型!A$15:Z$70,8,0)</f>
        <v>25</v>
      </c>
      <c r="E104">
        <f>VLOOKUP(A104,怪物模型!A$15:G$70,3,0)</f>
        <v>1.25</v>
      </c>
      <c r="F104">
        <f>VLOOKUP(A104,怪物模型!A$15:G$77,4,0)</f>
        <v>1</v>
      </c>
      <c r="G104">
        <v>1</v>
      </c>
      <c r="H104">
        <f>VLOOKUP(A104,怪物模型!A$15:G$77,5,0)</f>
        <v>13</v>
      </c>
      <c r="I104">
        <f>VLOOKUP(A104,怪物模型!A$15:G$77,6,0)</f>
        <v>0</v>
      </c>
      <c r="J104">
        <f>VLOOKUP(A104,怪物模型!A$15:G$77,7,0)</f>
        <v>0</v>
      </c>
      <c r="K104">
        <f>ROUND(VLOOKUP(C104,战士难度!A$1:C$135,3,0)/VLOOKUP(B104,怪物抗性与玩家穿透!A$2:Q$74,17,0)*F104,0)</f>
        <v>1017894</v>
      </c>
      <c r="L104">
        <f>IF(A104="卡雷",42,IF(A104="法力风暴",ROUND(K104*0.1,0),VLOOKUP(A104,怪物模型!$A$15:$I$70,9,0)*(1+(B104-30)/100)))</f>
        <v>42</v>
      </c>
      <c r="M104">
        <f>ROUND(VLOOKUP(C104,战士难度!A$1:C$135,2,0)*0.91*E104,0)</f>
        <v>343218</v>
      </c>
      <c r="N104">
        <f t="shared" si="3"/>
        <v>411862</v>
      </c>
      <c r="O104">
        <f>VLOOKUP(B104,怪物抗性与玩家穿透!A$2:Q$74,4,0)</f>
        <v>16500</v>
      </c>
      <c r="P104">
        <f>VLOOKUP(B104,怪物抗性与玩家穿透!A$2:Q$74,5,0)</f>
        <v>4950</v>
      </c>
      <c r="Q104">
        <f t="shared" si="4"/>
        <v>4950</v>
      </c>
      <c r="R104">
        <f>VLOOKUP(B104,[3]battleParameter.xml!$A$6:$E$107,5,0)*(I104/100)/(1-I104/100)</f>
        <v>0</v>
      </c>
      <c r="S104">
        <f>ROUND(VLOOKUP(B104,[3]battleParameter.xml!$A$6:$G$107,7,0)*(J104/100)/(1-J104/100),0)</f>
        <v>0</v>
      </c>
      <c r="T104">
        <f>ROUND(VLOOKUP(B104,[3]battleParameter.xml!$A$6:$Z$107,8,0)*(MIN(H104/100+0.2,0.99))/(1-MIN(H104/100+0.2,0.99)),0)</f>
        <v>2273</v>
      </c>
      <c r="U104">
        <v>0</v>
      </c>
      <c r="V104">
        <v>0</v>
      </c>
    </row>
    <row r="105" spans="1:22">
      <c r="A105" t="str">
        <f>[2]monster.xml!$D450</f>
        <v>日光弗雷尔</v>
      </c>
      <c r="B105">
        <f>[2]monster.xml!$C450</f>
        <v>79</v>
      </c>
      <c r="C105">
        <f t="shared" si="5"/>
        <v>90</v>
      </c>
      <c r="D105">
        <f>VLOOKUP(A105,怪物模型!A$15:Z$70,8,0)</f>
        <v>28</v>
      </c>
      <c r="E105">
        <f>VLOOKUP(A105,怪物模型!A$15:G$70,3,0)</f>
        <v>0.9</v>
      </c>
      <c r="F105">
        <f>VLOOKUP(A105,怪物模型!A$15:G$77,4,0)</f>
        <v>0.9</v>
      </c>
      <c r="G105">
        <v>1</v>
      </c>
      <c r="H105">
        <f>VLOOKUP(A105,怪物模型!A$15:G$77,5,0)</f>
        <v>13</v>
      </c>
      <c r="I105">
        <f>VLOOKUP(A105,怪物模型!A$15:G$77,6,0)</f>
        <v>0</v>
      </c>
      <c r="J105">
        <f>VLOOKUP(A105,怪物模型!A$15:G$77,7,0)</f>
        <v>0</v>
      </c>
      <c r="K105">
        <f>ROUND(VLOOKUP(C105,战士难度!A$1:C$135,3,0)/VLOOKUP(B105,怪物抗性与玩家穿透!A$2:Q$74,17,0)*F105,0)</f>
        <v>1025342</v>
      </c>
      <c r="L105">
        <f>IF(A105="卡雷",42,IF(A105="法力风暴",ROUND(K105*0.1,0),VLOOKUP(A105,怪物模型!$A$15:$I$70,9,0)*(1+(B105-30)/100)))</f>
        <v>1490</v>
      </c>
      <c r="M105">
        <f>ROUND(VLOOKUP(C105,战士难度!A$1:C$135,2,0)*0.91*E105,0)</f>
        <v>289303</v>
      </c>
      <c r="N105">
        <f t="shared" si="3"/>
        <v>347164</v>
      </c>
      <c r="O105">
        <f>VLOOKUP(B105,怪物抗性与玩家穿透!A$2:Q$74,4,0)</f>
        <v>17000</v>
      </c>
      <c r="P105">
        <f>VLOOKUP(B105,怪物抗性与玩家穿透!A$2:Q$74,5,0)</f>
        <v>5100</v>
      </c>
      <c r="Q105">
        <f t="shared" si="4"/>
        <v>5100</v>
      </c>
      <c r="R105">
        <f>VLOOKUP(B105,[3]battleParameter.xml!$A$6:$E$107,5,0)*(I105/100)/(1-I105/100)</f>
        <v>0</v>
      </c>
      <c r="S105">
        <f>ROUND(VLOOKUP(B105,[3]battleParameter.xml!$A$6:$G$107,7,0)*(J105/100)/(1-J105/100),0)</f>
        <v>0</v>
      </c>
      <c r="T105">
        <f>ROUND(VLOOKUP(B105,[3]battleParameter.xml!$A$6:$Z$107,8,0)*(MIN(H105/100+0.2,0.99))/(1-MIN(H105/100+0.2,0.99)),0)</f>
        <v>2332</v>
      </c>
      <c r="U105">
        <v>0</v>
      </c>
      <c r="V105">
        <v>0</v>
      </c>
    </row>
    <row r="106" spans="1:22">
      <c r="A106" t="str">
        <f>[2]monster.xml!$D451</f>
        <v>坚定的格雷格</v>
      </c>
      <c r="B106">
        <f>[2]monster.xml!$C451</f>
        <v>80</v>
      </c>
      <c r="C106">
        <f t="shared" si="5"/>
        <v>91</v>
      </c>
      <c r="D106">
        <f>VLOOKUP(A106,怪物模型!A$15:Z$70,8,0)</f>
        <v>3</v>
      </c>
      <c r="E106">
        <f>VLOOKUP(A106,怪物模型!A$15:G$70,3,0)</f>
        <v>0.7</v>
      </c>
      <c r="F106">
        <f>VLOOKUP(A106,怪物模型!A$15:G$77,4,0)</f>
        <v>0.8</v>
      </c>
      <c r="G106">
        <v>1</v>
      </c>
      <c r="H106">
        <f>VLOOKUP(A106,怪物模型!A$15:G$77,5,0)</f>
        <v>13</v>
      </c>
      <c r="I106">
        <f>VLOOKUP(A106,怪物模型!A$15:G$77,6,0)</f>
        <v>0</v>
      </c>
      <c r="J106">
        <f>VLOOKUP(A106,怪物模型!A$15:G$77,7,0)</f>
        <v>0</v>
      </c>
      <c r="K106">
        <f>ROUND(VLOOKUP(C106,战士难度!A$1:C$135,3,0)/VLOOKUP(B106,怪物抗性与玩家穿透!A$2:Q$74,17,0)*F106,0)</f>
        <v>557379</v>
      </c>
      <c r="L106">
        <f>IF(A106="卡雷",42,IF(A106="法力风暴",ROUND(K106*0.1,0),VLOOKUP(A106,怪物模型!$A$15:$I$70,9,0)*(1+(B106-30)/100)))</f>
        <v>900</v>
      </c>
      <c r="M106">
        <f>ROUND(VLOOKUP(C106,战士难度!A$1:C$135,2,0)*0.91*E106,0)</f>
        <v>73452</v>
      </c>
      <c r="N106">
        <f t="shared" si="3"/>
        <v>88142</v>
      </c>
      <c r="O106">
        <f>VLOOKUP(B106,怪物抗性与玩家穿透!A$2:Q$74,4,0)</f>
        <v>17500</v>
      </c>
      <c r="P106">
        <f>VLOOKUP(B106,怪物抗性与玩家穿透!A$2:Q$74,5,0)</f>
        <v>5250</v>
      </c>
      <c r="Q106">
        <f t="shared" si="4"/>
        <v>5250</v>
      </c>
      <c r="R106">
        <f>VLOOKUP(B106,[3]battleParameter.xml!$A$6:$E$107,5,0)*(I106/100)/(1-I106/100)</f>
        <v>0</v>
      </c>
      <c r="S106">
        <f>ROUND(VLOOKUP(B106,[3]battleParameter.xml!$A$6:$G$107,7,0)*(J106/100)/(1-J106/100),0)</f>
        <v>0</v>
      </c>
      <c r="T106">
        <f>ROUND(VLOOKUP(B106,[3]battleParameter.xml!$A$6:$Z$107,8,0)*(MIN(H106/100+0.2,0.99))/(1-MIN(H106/100+0.2,0.99)),0)</f>
        <v>2390</v>
      </c>
      <c r="U106">
        <v>0</v>
      </c>
      <c r="V106">
        <v>0</v>
      </c>
    </row>
    <row r="107" spans="1:22">
      <c r="A107" t="str">
        <f>[2]monster.xml!$D452</f>
        <v>莱恩的倒影</v>
      </c>
      <c r="B107">
        <f>[2]monster.xml!$C452</f>
        <v>80</v>
      </c>
      <c r="C107">
        <f t="shared" si="5"/>
        <v>92</v>
      </c>
      <c r="D107" t="str">
        <f>VLOOKUP(A107,怪物模型!A$15:Z$70,8,0)</f>
        <v>1,2</v>
      </c>
      <c r="E107">
        <f>VLOOKUP(A107,怪物模型!A$15:G$70,3,0)</f>
        <v>1.2</v>
      </c>
      <c r="F107">
        <f>VLOOKUP(A107,怪物模型!A$15:G$77,4,0)</f>
        <v>0.8</v>
      </c>
      <c r="G107">
        <v>1</v>
      </c>
      <c r="H107">
        <f>VLOOKUP(A107,怪物模型!A$15:G$77,5,0)</f>
        <v>0</v>
      </c>
      <c r="I107">
        <f>VLOOKUP(A107,怪物模型!A$15:G$77,6,0)</f>
        <v>0</v>
      </c>
      <c r="J107">
        <f>VLOOKUP(A107,怪物模型!A$15:G$77,7,0)</f>
        <v>0</v>
      </c>
      <c r="K107">
        <f>ROUND(VLOOKUP(C107,战士难度!A$1:C$135,3,0)/VLOOKUP(B107,怪物抗性与玩家穿透!A$2:Q$74,17,0)*F107,0)</f>
        <v>622721</v>
      </c>
      <c r="L107">
        <f>IF(A107="卡雷",42,IF(A107="法力风暴",ROUND(K107*0.1,0),VLOOKUP(A107,怪物模型!$A$15:$I$70,9,0)*(1+(B107-30)/100)))</f>
        <v>1500</v>
      </c>
      <c r="M107">
        <f>ROUND(VLOOKUP(C107,战士难度!A$1:C$135,2,0)*0.91*E107,0)</f>
        <v>164590</v>
      </c>
      <c r="N107">
        <f t="shared" si="3"/>
        <v>197508</v>
      </c>
      <c r="O107">
        <f>VLOOKUP(B107,怪物抗性与玩家穿透!A$2:Q$74,4,0)</f>
        <v>17500</v>
      </c>
      <c r="P107">
        <f>VLOOKUP(B107,怪物抗性与玩家穿透!A$2:Q$74,5,0)</f>
        <v>5250</v>
      </c>
      <c r="Q107">
        <f t="shared" si="4"/>
        <v>5250</v>
      </c>
      <c r="R107">
        <f>VLOOKUP(B107,[3]battleParameter.xml!$A$6:$E$107,5,0)*(I107/100)/(1-I107/100)</f>
        <v>0</v>
      </c>
      <c r="S107">
        <f>ROUND(VLOOKUP(B107,[3]battleParameter.xml!$A$6:$G$107,7,0)*(J107/100)/(1-J107/100),0)</f>
        <v>0</v>
      </c>
      <c r="T107">
        <f>ROUND(VLOOKUP(B107,[3]battleParameter.xml!$A$6:$Z$107,8,0)*(MIN(H107/100+0.2,0.99))/(1-MIN(H107/100+0.2,0.99)),0)</f>
        <v>1213</v>
      </c>
      <c r="U107">
        <v>0</v>
      </c>
      <c r="V107">
        <v>0</v>
      </c>
    </row>
    <row r="108" spans="1:22">
      <c r="A108" t="str">
        <f>[2]monster.xml!$D453</f>
        <v>混乱的玛尔达</v>
      </c>
      <c r="B108">
        <f>[2]monster.xml!$C453</f>
        <v>81</v>
      </c>
      <c r="C108">
        <f t="shared" si="5"/>
        <v>93</v>
      </c>
      <c r="D108" t="str">
        <f>VLOOKUP(A108,怪物模型!A$15:Z$70,8,0)</f>
        <v>6,19,23</v>
      </c>
      <c r="E108">
        <f>VLOOKUP(A108,怪物模型!A$15:G$70,3,0)</f>
        <v>1</v>
      </c>
      <c r="F108">
        <f>VLOOKUP(A108,怪物模型!A$15:G$77,4,0)</f>
        <v>1.1000000000000001</v>
      </c>
      <c r="G108">
        <v>1</v>
      </c>
      <c r="H108">
        <f>VLOOKUP(A108,怪物模型!A$15:G$77,5,0)</f>
        <v>13</v>
      </c>
      <c r="I108">
        <f>VLOOKUP(A108,怪物模型!A$15:G$77,6,0)</f>
        <v>0</v>
      </c>
      <c r="J108">
        <f>VLOOKUP(A108,怪物模型!A$15:G$77,7,0)</f>
        <v>0</v>
      </c>
      <c r="K108">
        <f>ROUND(VLOOKUP(C108,战士难度!A$1:C$135,3,0)/VLOOKUP(B108,怪物抗性与玩家穿透!A$2:Q$74,17,0)*F108,0)</f>
        <v>999229</v>
      </c>
      <c r="L108">
        <f>IF(A108="卡雷",42,IF(A108="法力风暴",ROUND(K108*0.1,0),VLOOKUP(A108,怪物模型!$A$15:$I$70,9,0)*(1+(B108-30)/100)))</f>
        <v>2718</v>
      </c>
      <c r="M108">
        <f>ROUND(VLOOKUP(C108,战士难度!A$1:C$135,2,0)*0.91*E108,0)</f>
        <v>196020</v>
      </c>
      <c r="N108">
        <f t="shared" si="3"/>
        <v>235224</v>
      </c>
      <c r="O108">
        <f>VLOOKUP(B108,怪物抗性与玩家穿透!A$2:Q$74,4,0)</f>
        <v>18000</v>
      </c>
      <c r="P108">
        <f>VLOOKUP(B108,怪物抗性与玩家穿透!A$2:Q$74,5,0)</f>
        <v>5400</v>
      </c>
      <c r="Q108">
        <f t="shared" si="4"/>
        <v>5400</v>
      </c>
      <c r="R108">
        <f>VLOOKUP(B108,[3]battleParameter.xml!$A$6:$E$107,5,0)*(I108/100)/(1-I108/100)</f>
        <v>0</v>
      </c>
      <c r="S108">
        <f>ROUND(VLOOKUP(B108,[3]battleParameter.xml!$A$6:$G$107,7,0)*(J108/100)/(1-J108/100),0)</f>
        <v>0</v>
      </c>
      <c r="T108">
        <f>ROUND(VLOOKUP(B108,[3]battleParameter.xml!$A$6:$Z$107,8,0)*(MIN(H108/100+0.2,0.99))/(1-MIN(H108/100+0.2,0.99)),0)</f>
        <v>2450</v>
      </c>
      <c r="U108">
        <v>0</v>
      </c>
      <c r="V108">
        <v>0</v>
      </c>
    </row>
    <row r="109" spans="1:22">
      <c r="A109" t="str">
        <f>[2]monster.xml!$D454</f>
        <v>驯兽师瓦纳</v>
      </c>
      <c r="B109">
        <f>[2]monster.xml!$C454</f>
        <v>81</v>
      </c>
      <c r="C109">
        <f t="shared" si="5"/>
        <v>94</v>
      </c>
      <c r="D109">
        <f>VLOOKUP(A109,怪物模型!A$15:Z$70,8,0)</f>
        <v>2</v>
      </c>
      <c r="E109">
        <f>VLOOKUP(A109,怪物模型!A$15:G$70,3,0)</f>
        <v>0.6</v>
      </c>
      <c r="F109">
        <f>VLOOKUP(A109,怪物模型!A$15:G$77,4,0)</f>
        <v>0.6</v>
      </c>
      <c r="G109">
        <v>1</v>
      </c>
      <c r="H109">
        <f>VLOOKUP(A109,怪物模型!A$15:G$77,5,0)</f>
        <v>13</v>
      </c>
      <c r="I109">
        <f>VLOOKUP(A109,怪物模型!A$15:G$77,6,0)</f>
        <v>0</v>
      </c>
      <c r="J109">
        <f>VLOOKUP(A109,怪物模型!A$15:G$77,7,0)</f>
        <v>0</v>
      </c>
      <c r="K109">
        <f>ROUND(VLOOKUP(C109,战士难度!A$1:C$135,3,0)/VLOOKUP(B109,怪物抗性与玩家穿透!A$2:Q$74,17,0)*F109,0)</f>
        <v>590878</v>
      </c>
      <c r="L109">
        <f>IF(A109="卡雷",42,IF(A109="法力风暴",ROUND(K109*0.1,0),VLOOKUP(A109,怪物模型!$A$15:$I$70,9,0)*(1+(B109-30)/100)))</f>
        <v>1208</v>
      </c>
      <c r="M109">
        <f>ROUND(VLOOKUP(C109,战士难度!A$1:C$135,2,0)*0.91*E109,0)</f>
        <v>135179</v>
      </c>
      <c r="N109">
        <f t="shared" si="3"/>
        <v>162215</v>
      </c>
      <c r="O109">
        <f>VLOOKUP(B109,怪物抗性与玩家穿透!A$2:Q$74,4,0)</f>
        <v>18000</v>
      </c>
      <c r="P109">
        <f>VLOOKUP(B109,怪物抗性与玩家穿透!A$2:Q$74,5,0)</f>
        <v>5400</v>
      </c>
      <c r="Q109">
        <f t="shared" si="4"/>
        <v>5400</v>
      </c>
      <c r="R109">
        <f>VLOOKUP(B109,[3]battleParameter.xml!$A$6:$E$107,5,0)*(I109/100)/(1-I109/100)</f>
        <v>0</v>
      </c>
      <c r="S109">
        <f>ROUND(VLOOKUP(B109,[3]battleParameter.xml!$A$6:$G$107,7,0)*(J109/100)/(1-J109/100),0)</f>
        <v>0</v>
      </c>
      <c r="T109">
        <f>ROUND(VLOOKUP(B109,[3]battleParameter.xml!$A$6:$Z$107,8,0)*(MIN(H109/100+0.2,0.99))/(1-MIN(H109/100+0.2,0.99)),0)</f>
        <v>2450</v>
      </c>
      <c r="U109">
        <v>0</v>
      </c>
      <c r="V109">
        <v>0</v>
      </c>
    </row>
    <row r="110" spans="1:22">
      <c r="A110" t="str">
        <f>[2]monster.xml!$D455</f>
        <v>多兰</v>
      </c>
      <c r="B110">
        <f>[2]monster.xml!$C455</f>
        <v>81</v>
      </c>
      <c r="C110">
        <f t="shared" si="5"/>
        <v>94</v>
      </c>
      <c r="D110">
        <f>VLOOKUP(A110,怪物模型!A$15:Z$70,8,0)</f>
        <v>9</v>
      </c>
      <c r="E110">
        <f>VLOOKUP(A110,怪物模型!A$15:G$70,3,0)</f>
        <v>0.35</v>
      </c>
      <c r="F110">
        <f>VLOOKUP(A110,怪物模型!A$15:G$77,4,0)</f>
        <v>0.28000000000000003</v>
      </c>
      <c r="G110">
        <v>1</v>
      </c>
      <c r="H110">
        <f>VLOOKUP(A110,怪物模型!A$15:G$77,5,0)</f>
        <v>13</v>
      </c>
      <c r="I110">
        <f>VLOOKUP(A110,怪物模型!A$15:G$77,6,0)</f>
        <v>0</v>
      </c>
      <c r="J110">
        <f>VLOOKUP(A110,怪物模型!A$15:G$77,7,0)</f>
        <v>0</v>
      </c>
      <c r="K110">
        <f>ROUND(VLOOKUP(C110,战士难度!A$1:C$135,3,0)/VLOOKUP(B110,怪物抗性与玩家穿透!A$2:Q$74,17,0)*F110,0)</f>
        <v>275743</v>
      </c>
      <c r="L110">
        <f>IF(A110="卡雷",42,IF(A110="法力风暴",ROUND(K110*0.1,0),VLOOKUP(A110,怪物模型!$A$15:$I$70,9,0)*(1+(B110-30)/100)))</f>
        <v>1510</v>
      </c>
      <c r="M110">
        <f>ROUND(VLOOKUP(C110,战士难度!A$1:C$135,2,0)*0.91*E110,0)</f>
        <v>78854</v>
      </c>
      <c r="N110">
        <f t="shared" si="3"/>
        <v>94625</v>
      </c>
      <c r="O110">
        <f>VLOOKUP(B110,怪物抗性与玩家穿透!A$2:Q$74,4,0)</f>
        <v>18000</v>
      </c>
      <c r="P110">
        <f>VLOOKUP(B110,怪物抗性与玩家穿透!A$2:Q$74,5,0)</f>
        <v>5400</v>
      </c>
      <c r="Q110">
        <f t="shared" si="4"/>
        <v>5400</v>
      </c>
      <c r="R110">
        <f>VLOOKUP(B110,[3]battleParameter.xml!$A$6:$E$107,5,0)*(I110/100)/(1-I110/100)</f>
        <v>0</v>
      </c>
      <c r="S110">
        <f>ROUND(VLOOKUP(B110,[3]battleParameter.xml!$A$6:$G$107,7,0)*(J110/100)/(1-J110/100),0)</f>
        <v>0</v>
      </c>
      <c r="T110">
        <f>ROUND(VLOOKUP(B110,[3]battleParameter.xml!$A$6:$Z$107,8,0)*(MIN(H110/100+0.2,0.99))/(1-MIN(H110/100+0.2,0.99)),0)</f>
        <v>2450</v>
      </c>
      <c r="U110">
        <v>0</v>
      </c>
      <c r="V110">
        <v>0</v>
      </c>
    </row>
    <row r="111" spans="1:22">
      <c r="A111" t="str">
        <f>[2]monster.xml!$D456</f>
        <v>约翰</v>
      </c>
      <c r="B111">
        <f>[2]monster.xml!$C456</f>
        <v>81</v>
      </c>
      <c r="C111">
        <f t="shared" si="5"/>
        <v>94</v>
      </c>
      <c r="D111">
        <f>VLOOKUP(A111,怪物模型!A$15:Z$70,8,0)</f>
        <v>10</v>
      </c>
      <c r="E111">
        <f>VLOOKUP(A111,怪物模型!A$15:G$70,3,0)</f>
        <v>0.35</v>
      </c>
      <c r="F111">
        <f>VLOOKUP(A111,怪物模型!A$15:G$77,4,0)</f>
        <v>0.28000000000000003</v>
      </c>
      <c r="G111">
        <v>1</v>
      </c>
      <c r="H111">
        <f>VLOOKUP(A111,怪物模型!A$15:G$77,5,0)</f>
        <v>13</v>
      </c>
      <c r="I111">
        <f>VLOOKUP(A111,怪物模型!A$15:G$77,6,0)</f>
        <v>0</v>
      </c>
      <c r="J111">
        <f>VLOOKUP(A111,怪物模型!A$15:G$77,7,0)</f>
        <v>0</v>
      </c>
      <c r="K111">
        <f>ROUND(VLOOKUP(C111,战士难度!A$1:C$135,3,0)/VLOOKUP(B111,怪物抗性与玩家穿透!A$2:Q$74,17,0)*F111,0)</f>
        <v>275743</v>
      </c>
      <c r="L111">
        <f>IF(A111="卡雷",42,IF(A111="法力风暴",ROUND(K111*0.1,0),VLOOKUP(A111,怪物模型!$A$15:$I$70,9,0)*(1+(B111-30)/100)))</f>
        <v>1510</v>
      </c>
      <c r="M111">
        <f>ROUND(VLOOKUP(C111,战士难度!A$1:C$135,2,0)*0.91*E111,0)</f>
        <v>78854</v>
      </c>
      <c r="N111">
        <f t="shared" si="3"/>
        <v>94625</v>
      </c>
      <c r="O111">
        <f>VLOOKUP(B111,怪物抗性与玩家穿透!A$2:Q$74,4,0)</f>
        <v>18000</v>
      </c>
      <c r="P111">
        <f>VLOOKUP(B111,怪物抗性与玩家穿透!A$2:Q$74,5,0)</f>
        <v>5400</v>
      </c>
      <c r="Q111">
        <f t="shared" si="4"/>
        <v>5400</v>
      </c>
      <c r="R111">
        <f>VLOOKUP(B111,[3]battleParameter.xml!$A$6:$E$107,5,0)*(I111/100)/(1-I111/100)</f>
        <v>0</v>
      </c>
      <c r="S111">
        <f>ROUND(VLOOKUP(B111,[3]battleParameter.xml!$A$6:$G$107,7,0)*(J111/100)/(1-J111/100),0)</f>
        <v>0</v>
      </c>
      <c r="T111">
        <f>ROUND(VLOOKUP(B111,[3]battleParameter.xml!$A$6:$Z$107,8,0)*(MIN(H111/100+0.2,0.99))/(1-MIN(H111/100+0.2,0.99)),0)</f>
        <v>2450</v>
      </c>
      <c r="U111">
        <v>0</v>
      </c>
      <c r="V111">
        <v>0</v>
      </c>
    </row>
    <row r="112" spans="1:22">
      <c r="A112" t="str">
        <f>[2]monster.xml!$D457</f>
        <v>炎之安苏</v>
      </c>
      <c r="B112">
        <f>[2]monster.xml!$C457</f>
        <v>81</v>
      </c>
      <c r="C112">
        <f t="shared" si="5"/>
        <v>95</v>
      </c>
      <c r="D112">
        <f>VLOOKUP(A112,怪物模型!A$15:Z$70,8,0)</f>
        <v>21</v>
      </c>
      <c r="E112">
        <f>VLOOKUP(A112,怪物模型!A$15:G$70,3,0)</f>
        <v>1</v>
      </c>
      <c r="F112">
        <f>VLOOKUP(A112,怪物模型!A$15:G$77,4,0)</f>
        <v>0.95</v>
      </c>
      <c r="G112">
        <v>1</v>
      </c>
      <c r="H112">
        <f>VLOOKUP(A112,怪物模型!A$15:G$77,5,0)</f>
        <v>13</v>
      </c>
      <c r="I112">
        <f>VLOOKUP(A112,怪物模型!A$15:G$77,6,0)</f>
        <v>0</v>
      </c>
      <c r="J112">
        <f>VLOOKUP(A112,怪物模型!A$15:G$77,7,0)</f>
        <v>0</v>
      </c>
      <c r="K112">
        <f>ROUND(VLOOKUP(C112,战士难度!A$1:C$135,3,0)/VLOOKUP(B112,怪物抗性与玩家穿透!A$2:Q$74,17,0)*F112,0)</f>
        <v>1014250</v>
      </c>
      <c r="L112">
        <f>IF(A112="卡雷",42,IF(A112="法力风暴",ROUND(K112*0.1,0),VLOOKUP(A112,怪物模型!$A$15:$I$70,9,0)*(1+(B112-30)/100)))</f>
        <v>1510</v>
      </c>
      <c r="M112">
        <f>ROUND(VLOOKUP(C112,战士难度!A$1:C$135,2,0)*0.91*E112,0)</f>
        <v>258949</v>
      </c>
      <c r="N112">
        <f t="shared" si="3"/>
        <v>310739</v>
      </c>
      <c r="O112">
        <f>VLOOKUP(B112,怪物抗性与玩家穿透!A$2:Q$74,4,0)</f>
        <v>18000</v>
      </c>
      <c r="P112">
        <f>VLOOKUP(B112,怪物抗性与玩家穿透!A$2:Q$74,5,0)</f>
        <v>5400</v>
      </c>
      <c r="Q112">
        <f t="shared" si="4"/>
        <v>5400</v>
      </c>
      <c r="R112">
        <f>VLOOKUP(B112,[3]battleParameter.xml!$A$6:$E$107,5,0)*(I112/100)/(1-I112/100)</f>
        <v>0</v>
      </c>
      <c r="S112">
        <f>ROUND(VLOOKUP(B112,[3]battleParameter.xml!$A$6:$G$107,7,0)*(J112/100)/(1-J112/100),0)</f>
        <v>0</v>
      </c>
      <c r="T112">
        <f>ROUND(VLOOKUP(B112,[3]battleParameter.xml!$A$6:$Z$107,8,0)*(MIN(H112/100+0.2,0.99))/(1-MIN(H112/100+0.2,0.99)),0)</f>
        <v>2450</v>
      </c>
      <c r="U112">
        <v>0</v>
      </c>
      <c r="V112">
        <v>0</v>
      </c>
    </row>
    <row r="113" spans="1:22">
      <c r="A113" t="str">
        <f>[2]monster.xml!$D458</f>
        <v>迅捷的维恩</v>
      </c>
      <c r="B113">
        <f>[2]monster.xml!$C458</f>
        <v>82</v>
      </c>
      <c r="C113">
        <f t="shared" si="5"/>
        <v>96</v>
      </c>
      <c r="D113">
        <f>VLOOKUP(A113,怪物模型!A$15:Z$70,8,0)</f>
        <v>14</v>
      </c>
      <c r="E113">
        <f>VLOOKUP(A113,怪物模型!A$15:G$70,3,0)</f>
        <v>1</v>
      </c>
      <c r="F113">
        <f>VLOOKUP(A113,怪物模型!A$15:G$77,4,0)</f>
        <v>1</v>
      </c>
      <c r="G113">
        <v>1</v>
      </c>
      <c r="H113">
        <f>VLOOKUP(A113,怪物模型!A$15:G$77,5,0)</f>
        <v>0</v>
      </c>
      <c r="I113">
        <f>VLOOKUP(A113,怪物模型!A$15:G$77,6,0)</f>
        <v>0</v>
      </c>
      <c r="J113">
        <f>VLOOKUP(A113,怪物模型!A$15:G$77,7,0)</f>
        <v>0</v>
      </c>
      <c r="K113">
        <f>ROUND(VLOOKUP(C113,战士难度!A$1:C$135,3,0)/VLOOKUP(B113,怪物抗性与玩家穿透!A$2:Q$74,17,0)*F113,0)</f>
        <v>1197800</v>
      </c>
      <c r="L113">
        <f>IF(A113="卡雷",42,IF(A113="法力风暴",ROUND(K113*0.1,0),VLOOKUP(A113,怪物模型!$A$15:$I$70,9,0)*(1+(B113-30)/100)))</f>
        <v>1520</v>
      </c>
      <c r="M113">
        <f>ROUND(VLOOKUP(C113,战士难度!A$1:C$135,2,0)*0.91*E113,0)</f>
        <v>311761</v>
      </c>
      <c r="N113">
        <f t="shared" si="3"/>
        <v>374113</v>
      </c>
      <c r="O113">
        <f>VLOOKUP(B113,怪物抗性与玩家穿透!A$2:Q$74,4,0)</f>
        <v>18500</v>
      </c>
      <c r="P113">
        <f>VLOOKUP(B113,怪物抗性与玩家穿透!A$2:Q$74,5,0)</f>
        <v>5550</v>
      </c>
      <c r="Q113">
        <f t="shared" si="4"/>
        <v>5550</v>
      </c>
      <c r="R113">
        <f>VLOOKUP(B113,[3]battleParameter.xml!$A$6:$E$107,5,0)*(I113/100)/(1-I113/100)</f>
        <v>0</v>
      </c>
      <c r="S113">
        <f>ROUND(VLOOKUP(B113,[3]battleParameter.xml!$A$6:$G$107,7,0)*(J113/100)/(1-J113/100),0)</f>
        <v>0</v>
      </c>
      <c r="T113">
        <f>ROUND(VLOOKUP(B113,[3]battleParameter.xml!$A$6:$Z$107,8,0)*(MIN(H113/100+0.2,0.99))/(1-MIN(H113/100+0.2,0.99)),0)</f>
        <v>1274</v>
      </c>
      <c r="U113">
        <v>0</v>
      </c>
      <c r="V113">
        <v>0</v>
      </c>
    </row>
    <row r="114" spans="1:22">
      <c r="A114" t="str">
        <f>[2]monster.xml!$D459</f>
        <v>暮光预言者</v>
      </c>
      <c r="B114">
        <f>[2]monster.xml!$C459</f>
        <v>82</v>
      </c>
      <c r="C114">
        <f t="shared" si="5"/>
        <v>97</v>
      </c>
      <c r="D114">
        <f>VLOOKUP(A114,怪物模型!A$15:Z$70,8,0)</f>
        <v>13</v>
      </c>
      <c r="E114">
        <f>VLOOKUP(A114,怪物模型!A$15:G$70,3,0)</f>
        <v>0.7</v>
      </c>
      <c r="F114">
        <f>VLOOKUP(A114,怪物模型!A$15:G$77,4,0)</f>
        <v>1</v>
      </c>
      <c r="G114">
        <v>1</v>
      </c>
      <c r="H114">
        <f>VLOOKUP(A114,怪物模型!A$15:G$77,5,0)</f>
        <v>0</v>
      </c>
      <c r="I114">
        <f>VLOOKUP(A114,怪物模型!A$15:G$77,6,0)</f>
        <v>0</v>
      </c>
      <c r="J114">
        <f>VLOOKUP(A114,怪物模型!A$15:G$77,7,0)</f>
        <v>0</v>
      </c>
      <c r="K114">
        <f>ROUND(VLOOKUP(C114,战士难度!A$1:C$135,3,0)/VLOOKUP(B114,怪物抗性与玩家穿透!A$2:Q$74,17,0)*F114,0)</f>
        <v>1300262</v>
      </c>
      <c r="L114">
        <f>IF(A114="卡雷",42,IF(A114="法力风暴",ROUND(K114*0.1,0),VLOOKUP(A114,怪物模型!$A$15:$I$70,9,0)*(1+(B114-30)/100)))</f>
        <v>1216</v>
      </c>
      <c r="M114">
        <f>ROUND(VLOOKUP(C114,战士难度!A$1:C$135,2,0)*0.91*E114,0)</f>
        <v>246214</v>
      </c>
      <c r="N114">
        <f t="shared" si="3"/>
        <v>295457</v>
      </c>
      <c r="O114">
        <f>VLOOKUP(B114,怪物抗性与玩家穿透!A$2:Q$74,4,0)</f>
        <v>18500</v>
      </c>
      <c r="P114">
        <f>VLOOKUP(B114,怪物抗性与玩家穿透!A$2:Q$74,5,0)</f>
        <v>5550</v>
      </c>
      <c r="Q114">
        <f t="shared" si="4"/>
        <v>5550</v>
      </c>
      <c r="R114">
        <f>VLOOKUP(B114,[3]battleParameter.xml!$A$6:$E$107,5,0)*(I114/100)/(1-I114/100)</f>
        <v>0</v>
      </c>
      <c r="S114">
        <f>ROUND(VLOOKUP(B114,[3]battleParameter.xml!$A$6:$G$107,7,0)*(J114/100)/(1-J114/100),0)</f>
        <v>0</v>
      </c>
      <c r="T114">
        <f>ROUND(VLOOKUP(B114,[3]battleParameter.xml!$A$6:$Z$107,8,0)*(MIN(H114/100+0.2,0.99))/(1-MIN(H114/100+0.2,0.99)),0)</f>
        <v>1274</v>
      </c>
      <c r="U114">
        <v>0</v>
      </c>
      <c r="V114">
        <v>0</v>
      </c>
    </row>
    <row r="115" spans="1:22">
      <c r="A115" t="str">
        <f>[2]monster.xml!$D460</f>
        <v>卡雷</v>
      </c>
      <c r="B115">
        <f>[2]monster.xml!$C460</f>
        <v>83</v>
      </c>
      <c r="C115">
        <f t="shared" si="5"/>
        <v>98</v>
      </c>
      <c r="D115">
        <f>VLOOKUP(A115,怪物模型!A$15:Z$70,8,0)</f>
        <v>25</v>
      </c>
      <c r="E115">
        <f>VLOOKUP(A115,怪物模型!A$15:G$70,3,0)</f>
        <v>1.25</v>
      </c>
      <c r="F115">
        <f>VLOOKUP(A115,怪物模型!A$15:G$77,4,0)</f>
        <v>1</v>
      </c>
      <c r="G115">
        <v>1</v>
      </c>
      <c r="H115">
        <f>VLOOKUP(A115,怪物模型!A$15:G$77,5,0)</f>
        <v>13</v>
      </c>
      <c r="I115">
        <f>VLOOKUP(A115,怪物模型!A$15:G$77,6,0)</f>
        <v>0</v>
      </c>
      <c r="J115">
        <f>VLOOKUP(A115,怪物模型!A$15:G$77,7,0)</f>
        <v>0</v>
      </c>
      <c r="K115">
        <f>ROUND(VLOOKUP(C115,战士难度!A$1:C$135,3,0)/VLOOKUP(B115,怪物抗性与玩家穿透!A$2:Q$74,17,0)*F115,0)</f>
        <v>1422822</v>
      </c>
      <c r="L115">
        <f>IF(A115="卡雷",42,IF(A115="法力风暴",ROUND(K115*0.1,0),VLOOKUP(A115,怪物模型!$A$15:$I$70,9,0)*(1+(B115-30)/100)))</f>
        <v>42</v>
      </c>
      <c r="M115">
        <f>ROUND(VLOOKUP(C115,战士难度!A$1:C$135,2,0)*0.91*E115,0)</f>
        <v>496041</v>
      </c>
      <c r="N115">
        <f t="shared" si="3"/>
        <v>595249</v>
      </c>
      <c r="O115">
        <f>VLOOKUP(B115,怪物抗性与玩家穿透!A$2:Q$74,4,0)</f>
        <v>19000</v>
      </c>
      <c r="P115">
        <f>VLOOKUP(B115,怪物抗性与玩家穿透!A$2:Q$74,5,0)</f>
        <v>5700</v>
      </c>
      <c r="Q115">
        <f t="shared" si="4"/>
        <v>5700</v>
      </c>
      <c r="R115">
        <f>VLOOKUP(B115,[3]battleParameter.xml!$A$6:$E$107,5,0)*(I115/100)/(1-I115/100)</f>
        <v>0</v>
      </c>
      <c r="S115">
        <f>ROUND(VLOOKUP(B115,[3]battleParameter.xml!$A$6:$G$107,7,0)*(J115/100)/(1-J115/100),0)</f>
        <v>0</v>
      </c>
      <c r="T115">
        <f>ROUND(VLOOKUP(B115,[3]battleParameter.xml!$A$6:$Z$107,8,0)*(MIN(H115/100+0.2,0.99))/(1-MIN(H115/100+0.2,0.99)),0)</f>
        <v>2572</v>
      </c>
      <c r="U115">
        <v>0</v>
      </c>
      <c r="V115">
        <v>0</v>
      </c>
    </row>
    <row r="116" spans="1:22">
      <c r="A116" t="str">
        <f>[2]monster.xml!$D461</f>
        <v>日光弗雷尔</v>
      </c>
      <c r="B116">
        <f>[2]monster.xml!$C461</f>
        <v>84</v>
      </c>
      <c r="C116">
        <f t="shared" si="5"/>
        <v>99</v>
      </c>
      <c r="D116">
        <f>VLOOKUP(A116,怪物模型!A$15:Z$70,8,0)</f>
        <v>28</v>
      </c>
      <c r="E116">
        <f>VLOOKUP(A116,怪物模型!A$15:G$70,3,0)</f>
        <v>0.9</v>
      </c>
      <c r="F116">
        <f>VLOOKUP(A116,怪物模型!A$15:G$77,4,0)</f>
        <v>0.9</v>
      </c>
      <c r="G116">
        <v>1</v>
      </c>
      <c r="H116">
        <f>VLOOKUP(A116,怪物模型!A$15:G$77,5,0)</f>
        <v>13</v>
      </c>
      <c r="I116">
        <f>VLOOKUP(A116,怪物模型!A$15:G$77,6,0)</f>
        <v>0</v>
      </c>
      <c r="J116">
        <f>VLOOKUP(A116,怪物模型!A$15:G$77,7,0)</f>
        <v>0</v>
      </c>
      <c r="K116">
        <f>ROUND(VLOOKUP(C116,战士难度!A$1:C$135,3,0)/VLOOKUP(B116,怪物抗性与玩家穿透!A$2:Q$74,17,0)*F116,0)</f>
        <v>1440896</v>
      </c>
      <c r="L116">
        <f>IF(A116="卡雷",42,IF(A116="法力风暴",ROUND(K116*0.1,0),VLOOKUP(A116,怪物模型!$A$15:$I$70,9,0)*(1+(B116-30)/100)))</f>
        <v>1540</v>
      </c>
      <c r="M116">
        <f>ROUND(VLOOKUP(C116,战士难度!A$1:C$135,2,0)*0.91*E116,0)</f>
        <v>419475</v>
      </c>
      <c r="N116">
        <f t="shared" si="3"/>
        <v>503370</v>
      </c>
      <c r="O116">
        <f>VLOOKUP(B116,怪物抗性与玩家穿透!A$2:Q$74,4,0)</f>
        <v>19500</v>
      </c>
      <c r="P116">
        <f>VLOOKUP(B116,怪物抗性与玩家穿透!A$2:Q$74,5,0)</f>
        <v>5850</v>
      </c>
      <c r="Q116">
        <f t="shared" si="4"/>
        <v>5850</v>
      </c>
      <c r="R116">
        <f>VLOOKUP(B116,[3]battleParameter.xml!$A$6:$E$107,5,0)*(I116/100)/(1-I116/100)</f>
        <v>0</v>
      </c>
      <c r="S116">
        <f>ROUND(VLOOKUP(B116,[3]battleParameter.xml!$A$6:$G$107,7,0)*(J116/100)/(1-J116/100),0)</f>
        <v>0</v>
      </c>
      <c r="T116">
        <f>ROUND(VLOOKUP(B116,[3]battleParameter.xml!$A$6:$Z$107,8,0)*(MIN(H116/100+0.2,0.99))/(1-MIN(H116/100+0.2,0.99)),0)</f>
        <v>2634</v>
      </c>
      <c r="U116">
        <v>0</v>
      </c>
      <c r="V116">
        <v>0</v>
      </c>
    </row>
    <row r="117" spans="1:22">
      <c r="A117" t="str">
        <f>[2]monster.xml!$D462</f>
        <v>疾风克鲁</v>
      </c>
      <c r="B117">
        <f>[2]monster.xml!$C462</f>
        <v>85</v>
      </c>
      <c r="C117">
        <f t="shared" si="5"/>
        <v>100</v>
      </c>
      <c r="D117">
        <f>VLOOKUP(A117,怪物模型!A$15:Z$70,8,0)</f>
        <v>19</v>
      </c>
      <c r="E117">
        <f>VLOOKUP(A117,怪物模型!A$15:G$70,3,0)</f>
        <v>1</v>
      </c>
      <c r="F117">
        <f>VLOOKUP(A117,怪物模型!A$15:G$77,4,0)</f>
        <v>1</v>
      </c>
      <c r="G117">
        <v>1</v>
      </c>
      <c r="H117">
        <f>VLOOKUP(A117,怪物模型!A$15:G$77,5,0)</f>
        <v>13</v>
      </c>
      <c r="I117">
        <f>VLOOKUP(A117,怪物模型!A$15:G$77,6,0)</f>
        <v>0</v>
      </c>
      <c r="J117">
        <f>VLOOKUP(A117,怪物模型!A$15:G$77,7,0)</f>
        <v>0</v>
      </c>
      <c r="K117">
        <f>ROUND(VLOOKUP(C117,战士难度!A$1:C$135,3,0)/VLOOKUP(B117,怪物抗性与玩家穿透!A$2:Q$74,17,0)*F117,0)</f>
        <v>951544</v>
      </c>
      <c r="L117">
        <f>IF(A117="卡雷",42,IF(A117="法力风暴",ROUND(K117*0.1,0),VLOOKUP(A117,怪物模型!$A$15:$I$70,9,0)*(1+(B117-30)/100)))</f>
        <v>1550</v>
      </c>
      <c r="M117">
        <f>ROUND(VLOOKUP(C117,战士难度!A$1:C$135,2,0)*0.91*E117,0)</f>
        <v>180327</v>
      </c>
      <c r="N117">
        <f t="shared" si="3"/>
        <v>216392</v>
      </c>
      <c r="O117">
        <f>VLOOKUP(B117,怪物抗性与玩家穿透!A$2:Q$74,4,0)</f>
        <v>20000</v>
      </c>
      <c r="P117">
        <f>VLOOKUP(B117,怪物抗性与玩家穿透!A$2:Q$74,5,0)</f>
        <v>6000</v>
      </c>
      <c r="Q117">
        <f t="shared" si="4"/>
        <v>6000</v>
      </c>
      <c r="R117">
        <f>VLOOKUP(B117,[3]battleParameter.xml!$A$6:$E$107,5,0)*(I117/100)/(1-I117/100)</f>
        <v>0</v>
      </c>
      <c r="S117">
        <f>ROUND(VLOOKUP(B117,[3]battleParameter.xml!$A$6:$G$107,7,0)*(J117/100)/(1-J117/100),0)</f>
        <v>0</v>
      </c>
      <c r="T117">
        <f>ROUND(VLOOKUP(B117,[3]battleParameter.xml!$A$6:$Z$107,8,0)*(MIN(H117/100+0.2,0.99))/(1-MIN(H117/100+0.2,0.99)),0)</f>
        <v>2697</v>
      </c>
      <c r="U117">
        <v>0</v>
      </c>
      <c r="V117">
        <v>0</v>
      </c>
    </row>
    <row r="118" spans="1:22">
      <c r="A118" t="str">
        <f>[2]monster.xml!$D463</f>
        <v>拨弄的赛亚</v>
      </c>
      <c r="B118">
        <f>[2]monster.xml!$C463</f>
        <v>85</v>
      </c>
      <c r="C118">
        <f t="shared" si="5"/>
        <v>101</v>
      </c>
      <c r="D118" t="str">
        <f>VLOOKUP(A118,怪物模型!A$15:Z$70,8,0)</f>
        <v>17,18,8</v>
      </c>
      <c r="E118">
        <f>VLOOKUP(A118,怪物模型!A$15:G$70,3,0)</f>
        <v>1.2</v>
      </c>
      <c r="F118">
        <f>VLOOKUP(A118,怪物模型!A$15:G$77,4,0)</f>
        <v>1</v>
      </c>
      <c r="G118">
        <v>1</v>
      </c>
      <c r="H118">
        <f>VLOOKUP(A118,怪物模型!A$15:G$77,5,0)</f>
        <v>13</v>
      </c>
      <c r="I118">
        <f>VLOOKUP(A118,怪物模型!A$15:G$77,6,0)</f>
        <v>0</v>
      </c>
      <c r="J118">
        <f>VLOOKUP(A118,怪物模型!A$15:G$77,7,0)</f>
        <v>0</v>
      </c>
      <c r="K118">
        <f>ROUND(VLOOKUP(C118,战士难度!A$1:C$135,3,0)/VLOOKUP(B118,怪物抗性与玩家穿透!A$2:Q$74,17,0)*F118,0)</f>
        <v>1064329</v>
      </c>
      <c r="L118">
        <f>IF(A118="卡雷",42,IF(A118="法力风暴",ROUND(K118*0.1,0),VLOOKUP(A118,怪物模型!$A$15:$I$70,9,0)*(1+(B118-30)/100)))</f>
        <v>4650</v>
      </c>
      <c r="M118">
        <f>ROUND(VLOOKUP(C118,战士难度!A$1:C$135,2,0)*0.91*E118,0)</f>
        <v>278673</v>
      </c>
      <c r="N118">
        <f t="shared" si="3"/>
        <v>334408</v>
      </c>
      <c r="O118">
        <f>VLOOKUP(B118,怪物抗性与玩家穿透!A$2:Q$74,4,0)</f>
        <v>20000</v>
      </c>
      <c r="P118">
        <f>VLOOKUP(B118,怪物抗性与玩家穿透!A$2:Q$74,5,0)</f>
        <v>6000</v>
      </c>
      <c r="Q118">
        <f t="shared" si="4"/>
        <v>6000</v>
      </c>
      <c r="R118">
        <f>VLOOKUP(B118,[3]battleParameter.xml!$A$6:$E$107,5,0)*(I118/100)/(1-I118/100)</f>
        <v>0</v>
      </c>
      <c r="S118">
        <f>ROUND(VLOOKUP(B118,[3]battleParameter.xml!$A$6:$G$107,7,0)*(J118/100)/(1-J118/100),0)</f>
        <v>0</v>
      </c>
      <c r="T118">
        <f>ROUND(VLOOKUP(B118,[3]battleParameter.xml!$A$6:$Z$107,8,0)*(MIN(H118/100+0.2,0.99))/(1-MIN(H118/100+0.2,0.99)),0)</f>
        <v>2697</v>
      </c>
      <c r="U118">
        <v>0</v>
      </c>
      <c r="V118">
        <v>0</v>
      </c>
    </row>
    <row r="119" spans="1:22">
      <c r="A119" t="str">
        <f>[2]monster.xml!$D464</f>
        <v>法力风暴</v>
      </c>
      <c r="B119">
        <f>[2]monster.xml!$C464</f>
        <v>86</v>
      </c>
      <c r="C119">
        <f t="shared" si="5"/>
        <v>102</v>
      </c>
      <c r="D119" t="str">
        <f>VLOOKUP(A119,怪物模型!A$15:Z$70,8,0)</f>
        <v>25,30</v>
      </c>
      <c r="E119">
        <f>VLOOKUP(A119,怪物模型!A$15:G$70,3,0)</f>
        <v>1.5</v>
      </c>
      <c r="F119">
        <f>VLOOKUP(A119,怪物模型!A$15:G$77,4,0)</f>
        <v>0.68</v>
      </c>
      <c r="G119">
        <v>1</v>
      </c>
      <c r="H119">
        <f>VLOOKUP(A119,怪物模型!A$15:G$77,5,0)</f>
        <v>13</v>
      </c>
      <c r="I119">
        <f>VLOOKUP(A119,怪物模型!A$15:G$77,6,0)</f>
        <v>0</v>
      </c>
      <c r="J119">
        <f>VLOOKUP(A119,怪物模型!A$15:G$77,7,0)</f>
        <v>0</v>
      </c>
      <c r="K119">
        <f>ROUND(VLOOKUP(C119,战士难度!A$1:C$135,3,0)/VLOOKUP(B119,怪物抗性与玩家穿透!A$2:Q$74,17,0)*F119,0)</f>
        <v>829303</v>
      </c>
      <c r="L119">
        <f>IF(A119="卡雷",42,IF(A119="法力风暴",ROUND(K119*0.1,0),VLOOKUP(A119,怪物模型!$A$15:$I$70,9,0)*(1+(B119-30)/100)))</f>
        <v>82930</v>
      </c>
      <c r="M119">
        <f>ROUND(VLOOKUP(C119,战士难度!A$1:C$135,2,0)*0.91*E119,0)</f>
        <v>488061</v>
      </c>
      <c r="N119">
        <f t="shared" si="3"/>
        <v>585673</v>
      </c>
      <c r="O119">
        <f>VLOOKUP(B119,怪物抗性与玩家穿透!A$2:Q$74,4,0)</f>
        <v>21000</v>
      </c>
      <c r="P119">
        <f>VLOOKUP(B119,怪物抗性与玩家穿透!A$2:Q$74,5,0)</f>
        <v>6400</v>
      </c>
      <c r="Q119">
        <f t="shared" si="4"/>
        <v>6400</v>
      </c>
      <c r="R119">
        <f>VLOOKUP(B119,[3]battleParameter.xml!$A$6:$E$107,5,0)*(I119/100)/(1-I119/100)</f>
        <v>0</v>
      </c>
      <c r="S119">
        <f>ROUND(VLOOKUP(B119,[3]battleParameter.xml!$A$6:$G$107,7,0)*(J119/100)/(1-J119/100),0)</f>
        <v>0</v>
      </c>
      <c r="T119">
        <f>ROUND(VLOOKUP(B119,[3]battleParameter.xml!$A$6:$Z$107,8,0)*(MIN(H119/100+0.2,0.99))/(1-MIN(H119/100+0.2,0.99)),0)</f>
        <v>2760</v>
      </c>
      <c r="U119">
        <v>0</v>
      </c>
      <c r="V119">
        <v>0</v>
      </c>
    </row>
    <row r="120" spans="1:22">
      <c r="A120" t="str">
        <f>[2]monster.xml!$D465</f>
        <v>火舞者</v>
      </c>
      <c r="B120">
        <f>[2]monster.xml!$C465</f>
        <v>86</v>
      </c>
      <c r="C120">
        <f t="shared" si="5"/>
        <v>103</v>
      </c>
      <c r="D120">
        <f>VLOOKUP(A120,怪物模型!A$15:Z$70,8,0)</f>
        <v>29</v>
      </c>
      <c r="E120">
        <f>VLOOKUP(A120,怪物模型!A$15:G$70,3,0)</f>
        <v>1</v>
      </c>
      <c r="F120">
        <f>VLOOKUP(A120,怪物模型!A$15:G$77,4,0)</f>
        <v>0.95</v>
      </c>
      <c r="G120">
        <v>1</v>
      </c>
      <c r="H120">
        <f>VLOOKUP(A120,怪物模型!A$15:G$77,5,0)</f>
        <v>13</v>
      </c>
      <c r="I120">
        <f>VLOOKUP(A120,怪物模型!A$15:G$77,6,0)</f>
        <v>0</v>
      </c>
      <c r="J120">
        <f>VLOOKUP(A120,怪物模型!A$15:G$77,7,0)</f>
        <v>0</v>
      </c>
      <c r="K120">
        <f>ROUND(VLOOKUP(C120,战士难度!A$1:C$135,3,0)/VLOOKUP(B120,怪物抗性与玩家穿透!A$2:Q$74,17,0)*F120,0)</f>
        <v>1256804</v>
      </c>
      <c r="L120">
        <f>IF(A120="卡雷",42,IF(A120="法力风暴",ROUND(K120*0.1,0),VLOOKUP(A120,怪物模型!$A$15:$I$70,9,0)*(1+(B120-30)/100)))</f>
        <v>1560</v>
      </c>
      <c r="M120">
        <f>ROUND(VLOOKUP(C120,战士难度!A$1:C$135,2,0)*0.91*E120,0)</f>
        <v>372498</v>
      </c>
      <c r="N120">
        <f t="shared" si="3"/>
        <v>446998</v>
      </c>
      <c r="O120">
        <f>VLOOKUP(B120,怪物抗性与玩家穿透!A$2:Q$74,4,0)</f>
        <v>21000</v>
      </c>
      <c r="P120">
        <f>VLOOKUP(B120,怪物抗性与玩家穿透!A$2:Q$74,5,0)</f>
        <v>6400</v>
      </c>
      <c r="Q120">
        <f t="shared" si="4"/>
        <v>6400</v>
      </c>
      <c r="R120">
        <f>VLOOKUP(B120,[3]battleParameter.xml!$A$6:$E$107,5,0)*(I120/100)/(1-I120/100)</f>
        <v>0</v>
      </c>
      <c r="S120">
        <f>ROUND(VLOOKUP(B120,[3]battleParameter.xml!$A$6:$G$107,7,0)*(J120/100)/(1-J120/100),0)</f>
        <v>0</v>
      </c>
      <c r="T120">
        <f>ROUND(VLOOKUP(B120,[3]battleParameter.xml!$A$6:$Z$107,8,0)*(MIN(H120/100+0.2,0.99))/(1-MIN(H120/100+0.2,0.99)),0)</f>
        <v>2760</v>
      </c>
      <c r="U120">
        <v>0</v>
      </c>
      <c r="V120">
        <v>0</v>
      </c>
    </row>
    <row r="121" spans="1:22">
      <c r="A121" t="str">
        <f>[2]monster.xml!$D466</f>
        <v>血誓审判者</v>
      </c>
      <c r="B121">
        <f>[2]monster.xml!$C466</f>
        <v>86</v>
      </c>
      <c r="C121">
        <f t="shared" si="5"/>
        <v>104</v>
      </c>
      <c r="D121">
        <f>VLOOKUP(A121,怪物模型!A$15:Z$70,8,0)</f>
        <v>5</v>
      </c>
      <c r="E121">
        <f>VLOOKUP(A121,怪物模型!A$15:G$70,3,0)</f>
        <v>0.28000000000000003</v>
      </c>
      <c r="F121">
        <f>VLOOKUP(A121,怪物模型!A$15:G$77,4,0)</f>
        <v>0.45</v>
      </c>
      <c r="G121">
        <v>1</v>
      </c>
      <c r="H121">
        <f>VLOOKUP(A121,怪物模型!A$15:G$77,5,0)</f>
        <v>13</v>
      </c>
      <c r="I121">
        <f>VLOOKUP(A121,怪物模型!A$15:G$77,6,0)</f>
        <v>0</v>
      </c>
      <c r="J121">
        <f>VLOOKUP(A121,怪物模型!A$15:G$77,7,0)</f>
        <v>0</v>
      </c>
      <c r="K121">
        <f>ROUND(VLOOKUP(C121,战士难度!A$1:C$135,3,0)/VLOOKUP(B121,怪物抗性与玩家穿透!A$2:Q$74,17,0)*F121,0)</f>
        <v>645798</v>
      </c>
      <c r="L121">
        <f>IF(A121="卡雷",42,IF(A121="法力风暴",ROUND(K121*0.1,0),VLOOKUP(A121,怪物模型!$A$15:$I$70,9,0)*(1+(B121-30)/100)))</f>
        <v>1560</v>
      </c>
      <c r="M121">
        <f>ROUND(VLOOKUP(C121,战士难度!A$1:C$135,2,0)*0.91*E121,0)</f>
        <v>119405</v>
      </c>
      <c r="N121">
        <f t="shared" si="3"/>
        <v>143286</v>
      </c>
      <c r="O121">
        <f>VLOOKUP(B121,怪物抗性与玩家穿透!A$2:Q$74,4,0)</f>
        <v>21000</v>
      </c>
      <c r="P121">
        <f>VLOOKUP(B121,怪物抗性与玩家穿透!A$2:Q$74,5,0)</f>
        <v>6400</v>
      </c>
      <c r="Q121">
        <f t="shared" si="4"/>
        <v>6400</v>
      </c>
      <c r="R121">
        <f>VLOOKUP(B121,[3]battleParameter.xml!$A$6:$E$107,5,0)*(I121/100)/(1-I121/100)</f>
        <v>0</v>
      </c>
      <c r="S121">
        <f>ROUND(VLOOKUP(B121,[3]battleParameter.xml!$A$6:$G$107,7,0)*(J121/100)/(1-J121/100),0)</f>
        <v>0</v>
      </c>
      <c r="T121">
        <f>ROUND(VLOOKUP(B121,[3]battleParameter.xml!$A$6:$Z$107,8,0)*(MIN(H121/100+0.2,0.99))/(1-MIN(H121/100+0.2,0.99)),0)</f>
        <v>2760</v>
      </c>
      <c r="U121">
        <v>0</v>
      </c>
      <c r="V121">
        <v>0</v>
      </c>
    </row>
    <row r="122" spans="1:22">
      <c r="A122" t="str">
        <f>[2]monster.xml!$D467</f>
        <v>血誓预言者</v>
      </c>
      <c r="B122">
        <f>[2]monster.xml!$C467</f>
        <v>86</v>
      </c>
      <c r="C122">
        <f t="shared" si="5"/>
        <v>104</v>
      </c>
      <c r="D122">
        <f>VLOOKUP(A122,怪物模型!A$15:Z$70,8,0)</f>
        <v>2</v>
      </c>
      <c r="E122">
        <f>VLOOKUP(A122,怪物模型!A$15:G$70,3,0)</f>
        <v>0.3</v>
      </c>
      <c r="F122">
        <f>VLOOKUP(A122,怪物模型!A$15:G$77,4,0)</f>
        <v>0.42</v>
      </c>
      <c r="G122">
        <v>1</v>
      </c>
      <c r="H122">
        <f>VLOOKUP(A122,怪物模型!A$15:G$77,5,0)</f>
        <v>13</v>
      </c>
      <c r="I122">
        <f>VLOOKUP(A122,怪物模型!A$15:G$77,6,0)</f>
        <v>0</v>
      </c>
      <c r="J122">
        <f>VLOOKUP(A122,怪物模型!A$15:G$77,7,0)</f>
        <v>0</v>
      </c>
      <c r="K122">
        <f>ROUND(VLOOKUP(C122,战士难度!A$1:C$135,3,0)/VLOOKUP(B122,怪物抗性与玩家穿透!A$2:Q$74,17,0)*F122,0)</f>
        <v>602745</v>
      </c>
      <c r="L122">
        <f>IF(A122="卡雷",42,IF(A122="法力风暴",ROUND(K122*0.1,0),VLOOKUP(A122,怪物模型!$A$15:$I$70,9,0)*(1+(B122-30)/100)))</f>
        <v>1248</v>
      </c>
      <c r="M122">
        <f>ROUND(VLOOKUP(C122,战士难度!A$1:C$135,2,0)*0.91*E122,0)</f>
        <v>127934</v>
      </c>
      <c r="N122">
        <f t="shared" si="3"/>
        <v>153521</v>
      </c>
      <c r="O122">
        <f>VLOOKUP(B122,怪物抗性与玩家穿透!A$2:Q$74,4,0)</f>
        <v>21000</v>
      </c>
      <c r="P122">
        <f>VLOOKUP(B122,怪物抗性与玩家穿透!A$2:Q$74,5,0)</f>
        <v>6400</v>
      </c>
      <c r="Q122">
        <f t="shared" si="4"/>
        <v>6400</v>
      </c>
      <c r="R122">
        <f>VLOOKUP(B122,[3]battleParameter.xml!$A$6:$E$107,5,0)*(I122/100)/(1-I122/100)</f>
        <v>0</v>
      </c>
      <c r="S122">
        <f>ROUND(VLOOKUP(B122,[3]battleParameter.xml!$A$6:$G$107,7,0)*(J122/100)/(1-J122/100),0)</f>
        <v>0</v>
      </c>
      <c r="T122">
        <f>ROUND(VLOOKUP(B122,[3]battleParameter.xml!$A$6:$Z$107,8,0)*(MIN(H122/100+0.2,0.99))/(1-MIN(H122/100+0.2,0.99)),0)</f>
        <v>2760</v>
      </c>
      <c r="U122">
        <v>0</v>
      </c>
      <c r="V122">
        <v>0</v>
      </c>
    </row>
    <row r="123" spans="1:22">
      <c r="A123" t="str">
        <f>[2]monster.xml!$D468</f>
        <v>血誓召唤者</v>
      </c>
      <c r="B123">
        <f>[2]monster.xml!$C468</f>
        <v>86</v>
      </c>
      <c r="C123">
        <f t="shared" si="5"/>
        <v>104</v>
      </c>
      <c r="D123">
        <f>VLOOKUP(A123,怪物模型!A$15:Z$70,8,0)</f>
        <v>26</v>
      </c>
      <c r="E123">
        <f>VLOOKUP(A123,怪物模型!A$15:G$70,3,0)</f>
        <v>0.36</v>
      </c>
      <c r="F123">
        <f>VLOOKUP(A123,怪物模型!A$15:G$77,4,0)</f>
        <v>0.44</v>
      </c>
      <c r="G123">
        <v>1</v>
      </c>
      <c r="H123">
        <f>VLOOKUP(A123,怪物模型!A$15:G$77,5,0)</f>
        <v>13</v>
      </c>
      <c r="I123">
        <f>VLOOKUP(A123,怪物模型!A$15:G$77,6,0)</f>
        <v>0</v>
      </c>
      <c r="J123">
        <f>VLOOKUP(A123,怪物模型!A$15:G$77,7,0)</f>
        <v>0</v>
      </c>
      <c r="K123">
        <f>ROUND(VLOOKUP(C123,战士难度!A$1:C$135,3,0)/VLOOKUP(B123,怪物抗性与玩家穿透!A$2:Q$74,17,0)*F123,0)</f>
        <v>631447</v>
      </c>
      <c r="L123">
        <f>IF(A123="卡雷",42,IF(A123="法力风暴",ROUND(K123*0.1,0),VLOOKUP(A123,怪物模型!$A$15:$I$70,9,0)*(1+(B123-30)/100)))</f>
        <v>1560</v>
      </c>
      <c r="M123">
        <f>ROUND(VLOOKUP(C123,战士难度!A$1:C$135,2,0)*0.91*E123,0)</f>
        <v>153520</v>
      </c>
      <c r="N123">
        <f t="shared" si="3"/>
        <v>184224</v>
      </c>
      <c r="O123">
        <f>VLOOKUP(B123,怪物抗性与玩家穿透!A$2:Q$74,4,0)</f>
        <v>21000</v>
      </c>
      <c r="P123">
        <f>VLOOKUP(B123,怪物抗性与玩家穿透!A$2:Q$74,5,0)</f>
        <v>6400</v>
      </c>
      <c r="Q123">
        <f t="shared" si="4"/>
        <v>6400</v>
      </c>
      <c r="R123">
        <f>VLOOKUP(B123,[3]battleParameter.xml!$A$6:$E$107,5,0)*(I123/100)/(1-I123/100)</f>
        <v>0</v>
      </c>
      <c r="S123">
        <f>ROUND(VLOOKUP(B123,[3]battleParameter.xml!$A$6:$G$107,7,0)*(J123/100)/(1-J123/100),0)</f>
        <v>0</v>
      </c>
      <c r="T123">
        <f>ROUND(VLOOKUP(B123,[3]battleParameter.xml!$A$6:$Z$107,8,0)*(MIN(H123/100+0.2,0.99))/(1-MIN(H123/100+0.2,0.99)),0)</f>
        <v>2760</v>
      </c>
      <c r="U123">
        <v>0</v>
      </c>
      <c r="V123">
        <v>0</v>
      </c>
    </row>
    <row r="124" spans="1:22">
      <c r="A124" t="str">
        <f>[2]monster.xml!$D469</f>
        <v>血誓领主</v>
      </c>
      <c r="B124">
        <f>[2]monster.xml!$C469</f>
        <v>86</v>
      </c>
      <c r="C124">
        <f t="shared" si="5"/>
        <v>104</v>
      </c>
      <c r="D124">
        <f>VLOOKUP(A124,怪物模型!A$15:Z$70,8,0)</f>
        <v>14</v>
      </c>
      <c r="E124">
        <f>VLOOKUP(A124,怪物模型!A$15:G$70,3,0)</f>
        <v>0.36</v>
      </c>
      <c r="F124">
        <f>VLOOKUP(A124,怪物模型!A$15:G$77,4,0)</f>
        <v>0.43</v>
      </c>
      <c r="G124">
        <v>1</v>
      </c>
      <c r="H124">
        <f>VLOOKUP(A124,怪物模型!A$15:G$77,5,0)</f>
        <v>13</v>
      </c>
      <c r="I124">
        <f>VLOOKUP(A124,怪物模型!A$15:G$77,6,0)</f>
        <v>0</v>
      </c>
      <c r="J124">
        <f>VLOOKUP(A124,怪物模型!A$15:G$77,7,0)</f>
        <v>0</v>
      </c>
      <c r="K124">
        <f>ROUND(VLOOKUP(C124,战士难度!A$1:C$135,3,0)/VLOOKUP(B124,怪物抗性与玩家穿透!A$2:Q$74,17,0)*F124,0)</f>
        <v>617096</v>
      </c>
      <c r="L124">
        <f>IF(A124="卡雷",42,IF(A124="法力风暴",ROUND(K124*0.1,0),VLOOKUP(A124,怪物模型!$A$15:$I$70,9,0)*(1+(B124-30)/100)))</f>
        <v>1560</v>
      </c>
      <c r="M124">
        <f>ROUND(VLOOKUP(C124,战士难度!A$1:C$135,2,0)*0.91*E124,0)</f>
        <v>153520</v>
      </c>
      <c r="N124">
        <f t="shared" si="3"/>
        <v>184224</v>
      </c>
      <c r="O124">
        <f>VLOOKUP(B124,怪物抗性与玩家穿透!A$2:Q$74,4,0)</f>
        <v>21000</v>
      </c>
      <c r="P124">
        <f>VLOOKUP(B124,怪物抗性与玩家穿透!A$2:Q$74,5,0)</f>
        <v>6400</v>
      </c>
      <c r="Q124">
        <f t="shared" si="4"/>
        <v>6400</v>
      </c>
      <c r="R124">
        <f>VLOOKUP(B124,[3]battleParameter.xml!$A$6:$E$107,5,0)*(I124/100)/(1-I124/100)</f>
        <v>0</v>
      </c>
      <c r="S124">
        <f>ROUND(VLOOKUP(B124,[3]battleParameter.xml!$A$6:$G$107,7,0)*(J124/100)/(1-J124/100),0)</f>
        <v>0</v>
      </c>
      <c r="T124">
        <f>ROUND(VLOOKUP(B124,[3]battleParameter.xml!$A$6:$Z$107,8,0)*(MIN(H124/100+0.2,0.99))/(1-MIN(H124/100+0.2,0.99)),0)</f>
        <v>2760</v>
      </c>
      <c r="U124">
        <v>0</v>
      </c>
      <c r="V124">
        <v>0</v>
      </c>
    </row>
    <row r="125" spans="1:22">
      <c r="A125" t="str">
        <f>[2]monster.xml!$D470</f>
        <v>舞钢者拜伦</v>
      </c>
      <c r="B125">
        <f>[2]monster.xml!$C470</f>
        <v>87</v>
      </c>
      <c r="C125">
        <f t="shared" si="5"/>
        <v>105</v>
      </c>
      <c r="D125">
        <f>VLOOKUP(A125,怪物模型!A$15:Z$70,8,0)</f>
        <v>8</v>
      </c>
      <c r="E125">
        <f>VLOOKUP(A125,怪物模型!A$15:G$70,3,0)</f>
        <v>0.8</v>
      </c>
      <c r="F125">
        <f>VLOOKUP(A125,怪物模型!A$15:G$77,4,0)</f>
        <v>1</v>
      </c>
      <c r="G125">
        <v>1</v>
      </c>
      <c r="H125">
        <f>VLOOKUP(A125,怪物模型!A$15:G$77,5,0)</f>
        <v>13</v>
      </c>
      <c r="I125">
        <f>VLOOKUP(A125,怪物模型!A$15:G$77,6,0)</f>
        <v>0</v>
      </c>
      <c r="J125">
        <f>VLOOKUP(A125,怪物模型!A$15:G$77,7,0)</f>
        <v>0</v>
      </c>
      <c r="K125">
        <f>ROUND(VLOOKUP(C125,战士难度!A$1:C$135,3,0)/VLOOKUP(B125,怪物抗性与玩家穿透!A$2:Q$74,17,0)*F125,0)</f>
        <v>1581905</v>
      </c>
      <c r="L125">
        <f>IF(A125="卡雷",42,IF(A125="法力风暴",ROUND(K125*0.1,0),VLOOKUP(A125,怪物模型!$A$15:$I$70,9,0)*(1+(B125-30)/100)))</f>
        <v>1569.9999999999998</v>
      </c>
      <c r="M125">
        <f>ROUND(VLOOKUP(C125,战士难度!A$1:C$135,2,0)*0.91*E125,0)</f>
        <v>408577</v>
      </c>
      <c r="N125">
        <f t="shared" si="3"/>
        <v>490292</v>
      </c>
      <c r="O125">
        <f>VLOOKUP(B125,怪物抗性与玩家穿透!A$2:Q$74,4,0)</f>
        <v>22000</v>
      </c>
      <c r="P125">
        <f>VLOOKUP(B125,怪物抗性与玩家穿透!A$2:Q$74,5,0)</f>
        <v>6800</v>
      </c>
      <c r="Q125">
        <f t="shared" si="4"/>
        <v>6800</v>
      </c>
      <c r="R125">
        <f>VLOOKUP(B125,[3]battleParameter.xml!$A$6:$E$107,5,0)*(I125/100)/(1-I125/100)</f>
        <v>0</v>
      </c>
      <c r="S125">
        <f>ROUND(VLOOKUP(B125,[3]battleParameter.xml!$A$6:$G$107,7,0)*(J125/100)/(1-J125/100),0)</f>
        <v>0</v>
      </c>
      <c r="T125">
        <f>ROUND(VLOOKUP(B125,[3]battleParameter.xml!$A$6:$Z$107,8,0)*(MIN(H125/100+0.2,0.99))/(1-MIN(H125/100+0.2,0.99)),0)</f>
        <v>2824</v>
      </c>
      <c r="U125">
        <v>0</v>
      </c>
      <c r="V125">
        <v>0</v>
      </c>
    </row>
    <row r="126" spans="1:22">
      <c r="A126" t="str">
        <f>[2]monster.xml!$D471</f>
        <v>风暴之王</v>
      </c>
      <c r="B126">
        <f>[2]monster.xml!$C471</f>
        <v>87</v>
      </c>
      <c r="C126">
        <f t="shared" si="5"/>
        <v>106</v>
      </c>
      <c r="D126">
        <f>VLOOKUP(A126,怪物模型!A$15:Z$70,8,0)</f>
        <v>6</v>
      </c>
      <c r="E126">
        <f>VLOOKUP(A126,怪物模型!A$15:G$70,3,0)</f>
        <v>0.8</v>
      </c>
      <c r="F126">
        <f>VLOOKUP(A126,怪物模型!A$15:G$77,4,0)</f>
        <v>0.92</v>
      </c>
      <c r="G126">
        <v>1</v>
      </c>
      <c r="H126">
        <f>VLOOKUP(A126,怪物模型!A$15:G$77,5,0)</f>
        <v>13</v>
      </c>
      <c r="I126">
        <f>VLOOKUP(A126,怪物模型!A$15:G$77,6,0)</f>
        <v>0</v>
      </c>
      <c r="J126">
        <f>VLOOKUP(A126,怪物模型!A$15:G$77,7,0)</f>
        <v>0</v>
      </c>
      <c r="K126">
        <f>ROUND(VLOOKUP(C126,战士难度!A$1:C$135,3,0)/VLOOKUP(B126,怪物抗性与玩家穿透!A$2:Q$74,17,0)*F126,0)</f>
        <v>1580593</v>
      </c>
      <c r="L126">
        <f>IF(A126="卡雷",42,IF(A126="法力风暴",ROUND(K126*0.1,0),VLOOKUP(A126,怪物模型!$A$15:$I$70,9,0)*(1+(B126-30)/100)))</f>
        <v>1569.9999999999998</v>
      </c>
      <c r="M126">
        <f>ROUND(VLOOKUP(C126,战士难度!A$1:C$135,2,0)*0.91*E126,0)</f>
        <v>459932</v>
      </c>
      <c r="N126">
        <f t="shared" si="3"/>
        <v>551918</v>
      </c>
      <c r="O126">
        <f>VLOOKUP(B126,怪物抗性与玩家穿透!A$2:Q$74,4,0)</f>
        <v>22000</v>
      </c>
      <c r="P126">
        <f>VLOOKUP(B126,怪物抗性与玩家穿透!A$2:Q$74,5,0)</f>
        <v>6800</v>
      </c>
      <c r="Q126">
        <f t="shared" si="4"/>
        <v>6800</v>
      </c>
      <c r="R126">
        <f>VLOOKUP(B126,[3]battleParameter.xml!$A$6:$E$107,5,0)*(I126/100)/(1-I126/100)</f>
        <v>0</v>
      </c>
      <c r="S126">
        <f>ROUND(VLOOKUP(B126,[3]battleParameter.xml!$A$6:$G$107,7,0)*(J126/100)/(1-J126/100),0)</f>
        <v>0</v>
      </c>
      <c r="T126">
        <f>ROUND(VLOOKUP(B126,[3]battleParameter.xml!$A$6:$Z$107,8,0)*(MIN(H126/100+0.2,0.99))/(1-MIN(H126/100+0.2,0.99)),0)</f>
        <v>2824</v>
      </c>
      <c r="U126">
        <v>0</v>
      </c>
      <c r="V126">
        <v>0</v>
      </c>
    </row>
    <row r="127" spans="1:22">
      <c r="A127" t="str">
        <f>[2]monster.xml!$D472</f>
        <v>雷伊战争使者</v>
      </c>
      <c r="B127">
        <f>[2]monster.xml!$C472</f>
        <v>88</v>
      </c>
      <c r="C127">
        <f t="shared" si="5"/>
        <v>107</v>
      </c>
      <c r="D127">
        <f>VLOOKUP(A127,怪物模型!A$15:Z$70,8,0)</f>
        <v>7</v>
      </c>
      <c r="E127">
        <f>VLOOKUP(A127,怪物模型!A$15:G$70,3,0)</f>
        <v>1</v>
      </c>
      <c r="F127">
        <f>VLOOKUP(A127,怪物模型!A$15:G$77,4,0)</f>
        <v>1</v>
      </c>
      <c r="G127">
        <v>1</v>
      </c>
      <c r="H127">
        <f>VLOOKUP(A127,怪物模型!A$15:G$77,5,0)</f>
        <v>13</v>
      </c>
      <c r="I127">
        <f>VLOOKUP(A127,怪物模型!A$15:G$77,6,0)</f>
        <v>0</v>
      </c>
      <c r="J127">
        <f>VLOOKUP(A127,怪物模型!A$15:G$77,7,0)</f>
        <v>0</v>
      </c>
      <c r="K127">
        <f>ROUND(VLOOKUP(C127,战士难度!A$1:C$135,3,0)/VLOOKUP(B127,怪物抗性与玩家穿透!A$2:Q$74,17,0)*F127,0)</f>
        <v>1848765</v>
      </c>
      <c r="L127">
        <f>IF(A127="卡雷",42,IF(A127="法力风暴",ROUND(K127*0.1,0),VLOOKUP(A127,怪物模型!$A$15:$I$70,9,0)*(1+(B127-30)/100)))</f>
        <v>1580</v>
      </c>
      <c r="M127">
        <f>ROUND(VLOOKUP(C127,战士难度!A$1:C$135,2,0)*0.91*E127,0)</f>
        <v>647178</v>
      </c>
      <c r="N127">
        <f t="shared" si="3"/>
        <v>776614</v>
      </c>
      <c r="O127">
        <f>VLOOKUP(B127,怪物抗性与玩家穿透!A$2:Q$74,4,0)</f>
        <v>23000</v>
      </c>
      <c r="P127">
        <f>VLOOKUP(B127,怪物抗性与玩家穿透!A$2:Q$74,5,0)</f>
        <v>7200</v>
      </c>
      <c r="Q127">
        <f t="shared" si="4"/>
        <v>7200</v>
      </c>
      <c r="R127">
        <f>VLOOKUP(B127,[3]battleParameter.xml!$A$6:$E$107,5,0)*(I127/100)/(1-I127/100)</f>
        <v>0</v>
      </c>
      <c r="S127">
        <f>ROUND(VLOOKUP(B127,[3]battleParameter.xml!$A$6:$G$107,7,0)*(J127/100)/(1-J127/100),0)</f>
        <v>0</v>
      </c>
      <c r="T127">
        <f>ROUND(VLOOKUP(B127,[3]battleParameter.xml!$A$6:$Z$107,8,0)*(MIN(H127/100+0.2,0.99))/(1-MIN(H127/100+0.2,0.99)),0)</f>
        <v>2889</v>
      </c>
      <c r="U127">
        <v>0</v>
      </c>
      <c r="V127">
        <v>0</v>
      </c>
    </row>
    <row r="128" spans="1:22">
      <c r="A128" t="str">
        <f>[2]monster.xml!$D473</f>
        <v>暴君泰伦</v>
      </c>
      <c r="B128">
        <f>[2]monster.xml!$C473</f>
        <v>89</v>
      </c>
      <c r="C128">
        <f t="shared" si="5"/>
        <v>108</v>
      </c>
      <c r="D128" t="str">
        <f>VLOOKUP(A128,怪物模型!A$15:Z$70,8,0)</f>
        <v>10,9</v>
      </c>
      <c r="E128">
        <f>VLOOKUP(A128,怪物模型!A$15:G$70,3,0)</f>
        <v>1.2</v>
      </c>
      <c r="F128">
        <f>VLOOKUP(A128,怪物模型!A$15:G$77,4,0)</f>
        <v>1.1499999999999999</v>
      </c>
      <c r="G128">
        <v>1</v>
      </c>
      <c r="H128">
        <f>VLOOKUP(A128,怪物模型!A$15:G$77,5,0)</f>
        <v>15</v>
      </c>
      <c r="I128">
        <f>VLOOKUP(A128,怪物模型!A$15:G$77,6,0)</f>
        <v>0</v>
      </c>
      <c r="J128">
        <f>VLOOKUP(A128,怪物模型!A$15:G$77,7,0)</f>
        <v>15</v>
      </c>
      <c r="K128">
        <f>ROUND(VLOOKUP(C128,战士难度!A$1:C$135,3,0)/VLOOKUP(B128,怪物抗性与玩家穿透!A$2:Q$74,17,0)*F128,0)</f>
        <v>2355699</v>
      </c>
      <c r="L128">
        <f>IF(A128="卡雷",42,IF(A128="法力风暴",ROUND(K128*0.1,0),VLOOKUP(A128,怪物模型!$A$15:$I$70,9,0)*(1+(B128-30)/100)))</f>
        <v>4770</v>
      </c>
      <c r="M128">
        <f>ROUND(VLOOKUP(C128,战士难度!A$1:C$135,2,0)*0.91*E128,0)</f>
        <v>909422</v>
      </c>
      <c r="N128">
        <f t="shared" si="3"/>
        <v>1091306</v>
      </c>
      <c r="O128">
        <f>VLOOKUP(B128,怪物抗性与玩家穿透!A$2:Q$74,4,0)</f>
        <v>24000</v>
      </c>
      <c r="P128">
        <f>VLOOKUP(B128,怪物抗性与玩家穿透!A$2:Q$74,5,0)</f>
        <v>7600</v>
      </c>
      <c r="Q128">
        <f t="shared" si="4"/>
        <v>7600</v>
      </c>
      <c r="R128">
        <f>VLOOKUP(B128,[3]battleParameter.xml!$A$6:$E$107,5,0)*(I128/100)/(1-I128/100)</f>
        <v>0</v>
      </c>
      <c r="S128">
        <f>ROUND(VLOOKUP(B128,[3]battleParameter.xml!$A$6:$G$107,7,0)*(J128/100)/(1-J128/100),0)</f>
        <v>4235</v>
      </c>
      <c r="T128">
        <f>ROUND(VLOOKUP(B128,[3]battleParameter.xml!$A$6:$Z$107,8,0)*(MIN(H128/100+0.2,0.99))/(1-MIN(H128/100+0.2,0.99)),0)</f>
        <v>3230</v>
      </c>
      <c r="U128">
        <v>0</v>
      </c>
      <c r="V128">
        <v>0</v>
      </c>
    </row>
    <row r="129" spans="1:22">
      <c r="A129" t="str">
        <f>[2]monster.xml!$D474</f>
        <v>疾风克鲁</v>
      </c>
      <c r="B129">
        <f>[2]monster.xml!$C474</f>
        <v>90</v>
      </c>
      <c r="C129">
        <f t="shared" si="5"/>
        <v>109</v>
      </c>
      <c r="D129">
        <f>VLOOKUP(A129,怪物模型!A$15:Z$70,8,0)</f>
        <v>19</v>
      </c>
      <c r="E129">
        <f>VLOOKUP(A129,怪物模型!A$15:G$70,3,0)</f>
        <v>1</v>
      </c>
      <c r="F129">
        <f>VLOOKUP(A129,怪物模型!A$15:G$77,4,0)</f>
        <v>1</v>
      </c>
      <c r="G129">
        <v>1</v>
      </c>
      <c r="H129">
        <f>VLOOKUP(A129,怪物模型!A$15:G$77,5,0)</f>
        <v>13</v>
      </c>
      <c r="I129">
        <f>VLOOKUP(A129,怪物模型!A$15:G$77,6,0)</f>
        <v>0</v>
      </c>
      <c r="J129">
        <f>VLOOKUP(A129,怪物模型!A$15:G$77,7,0)</f>
        <v>0</v>
      </c>
      <c r="K129">
        <f>ROUND(VLOOKUP(C129,战士难度!A$1:C$135,3,0)/VLOOKUP(B129,怪物抗性与玩家穿透!A$2:Q$74,17,0)*F129,0)</f>
        <v>1176985</v>
      </c>
      <c r="L129">
        <f>IF(A129="卡雷",42,IF(A129="法力风暴",ROUND(K129*0.1,0),VLOOKUP(A129,怪物模型!$A$15:$I$70,9,0)*(1+(B129-30)/100)))</f>
        <v>1600</v>
      </c>
      <c r="M129">
        <f>ROUND(VLOOKUP(C129,战士难度!A$1:C$135,2,0)*0.91*E129,0)</f>
        <v>231786</v>
      </c>
      <c r="N129">
        <f t="shared" si="3"/>
        <v>278143</v>
      </c>
      <c r="O129">
        <f>VLOOKUP(B129,怪物抗性与玩家穿透!A$2:Q$74,4,0)</f>
        <v>25000</v>
      </c>
      <c r="P129">
        <f>VLOOKUP(B129,怪物抗性与玩家穿透!A$2:Q$74,5,0)</f>
        <v>8000</v>
      </c>
      <c r="Q129">
        <f t="shared" si="4"/>
        <v>8000</v>
      </c>
      <c r="R129">
        <f>VLOOKUP(B129,[3]battleParameter.xml!$A$6:$E$107,5,0)*(I129/100)/(1-I129/100)</f>
        <v>0</v>
      </c>
      <c r="S129">
        <f>ROUND(VLOOKUP(B129,[3]battleParameter.xml!$A$6:$G$107,7,0)*(J129/100)/(1-J129/100),0)</f>
        <v>0</v>
      </c>
      <c r="T129">
        <f>ROUND(VLOOKUP(B129,[3]battleParameter.xml!$A$6:$Z$107,8,0)*(MIN(H129/100+0.2,0.99))/(1-MIN(H129/100+0.2,0.99)),0)</f>
        <v>3021</v>
      </c>
      <c r="U129">
        <v>0</v>
      </c>
      <c r="V129">
        <v>0</v>
      </c>
    </row>
    <row r="130" spans="1:22">
      <c r="A130" t="str">
        <f>[2]monster.xml!$D475</f>
        <v>拨弄的赛亚</v>
      </c>
      <c r="B130">
        <f>[2]monster.xml!$C475</f>
        <v>90</v>
      </c>
      <c r="C130">
        <f t="shared" si="5"/>
        <v>110</v>
      </c>
      <c r="D130" t="str">
        <f>VLOOKUP(A130,怪物模型!A$15:Z$70,8,0)</f>
        <v>17,18,8</v>
      </c>
      <c r="E130">
        <f>VLOOKUP(A130,怪物模型!A$15:G$70,3,0)</f>
        <v>1.2</v>
      </c>
      <c r="F130">
        <f>VLOOKUP(A130,怪物模型!A$15:G$77,4,0)</f>
        <v>1</v>
      </c>
      <c r="G130">
        <v>1</v>
      </c>
      <c r="H130">
        <f>VLOOKUP(A130,怪物模型!A$15:G$77,5,0)</f>
        <v>13</v>
      </c>
      <c r="I130">
        <f>VLOOKUP(A130,怪物模型!A$15:G$77,6,0)</f>
        <v>0</v>
      </c>
      <c r="J130">
        <f>VLOOKUP(A130,怪物模型!A$15:G$77,7,0)</f>
        <v>0</v>
      </c>
      <c r="K130">
        <f>ROUND(VLOOKUP(C130,战士难度!A$1:C$135,3,0)/VLOOKUP(B130,怪物抗性与玩家穿透!A$2:Q$74,17,0)*F130,0)</f>
        <v>1317797</v>
      </c>
      <c r="L130">
        <f>IF(A130="卡雷",42,IF(A130="法力风暴",ROUND(K130*0.1,0),VLOOKUP(A130,怪物模型!$A$15:$I$70,9,0)*(1+(B130-30)/100)))</f>
        <v>4800</v>
      </c>
      <c r="M130">
        <f>ROUND(VLOOKUP(C130,战士难度!A$1:C$135,2,0)*0.91*E130,0)</f>
        <v>361881</v>
      </c>
      <c r="N130">
        <f t="shared" si="3"/>
        <v>434257</v>
      </c>
      <c r="O130">
        <f>VLOOKUP(B130,怪物抗性与玩家穿透!A$2:Q$74,4,0)</f>
        <v>25000</v>
      </c>
      <c r="P130">
        <f>VLOOKUP(B130,怪物抗性与玩家穿透!A$2:Q$74,5,0)</f>
        <v>8000</v>
      </c>
      <c r="Q130">
        <f t="shared" si="4"/>
        <v>8000</v>
      </c>
      <c r="R130">
        <f>VLOOKUP(B130,[3]battleParameter.xml!$A$6:$E$107,5,0)*(I130/100)/(1-I130/100)</f>
        <v>0</v>
      </c>
      <c r="S130">
        <f>ROUND(VLOOKUP(B130,[3]battleParameter.xml!$A$6:$G$107,7,0)*(J130/100)/(1-J130/100),0)</f>
        <v>0</v>
      </c>
      <c r="T130">
        <f>ROUND(VLOOKUP(B130,[3]battleParameter.xml!$A$6:$Z$107,8,0)*(MIN(H130/100+0.2,0.99))/(1-MIN(H130/100+0.2,0.99)),0)</f>
        <v>3021</v>
      </c>
      <c r="U130">
        <v>0</v>
      </c>
      <c r="V130">
        <v>0</v>
      </c>
    </row>
    <row r="131" spans="1:22">
      <c r="A131" t="str">
        <f>[2]monster.xml!$D476</f>
        <v>法力风暴</v>
      </c>
      <c r="B131">
        <f>[2]monster.xml!$C476</f>
        <v>91</v>
      </c>
      <c r="C131">
        <f t="shared" si="5"/>
        <v>111</v>
      </c>
      <c r="D131" t="str">
        <f>VLOOKUP(A131,怪物模型!A$15:Z$70,8,0)</f>
        <v>25,30</v>
      </c>
      <c r="E131">
        <f>VLOOKUP(A131,怪物模型!A$15:G$70,3,0)</f>
        <v>1.5</v>
      </c>
      <c r="F131">
        <f>VLOOKUP(A131,怪物模型!A$15:G$77,4,0)</f>
        <v>0.68</v>
      </c>
      <c r="G131">
        <v>1</v>
      </c>
      <c r="H131">
        <f>VLOOKUP(A131,怪物模型!A$15:G$77,5,0)</f>
        <v>13</v>
      </c>
      <c r="I131">
        <f>VLOOKUP(A131,怪物模型!A$15:G$77,6,0)</f>
        <v>0</v>
      </c>
      <c r="J131">
        <f>VLOOKUP(A131,怪物模型!A$15:G$77,7,0)</f>
        <v>0</v>
      </c>
      <c r="K131">
        <f>ROUND(VLOOKUP(C131,战士难度!A$1:C$135,3,0)/VLOOKUP(B131,怪物抗性与玩家穿透!A$2:Q$74,17,0)*F131,0)</f>
        <v>1037050</v>
      </c>
      <c r="L131">
        <f>IF(A131="卡雷",42,IF(A131="法力风暴",ROUND(K131*0.1,0),VLOOKUP(A131,怪物模型!$A$15:$I$70,9,0)*(1+(B131-30)/100)))</f>
        <v>103705</v>
      </c>
      <c r="M131">
        <f>ROUND(VLOOKUP(C131,战士难度!A$1:C$135,2,0)*0.91*E131,0)</f>
        <v>642496</v>
      </c>
      <c r="N131">
        <f t="shared" ref="N131:N194" si="6">ROUND(M131*1.2,0)</f>
        <v>770995</v>
      </c>
      <c r="O131">
        <f>VLOOKUP(B131,怪物抗性与玩家穿透!A$2:Q$74,4,0)</f>
        <v>26000</v>
      </c>
      <c r="P131">
        <f>VLOOKUP(B131,怪物抗性与玩家穿透!A$2:Q$74,5,0)</f>
        <v>8400</v>
      </c>
      <c r="Q131">
        <f t="shared" ref="Q131:Q194" si="7">P131</f>
        <v>8400</v>
      </c>
      <c r="R131">
        <f>VLOOKUP(B131,[3]battleParameter.xml!$A$6:$E$107,5,0)*(I131/100)/(1-I131/100)</f>
        <v>0</v>
      </c>
      <c r="S131">
        <f>ROUND(VLOOKUP(B131,[3]battleParameter.xml!$A$6:$G$107,7,0)*(J131/100)/(1-J131/100),0)</f>
        <v>0</v>
      </c>
      <c r="T131">
        <f>ROUND(VLOOKUP(B131,[3]battleParameter.xml!$A$6:$Z$107,8,0)*(MIN(H131/100+0.2,0.99))/(1-MIN(H131/100+0.2,0.99)),0)</f>
        <v>3088</v>
      </c>
      <c r="U131">
        <v>0</v>
      </c>
      <c r="V131">
        <v>0</v>
      </c>
    </row>
    <row r="132" spans="1:22">
      <c r="A132" t="str">
        <f>[2]monster.xml!$D477</f>
        <v>火舞者</v>
      </c>
      <c r="B132">
        <f>[2]monster.xml!$C477</f>
        <v>91</v>
      </c>
      <c r="C132">
        <f t="shared" ref="C132:C195" si="8">IF(OR(A132="塔克",A132="多兰",A132="约翰",A132="血誓预言者",A132="血誓召唤者",A132="血誓领主"),C131,C131+1)</f>
        <v>112</v>
      </c>
      <c r="D132">
        <f>VLOOKUP(A132,怪物模型!A$15:Z$70,8,0)</f>
        <v>29</v>
      </c>
      <c r="E132">
        <f>VLOOKUP(A132,怪物模型!A$15:G$70,3,0)</f>
        <v>1</v>
      </c>
      <c r="F132">
        <f>VLOOKUP(A132,怪物模型!A$15:G$77,4,0)</f>
        <v>0.95</v>
      </c>
      <c r="G132">
        <v>1</v>
      </c>
      <c r="H132">
        <f>VLOOKUP(A132,怪物模型!A$15:G$77,5,0)</f>
        <v>13</v>
      </c>
      <c r="I132">
        <f>VLOOKUP(A132,怪物模型!A$15:G$77,6,0)</f>
        <v>0</v>
      </c>
      <c r="J132">
        <f>VLOOKUP(A132,怪物模型!A$15:G$77,7,0)</f>
        <v>0</v>
      </c>
      <c r="K132">
        <f>ROUND(VLOOKUP(C132,战士难度!A$1:C$135,3,0)/VLOOKUP(B132,怪物抗性与玩家穿透!A$2:Q$74,17,0)*F132,0)</f>
        <v>1572461</v>
      </c>
      <c r="L132">
        <f>IF(A132="卡雷",42,IF(A132="法力风暴",ROUND(K132*0.1,0),VLOOKUP(A132,怪物模型!$A$15:$I$70,9,0)*(1+(B132-30)/100)))</f>
        <v>1609.9999999999998</v>
      </c>
      <c r="M132">
        <f>ROUND(VLOOKUP(C132,战士难度!A$1:C$135,2,0)*0.91*E132,0)</f>
        <v>491713</v>
      </c>
      <c r="N132">
        <f t="shared" si="6"/>
        <v>590056</v>
      </c>
      <c r="O132">
        <f>VLOOKUP(B132,怪物抗性与玩家穿透!A$2:Q$74,4,0)</f>
        <v>26000</v>
      </c>
      <c r="P132">
        <f>VLOOKUP(B132,怪物抗性与玩家穿透!A$2:Q$74,5,0)</f>
        <v>8400</v>
      </c>
      <c r="Q132">
        <f t="shared" si="7"/>
        <v>8400</v>
      </c>
      <c r="R132">
        <f>VLOOKUP(B132,[3]battleParameter.xml!$A$6:$E$107,5,0)*(I132/100)/(1-I132/100)</f>
        <v>0</v>
      </c>
      <c r="S132">
        <f>ROUND(VLOOKUP(B132,[3]battleParameter.xml!$A$6:$G$107,7,0)*(J132/100)/(1-J132/100),0)</f>
        <v>0</v>
      </c>
      <c r="T132">
        <f>ROUND(VLOOKUP(B132,[3]battleParameter.xml!$A$6:$Z$107,8,0)*(MIN(H132/100+0.2,0.99))/(1-MIN(H132/100+0.2,0.99)),0)</f>
        <v>3088</v>
      </c>
      <c r="U132">
        <v>0</v>
      </c>
      <c r="V132">
        <v>0</v>
      </c>
    </row>
    <row r="133" spans="1:22">
      <c r="A133" t="str">
        <f>[2]monster.xml!$D478</f>
        <v>血誓审判者</v>
      </c>
      <c r="B133">
        <f>[2]monster.xml!$C478</f>
        <v>91</v>
      </c>
      <c r="C133">
        <f t="shared" si="8"/>
        <v>113</v>
      </c>
      <c r="D133">
        <f>VLOOKUP(A133,怪物模型!A$15:Z$70,8,0)</f>
        <v>5</v>
      </c>
      <c r="E133">
        <f>VLOOKUP(A133,怪物模型!A$15:G$70,3,0)</f>
        <v>0.28000000000000003</v>
      </c>
      <c r="F133">
        <f>VLOOKUP(A133,怪物模型!A$15:G$77,4,0)</f>
        <v>0.45</v>
      </c>
      <c r="G133">
        <v>1</v>
      </c>
      <c r="H133">
        <f>VLOOKUP(A133,怪物模型!A$15:G$77,5,0)</f>
        <v>13</v>
      </c>
      <c r="I133">
        <f>VLOOKUP(A133,怪物模型!A$15:G$77,6,0)</f>
        <v>0</v>
      </c>
      <c r="J133">
        <f>VLOOKUP(A133,怪物模型!A$15:G$77,7,0)</f>
        <v>0</v>
      </c>
      <c r="K133">
        <f>ROUND(VLOOKUP(C133,战士难度!A$1:C$135,3,0)/VLOOKUP(B133,怪物抗性与玩家穿透!A$2:Q$74,17,0)*F133,0)</f>
        <v>808415</v>
      </c>
      <c r="L133">
        <f>IF(A133="卡雷",42,IF(A133="法力风暴",ROUND(K133*0.1,0),VLOOKUP(A133,怪物模型!$A$15:$I$70,9,0)*(1+(B133-30)/100)))</f>
        <v>1609.9999999999998</v>
      </c>
      <c r="M133">
        <f>ROUND(VLOOKUP(C133,战士难度!A$1:C$135,2,0)*0.91*E133,0)</f>
        <v>158053</v>
      </c>
      <c r="N133">
        <f t="shared" si="6"/>
        <v>189664</v>
      </c>
      <c r="O133">
        <f>VLOOKUP(B133,怪物抗性与玩家穿透!A$2:Q$74,4,0)</f>
        <v>26000</v>
      </c>
      <c r="P133">
        <f>VLOOKUP(B133,怪物抗性与玩家穿透!A$2:Q$74,5,0)</f>
        <v>8400</v>
      </c>
      <c r="Q133">
        <f t="shared" si="7"/>
        <v>8400</v>
      </c>
      <c r="R133">
        <f>VLOOKUP(B133,[3]battleParameter.xml!$A$6:$E$107,5,0)*(I133/100)/(1-I133/100)</f>
        <v>0</v>
      </c>
      <c r="S133">
        <f>ROUND(VLOOKUP(B133,[3]battleParameter.xml!$A$6:$G$107,7,0)*(J133/100)/(1-J133/100),0)</f>
        <v>0</v>
      </c>
      <c r="T133">
        <f>ROUND(VLOOKUP(B133,[3]battleParameter.xml!$A$6:$Z$107,8,0)*(MIN(H133/100+0.2,0.99))/(1-MIN(H133/100+0.2,0.99)),0)</f>
        <v>3088</v>
      </c>
      <c r="U133">
        <v>0</v>
      </c>
      <c r="V133">
        <v>0</v>
      </c>
    </row>
    <row r="134" spans="1:22">
      <c r="A134" t="str">
        <f>[2]monster.xml!$D479</f>
        <v>血誓预言者</v>
      </c>
      <c r="B134">
        <f>[2]monster.xml!$C479</f>
        <v>91</v>
      </c>
      <c r="C134">
        <f t="shared" si="8"/>
        <v>113</v>
      </c>
      <c r="D134">
        <f>VLOOKUP(A134,怪物模型!A$15:Z$70,8,0)</f>
        <v>2</v>
      </c>
      <c r="E134">
        <f>VLOOKUP(A134,怪物模型!A$15:G$70,3,0)</f>
        <v>0.3</v>
      </c>
      <c r="F134">
        <f>VLOOKUP(A134,怪物模型!A$15:G$77,4,0)</f>
        <v>0.42</v>
      </c>
      <c r="G134">
        <v>1</v>
      </c>
      <c r="H134">
        <f>VLOOKUP(A134,怪物模型!A$15:G$77,5,0)</f>
        <v>13</v>
      </c>
      <c r="I134">
        <f>VLOOKUP(A134,怪物模型!A$15:G$77,6,0)</f>
        <v>0</v>
      </c>
      <c r="J134">
        <f>VLOOKUP(A134,怪物模型!A$15:G$77,7,0)</f>
        <v>0</v>
      </c>
      <c r="K134">
        <f>ROUND(VLOOKUP(C134,战士难度!A$1:C$135,3,0)/VLOOKUP(B134,怪物抗性与玩家穿透!A$2:Q$74,17,0)*F134,0)</f>
        <v>754521</v>
      </c>
      <c r="L134">
        <f>IF(A134="卡雷",42,IF(A134="法力风暴",ROUND(K134*0.1,0),VLOOKUP(A134,怪物模型!$A$15:$I$70,9,0)*(1+(B134-30)/100)))</f>
        <v>1288</v>
      </c>
      <c r="M134">
        <f>ROUND(VLOOKUP(C134,战士难度!A$1:C$135,2,0)*0.91*E134,0)</f>
        <v>169342</v>
      </c>
      <c r="N134">
        <f t="shared" si="6"/>
        <v>203210</v>
      </c>
      <c r="O134">
        <f>VLOOKUP(B134,怪物抗性与玩家穿透!A$2:Q$74,4,0)</f>
        <v>26000</v>
      </c>
      <c r="P134">
        <f>VLOOKUP(B134,怪物抗性与玩家穿透!A$2:Q$74,5,0)</f>
        <v>8400</v>
      </c>
      <c r="Q134">
        <f t="shared" si="7"/>
        <v>8400</v>
      </c>
      <c r="R134">
        <f>VLOOKUP(B134,[3]battleParameter.xml!$A$6:$E$107,5,0)*(I134/100)/(1-I134/100)</f>
        <v>0</v>
      </c>
      <c r="S134">
        <f>ROUND(VLOOKUP(B134,[3]battleParameter.xml!$A$6:$G$107,7,0)*(J134/100)/(1-J134/100),0)</f>
        <v>0</v>
      </c>
      <c r="T134">
        <f>ROUND(VLOOKUP(B134,[3]battleParameter.xml!$A$6:$Z$107,8,0)*(MIN(H134/100+0.2,0.99))/(1-MIN(H134/100+0.2,0.99)),0)</f>
        <v>3088</v>
      </c>
      <c r="U134">
        <v>0</v>
      </c>
      <c r="V134">
        <v>0</v>
      </c>
    </row>
    <row r="135" spans="1:22">
      <c r="A135" t="str">
        <f>[2]monster.xml!$D480</f>
        <v>血誓召唤者</v>
      </c>
      <c r="B135">
        <f>[2]monster.xml!$C480</f>
        <v>91</v>
      </c>
      <c r="C135">
        <f t="shared" si="8"/>
        <v>113</v>
      </c>
      <c r="D135">
        <f>VLOOKUP(A135,怪物模型!A$15:Z$70,8,0)</f>
        <v>26</v>
      </c>
      <c r="E135">
        <f>VLOOKUP(A135,怪物模型!A$15:G$70,3,0)</f>
        <v>0.36</v>
      </c>
      <c r="F135">
        <f>VLOOKUP(A135,怪物模型!A$15:G$77,4,0)</f>
        <v>0.44</v>
      </c>
      <c r="G135">
        <v>1</v>
      </c>
      <c r="H135">
        <f>VLOOKUP(A135,怪物模型!A$15:G$77,5,0)</f>
        <v>13</v>
      </c>
      <c r="I135">
        <f>VLOOKUP(A135,怪物模型!A$15:G$77,6,0)</f>
        <v>0</v>
      </c>
      <c r="J135">
        <f>VLOOKUP(A135,怪物模型!A$15:G$77,7,0)</f>
        <v>0</v>
      </c>
      <c r="K135">
        <f>ROUND(VLOOKUP(C135,战士难度!A$1:C$135,3,0)/VLOOKUP(B135,怪物抗性与玩家穿透!A$2:Q$74,17,0)*F135,0)</f>
        <v>790450</v>
      </c>
      <c r="L135">
        <f>IF(A135="卡雷",42,IF(A135="法力风暴",ROUND(K135*0.1,0),VLOOKUP(A135,怪物模型!$A$15:$I$70,9,0)*(1+(B135-30)/100)))</f>
        <v>1609.9999999999998</v>
      </c>
      <c r="M135">
        <f>ROUND(VLOOKUP(C135,战士难度!A$1:C$135,2,0)*0.91*E135,0)</f>
        <v>203211</v>
      </c>
      <c r="N135">
        <f t="shared" si="6"/>
        <v>243853</v>
      </c>
      <c r="O135">
        <f>VLOOKUP(B135,怪物抗性与玩家穿透!A$2:Q$74,4,0)</f>
        <v>26000</v>
      </c>
      <c r="P135">
        <f>VLOOKUP(B135,怪物抗性与玩家穿透!A$2:Q$74,5,0)</f>
        <v>8400</v>
      </c>
      <c r="Q135">
        <f t="shared" si="7"/>
        <v>8400</v>
      </c>
      <c r="R135">
        <f>VLOOKUP(B135,[3]battleParameter.xml!$A$6:$E$107,5,0)*(I135/100)/(1-I135/100)</f>
        <v>0</v>
      </c>
      <c r="S135">
        <f>ROUND(VLOOKUP(B135,[3]battleParameter.xml!$A$6:$G$107,7,0)*(J135/100)/(1-J135/100),0)</f>
        <v>0</v>
      </c>
      <c r="T135">
        <f>ROUND(VLOOKUP(B135,[3]battleParameter.xml!$A$6:$Z$107,8,0)*(MIN(H135/100+0.2,0.99))/(1-MIN(H135/100+0.2,0.99)),0)</f>
        <v>3088</v>
      </c>
      <c r="U135">
        <v>0</v>
      </c>
      <c r="V135">
        <v>0</v>
      </c>
    </row>
    <row r="136" spans="1:22">
      <c r="A136" t="str">
        <f>[2]monster.xml!$D481</f>
        <v>血誓领主</v>
      </c>
      <c r="B136">
        <f>[2]monster.xml!$C481</f>
        <v>91</v>
      </c>
      <c r="C136">
        <f t="shared" si="8"/>
        <v>113</v>
      </c>
      <c r="D136">
        <f>VLOOKUP(A136,怪物模型!A$15:Z$70,8,0)</f>
        <v>14</v>
      </c>
      <c r="E136">
        <f>VLOOKUP(A136,怪物模型!A$15:G$70,3,0)</f>
        <v>0.36</v>
      </c>
      <c r="F136">
        <f>VLOOKUP(A136,怪物模型!A$15:G$77,4,0)</f>
        <v>0.43</v>
      </c>
      <c r="G136">
        <v>1</v>
      </c>
      <c r="H136">
        <f>VLOOKUP(A136,怪物模型!A$15:G$77,5,0)</f>
        <v>13</v>
      </c>
      <c r="I136">
        <f>VLOOKUP(A136,怪物模型!A$15:G$77,6,0)</f>
        <v>0</v>
      </c>
      <c r="J136">
        <f>VLOOKUP(A136,怪物模型!A$15:G$77,7,0)</f>
        <v>0</v>
      </c>
      <c r="K136">
        <f>ROUND(VLOOKUP(C136,战士难度!A$1:C$135,3,0)/VLOOKUP(B136,怪物抗性与玩家穿透!A$2:Q$74,17,0)*F136,0)</f>
        <v>772485</v>
      </c>
      <c r="L136">
        <f>IF(A136="卡雷",42,IF(A136="法力风暴",ROUND(K136*0.1,0),VLOOKUP(A136,怪物模型!$A$15:$I$70,9,0)*(1+(B136-30)/100)))</f>
        <v>1609.9999999999998</v>
      </c>
      <c r="M136">
        <f>ROUND(VLOOKUP(C136,战士难度!A$1:C$135,2,0)*0.91*E136,0)</f>
        <v>203211</v>
      </c>
      <c r="N136">
        <f t="shared" si="6"/>
        <v>243853</v>
      </c>
      <c r="O136">
        <f>VLOOKUP(B136,怪物抗性与玩家穿透!A$2:Q$74,4,0)</f>
        <v>26000</v>
      </c>
      <c r="P136">
        <f>VLOOKUP(B136,怪物抗性与玩家穿透!A$2:Q$74,5,0)</f>
        <v>8400</v>
      </c>
      <c r="Q136">
        <f t="shared" si="7"/>
        <v>8400</v>
      </c>
      <c r="R136">
        <f>VLOOKUP(B136,[3]battleParameter.xml!$A$6:$E$107,5,0)*(I136/100)/(1-I136/100)</f>
        <v>0</v>
      </c>
      <c r="S136">
        <f>ROUND(VLOOKUP(B136,[3]battleParameter.xml!$A$6:$G$107,7,0)*(J136/100)/(1-J136/100),0)</f>
        <v>0</v>
      </c>
      <c r="T136">
        <f>ROUND(VLOOKUP(B136,[3]battleParameter.xml!$A$6:$Z$107,8,0)*(MIN(H136/100+0.2,0.99))/(1-MIN(H136/100+0.2,0.99)),0)</f>
        <v>3088</v>
      </c>
      <c r="U136">
        <v>0</v>
      </c>
      <c r="V136">
        <v>0</v>
      </c>
    </row>
    <row r="137" spans="1:22">
      <c r="A137" t="str">
        <f>[2]monster.xml!$D482</f>
        <v>舞钢者拜伦</v>
      </c>
      <c r="B137">
        <f>[2]monster.xml!$C482</f>
        <v>92</v>
      </c>
      <c r="C137">
        <f t="shared" si="8"/>
        <v>114</v>
      </c>
      <c r="D137">
        <f>VLOOKUP(A137,怪物模型!A$15:Z$70,8,0)</f>
        <v>8</v>
      </c>
      <c r="E137">
        <f>VLOOKUP(A137,怪物模型!A$15:G$70,3,0)</f>
        <v>0.8</v>
      </c>
      <c r="F137">
        <f>VLOOKUP(A137,怪物模型!A$15:G$77,4,0)</f>
        <v>1</v>
      </c>
      <c r="G137">
        <v>1</v>
      </c>
      <c r="H137">
        <f>VLOOKUP(A137,怪物模型!A$15:G$77,5,0)</f>
        <v>13</v>
      </c>
      <c r="I137">
        <f>VLOOKUP(A137,怪物模型!A$15:G$77,6,0)</f>
        <v>0</v>
      </c>
      <c r="J137">
        <f>VLOOKUP(A137,怪物模型!A$15:G$77,7,0)</f>
        <v>0</v>
      </c>
      <c r="K137">
        <f>ROUND(VLOOKUP(C137,战士难度!A$1:C$135,3,0)/VLOOKUP(B137,怪物抗性与玩家穿透!A$2:Q$74,17,0)*F137,0)</f>
        <v>1997050</v>
      </c>
      <c r="L137">
        <f>IF(A137="卡雷",42,IF(A137="法力风暴",ROUND(K137*0.1,0),VLOOKUP(A137,怪物模型!$A$15:$I$70,9,0)*(1+(B137-30)/100)))</f>
        <v>1620</v>
      </c>
      <c r="M137">
        <f>ROUND(VLOOKUP(C137,战士难度!A$1:C$135,2,0)*0.91*E137,0)</f>
        <v>542807</v>
      </c>
      <c r="N137">
        <f t="shared" si="6"/>
        <v>651368</v>
      </c>
      <c r="O137">
        <f>VLOOKUP(B137,怪物抗性与玩家穿透!A$2:Q$74,4,0)</f>
        <v>27000</v>
      </c>
      <c r="P137">
        <f>VLOOKUP(B137,怪物抗性与玩家穿透!A$2:Q$74,5,0)</f>
        <v>8800</v>
      </c>
      <c r="Q137">
        <f t="shared" si="7"/>
        <v>8800</v>
      </c>
      <c r="R137">
        <f>VLOOKUP(B137,[3]battleParameter.xml!$A$6:$E$107,5,0)*(I137/100)/(1-I137/100)</f>
        <v>0</v>
      </c>
      <c r="S137">
        <f>ROUND(VLOOKUP(B137,[3]battleParameter.xml!$A$6:$G$107,7,0)*(J137/100)/(1-J137/100),0)</f>
        <v>0</v>
      </c>
      <c r="T137">
        <f>ROUND(VLOOKUP(B137,[3]battleParameter.xml!$A$6:$Z$107,8,0)*(MIN(H137/100+0.2,0.99))/(1-MIN(H137/100+0.2,0.99)),0)</f>
        <v>3156</v>
      </c>
      <c r="U137">
        <v>0</v>
      </c>
      <c r="V137">
        <v>0</v>
      </c>
    </row>
    <row r="138" spans="1:22">
      <c r="A138" t="str">
        <f>[2]monster.xml!$D483</f>
        <v>风暴之王</v>
      </c>
      <c r="B138">
        <f>[2]monster.xml!$C483</f>
        <v>92</v>
      </c>
      <c r="C138">
        <f t="shared" si="8"/>
        <v>115</v>
      </c>
      <c r="D138">
        <f>VLOOKUP(A138,怪物模型!A$15:Z$70,8,0)</f>
        <v>6</v>
      </c>
      <c r="E138">
        <f>VLOOKUP(A138,怪物模型!A$15:G$70,3,0)</f>
        <v>0.8</v>
      </c>
      <c r="F138">
        <f>VLOOKUP(A138,怪物模型!A$15:G$77,4,0)</f>
        <v>0.92</v>
      </c>
      <c r="G138">
        <v>1</v>
      </c>
      <c r="H138">
        <f>VLOOKUP(A138,怪物模型!A$15:G$77,5,0)</f>
        <v>13</v>
      </c>
      <c r="I138">
        <f>VLOOKUP(A138,怪物模型!A$15:G$77,6,0)</f>
        <v>0</v>
      </c>
      <c r="J138">
        <f>VLOOKUP(A138,怪物模型!A$15:G$77,7,0)</f>
        <v>0</v>
      </c>
      <c r="K138">
        <f>ROUND(VLOOKUP(C138,战士难度!A$1:C$135,3,0)/VLOOKUP(B138,怪物抗性与玩家穿透!A$2:Q$74,17,0)*F138,0)</f>
        <v>1996193</v>
      </c>
      <c r="L138">
        <f>IF(A138="卡雷",42,IF(A138="法力风暴",ROUND(K138*0.1,0),VLOOKUP(A138,怪物模型!$A$15:$I$70,9,0)*(1+(B138-30)/100)))</f>
        <v>1620</v>
      </c>
      <c r="M138">
        <f>ROUND(VLOOKUP(C138,战士难度!A$1:C$135,2,0)*0.91*E138,0)</f>
        <v>611989</v>
      </c>
      <c r="N138">
        <f t="shared" si="6"/>
        <v>734387</v>
      </c>
      <c r="O138">
        <f>VLOOKUP(B138,怪物抗性与玩家穿透!A$2:Q$74,4,0)</f>
        <v>27000</v>
      </c>
      <c r="P138">
        <f>VLOOKUP(B138,怪物抗性与玩家穿透!A$2:Q$74,5,0)</f>
        <v>8800</v>
      </c>
      <c r="Q138">
        <f t="shared" si="7"/>
        <v>8800</v>
      </c>
      <c r="R138">
        <f>VLOOKUP(B138,[3]battleParameter.xml!$A$6:$E$107,5,0)*(I138/100)/(1-I138/100)</f>
        <v>0</v>
      </c>
      <c r="S138">
        <f>ROUND(VLOOKUP(B138,[3]battleParameter.xml!$A$6:$G$107,7,0)*(J138/100)/(1-J138/100),0)</f>
        <v>0</v>
      </c>
      <c r="T138">
        <f>ROUND(VLOOKUP(B138,[3]battleParameter.xml!$A$6:$Z$107,8,0)*(MIN(H138/100+0.2,0.99))/(1-MIN(H138/100+0.2,0.99)),0)</f>
        <v>3156</v>
      </c>
      <c r="U138">
        <v>0</v>
      </c>
      <c r="V138">
        <v>0</v>
      </c>
    </row>
    <row r="139" spans="1:22">
      <c r="A139" t="str">
        <f>[2]monster.xml!$D484</f>
        <v>雷伊战争使者</v>
      </c>
      <c r="B139">
        <f>[2]monster.xml!$C484</f>
        <v>93</v>
      </c>
      <c r="C139">
        <f t="shared" si="8"/>
        <v>116</v>
      </c>
      <c r="D139">
        <f>VLOOKUP(A139,怪物模型!A$15:Z$70,8,0)</f>
        <v>7</v>
      </c>
      <c r="E139">
        <f>VLOOKUP(A139,怪物模型!A$15:G$70,3,0)</f>
        <v>1</v>
      </c>
      <c r="F139">
        <f>VLOOKUP(A139,怪物模型!A$15:G$77,4,0)</f>
        <v>1</v>
      </c>
      <c r="G139">
        <v>1</v>
      </c>
      <c r="H139">
        <f>VLOOKUP(A139,怪物模型!A$15:G$77,5,0)</f>
        <v>13</v>
      </c>
      <c r="I139">
        <f>VLOOKUP(A139,怪物模型!A$15:G$77,6,0)</f>
        <v>0</v>
      </c>
      <c r="J139">
        <f>VLOOKUP(A139,怪物模型!A$15:G$77,7,0)</f>
        <v>0</v>
      </c>
      <c r="K139">
        <f>ROUND(VLOOKUP(C139,战士难度!A$1:C$135,3,0)/VLOOKUP(B139,怪物抗性与玩家穿透!A$2:Q$74,17,0)*F139,0)</f>
        <v>2352196</v>
      </c>
      <c r="L139">
        <f>IF(A139="卡雷",42,IF(A139="法力风暴",ROUND(K139*0.1,0),VLOOKUP(A139,怪物模型!$A$15:$I$70,9,0)*(1+(B139-30)/100)))</f>
        <v>1630</v>
      </c>
      <c r="M139">
        <f>ROUND(VLOOKUP(C139,战士难度!A$1:C$135,2,0)*0.91*E139,0)</f>
        <v>862484</v>
      </c>
      <c r="N139">
        <f t="shared" si="6"/>
        <v>1034981</v>
      </c>
      <c r="O139">
        <f>VLOOKUP(B139,怪物抗性与玩家穿透!A$2:Q$74,4,0)</f>
        <v>28000</v>
      </c>
      <c r="P139">
        <f>VLOOKUP(B139,怪物抗性与玩家穿透!A$2:Q$74,5,0)</f>
        <v>9200</v>
      </c>
      <c r="Q139">
        <f t="shared" si="7"/>
        <v>9200</v>
      </c>
      <c r="R139">
        <f>VLOOKUP(B139,[3]battleParameter.xml!$A$6:$E$107,5,0)*(I139/100)/(1-I139/100)</f>
        <v>0</v>
      </c>
      <c r="S139">
        <f>ROUND(VLOOKUP(B139,[3]battleParameter.xml!$A$6:$G$107,7,0)*(J139/100)/(1-J139/100),0)</f>
        <v>0</v>
      </c>
      <c r="T139">
        <f>ROUND(VLOOKUP(B139,[3]battleParameter.xml!$A$6:$Z$107,8,0)*(MIN(H139/100+0.2,0.99))/(1-MIN(H139/100+0.2,0.99)),0)</f>
        <v>3225</v>
      </c>
      <c r="U139">
        <v>0</v>
      </c>
      <c r="V139">
        <v>0</v>
      </c>
    </row>
    <row r="140" spans="1:22">
      <c r="A140" t="str">
        <f>[2]monster.xml!$D485</f>
        <v>暴君泰伦</v>
      </c>
      <c r="B140">
        <f>[2]monster.xml!$C485</f>
        <v>94</v>
      </c>
      <c r="C140">
        <f t="shared" si="8"/>
        <v>117</v>
      </c>
      <c r="D140" t="str">
        <f>VLOOKUP(A140,怪物模型!A$15:Z$70,8,0)</f>
        <v>10,9</v>
      </c>
      <c r="E140">
        <f>VLOOKUP(A140,怪物模型!A$15:G$70,3,0)</f>
        <v>1.2</v>
      </c>
      <c r="F140">
        <f>VLOOKUP(A140,怪物模型!A$15:G$77,4,0)</f>
        <v>1.1499999999999999</v>
      </c>
      <c r="G140">
        <v>1</v>
      </c>
      <c r="H140">
        <f>VLOOKUP(A140,怪物模型!A$15:G$77,5,0)</f>
        <v>15</v>
      </c>
      <c r="I140">
        <f>VLOOKUP(A140,怪物模型!A$15:G$77,6,0)</f>
        <v>0</v>
      </c>
      <c r="J140">
        <f>VLOOKUP(A140,怪物模型!A$15:G$77,7,0)</f>
        <v>15</v>
      </c>
      <c r="K140">
        <f>ROUND(VLOOKUP(C140,战士难度!A$1:C$135,3,0)/VLOOKUP(B140,怪物抗性与玩家穿透!A$2:Q$74,17,0)*F140,0)</f>
        <v>3017702</v>
      </c>
      <c r="L140">
        <f>IF(A140="卡雷",42,IF(A140="法力风暴",ROUND(K140*0.1,0),VLOOKUP(A140,怪物模型!$A$15:$I$70,9,0)*(1+(B140-30)/100)))</f>
        <v>4920</v>
      </c>
      <c r="M140">
        <f>ROUND(VLOOKUP(C140,战士难度!A$1:C$135,2,0)*0.91*E140,0)</f>
        <v>1214496</v>
      </c>
      <c r="N140">
        <f t="shared" si="6"/>
        <v>1457395</v>
      </c>
      <c r="O140">
        <f>VLOOKUP(B140,怪物抗性与玩家穿透!A$2:Q$74,4,0)</f>
        <v>29000</v>
      </c>
      <c r="P140">
        <f>VLOOKUP(B140,怪物抗性与玩家穿透!A$2:Q$74,5,0)</f>
        <v>9600</v>
      </c>
      <c r="Q140">
        <f t="shared" si="7"/>
        <v>9600</v>
      </c>
      <c r="R140">
        <f>VLOOKUP(B140,[3]battleParameter.xml!$A$6:$E$107,5,0)*(I140/100)/(1-I140/100)</f>
        <v>0</v>
      </c>
      <c r="S140">
        <f>ROUND(VLOOKUP(B140,[3]battleParameter.xml!$A$6:$G$107,7,0)*(J140/100)/(1-J140/100),0)</f>
        <v>4721</v>
      </c>
      <c r="T140">
        <f>ROUND(VLOOKUP(B140,[3]battleParameter.xml!$A$6:$Z$107,8,0)*(MIN(H140/100+0.2,0.99))/(1-MIN(H140/100+0.2,0.99)),0)</f>
        <v>3601</v>
      </c>
      <c r="U140">
        <v>0</v>
      </c>
      <c r="V140">
        <v>0</v>
      </c>
    </row>
    <row r="141" spans="1:22">
      <c r="A141" t="str">
        <f>[2]monster.xml!$D486</f>
        <v>疾风克鲁</v>
      </c>
      <c r="B141">
        <f>[2]monster.xml!$C486</f>
        <v>95</v>
      </c>
      <c r="C141">
        <f t="shared" si="8"/>
        <v>118</v>
      </c>
      <c r="D141">
        <f>VLOOKUP(A141,怪物模型!A$15:Z$70,8,0)</f>
        <v>19</v>
      </c>
      <c r="E141">
        <f>VLOOKUP(A141,怪物模型!A$15:G$70,3,0)</f>
        <v>1</v>
      </c>
      <c r="F141">
        <f>VLOOKUP(A141,怪物模型!A$15:G$77,4,0)</f>
        <v>1</v>
      </c>
      <c r="G141">
        <v>1</v>
      </c>
      <c r="H141">
        <f>VLOOKUP(A141,怪物模型!A$15:G$77,5,0)</f>
        <v>13</v>
      </c>
      <c r="I141">
        <f>VLOOKUP(A141,怪物模型!A$15:G$77,6,0)</f>
        <v>0</v>
      </c>
      <c r="J141">
        <f>VLOOKUP(A141,怪物模型!A$15:G$77,7,0)</f>
        <v>0</v>
      </c>
      <c r="K141">
        <f>ROUND(VLOOKUP(C141,战士难度!A$1:C$135,3,0)/VLOOKUP(B141,怪物抗性与玩家穿透!A$2:Q$74,17,0)*F141,0)</f>
        <v>1488717</v>
      </c>
      <c r="L141">
        <f>IF(A141="卡雷",42,IF(A141="法力风暴",ROUND(K141*0.1,0),VLOOKUP(A141,怪物模型!$A$15:$I$70,9,0)*(1+(B141-30)/100)))</f>
        <v>1650</v>
      </c>
      <c r="M141">
        <f>ROUND(VLOOKUP(C141,战士难度!A$1:C$135,2,0)*0.91*E141,0)</f>
        <v>300094</v>
      </c>
      <c r="N141">
        <f t="shared" si="6"/>
        <v>360113</v>
      </c>
      <c r="O141">
        <f>VLOOKUP(B141,怪物抗性与玩家穿透!A$2:Q$74,4,0)</f>
        <v>30000</v>
      </c>
      <c r="P141">
        <f>VLOOKUP(B141,怪物抗性与玩家穿透!A$2:Q$74,5,0)</f>
        <v>10000</v>
      </c>
      <c r="Q141">
        <f t="shared" si="7"/>
        <v>10000</v>
      </c>
      <c r="R141">
        <f>VLOOKUP(B141,[3]battleParameter.xml!$A$6:$E$107,5,0)*(I141/100)/(1-I141/100)</f>
        <v>0</v>
      </c>
      <c r="S141">
        <f>ROUND(VLOOKUP(B141,[3]battleParameter.xml!$A$6:$G$107,7,0)*(J141/100)/(1-J141/100),0)</f>
        <v>0</v>
      </c>
      <c r="T141">
        <f>ROUND(VLOOKUP(B141,[3]battleParameter.xml!$A$6:$Z$107,8,0)*(MIN(H141/100+0.2,0.99))/(1-MIN(H141/100+0.2,0.99)),0)</f>
        <v>3364</v>
      </c>
      <c r="U141">
        <v>0</v>
      </c>
      <c r="V141">
        <v>0</v>
      </c>
    </row>
    <row r="142" spans="1:22">
      <c r="A142" t="str">
        <f>[2]monster.xml!$D487</f>
        <v>拨弄的赛亚</v>
      </c>
      <c r="B142">
        <f>[2]monster.xml!$C487</f>
        <v>95</v>
      </c>
      <c r="C142">
        <f t="shared" si="8"/>
        <v>119</v>
      </c>
      <c r="D142" t="str">
        <f>VLOOKUP(A142,怪物模型!A$15:Z$70,8,0)</f>
        <v>17,18,8</v>
      </c>
      <c r="E142">
        <f>VLOOKUP(A142,怪物模型!A$15:G$70,3,0)</f>
        <v>1.2</v>
      </c>
      <c r="F142">
        <f>VLOOKUP(A142,怪物模型!A$15:G$77,4,0)</f>
        <v>1</v>
      </c>
      <c r="G142">
        <v>1</v>
      </c>
      <c r="H142">
        <f>VLOOKUP(A142,怪物模型!A$15:G$77,5,0)</f>
        <v>13</v>
      </c>
      <c r="I142">
        <f>VLOOKUP(A142,怪物模型!A$15:G$77,6,0)</f>
        <v>0</v>
      </c>
      <c r="J142">
        <f>VLOOKUP(A142,怪物模型!A$15:G$77,7,0)</f>
        <v>0</v>
      </c>
      <c r="K142">
        <f>ROUND(VLOOKUP(C142,战士难度!A$1:C$135,3,0)/VLOOKUP(B142,怪物抗性与玩家穿透!A$2:Q$74,17,0)*F142,0)</f>
        <v>1665558</v>
      </c>
      <c r="L142">
        <f>IF(A142="卡雷",42,IF(A142="法力风暴",ROUND(K142*0.1,0),VLOOKUP(A142,怪物模型!$A$15:$I$70,9,0)*(1+(B142-30)/100)))</f>
        <v>4950</v>
      </c>
      <c r="M142">
        <f>ROUND(VLOOKUP(C142,战士难度!A$1:C$135,2,0)*0.91*E142,0)</f>
        <v>471471</v>
      </c>
      <c r="N142">
        <f t="shared" si="6"/>
        <v>565765</v>
      </c>
      <c r="O142">
        <f>VLOOKUP(B142,怪物抗性与玩家穿透!A$2:Q$74,4,0)</f>
        <v>30000</v>
      </c>
      <c r="P142">
        <f>VLOOKUP(B142,怪物抗性与玩家穿透!A$2:Q$74,5,0)</f>
        <v>10000</v>
      </c>
      <c r="Q142">
        <f t="shared" si="7"/>
        <v>10000</v>
      </c>
      <c r="R142">
        <f>VLOOKUP(B142,[3]battleParameter.xml!$A$6:$E$107,5,0)*(I142/100)/(1-I142/100)</f>
        <v>0</v>
      </c>
      <c r="S142">
        <f>ROUND(VLOOKUP(B142,[3]battleParameter.xml!$A$6:$G$107,7,0)*(J142/100)/(1-J142/100),0)</f>
        <v>0</v>
      </c>
      <c r="T142">
        <f>ROUND(VLOOKUP(B142,[3]battleParameter.xml!$A$6:$Z$107,8,0)*(MIN(H142/100+0.2,0.99))/(1-MIN(H142/100+0.2,0.99)),0)</f>
        <v>3364</v>
      </c>
      <c r="U142">
        <v>0</v>
      </c>
      <c r="V142">
        <v>0</v>
      </c>
    </row>
    <row r="143" spans="1:22">
      <c r="A143" t="str">
        <f>[2]monster.xml!$D488</f>
        <v>法力风暴</v>
      </c>
      <c r="B143">
        <f>[2]monster.xml!$C488</f>
        <v>96</v>
      </c>
      <c r="C143">
        <f t="shared" si="8"/>
        <v>120</v>
      </c>
      <c r="D143" t="str">
        <f>VLOOKUP(A143,怪物模型!A$15:Z$70,8,0)</f>
        <v>25,30</v>
      </c>
      <c r="E143">
        <f>VLOOKUP(A143,怪物模型!A$15:G$70,3,0)</f>
        <v>1.5</v>
      </c>
      <c r="F143">
        <f>VLOOKUP(A143,怪物模型!A$15:G$77,4,0)</f>
        <v>0.68</v>
      </c>
      <c r="G143">
        <v>1</v>
      </c>
      <c r="H143">
        <f>VLOOKUP(A143,怪物模型!A$15:G$77,5,0)</f>
        <v>13</v>
      </c>
      <c r="I143">
        <f>VLOOKUP(A143,怪物模型!A$15:G$77,6,0)</f>
        <v>0</v>
      </c>
      <c r="J143">
        <f>VLOOKUP(A143,怪物模型!A$15:G$77,7,0)</f>
        <v>0</v>
      </c>
      <c r="K143">
        <f>ROUND(VLOOKUP(C143,战士难度!A$1:C$135,3,0)/VLOOKUP(B143,怪物抗性与玩家穿透!A$2:Q$74,17,0)*F143,0)</f>
        <v>1316079</v>
      </c>
      <c r="L143">
        <f>IF(A143="卡雷",42,IF(A143="法力风暴",ROUND(K143*0.1,0),VLOOKUP(A143,怪物模型!$A$15:$I$70,9,0)*(1+(B143-30)/100)))</f>
        <v>131608</v>
      </c>
      <c r="M143">
        <f>ROUND(VLOOKUP(C143,战士难度!A$1:C$135,2,0)*0.91*E143,0)</f>
        <v>844085</v>
      </c>
      <c r="N143">
        <f t="shared" si="6"/>
        <v>1012902</v>
      </c>
      <c r="O143">
        <f>VLOOKUP(B143,怪物抗性与玩家穿透!A$2:Q$74,4,0)</f>
        <v>31000</v>
      </c>
      <c r="P143">
        <f>VLOOKUP(B143,怪物抗性与玩家穿透!A$2:Q$74,5,0)</f>
        <v>10400</v>
      </c>
      <c r="Q143">
        <f t="shared" si="7"/>
        <v>10400</v>
      </c>
      <c r="R143">
        <f>VLOOKUP(B143,[3]battleParameter.xml!$A$6:$E$107,5,0)*(I143/100)/(1-I143/100)</f>
        <v>0</v>
      </c>
      <c r="S143">
        <f>ROUND(VLOOKUP(B143,[3]battleParameter.xml!$A$6:$G$107,7,0)*(J143/100)/(1-J143/100),0)</f>
        <v>0</v>
      </c>
      <c r="T143">
        <f>ROUND(VLOOKUP(B143,[3]battleParameter.xml!$A$6:$Z$107,8,0)*(MIN(H143/100+0.2,0.99))/(1-MIN(H143/100+0.2,0.99)),0)</f>
        <v>3434</v>
      </c>
      <c r="U143">
        <v>0</v>
      </c>
      <c r="V143">
        <v>0</v>
      </c>
    </row>
    <row r="144" spans="1:22">
      <c r="A144" t="str">
        <f>[2]monster.xml!$D489</f>
        <v>火舞者</v>
      </c>
      <c r="B144">
        <f>[2]monster.xml!$C489</f>
        <v>96</v>
      </c>
      <c r="C144">
        <f t="shared" si="8"/>
        <v>121</v>
      </c>
      <c r="D144">
        <f>VLOOKUP(A144,怪物模型!A$15:Z$70,8,0)</f>
        <v>29</v>
      </c>
      <c r="E144">
        <f>VLOOKUP(A144,怪物模型!A$15:G$70,3,0)</f>
        <v>1</v>
      </c>
      <c r="F144">
        <f>VLOOKUP(A144,怪物模型!A$15:G$77,4,0)</f>
        <v>0.95</v>
      </c>
      <c r="G144">
        <v>1</v>
      </c>
      <c r="H144">
        <f>VLOOKUP(A144,怪物模型!A$15:G$77,5,0)</f>
        <v>13</v>
      </c>
      <c r="I144">
        <f>VLOOKUP(A144,怪物模型!A$15:G$77,6,0)</f>
        <v>0</v>
      </c>
      <c r="J144">
        <f>VLOOKUP(A144,怪物模型!A$15:G$77,7,0)</f>
        <v>0</v>
      </c>
      <c r="K144">
        <f>ROUND(VLOOKUP(C144,战士难度!A$1:C$135,3,0)/VLOOKUP(B144,怪物抗性与玩家穿透!A$2:Q$74,17,0)*F144,0)</f>
        <v>1994754</v>
      </c>
      <c r="L144">
        <f>IF(A144="卡雷",42,IF(A144="法力风暴",ROUND(K144*0.1,0),VLOOKUP(A144,怪物模型!$A$15:$I$70,9,0)*(1+(B144-30)/100)))</f>
        <v>1660.0000000000002</v>
      </c>
      <c r="M144">
        <f>ROUND(VLOOKUP(C144,战士难度!A$1:C$135,2,0)*0.91*E144,0)</f>
        <v>647042</v>
      </c>
      <c r="N144">
        <f t="shared" si="6"/>
        <v>776450</v>
      </c>
      <c r="O144">
        <f>VLOOKUP(B144,怪物抗性与玩家穿透!A$2:Q$74,4,0)</f>
        <v>31000</v>
      </c>
      <c r="P144">
        <f>VLOOKUP(B144,怪物抗性与玩家穿透!A$2:Q$74,5,0)</f>
        <v>10400</v>
      </c>
      <c r="Q144">
        <f t="shared" si="7"/>
        <v>10400</v>
      </c>
      <c r="R144">
        <f>VLOOKUP(B144,[3]battleParameter.xml!$A$6:$E$107,5,0)*(I144/100)/(1-I144/100)</f>
        <v>0</v>
      </c>
      <c r="S144">
        <f>ROUND(VLOOKUP(B144,[3]battleParameter.xml!$A$6:$G$107,7,0)*(J144/100)/(1-J144/100),0)</f>
        <v>0</v>
      </c>
      <c r="T144">
        <f>ROUND(VLOOKUP(B144,[3]battleParameter.xml!$A$6:$Z$107,8,0)*(MIN(H144/100+0.2,0.99))/(1-MIN(H144/100+0.2,0.99)),0)</f>
        <v>3434</v>
      </c>
      <c r="U144">
        <v>0</v>
      </c>
      <c r="V144">
        <v>0</v>
      </c>
    </row>
    <row r="145" spans="1:22">
      <c r="A145" t="str">
        <f>[2]monster.xml!$D490</f>
        <v>血誓审判者</v>
      </c>
      <c r="B145">
        <f>[2]monster.xml!$C490</f>
        <v>96</v>
      </c>
      <c r="C145">
        <f t="shared" si="8"/>
        <v>122</v>
      </c>
      <c r="D145">
        <f>VLOOKUP(A145,怪物模型!A$15:Z$70,8,0)</f>
        <v>5</v>
      </c>
      <c r="E145">
        <f>VLOOKUP(A145,怪物模型!A$15:G$70,3,0)</f>
        <v>0.28000000000000003</v>
      </c>
      <c r="F145">
        <f>VLOOKUP(A145,怪物模型!A$15:G$77,4,0)</f>
        <v>0.45</v>
      </c>
      <c r="G145">
        <v>1</v>
      </c>
      <c r="H145">
        <f>VLOOKUP(A145,怪物模型!A$15:G$77,5,0)</f>
        <v>13</v>
      </c>
      <c r="I145">
        <f>VLOOKUP(A145,怪物模型!A$15:G$77,6,0)</f>
        <v>0</v>
      </c>
      <c r="J145">
        <f>VLOOKUP(A145,怪物模型!A$15:G$77,7,0)</f>
        <v>0</v>
      </c>
      <c r="K145">
        <f>ROUND(VLOOKUP(C145,战士难度!A$1:C$135,3,0)/VLOOKUP(B145,怪物抗性与玩家穿透!A$2:Q$74,17,0)*F145,0)</f>
        <v>1025112</v>
      </c>
      <c r="L145">
        <f>IF(A145="卡雷",42,IF(A145="法力风暴",ROUND(K145*0.1,0),VLOOKUP(A145,怪物模型!$A$15:$I$70,9,0)*(1+(B145-30)/100)))</f>
        <v>1660.0000000000002</v>
      </c>
      <c r="M145">
        <f>ROUND(VLOOKUP(C145,战士难度!A$1:C$135,2,0)*0.91*E145,0)</f>
        <v>208319</v>
      </c>
      <c r="N145">
        <f t="shared" si="6"/>
        <v>249983</v>
      </c>
      <c r="O145">
        <f>VLOOKUP(B145,怪物抗性与玩家穿透!A$2:Q$74,4,0)</f>
        <v>31000</v>
      </c>
      <c r="P145">
        <f>VLOOKUP(B145,怪物抗性与玩家穿透!A$2:Q$74,5,0)</f>
        <v>10400</v>
      </c>
      <c r="Q145">
        <f t="shared" si="7"/>
        <v>10400</v>
      </c>
      <c r="R145">
        <f>VLOOKUP(B145,[3]battleParameter.xml!$A$6:$E$107,5,0)*(I145/100)/(1-I145/100)</f>
        <v>0</v>
      </c>
      <c r="S145">
        <f>ROUND(VLOOKUP(B145,[3]battleParameter.xml!$A$6:$G$107,7,0)*(J145/100)/(1-J145/100),0)</f>
        <v>0</v>
      </c>
      <c r="T145">
        <f>ROUND(VLOOKUP(B145,[3]battleParameter.xml!$A$6:$Z$107,8,0)*(MIN(H145/100+0.2,0.99))/(1-MIN(H145/100+0.2,0.99)),0)</f>
        <v>3434</v>
      </c>
      <c r="U145">
        <v>0</v>
      </c>
      <c r="V145">
        <v>0</v>
      </c>
    </row>
    <row r="146" spans="1:22">
      <c r="A146" t="str">
        <f>[2]monster.xml!$D491</f>
        <v>血誓预言者</v>
      </c>
      <c r="B146">
        <f>[2]monster.xml!$C491</f>
        <v>96</v>
      </c>
      <c r="C146">
        <f t="shared" si="8"/>
        <v>122</v>
      </c>
      <c r="D146">
        <f>VLOOKUP(A146,怪物模型!A$15:Z$70,8,0)</f>
        <v>2</v>
      </c>
      <c r="E146">
        <f>VLOOKUP(A146,怪物模型!A$15:G$70,3,0)</f>
        <v>0.3</v>
      </c>
      <c r="F146">
        <f>VLOOKUP(A146,怪物模型!A$15:G$77,4,0)</f>
        <v>0.42</v>
      </c>
      <c r="G146">
        <v>1</v>
      </c>
      <c r="H146">
        <f>VLOOKUP(A146,怪物模型!A$15:G$77,5,0)</f>
        <v>13</v>
      </c>
      <c r="I146">
        <f>VLOOKUP(A146,怪物模型!A$15:G$77,6,0)</f>
        <v>0</v>
      </c>
      <c r="J146">
        <f>VLOOKUP(A146,怪物模型!A$15:G$77,7,0)</f>
        <v>0</v>
      </c>
      <c r="K146">
        <f>ROUND(VLOOKUP(C146,战士难度!A$1:C$135,3,0)/VLOOKUP(B146,怪物抗性与玩家穿透!A$2:Q$74,17,0)*F146,0)</f>
        <v>956771</v>
      </c>
      <c r="L146">
        <f>IF(A146="卡雷",42,IF(A146="法力风暴",ROUND(K146*0.1,0),VLOOKUP(A146,怪物模型!$A$15:$I$70,9,0)*(1+(B146-30)/100)))</f>
        <v>1328</v>
      </c>
      <c r="M146">
        <f>ROUND(VLOOKUP(C146,战士难度!A$1:C$135,2,0)*0.91*E146,0)</f>
        <v>223199</v>
      </c>
      <c r="N146">
        <f t="shared" si="6"/>
        <v>267839</v>
      </c>
      <c r="O146">
        <f>VLOOKUP(B146,怪物抗性与玩家穿透!A$2:Q$74,4,0)</f>
        <v>31000</v>
      </c>
      <c r="P146">
        <f>VLOOKUP(B146,怪物抗性与玩家穿透!A$2:Q$74,5,0)</f>
        <v>10400</v>
      </c>
      <c r="Q146">
        <f t="shared" si="7"/>
        <v>10400</v>
      </c>
      <c r="R146">
        <f>VLOOKUP(B146,[3]battleParameter.xml!$A$6:$E$107,5,0)*(I146/100)/(1-I146/100)</f>
        <v>0</v>
      </c>
      <c r="S146">
        <f>ROUND(VLOOKUP(B146,[3]battleParameter.xml!$A$6:$G$107,7,0)*(J146/100)/(1-J146/100),0)</f>
        <v>0</v>
      </c>
      <c r="T146">
        <f>ROUND(VLOOKUP(B146,[3]battleParameter.xml!$A$6:$Z$107,8,0)*(MIN(H146/100+0.2,0.99))/(1-MIN(H146/100+0.2,0.99)),0)</f>
        <v>3434</v>
      </c>
      <c r="U146">
        <v>0</v>
      </c>
      <c r="V146">
        <v>0</v>
      </c>
    </row>
    <row r="147" spans="1:22">
      <c r="A147" t="str">
        <f>[2]monster.xml!$D492</f>
        <v>血誓召唤者</v>
      </c>
      <c r="B147">
        <f>[2]monster.xml!$C492</f>
        <v>96</v>
      </c>
      <c r="C147">
        <f t="shared" si="8"/>
        <v>122</v>
      </c>
      <c r="D147">
        <f>VLOOKUP(A147,怪物模型!A$15:Z$70,8,0)</f>
        <v>26</v>
      </c>
      <c r="E147">
        <f>VLOOKUP(A147,怪物模型!A$15:G$70,3,0)</f>
        <v>0.36</v>
      </c>
      <c r="F147">
        <f>VLOOKUP(A147,怪物模型!A$15:G$77,4,0)</f>
        <v>0.44</v>
      </c>
      <c r="G147">
        <v>1</v>
      </c>
      <c r="H147">
        <f>VLOOKUP(A147,怪物模型!A$15:G$77,5,0)</f>
        <v>13</v>
      </c>
      <c r="I147">
        <f>VLOOKUP(A147,怪物模型!A$15:G$77,6,0)</f>
        <v>0</v>
      </c>
      <c r="J147">
        <f>VLOOKUP(A147,怪物模型!A$15:G$77,7,0)</f>
        <v>0</v>
      </c>
      <c r="K147">
        <f>ROUND(VLOOKUP(C147,战士难度!A$1:C$135,3,0)/VLOOKUP(B147,怪物抗性与玩家穿透!A$2:Q$74,17,0)*F147,0)</f>
        <v>1002331</v>
      </c>
      <c r="L147">
        <f>IF(A147="卡雷",42,IF(A147="法力风暴",ROUND(K147*0.1,0),VLOOKUP(A147,怪物模型!$A$15:$I$70,9,0)*(1+(B147-30)/100)))</f>
        <v>1660.0000000000002</v>
      </c>
      <c r="M147">
        <f>ROUND(VLOOKUP(C147,战士难度!A$1:C$135,2,0)*0.91*E147,0)</f>
        <v>267838</v>
      </c>
      <c r="N147">
        <f t="shared" si="6"/>
        <v>321406</v>
      </c>
      <c r="O147">
        <f>VLOOKUP(B147,怪物抗性与玩家穿透!A$2:Q$74,4,0)</f>
        <v>31000</v>
      </c>
      <c r="P147">
        <f>VLOOKUP(B147,怪物抗性与玩家穿透!A$2:Q$74,5,0)</f>
        <v>10400</v>
      </c>
      <c r="Q147">
        <f t="shared" si="7"/>
        <v>10400</v>
      </c>
      <c r="R147">
        <f>VLOOKUP(B147,[3]battleParameter.xml!$A$6:$E$107,5,0)*(I147/100)/(1-I147/100)</f>
        <v>0</v>
      </c>
      <c r="S147">
        <f>ROUND(VLOOKUP(B147,[3]battleParameter.xml!$A$6:$G$107,7,0)*(J147/100)/(1-J147/100),0)</f>
        <v>0</v>
      </c>
      <c r="T147">
        <f>ROUND(VLOOKUP(B147,[3]battleParameter.xml!$A$6:$Z$107,8,0)*(MIN(H147/100+0.2,0.99))/(1-MIN(H147/100+0.2,0.99)),0)</f>
        <v>3434</v>
      </c>
      <c r="U147">
        <v>0</v>
      </c>
      <c r="V147">
        <v>0</v>
      </c>
    </row>
    <row r="148" spans="1:22">
      <c r="A148" t="str">
        <f>[2]monster.xml!$D493</f>
        <v>血誓领主</v>
      </c>
      <c r="B148">
        <f>[2]monster.xml!$C493</f>
        <v>96</v>
      </c>
      <c r="C148">
        <f t="shared" si="8"/>
        <v>122</v>
      </c>
      <c r="D148">
        <f>VLOOKUP(A148,怪物模型!A$15:Z$70,8,0)</f>
        <v>14</v>
      </c>
      <c r="E148">
        <f>VLOOKUP(A148,怪物模型!A$15:G$70,3,0)</f>
        <v>0.36</v>
      </c>
      <c r="F148">
        <f>VLOOKUP(A148,怪物模型!A$15:G$77,4,0)</f>
        <v>0.43</v>
      </c>
      <c r="G148">
        <v>1</v>
      </c>
      <c r="H148">
        <f>VLOOKUP(A148,怪物模型!A$15:G$77,5,0)</f>
        <v>13</v>
      </c>
      <c r="I148">
        <f>VLOOKUP(A148,怪物模型!A$15:G$77,6,0)</f>
        <v>0</v>
      </c>
      <c r="J148">
        <f>VLOOKUP(A148,怪物模型!A$15:G$77,7,0)</f>
        <v>0</v>
      </c>
      <c r="K148">
        <f>ROUND(VLOOKUP(C148,战士难度!A$1:C$135,3,0)/VLOOKUP(B148,怪物抗性与玩家穿透!A$2:Q$74,17,0)*F148,0)</f>
        <v>979551</v>
      </c>
      <c r="L148">
        <f>IF(A148="卡雷",42,IF(A148="法力风暴",ROUND(K148*0.1,0),VLOOKUP(A148,怪物模型!$A$15:$I$70,9,0)*(1+(B148-30)/100)))</f>
        <v>1660.0000000000002</v>
      </c>
      <c r="M148">
        <f>ROUND(VLOOKUP(C148,战士难度!A$1:C$135,2,0)*0.91*E148,0)</f>
        <v>267838</v>
      </c>
      <c r="N148">
        <f t="shared" si="6"/>
        <v>321406</v>
      </c>
      <c r="O148">
        <f>VLOOKUP(B148,怪物抗性与玩家穿透!A$2:Q$74,4,0)</f>
        <v>31000</v>
      </c>
      <c r="P148">
        <f>VLOOKUP(B148,怪物抗性与玩家穿透!A$2:Q$74,5,0)</f>
        <v>10400</v>
      </c>
      <c r="Q148">
        <f t="shared" si="7"/>
        <v>10400</v>
      </c>
      <c r="R148">
        <f>VLOOKUP(B148,[3]battleParameter.xml!$A$6:$E$107,5,0)*(I148/100)/(1-I148/100)</f>
        <v>0</v>
      </c>
      <c r="S148">
        <f>ROUND(VLOOKUP(B148,[3]battleParameter.xml!$A$6:$G$107,7,0)*(J148/100)/(1-J148/100),0)</f>
        <v>0</v>
      </c>
      <c r="T148">
        <f>ROUND(VLOOKUP(B148,[3]battleParameter.xml!$A$6:$Z$107,8,0)*(MIN(H148/100+0.2,0.99))/(1-MIN(H148/100+0.2,0.99)),0)</f>
        <v>3434</v>
      </c>
      <c r="U148">
        <v>0</v>
      </c>
      <c r="V148">
        <v>0</v>
      </c>
    </row>
    <row r="149" spans="1:22">
      <c r="A149" t="str">
        <f>[2]monster.xml!$D494</f>
        <v>舞钢者拜伦</v>
      </c>
      <c r="B149">
        <f>[2]monster.xml!$C494</f>
        <v>97</v>
      </c>
      <c r="C149">
        <f t="shared" si="8"/>
        <v>123</v>
      </c>
      <c r="D149">
        <f>VLOOKUP(A149,怪物模型!A$15:Z$70,8,0)</f>
        <v>8</v>
      </c>
      <c r="E149">
        <f>VLOOKUP(A149,怪物模型!A$15:G$70,3,0)</f>
        <v>0.8</v>
      </c>
      <c r="F149">
        <f>VLOOKUP(A149,怪物模型!A$15:G$77,4,0)</f>
        <v>1</v>
      </c>
      <c r="G149">
        <v>1</v>
      </c>
      <c r="H149">
        <f>VLOOKUP(A149,怪物模型!A$15:G$77,5,0)</f>
        <v>13</v>
      </c>
      <c r="I149">
        <f>VLOOKUP(A149,怪物模型!A$15:G$77,6,0)</f>
        <v>0</v>
      </c>
      <c r="J149">
        <f>VLOOKUP(A149,怪物模型!A$15:G$77,7,0)</f>
        <v>0</v>
      </c>
      <c r="K149">
        <f>ROUND(VLOOKUP(C149,战士难度!A$1:C$135,3,0)/VLOOKUP(B149,怪物抗性与玩家穿透!A$2:Q$74,17,0)*F149,0)</f>
        <v>2542623</v>
      </c>
      <c r="L149">
        <f>IF(A149="卡雷",42,IF(A149="法力风暴",ROUND(K149*0.1,0),VLOOKUP(A149,怪物模型!$A$15:$I$70,9,0)*(1+(B149-30)/100)))</f>
        <v>1670</v>
      </c>
      <c r="M149">
        <f>ROUND(VLOOKUP(C149,战士难度!A$1:C$135,2,0)*0.91*E149,0)</f>
        <v>716985</v>
      </c>
      <c r="N149">
        <f t="shared" si="6"/>
        <v>860382</v>
      </c>
      <c r="O149">
        <f>VLOOKUP(B149,怪物抗性与玩家穿透!A$2:Q$74,4,0)</f>
        <v>32000</v>
      </c>
      <c r="P149">
        <f>VLOOKUP(B149,怪物抗性与玩家穿透!A$2:Q$74,5,0)</f>
        <v>10800</v>
      </c>
      <c r="Q149">
        <f t="shared" si="7"/>
        <v>10800</v>
      </c>
      <c r="R149">
        <f>VLOOKUP(B149,[3]battleParameter.xml!$A$6:$E$107,5,0)*(I149/100)/(1-I149/100)</f>
        <v>0</v>
      </c>
      <c r="S149">
        <f>ROUND(VLOOKUP(B149,[3]battleParameter.xml!$A$6:$G$107,7,0)*(J149/100)/(1-J149/100),0)</f>
        <v>0</v>
      </c>
      <c r="T149">
        <f>ROUND(VLOOKUP(B149,[3]battleParameter.xml!$A$6:$Z$107,8,0)*(MIN(H149/100+0.2,0.99))/(1-MIN(H149/100+0.2,0.99)),0)</f>
        <v>3506</v>
      </c>
      <c r="U149">
        <v>0</v>
      </c>
      <c r="V149">
        <v>0</v>
      </c>
    </row>
    <row r="150" spans="1:22">
      <c r="A150" t="str">
        <f>[2]monster.xml!$D495</f>
        <v>风暴之王</v>
      </c>
      <c r="B150">
        <f>[2]monster.xml!$C495</f>
        <v>97</v>
      </c>
      <c r="C150">
        <f t="shared" si="8"/>
        <v>124</v>
      </c>
      <c r="D150">
        <f>VLOOKUP(A150,怪物模型!A$15:Z$70,8,0)</f>
        <v>6</v>
      </c>
      <c r="E150">
        <f>VLOOKUP(A150,怪物模型!A$15:G$70,3,0)</f>
        <v>0.8</v>
      </c>
      <c r="F150">
        <f>VLOOKUP(A150,怪物模型!A$15:G$77,4,0)</f>
        <v>0.92</v>
      </c>
      <c r="G150">
        <v>1</v>
      </c>
      <c r="H150">
        <f>VLOOKUP(A150,怪物模型!A$15:G$77,5,0)</f>
        <v>13</v>
      </c>
      <c r="I150">
        <f>VLOOKUP(A150,怪物模型!A$15:G$77,6,0)</f>
        <v>0</v>
      </c>
      <c r="J150">
        <f>VLOOKUP(A150,怪物模型!A$15:G$77,7,0)</f>
        <v>0</v>
      </c>
      <c r="K150">
        <f>ROUND(VLOOKUP(C150,战士难度!A$1:C$135,3,0)/VLOOKUP(B150,怪物抗性与玩家穿透!A$2:Q$74,17,0)*F150,0)</f>
        <v>2540753</v>
      </c>
      <c r="L150">
        <f>IF(A150="卡雷",42,IF(A150="法力风暴",ROUND(K150*0.1,0),VLOOKUP(A150,怪物模型!$A$15:$I$70,9,0)*(1+(B150-30)/100)))</f>
        <v>1670</v>
      </c>
      <c r="M150">
        <f>ROUND(VLOOKUP(C150,战士难度!A$1:C$135,2,0)*0.91*E150,0)</f>
        <v>809103</v>
      </c>
      <c r="N150">
        <f t="shared" si="6"/>
        <v>970924</v>
      </c>
      <c r="O150">
        <f>VLOOKUP(B150,怪物抗性与玩家穿透!A$2:Q$74,4,0)</f>
        <v>32000</v>
      </c>
      <c r="P150">
        <f>VLOOKUP(B150,怪物抗性与玩家穿透!A$2:Q$74,5,0)</f>
        <v>10800</v>
      </c>
      <c r="Q150">
        <f t="shared" si="7"/>
        <v>10800</v>
      </c>
      <c r="R150">
        <f>VLOOKUP(B150,[3]battleParameter.xml!$A$6:$E$107,5,0)*(I150/100)/(1-I150/100)</f>
        <v>0</v>
      </c>
      <c r="S150">
        <f>ROUND(VLOOKUP(B150,[3]battleParameter.xml!$A$6:$G$107,7,0)*(J150/100)/(1-J150/100),0)</f>
        <v>0</v>
      </c>
      <c r="T150">
        <f>ROUND(VLOOKUP(B150,[3]battleParameter.xml!$A$6:$Z$107,8,0)*(MIN(H150/100+0.2,0.99))/(1-MIN(H150/100+0.2,0.99)),0)</f>
        <v>3506</v>
      </c>
      <c r="U150">
        <v>0</v>
      </c>
      <c r="V150">
        <v>0</v>
      </c>
    </row>
    <row r="151" spans="1:22">
      <c r="A151" t="str">
        <f>[2]monster.xml!$D496</f>
        <v>雷伊战争使者</v>
      </c>
      <c r="B151">
        <f>[2]monster.xml!$C496</f>
        <v>98</v>
      </c>
      <c r="C151">
        <f t="shared" si="8"/>
        <v>125</v>
      </c>
      <c r="D151">
        <f>VLOOKUP(A151,怪物模型!A$15:Z$70,8,0)</f>
        <v>7</v>
      </c>
      <c r="E151">
        <f>VLOOKUP(A151,怪物模型!A$15:G$70,3,0)</f>
        <v>1</v>
      </c>
      <c r="F151">
        <f>VLOOKUP(A151,怪物模型!A$15:G$77,4,0)</f>
        <v>1</v>
      </c>
      <c r="G151">
        <v>1</v>
      </c>
      <c r="H151">
        <f>VLOOKUP(A151,怪物模型!A$15:G$77,5,0)</f>
        <v>13</v>
      </c>
      <c r="I151">
        <f>VLOOKUP(A151,怪物模型!A$15:G$77,6,0)</f>
        <v>0</v>
      </c>
      <c r="J151">
        <f>VLOOKUP(A151,怪物模型!A$15:G$77,7,0)</f>
        <v>0</v>
      </c>
      <c r="K151">
        <f>ROUND(VLOOKUP(C151,战士难度!A$1:C$135,3,0)/VLOOKUP(B151,怪物抗性与玩家穿透!A$2:Q$74,17,0)*F151,0)</f>
        <v>3005273</v>
      </c>
      <c r="L151">
        <f>IF(A151="卡雷",42,IF(A151="法力风暴",ROUND(K151*0.1,0),VLOOKUP(A151,怪物模型!$A$15:$I$70,9,0)*(1+(B151-30)/100)))</f>
        <v>1680.0000000000002</v>
      </c>
      <c r="M151">
        <f>ROUND(VLOOKUP(C151,战士难度!A$1:C$135,2,0)*0.91*E151,0)</f>
        <v>1141320</v>
      </c>
      <c r="N151">
        <f t="shared" si="6"/>
        <v>1369584</v>
      </c>
      <c r="O151">
        <f>VLOOKUP(B151,怪物抗性与玩家穿透!A$2:Q$74,4,0)</f>
        <v>33000</v>
      </c>
      <c r="P151">
        <f>VLOOKUP(B151,怪物抗性与玩家穿透!A$2:Q$74,5,0)</f>
        <v>11200</v>
      </c>
      <c r="Q151">
        <f t="shared" si="7"/>
        <v>11200</v>
      </c>
      <c r="R151">
        <f>VLOOKUP(B151,[3]battleParameter.xml!$A$6:$E$107,5,0)*(I151/100)/(1-I151/100)</f>
        <v>0</v>
      </c>
      <c r="S151">
        <f>ROUND(VLOOKUP(B151,[3]battleParameter.xml!$A$6:$G$107,7,0)*(J151/100)/(1-J151/100),0)</f>
        <v>0</v>
      </c>
      <c r="T151">
        <f>ROUND(VLOOKUP(B151,[3]battleParameter.xml!$A$6:$Z$107,8,0)*(MIN(H151/100+0.2,0.99))/(1-MIN(H151/100+0.2,0.99)),0)</f>
        <v>3578</v>
      </c>
      <c r="U151">
        <v>0</v>
      </c>
      <c r="V151">
        <v>0</v>
      </c>
    </row>
    <row r="152" spans="1:22">
      <c r="A152" t="str">
        <f>[2]monster.xml!$D497</f>
        <v>暴君泰伦</v>
      </c>
      <c r="B152">
        <f>[2]monster.xml!$C497</f>
        <v>99</v>
      </c>
      <c r="C152">
        <f t="shared" si="8"/>
        <v>126</v>
      </c>
      <c r="D152" t="str">
        <f>VLOOKUP(A152,怪物模型!A$15:Z$70,8,0)</f>
        <v>10,9</v>
      </c>
      <c r="E152">
        <f>VLOOKUP(A152,怪物模型!A$15:G$70,3,0)</f>
        <v>1.2</v>
      </c>
      <c r="F152">
        <f>VLOOKUP(A152,怪物模型!A$15:G$77,4,0)</f>
        <v>1.1499999999999999</v>
      </c>
      <c r="G152">
        <v>1</v>
      </c>
      <c r="H152">
        <f>VLOOKUP(A152,怪物模型!A$15:G$77,5,0)</f>
        <v>15</v>
      </c>
      <c r="I152">
        <f>VLOOKUP(A152,怪物模型!A$15:G$77,6,0)</f>
        <v>0</v>
      </c>
      <c r="J152">
        <f>VLOOKUP(A152,怪物模型!A$15:G$77,7,0)</f>
        <v>15</v>
      </c>
      <c r="K152">
        <f>ROUND(VLOOKUP(C152,战士难度!A$1:C$135,3,0)/VLOOKUP(B152,怪物抗性与玩家穿透!A$2:Q$74,17,0)*F152,0)</f>
        <v>3868202</v>
      </c>
      <c r="L152">
        <f>IF(A152="卡雷",42,IF(A152="法力风暴",ROUND(K152*0.1,0),VLOOKUP(A152,怪物模型!$A$15:$I$70,9,0)*(1+(B152-30)/100)))</f>
        <v>5070</v>
      </c>
      <c r="M152">
        <f>ROUND(VLOOKUP(C152,战士难度!A$1:C$135,2,0)*0.91*E152,0)</f>
        <v>1609090</v>
      </c>
      <c r="N152">
        <f t="shared" si="6"/>
        <v>1930908</v>
      </c>
      <c r="O152">
        <f>VLOOKUP(B152,怪物抗性与玩家穿透!A$2:Q$74,4,0)</f>
        <v>34000</v>
      </c>
      <c r="P152">
        <f>VLOOKUP(B152,怪物抗性与玩家穿透!A$2:Q$74,5,0)</f>
        <v>11600</v>
      </c>
      <c r="Q152">
        <f t="shared" si="7"/>
        <v>11600</v>
      </c>
      <c r="R152">
        <f>VLOOKUP(B152,[3]battleParameter.xml!$A$6:$E$107,5,0)*(I152/100)/(1-I152/100)</f>
        <v>0</v>
      </c>
      <c r="S152">
        <f>ROUND(VLOOKUP(B152,[3]battleParameter.xml!$A$6:$G$107,7,0)*(J152/100)/(1-J152/100),0)</f>
        <v>5233</v>
      </c>
      <c r="T152">
        <f>ROUND(VLOOKUP(B152,[3]battleParameter.xml!$A$6:$Z$107,8,0)*(MIN(H152/100+0.2,0.99))/(1-MIN(H152/100+0.2,0.99)),0)</f>
        <v>3992</v>
      </c>
      <c r="U152">
        <v>0</v>
      </c>
      <c r="V152">
        <v>0</v>
      </c>
    </row>
    <row r="153" spans="1:22">
      <c r="A153" t="str">
        <f>[2]monster.xml!$D498</f>
        <v>疾风克鲁</v>
      </c>
      <c r="B153">
        <f>[2]monster.xml!$C498</f>
        <v>100</v>
      </c>
      <c r="C153">
        <f t="shared" si="8"/>
        <v>127</v>
      </c>
      <c r="D153">
        <f>VLOOKUP(A153,怪物模型!A$15:Z$70,8,0)</f>
        <v>19</v>
      </c>
      <c r="E153">
        <f>VLOOKUP(A153,怪物模型!A$15:G$70,3,0)</f>
        <v>1</v>
      </c>
      <c r="F153">
        <f>VLOOKUP(A153,怪物模型!A$15:G$77,4,0)</f>
        <v>1</v>
      </c>
      <c r="G153">
        <v>1</v>
      </c>
      <c r="H153">
        <f>VLOOKUP(A153,怪物模型!A$15:G$77,5,0)</f>
        <v>13</v>
      </c>
      <c r="I153">
        <f>VLOOKUP(A153,怪物模型!A$15:G$77,6,0)</f>
        <v>0</v>
      </c>
      <c r="J153">
        <f>VLOOKUP(A153,怪物模型!A$15:G$77,7,0)</f>
        <v>0</v>
      </c>
      <c r="K153">
        <f>ROUND(VLOOKUP(C153,战士难度!A$1:C$135,3,0)/VLOOKUP(B153,怪物抗性与玩家穿透!A$2:Q$74,17,0)*F153,0)</f>
        <v>1906285</v>
      </c>
      <c r="L153">
        <f>IF(A153="卡雷",42,IF(A153="法力风暴",ROUND(K153*0.1,0),VLOOKUP(A153,怪物模型!$A$15:$I$70,9,0)*(1+(B153-30)/100)))</f>
        <v>1700</v>
      </c>
      <c r="M153">
        <f>ROUND(VLOOKUP(C153,战士难度!A$1:C$135,2,0)*0.91*E153,0)</f>
        <v>395380</v>
      </c>
      <c r="N153">
        <f t="shared" si="6"/>
        <v>474456</v>
      </c>
      <c r="O153">
        <f>VLOOKUP(B153,怪物抗性与玩家穿透!A$2:Q$74,4,0)</f>
        <v>35000</v>
      </c>
      <c r="P153">
        <f>VLOOKUP(B153,怪物抗性与玩家穿透!A$2:Q$74,5,0)</f>
        <v>12000</v>
      </c>
      <c r="Q153">
        <f t="shared" si="7"/>
        <v>12000</v>
      </c>
      <c r="R153">
        <f>VLOOKUP(B153,[3]battleParameter.xml!$A$6:$E$107,5,0)*(I153/100)/(1-I153/100)</f>
        <v>0</v>
      </c>
      <c r="S153">
        <f>ROUND(VLOOKUP(B153,[3]battleParameter.xml!$A$6:$G$107,7,0)*(J153/100)/(1-J153/100),0)</f>
        <v>0</v>
      </c>
      <c r="T153">
        <f>ROUND(VLOOKUP(B153,[3]battleParameter.xml!$A$6:$Z$107,8,0)*(MIN(H153/100+0.2,0.99))/(1-MIN(H153/100+0.2,0.99)),0)</f>
        <v>3725</v>
      </c>
      <c r="U153">
        <v>0</v>
      </c>
      <c r="V153">
        <v>0</v>
      </c>
    </row>
    <row r="154" spans="1:22">
      <c r="A154" t="str">
        <f>[2]monster.xml!$D499</f>
        <v>拨弄的赛亚</v>
      </c>
      <c r="B154">
        <f>[2]monster.xml!$C499</f>
        <v>100</v>
      </c>
      <c r="C154">
        <f t="shared" si="8"/>
        <v>128</v>
      </c>
      <c r="D154" t="str">
        <f>VLOOKUP(A154,怪物模型!A$15:Z$70,8,0)</f>
        <v>17,18,8</v>
      </c>
      <c r="E154">
        <f>VLOOKUP(A154,怪物模型!A$15:G$70,3,0)</f>
        <v>1.2</v>
      </c>
      <c r="F154">
        <f>VLOOKUP(A154,怪物模型!A$15:G$77,4,0)</f>
        <v>1</v>
      </c>
      <c r="G154">
        <v>1</v>
      </c>
      <c r="H154">
        <f>VLOOKUP(A154,怪物模型!A$15:G$77,5,0)</f>
        <v>13</v>
      </c>
      <c r="I154">
        <f>VLOOKUP(A154,怪物模型!A$15:G$77,6,0)</f>
        <v>0</v>
      </c>
      <c r="J154">
        <f>VLOOKUP(A154,怪物模型!A$15:G$77,7,0)</f>
        <v>0</v>
      </c>
      <c r="K154">
        <f>ROUND(VLOOKUP(C154,战士难度!A$1:C$135,3,0)/VLOOKUP(B154,怪物抗性与玩家穿透!A$2:Q$74,17,0)*F154,0)</f>
        <v>2134912</v>
      </c>
      <c r="L154">
        <f>IF(A154="卡雷",42,IF(A154="法力风暴",ROUND(K154*0.1,0),VLOOKUP(A154,怪物模型!$A$15:$I$70,9,0)*(1+(B154-30)/100)))</f>
        <v>5100</v>
      </c>
      <c r="M154">
        <f>ROUND(VLOOKUP(C154,战士难度!A$1:C$135,2,0)*0.91*E154,0)</f>
        <v>626907</v>
      </c>
      <c r="N154">
        <f t="shared" si="6"/>
        <v>752288</v>
      </c>
      <c r="O154">
        <f>VLOOKUP(B154,怪物抗性与玩家穿透!A$2:Q$74,4,0)</f>
        <v>35000</v>
      </c>
      <c r="P154">
        <f>VLOOKUP(B154,怪物抗性与玩家穿透!A$2:Q$74,5,0)</f>
        <v>12000</v>
      </c>
      <c r="Q154">
        <f t="shared" si="7"/>
        <v>12000</v>
      </c>
      <c r="R154">
        <f>VLOOKUP(B154,[3]battleParameter.xml!$A$6:$E$107,5,0)*(I154/100)/(1-I154/100)</f>
        <v>0</v>
      </c>
      <c r="S154">
        <f>ROUND(VLOOKUP(B154,[3]battleParameter.xml!$A$6:$G$107,7,0)*(J154/100)/(1-J154/100),0)</f>
        <v>0</v>
      </c>
      <c r="T154">
        <f>ROUND(VLOOKUP(B154,[3]battleParameter.xml!$A$6:$Z$107,8,0)*(MIN(H154/100+0.2,0.99))/(1-MIN(H154/100+0.2,0.99)),0)</f>
        <v>3725</v>
      </c>
      <c r="U154">
        <v>0</v>
      </c>
      <c r="V154">
        <v>0</v>
      </c>
    </row>
    <row r="155" spans="1:22">
      <c r="A155" t="str">
        <f>[2]monster.xml!$D500</f>
        <v>法力风暴</v>
      </c>
      <c r="B155">
        <f>[2]monster.xml!$C500</f>
        <v>101</v>
      </c>
      <c r="C155">
        <f t="shared" si="8"/>
        <v>129</v>
      </c>
      <c r="D155" t="str">
        <f>VLOOKUP(A155,怪物模型!A$15:Z$70,8,0)</f>
        <v>25,30</v>
      </c>
      <c r="E155">
        <f>VLOOKUP(A155,怪物模型!A$15:G$70,3,0)</f>
        <v>1.5</v>
      </c>
      <c r="F155">
        <f>VLOOKUP(A155,怪物模型!A$15:G$77,4,0)</f>
        <v>0.68</v>
      </c>
      <c r="G155">
        <v>1</v>
      </c>
      <c r="H155">
        <f>VLOOKUP(A155,怪物模型!A$15:G$77,5,0)</f>
        <v>13</v>
      </c>
      <c r="I155">
        <f>VLOOKUP(A155,怪物模型!A$15:G$77,6,0)</f>
        <v>0</v>
      </c>
      <c r="J155">
        <f>VLOOKUP(A155,怪物模型!A$15:G$77,7,0)</f>
        <v>0</v>
      </c>
      <c r="K155">
        <f>ROUND(VLOOKUP(C155,战士难度!A$1:C$135,3,0)/VLOOKUP(B155,怪物抗性与玩家穿透!A$2:Q$74,17,0)*F155,0)</f>
        <v>1683376</v>
      </c>
      <c r="L155">
        <f>IF(A155="卡雷",42,IF(A155="法力风暴",ROUND(K155*0.1,0),VLOOKUP(A155,怪物模型!$A$15:$I$70,9,0)*(1+(B155-30)/100)))</f>
        <v>168338</v>
      </c>
      <c r="M155">
        <f>ROUND(VLOOKUP(C155,战士难度!A$1:C$135,2,0)*0.91*E155,0)</f>
        <v>1136204</v>
      </c>
      <c r="N155">
        <f t="shared" si="6"/>
        <v>1363445</v>
      </c>
      <c r="O155">
        <f>VLOOKUP(B155,怪物抗性与玩家穿透!A$2:Q$74,4,0)</f>
        <v>36000</v>
      </c>
      <c r="P155">
        <f>VLOOKUP(B155,怪物抗性与玩家穿透!A$2:Q$74,5,0)</f>
        <v>12400</v>
      </c>
      <c r="Q155">
        <f t="shared" si="7"/>
        <v>12400</v>
      </c>
      <c r="R155">
        <f>VLOOKUP(B155,[3]battleParameter.xml!$A$6:$E$107,5,0)*(I155/100)/(1-I155/100)</f>
        <v>0</v>
      </c>
      <c r="S155">
        <f>ROUND(VLOOKUP(B155,[3]battleParameter.xml!$A$6:$G$107,7,0)*(J155/100)/(1-J155/100),0)</f>
        <v>0</v>
      </c>
      <c r="T155">
        <f>ROUND(VLOOKUP(B155,[3]battleParameter.xml!$A$6:$Z$107,8,0)*(MIN(H155/100+0.2,0.99))/(1-MIN(H155/100+0.2,0.99)),0)</f>
        <v>3800</v>
      </c>
      <c r="U155">
        <v>0</v>
      </c>
      <c r="V155">
        <v>0</v>
      </c>
    </row>
    <row r="156" spans="1:22">
      <c r="A156" t="str">
        <f>[2]monster.xml!$D501</f>
        <v>火舞者</v>
      </c>
      <c r="B156">
        <f>[2]monster.xml!$C501</f>
        <v>101</v>
      </c>
      <c r="C156">
        <f t="shared" si="8"/>
        <v>130</v>
      </c>
      <c r="D156">
        <f>VLOOKUP(A156,怪物模型!A$15:Z$70,8,0)</f>
        <v>29</v>
      </c>
      <c r="E156">
        <f>VLOOKUP(A156,怪物模型!A$15:G$70,3,0)</f>
        <v>1</v>
      </c>
      <c r="F156">
        <f>VLOOKUP(A156,怪物模型!A$15:G$77,4,0)</f>
        <v>0.95</v>
      </c>
      <c r="G156">
        <v>1</v>
      </c>
      <c r="H156">
        <f>VLOOKUP(A156,怪物模型!A$15:G$77,5,0)</f>
        <v>13</v>
      </c>
      <c r="I156">
        <f>VLOOKUP(A156,怪物模型!A$15:G$77,6,0)</f>
        <v>0</v>
      </c>
      <c r="J156">
        <f>VLOOKUP(A156,怪物模型!A$15:G$77,7,0)</f>
        <v>0</v>
      </c>
      <c r="K156">
        <f>ROUND(VLOOKUP(C156,战士难度!A$1:C$135,3,0)/VLOOKUP(B156,怪物抗性与玩家穿透!A$2:Q$74,17,0)*F156,0)</f>
        <v>2552826</v>
      </c>
      <c r="L156">
        <f>IF(A156="卡雷",42,IF(A156="法力风暴",ROUND(K156*0.1,0),VLOOKUP(A156,怪物模型!$A$15:$I$70,9,0)*(1+(B156-30)/100)))</f>
        <v>1710</v>
      </c>
      <c r="M156">
        <f>ROUND(VLOOKUP(C156,战士难度!A$1:C$135,2,0)*0.91*E156,0)</f>
        <v>872979</v>
      </c>
      <c r="N156">
        <f t="shared" si="6"/>
        <v>1047575</v>
      </c>
      <c r="O156">
        <f>VLOOKUP(B156,怪物抗性与玩家穿透!A$2:Q$74,4,0)</f>
        <v>36000</v>
      </c>
      <c r="P156">
        <f>VLOOKUP(B156,怪物抗性与玩家穿透!A$2:Q$74,5,0)</f>
        <v>12400</v>
      </c>
      <c r="Q156">
        <f t="shared" si="7"/>
        <v>12400</v>
      </c>
      <c r="R156">
        <f>VLOOKUP(B156,[3]battleParameter.xml!$A$6:$E$107,5,0)*(I156/100)/(1-I156/100)</f>
        <v>0</v>
      </c>
      <c r="S156">
        <f>ROUND(VLOOKUP(B156,[3]battleParameter.xml!$A$6:$G$107,7,0)*(J156/100)/(1-J156/100),0)</f>
        <v>0</v>
      </c>
      <c r="T156">
        <f>ROUND(VLOOKUP(B156,[3]battleParameter.xml!$A$6:$Z$107,8,0)*(MIN(H156/100+0.2,0.99))/(1-MIN(H156/100+0.2,0.99)),0)</f>
        <v>3800</v>
      </c>
      <c r="U156">
        <v>0</v>
      </c>
      <c r="V156">
        <v>0</v>
      </c>
    </row>
    <row r="157" spans="1:22">
      <c r="A157" t="str">
        <f>[2]monster.xml!$D502</f>
        <v>血誓审判者</v>
      </c>
      <c r="B157">
        <f>[2]monster.xml!$C502</f>
        <v>101</v>
      </c>
      <c r="C157">
        <f t="shared" si="8"/>
        <v>131</v>
      </c>
      <c r="D157">
        <f>VLOOKUP(A157,怪物模型!A$15:Z$70,8,0)</f>
        <v>5</v>
      </c>
      <c r="E157">
        <f>VLOOKUP(A157,怪物模型!A$15:G$70,3,0)</f>
        <v>0.28000000000000003</v>
      </c>
      <c r="F157">
        <f>VLOOKUP(A157,怪物模型!A$15:G$77,4,0)</f>
        <v>0.45</v>
      </c>
      <c r="G157">
        <v>1</v>
      </c>
      <c r="H157">
        <f>VLOOKUP(A157,怪物模型!A$15:G$77,5,0)</f>
        <v>13</v>
      </c>
      <c r="I157">
        <f>VLOOKUP(A157,怪物模型!A$15:G$77,6,0)</f>
        <v>0</v>
      </c>
      <c r="J157">
        <f>VLOOKUP(A157,怪物模型!A$15:G$77,7,0)</f>
        <v>0</v>
      </c>
      <c r="K157">
        <f>ROUND(VLOOKUP(C157,战士难度!A$1:C$135,3,0)/VLOOKUP(B157,怪物抗性与玩家穿透!A$2:Q$74,17,0)*F157,0)</f>
        <v>1312609</v>
      </c>
      <c r="L157">
        <f>IF(A157="卡雷",42,IF(A157="法力风暴",ROUND(K157*0.1,0),VLOOKUP(A157,怪物模型!$A$15:$I$70,9,0)*(1+(B157-30)/100)))</f>
        <v>1710</v>
      </c>
      <c r="M157">
        <f>ROUND(VLOOKUP(C157,战士难度!A$1:C$135,2,0)*0.91*E157,0)</f>
        <v>281709</v>
      </c>
      <c r="N157">
        <f t="shared" si="6"/>
        <v>338051</v>
      </c>
      <c r="O157">
        <f>VLOOKUP(B157,怪物抗性与玩家穿透!A$2:Q$74,4,0)</f>
        <v>36000</v>
      </c>
      <c r="P157">
        <f>VLOOKUP(B157,怪物抗性与玩家穿透!A$2:Q$74,5,0)</f>
        <v>12400</v>
      </c>
      <c r="Q157">
        <f t="shared" si="7"/>
        <v>12400</v>
      </c>
      <c r="R157">
        <f>VLOOKUP(B157,[3]battleParameter.xml!$A$6:$E$107,5,0)*(I157/100)/(1-I157/100)</f>
        <v>0</v>
      </c>
      <c r="S157">
        <f>ROUND(VLOOKUP(B157,[3]battleParameter.xml!$A$6:$G$107,7,0)*(J157/100)/(1-J157/100),0)</f>
        <v>0</v>
      </c>
      <c r="T157">
        <f>ROUND(VLOOKUP(B157,[3]battleParameter.xml!$A$6:$Z$107,8,0)*(MIN(H157/100+0.2,0.99))/(1-MIN(H157/100+0.2,0.99)),0)</f>
        <v>3800</v>
      </c>
      <c r="U157">
        <v>0</v>
      </c>
      <c r="V157">
        <v>0</v>
      </c>
    </row>
    <row r="158" spans="1:22">
      <c r="A158" t="str">
        <f>[2]monster.xml!$D503</f>
        <v>血誓预言者</v>
      </c>
      <c r="B158">
        <f>[2]monster.xml!$C503</f>
        <v>101</v>
      </c>
      <c r="C158">
        <f t="shared" si="8"/>
        <v>131</v>
      </c>
      <c r="D158">
        <f>VLOOKUP(A158,怪物模型!A$15:Z$70,8,0)</f>
        <v>2</v>
      </c>
      <c r="E158">
        <f>VLOOKUP(A158,怪物模型!A$15:G$70,3,0)</f>
        <v>0.3</v>
      </c>
      <c r="F158">
        <f>VLOOKUP(A158,怪物模型!A$15:G$77,4,0)</f>
        <v>0.42</v>
      </c>
      <c r="G158">
        <v>1</v>
      </c>
      <c r="H158">
        <f>VLOOKUP(A158,怪物模型!A$15:G$77,5,0)</f>
        <v>13</v>
      </c>
      <c r="I158">
        <f>VLOOKUP(A158,怪物模型!A$15:G$77,6,0)</f>
        <v>0</v>
      </c>
      <c r="J158">
        <f>VLOOKUP(A158,怪物模型!A$15:G$77,7,0)</f>
        <v>0</v>
      </c>
      <c r="K158">
        <f>ROUND(VLOOKUP(C158,战士难度!A$1:C$135,3,0)/VLOOKUP(B158,怪物抗性与玩家穿透!A$2:Q$74,17,0)*F158,0)</f>
        <v>1225102</v>
      </c>
      <c r="L158">
        <f>IF(A158="卡雷",42,IF(A158="法力风暴",ROUND(K158*0.1,0),VLOOKUP(A158,怪物模型!$A$15:$I$70,9,0)*(1+(B158-30)/100)))</f>
        <v>1368</v>
      </c>
      <c r="M158">
        <f>ROUND(VLOOKUP(C158,战士难度!A$1:C$135,2,0)*0.91*E158,0)</f>
        <v>301832</v>
      </c>
      <c r="N158">
        <f t="shared" si="6"/>
        <v>362198</v>
      </c>
      <c r="O158">
        <f>VLOOKUP(B158,怪物抗性与玩家穿透!A$2:Q$74,4,0)</f>
        <v>36000</v>
      </c>
      <c r="P158">
        <f>VLOOKUP(B158,怪物抗性与玩家穿透!A$2:Q$74,5,0)</f>
        <v>12400</v>
      </c>
      <c r="Q158">
        <f t="shared" si="7"/>
        <v>12400</v>
      </c>
      <c r="R158">
        <f>VLOOKUP(B158,[3]battleParameter.xml!$A$6:$E$107,5,0)*(I158/100)/(1-I158/100)</f>
        <v>0</v>
      </c>
      <c r="S158">
        <f>ROUND(VLOOKUP(B158,[3]battleParameter.xml!$A$6:$G$107,7,0)*(J158/100)/(1-J158/100),0)</f>
        <v>0</v>
      </c>
      <c r="T158">
        <f>ROUND(VLOOKUP(B158,[3]battleParameter.xml!$A$6:$Z$107,8,0)*(MIN(H158/100+0.2,0.99))/(1-MIN(H158/100+0.2,0.99)),0)</f>
        <v>3800</v>
      </c>
      <c r="U158">
        <v>0</v>
      </c>
      <c r="V158">
        <v>0</v>
      </c>
    </row>
    <row r="159" spans="1:22">
      <c r="A159" t="str">
        <f>[2]monster.xml!$D504</f>
        <v>血誓召唤者</v>
      </c>
      <c r="B159">
        <f>[2]monster.xml!$C504</f>
        <v>101</v>
      </c>
      <c r="C159">
        <f t="shared" si="8"/>
        <v>131</v>
      </c>
      <c r="D159">
        <f>VLOOKUP(A159,怪物模型!A$15:Z$70,8,0)</f>
        <v>26</v>
      </c>
      <c r="E159">
        <f>VLOOKUP(A159,怪物模型!A$15:G$70,3,0)</f>
        <v>0.36</v>
      </c>
      <c r="F159">
        <f>VLOOKUP(A159,怪物模型!A$15:G$77,4,0)</f>
        <v>0.44</v>
      </c>
      <c r="G159">
        <v>1</v>
      </c>
      <c r="H159">
        <f>VLOOKUP(A159,怪物模型!A$15:G$77,5,0)</f>
        <v>13</v>
      </c>
      <c r="I159">
        <f>VLOOKUP(A159,怪物模型!A$15:G$77,6,0)</f>
        <v>0</v>
      </c>
      <c r="J159">
        <f>VLOOKUP(A159,怪物模型!A$15:G$77,7,0)</f>
        <v>0</v>
      </c>
      <c r="K159">
        <f>ROUND(VLOOKUP(C159,战士难度!A$1:C$135,3,0)/VLOOKUP(B159,怪物抗性与玩家穿透!A$2:Q$74,17,0)*F159,0)</f>
        <v>1283440</v>
      </c>
      <c r="L159">
        <f>IF(A159="卡雷",42,IF(A159="法力风暴",ROUND(K159*0.1,0),VLOOKUP(A159,怪物模型!$A$15:$I$70,9,0)*(1+(B159-30)/100)))</f>
        <v>1710</v>
      </c>
      <c r="M159">
        <f>ROUND(VLOOKUP(C159,战士难度!A$1:C$135,2,0)*0.91*E159,0)</f>
        <v>362198</v>
      </c>
      <c r="N159">
        <f t="shared" si="6"/>
        <v>434638</v>
      </c>
      <c r="O159">
        <f>VLOOKUP(B159,怪物抗性与玩家穿透!A$2:Q$74,4,0)</f>
        <v>36000</v>
      </c>
      <c r="P159">
        <f>VLOOKUP(B159,怪物抗性与玩家穿透!A$2:Q$74,5,0)</f>
        <v>12400</v>
      </c>
      <c r="Q159">
        <f t="shared" si="7"/>
        <v>12400</v>
      </c>
      <c r="R159">
        <f>VLOOKUP(B159,[3]battleParameter.xml!$A$6:$E$107,5,0)*(I159/100)/(1-I159/100)</f>
        <v>0</v>
      </c>
      <c r="S159">
        <f>ROUND(VLOOKUP(B159,[3]battleParameter.xml!$A$6:$G$107,7,0)*(J159/100)/(1-J159/100),0)</f>
        <v>0</v>
      </c>
      <c r="T159">
        <f>ROUND(VLOOKUP(B159,[3]battleParameter.xml!$A$6:$Z$107,8,0)*(MIN(H159/100+0.2,0.99))/(1-MIN(H159/100+0.2,0.99)),0)</f>
        <v>3800</v>
      </c>
      <c r="U159">
        <v>0</v>
      </c>
      <c r="V159">
        <v>0</v>
      </c>
    </row>
    <row r="160" spans="1:22">
      <c r="A160" t="str">
        <f>[2]monster.xml!$D505</f>
        <v>血誓领主</v>
      </c>
      <c r="B160">
        <f>[2]monster.xml!$C505</f>
        <v>101</v>
      </c>
      <c r="C160">
        <f t="shared" si="8"/>
        <v>131</v>
      </c>
      <c r="D160">
        <f>VLOOKUP(A160,怪物模型!A$15:Z$70,8,0)</f>
        <v>14</v>
      </c>
      <c r="E160">
        <f>VLOOKUP(A160,怪物模型!A$15:G$70,3,0)</f>
        <v>0.36</v>
      </c>
      <c r="F160">
        <f>VLOOKUP(A160,怪物模型!A$15:G$77,4,0)</f>
        <v>0.43</v>
      </c>
      <c r="G160">
        <v>1</v>
      </c>
      <c r="H160">
        <f>VLOOKUP(A160,怪物模型!A$15:G$77,5,0)</f>
        <v>13</v>
      </c>
      <c r="I160">
        <f>VLOOKUP(A160,怪物模型!A$15:G$77,6,0)</f>
        <v>0</v>
      </c>
      <c r="J160">
        <f>VLOOKUP(A160,怪物模型!A$15:G$77,7,0)</f>
        <v>0</v>
      </c>
      <c r="K160">
        <f>ROUND(VLOOKUP(C160,战士难度!A$1:C$135,3,0)/VLOOKUP(B160,怪物抗性与玩家穿透!A$2:Q$74,17,0)*F160,0)</f>
        <v>1254271</v>
      </c>
      <c r="L160">
        <f>IF(A160="卡雷",42,IF(A160="法力风暴",ROUND(K160*0.1,0),VLOOKUP(A160,怪物模型!$A$15:$I$70,9,0)*(1+(B160-30)/100)))</f>
        <v>1710</v>
      </c>
      <c r="M160">
        <f>ROUND(VLOOKUP(C160,战士难度!A$1:C$135,2,0)*0.91*E160,0)</f>
        <v>362198</v>
      </c>
      <c r="N160">
        <f t="shared" si="6"/>
        <v>434638</v>
      </c>
      <c r="O160">
        <f>VLOOKUP(B160,怪物抗性与玩家穿透!A$2:Q$74,4,0)</f>
        <v>36000</v>
      </c>
      <c r="P160">
        <f>VLOOKUP(B160,怪物抗性与玩家穿透!A$2:Q$74,5,0)</f>
        <v>12400</v>
      </c>
      <c r="Q160">
        <f t="shared" si="7"/>
        <v>12400</v>
      </c>
      <c r="R160">
        <f>VLOOKUP(B160,[3]battleParameter.xml!$A$6:$E$107,5,0)*(I160/100)/(1-I160/100)</f>
        <v>0</v>
      </c>
      <c r="S160">
        <f>ROUND(VLOOKUP(B160,[3]battleParameter.xml!$A$6:$G$107,7,0)*(J160/100)/(1-J160/100),0)</f>
        <v>0</v>
      </c>
      <c r="T160">
        <f>ROUND(VLOOKUP(B160,[3]battleParameter.xml!$A$6:$Z$107,8,0)*(MIN(H160/100+0.2,0.99))/(1-MIN(H160/100+0.2,0.99)),0)</f>
        <v>3800</v>
      </c>
      <c r="U160">
        <v>0</v>
      </c>
      <c r="V160">
        <v>0</v>
      </c>
    </row>
    <row r="161" spans="1:22">
      <c r="A161" t="str">
        <f>[2]monster.xml!$D506</f>
        <v>舞钢者拜伦</v>
      </c>
      <c r="B161">
        <f>[2]monster.xml!$C506</f>
        <v>102</v>
      </c>
      <c r="C161">
        <f t="shared" si="8"/>
        <v>132</v>
      </c>
      <c r="D161">
        <f>VLOOKUP(A161,怪物模型!A$15:Z$70,8,0)</f>
        <v>8</v>
      </c>
      <c r="E161">
        <f>VLOOKUP(A161,怪物模型!A$15:G$70,3,0)</f>
        <v>0.8</v>
      </c>
      <c r="F161">
        <f>VLOOKUP(A161,怪物模型!A$15:G$77,4,0)</f>
        <v>1</v>
      </c>
      <c r="G161">
        <v>1</v>
      </c>
      <c r="H161">
        <f>VLOOKUP(A161,怪物模型!A$15:G$77,5,0)</f>
        <v>13</v>
      </c>
      <c r="I161">
        <f>VLOOKUP(A161,怪物模型!A$15:G$77,6,0)</f>
        <v>0</v>
      </c>
      <c r="J161">
        <f>VLOOKUP(A161,怪物模型!A$15:G$77,7,0)</f>
        <v>0</v>
      </c>
      <c r="K161">
        <f>ROUND(VLOOKUP(C161,战士难度!A$1:C$135,3,0)/VLOOKUP(B161,怪物抗性与玩家穿透!A$2:Q$74,17,0)*F161,0)</f>
        <v>3263779</v>
      </c>
      <c r="L161">
        <f>IF(A161="卡雷",42,IF(A161="法力风暴",ROUND(K161*0.1,0),VLOOKUP(A161,怪物模型!$A$15:$I$70,9,0)*(1+(B161-30)/100)))</f>
        <v>1720</v>
      </c>
      <c r="M161">
        <f>ROUND(VLOOKUP(C161,战士难度!A$1:C$135,2,0)*0.91*E161,0)</f>
        <v>972565</v>
      </c>
      <c r="N161">
        <f t="shared" si="6"/>
        <v>1167078</v>
      </c>
      <c r="O161">
        <f>VLOOKUP(B161,怪物抗性与玩家穿透!A$2:Q$74,4,0)</f>
        <v>37000</v>
      </c>
      <c r="P161">
        <f>VLOOKUP(B161,怪物抗性与玩家穿透!A$2:Q$74,5,0)</f>
        <v>12800</v>
      </c>
      <c r="Q161">
        <f t="shared" si="7"/>
        <v>12800</v>
      </c>
      <c r="R161">
        <f>VLOOKUP(B161,[3]battleParameter.xml!$A$6:$E$107,5,0)*(I161/100)/(1-I161/100)</f>
        <v>0</v>
      </c>
      <c r="S161">
        <f>ROUND(VLOOKUP(B161,[3]battleParameter.xml!$A$6:$G$107,7,0)*(J161/100)/(1-J161/100),0)</f>
        <v>0</v>
      </c>
      <c r="T161">
        <f>ROUND(VLOOKUP(B161,[3]battleParameter.xml!$A$6:$Z$107,8,0)*(MIN(H161/100+0.2,0.99))/(1-MIN(H161/100+0.2,0.99)),0)</f>
        <v>3875</v>
      </c>
      <c r="U161">
        <v>0</v>
      </c>
      <c r="V161">
        <v>0</v>
      </c>
    </row>
    <row r="162" spans="1:22">
      <c r="A162" t="str">
        <f>[2]monster.xml!$D507</f>
        <v>风暴之王</v>
      </c>
      <c r="B162">
        <f>[2]monster.xml!$C507</f>
        <v>102</v>
      </c>
      <c r="C162">
        <f t="shared" si="8"/>
        <v>133</v>
      </c>
      <c r="D162">
        <f>VLOOKUP(A162,怪物模型!A$15:Z$70,8,0)</f>
        <v>6</v>
      </c>
      <c r="E162">
        <f>VLOOKUP(A162,怪物模型!A$15:G$70,3,0)</f>
        <v>0.8</v>
      </c>
      <c r="F162">
        <f>VLOOKUP(A162,怪物模型!A$15:G$77,4,0)</f>
        <v>0.92</v>
      </c>
      <c r="G162">
        <v>1</v>
      </c>
      <c r="H162">
        <f>VLOOKUP(A162,怪物模型!A$15:G$77,5,0)</f>
        <v>13</v>
      </c>
      <c r="I162">
        <f>VLOOKUP(A162,怪物模型!A$15:G$77,6,0)</f>
        <v>0</v>
      </c>
      <c r="J162">
        <f>VLOOKUP(A162,怪物模型!A$15:G$77,7,0)</f>
        <v>0</v>
      </c>
      <c r="K162">
        <f>ROUND(VLOOKUP(C162,战士难度!A$1:C$135,3,0)/VLOOKUP(B162,怪物抗性与玩家穿透!A$2:Q$74,17,0)*F162,0)</f>
        <v>3262724</v>
      </c>
      <c r="L162">
        <f>IF(A162="卡雷",42,IF(A162="法力风暴",ROUND(K162*0.1,0),VLOOKUP(A162,怪物模型!$A$15:$I$70,9,0)*(1+(B162-30)/100)))</f>
        <v>1720</v>
      </c>
      <c r="M162">
        <f>ROUND(VLOOKUP(C162,战士难度!A$1:C$135,2,0)*0.91*E162,0)</f>
        <v>1098928</v>
      </c>
      <c r="N162">
        <f t="shared" si="6"/>
        <v>1318714</v>
      </c>
      <c r="O162">
        <f>VLOOKUP(B162,怪物抗性与玩家穿透!A$2:Q$74,4,0)</f>
        <v>37000</v>
      </c>
      <c r="P162">
        <f>VLOOKUP(B162,怪物抗性与玩家穿透!A$2:Q$74,5,0)</f>
        <v>12800</v>
      </c>
      <c r="Q162">
        <f t="shared" si="7"/>
        <v>12800</v>
      </c>
      <c r="R162">
        <f>VLOOKUP(B162,[3]battleParameter.xml!$A$6:$E$107,5,0)*(I162/100)/(1-I162/100)</f>
        <v>0</v>
      </c>
      <c r="S162">
        <f>ROUND(VLOOKUP(B162,[3]battleParameter.xml!$A$6:$G$107,7,0)*(J162/100)/(1-J162/100),0)</f>
        <v>0</v>
      </c>
      <c r="T162">
        <f>ROUND(VLOOKUP(B162,[3]battleParameter.xml!$A$6:$Z$107,8,0)*(MIN(H162/100+0.2,0.99))/(1-MIN(H162/100+0.2,0.99)),0)</f>
        <v>3875</v>
      </c>
      <c r="U162">
        <v>0</v>
      </c>
      <c r="V162">
        <v>0</v>
      </c>
    </row>
    <row r="163" spans="1:22">
      <c r="A163" t="str">
        <f>[2]monster.xml!$D508</f>
        <v>雷伊战争使者</v>
      </c>
      <c r="B163">
        <f>[2]monster.xml!$C508</f>
        <v>102</v>
      </c>
      <c r="C163">
        <f t="shared" si="8"/>
        <v>134</v>
      </c>
      <c r="D163">
        <f>VLOOKUP(A163,怪物模型!A$15:Z$70,8,0)</f>
        <v>7</v>
      </c>
      <c r="E163">
        <f>VLOOKUP(A163,怪物模型!A$15:G$70,3,0)</f>
        <v>1</v>
      </c>
      <c r="F163">
        <f>VLOOKUP(A163,怪物模型!A$15:G$77,4,0)</f>
        <v>1</v>
      </c>
      <c r="G163">
        <v>1</v>
      </c>
      <c r="H163">
        <f>VLOOKUP(A163,怪物模型!A$15:G$77,5,0)</f>
        <v>13</v>
      </c>
      <c r="I163">
        <f>VLOOKUP(A163,怪物模型!A$15:G$77,6,0)</f>
        <v>0</v>
      </c>
      <c r="J163">
        <f>VLOOKUP(A163,怪物模型!A$15:G$77,7,0)</f>
        <v>0</v>
      </c>
      <c r="K163">
        <f>ROUND(VLOOKUP(C163,战士难度!A$1:C$135,3,0)/VLOOKUP(B163,怪物抗性与玩家穿透!A$2:Q$74,17,0)*F163,0)</f>
        <v>3853580</v>
      </c>
      <c r="L163">
        <f>IF(A163="卡雷",42,IF(A163="法力风暴",ROUND(K163*0.1,0),VLOOKUP(A163,怪物模型!$A$15:$I$70,9,0)*(1+(B163-30)/100)))</f>
        <v>1720</v>
      </c>
      <c r="M163">
        <f>ROUND(VLOOKUP(C163,战士难度!A$1:C$135,2,0)*0.91*E163,0)</f>
        <v>1552138</v>
      </c>
      <c r="N163">
        <f t="shared" si="6"/>
        <v>1862566</v>
      </c>
      <c r="O163">
        <f>VLOOKUP(B163,怪物抗性与玩家穿透!A$2:Q$74,4,0)</f>
        <v>37000</v>
      </c>
      <c r="P163">
        <f>VLOOKUP(B163,怪物抗性与玩家穿透!A$2:Q$74,5,0)</f>
        <v>12800</v>
      </c>
      <c r="Q163">
        <f t="shared" si="7"/>
        <v>12800</v>
      </c>
      <c r="R163">
        <f>VLOOKUP(B163,[3]battleParameter.xml!$A$6:$E$107,5,0)*(I163/100)/(1-I163/100)</f>
        <v>0</v>
      </c>
      <c r="S163">
        <f>ROUND(VLOOKUP(B163,[3]battleParameter.xml!$A$6:$G$107,7,0)*(J163/100)/(1-J163/100),0)</f>
        <v>0</v>
      </c>
      <c r="T163">
        <f>ROUND(VLOOKUP(B163,[3]battleParameter.xml!$A$6:$Z$107,8,0)*(MIN(H163/100+0.2,0.99))/(1-MIN(H163/100+0.2,0.99)),0)</f>
        <v>3875</v>
      </c>
      <c r="U163">
        <v>0</v>
      </c>
      <c r="V163">
        <v>0</v>
      </c>
    </row>
    <row r="164" spans="1:22">
      <c r="A164" t="str">
        <f>[2]monster.xml!$D509</f>
        <v>暴君泰伦</v>
      </c>
      <c r="B164">
        <f>[2]monster.xml!$C509</f>
        <v>102</v>
      </c>
      <c r="C164">
        <f t="shared" si="8"/>
        <v>135</v>
      </c>
      <c r="D164" t="str">
        <f>VLOOKUP(A164,怪物模型!A$15:Z$70,8,0)</f>
        <v>10,9</v>
      </c>
      <c r="E164">
        <f>VLOOKUP(A164,怪物模型!A$15:G$70,3,0)</f>
        <v>1.2</v>
      </c>
      <c r="F164">
        <f>VLOOKUP(A164,怪物模型!A$15:G$77,4,0)</f>
        <v>1.1499999999999999</v>
      </c>
      <c r="G164">
        <v>1</v>
      </c>
      <c r="H164">
        <f>VLOOKUP(A164,怪物模型!A$15:G$77,5,0)</f>
        <v>15</v>
      </c>
      <c r="I164">
        <f>VLOOKUP(A164,怪物模型!A$15:G$77,6,0)</f>
        <v>0</v>
      </c>
      <c r="J164">
        <f>VLOOKUP(A164,怪物模型!A$15:G$77,7,0)</f>
        <v>15</v>
      </c>
      <c r="K164">
        <f>ROUND(VLOOKUP(C164,战士难度!A$1:C$135,3,0)/VLOOKUP(B164,怪物抗性与玩家穿透!A$2:Q$74,17,0)*F164,0)</f>
        <v>4950601</v>
      </c>
      <c r="L164">
        <f>IF(A164="卡雷",42,IF(A164="法力风暴",ROUND(K164*0.1,0),VLOOKUP(A164,怪物模型!$A$15:$I$70,9,0)*(1+(B164-30)/100)))</f>
        <v>5160</v>
      </c>
      <c r="M164">
        <f>ROUND(VLOOKUP(C164,战士难度!A$1:C$135,2,0)*0.91*E164,0)</f>
        <v>2192027</v>
      </c>
      <c r="N164">
        <f t="shared" si="6"/>
        <v>2630432</v>
      </c>
      <c r="O164">
        <f>VLOOKUP(B164,怪物抗性与玩家穿透!A$2:Q$74,4,0)</f>
        <v>37000</v>
      </c>
      <c r="P164">
        <f>VLOOKUP(B164,怪物抗性与玩家穿透!A$2:Q$74,5,0)</f>
        <v>12800</v>
      </c>
      <c r="Q164">
        <f t="shared" si="7"/>
        <v>12800</v>
      </c>
      <c r="R164">
        <f>VLOOKUP(B164,[3]battleParameter.xml!$A$6:$E$107,5,0)*(I164/100)/(1-I164/100)</f>
        <v>0</v>
      </c>
      <c r="S164">
        <f>ROUND(VLOOKUP(B164,[3]battleParameter.xml!$A$6:$G$107,7,0)*(J164/100)/(1-J164/100),0)</f>
        <v>5554</v>
      </c>
      <c r="T164">
        <f>ROUND(VLOOKUP(B164,[3]battleParameter.xml!$A$6:$Z$107,8,0)*(MIN(H164/100+0.2,0.99))/(1-MIN(H164/100+0.2,0.99)),0)</f>
        <v>4236</v>
      </c>
      <c r="U164">
        <v>0</v>
      </c>
      <c r="V164">
        <v>0</v>
      </c>
    </row>
    <row r="165" spans="1:22">
      <c r="A165" t="str">
        <f>[2]monster.xml!$D510</f>
        <v>猎人幻象</v>
      </c>
      <c r="B165">
        <f>[2]monster.xml!$C510</f>
        <v>30</v>
      </c>
      <c r="C165">
        <v>1</v>
      </c>
      <c r="D165">
        <f>VLOOKUP(A165,怪物模型!A$15:Z$70,8,0)</f>
        <v>11</v>
      </c>
      <c r="E165">
        <f>VLOOKUP(A165,怪物模型!A$15:G$70,3,0)</f>
        <v>1</v>
      </c>
      <c r="F165">
        <f>VLOOKUP(A165,怪物模型!A$15:G$77,4,0)</f>
        <v>1</v>
      </c>
      <c r="G165">
        <v>1</v>
      </c>
      <c r="H165">
        <f>VLOOKUP(A165,怪物模型!A$15:G$77,5,0)</f>
        <v>13</v>
      </c>
      <c r="I165">
        <f>VLOOKUP(A165,怪物模型!A$15:G$77,6,0)</f>
        <v>15</v>
      </c>
      <c r="J165">
        <f>VLOOKUP(A165,怪物模型!A$15:G$77,7,0)</f>
        <v>0</v>
      </c>
      <c r="K165">
        <f>ROUND(VLOOKUP(C165,猎人难度!A$1:C$135,3,0)/VLOOKUP(B165,怪物抗性与玩家穿透!A$2:Q$74,17,0)*F165,0)</f>
        <v>65758</v>
      </c>
      <c r="L165">
        <f>IF(A165="卡雷",42,IF(A165="法力风暴",ROUND(K165*0.1,0),VLOOKUP(A165,怪物模型!$A$15:$I$70,9,0)*(1+(B165-30)/100)))</f>
        <v>1000</v>
      </c>
      <c r="M165">
        <f>ROUND(VLOOKUP(C165,猎人难度!A$1:C$135,2,0)*0.91*E165,0)</f>
        <v>1549</v>
      </c>
      <c r="N165">
        <f t="shared" si="6"/>
        <v>1859</v>
      </c>
      <c r="O165">
        <f>VLOOKUP(B165,怪物抗性与玩家穿透!A$2:Q$74,4,0)</f>
        <v>20</v>
      </c>
      <c r="P165">
        <f>VLOOKUP(B165,怪物抗性与玩家穿透!A$2:Q$74,5,0)</f>
        <v>0</v>
      </c>
      <c r="Q165">
        <f t="shared" si="7"/>
        <v>0</v>
      </c>
      <c r="R165">
        <f>ROUND(VLOOKUP(B165,[3]battleParameter.xml!$A$6:$E$107,5,0)*(I165/100)/(1-I165/100),0)</f>
        <v>497</v>
      </c>
      <c r="S165">
        <f>ROUND(VLOOKUP(B165,[3]battleParameter.xml!$A$6:$G$107,7,0)*(J165/100)/(1-J165/100),0)</f>
        <v>0</v>
      </c>
      <c r="T165">
        <f>ROUND(VLOOKUP(B165,[3]battleParameter.xml!$A$6:$Z$107,8,0)*(MIN(H165/100+0.2,0.99))/(1-MIN(H165/100+0.2,0.99)),0)</f>
        <v>346</v>
      </c>
      <c r="U165">
        <v>0</v>
      </c>
      <c r="V165">
        <v>0</v>
      </c>
    </row>
    <row r="166" spans="1:22">
      <c r="A166" t="str">
        <f>[2]monster.xml!$D511</f>
        <v>法力风暴</v>
      </c>
      <c r="B166">
        <f>[2]monster.xml!$C511</f>
        <v>30</v>
      </c>
      <c r="C166">
        <f t="shared" si="8"/>
        <v>2</v>
      </c>
      <c r="D166" t="str">
        <f>VLOOKUP(A166,怪物模型!A$15:Z$70,8,0)</f>
        <v>25,30</v>
      </c>
      <c r="E166">
        <f>VLOOKUP(A166,怪物模型!A$15:G$70,3,0)</f>
        <v>1.5</v>
      </c>
      <c r="F166">
        <f>VLOOKUP(A166,怪物模型!A$15:G$77,4,0)</f>
        <v>0.68</v>
      </c>
      <c r="G166">
        <v>1</v>
      </c>
      <c r="H166">
        <f>VLOOKUP(A166,怪物模型!A$15:G$77,5,0)</f>
        <v>13</v>
      </c>
      <c r="I166">
        <f>VLOOKUP(A166,怪物模型!A$15:G$77,6,0)</f>
        <v>0</v>
      </c>
      <c r="J166">
        <f>VLOOKUP(A166,怪物模型!A$15:G$77,7,0)</f>
        <v>0</v>
      </c>
      <c r="K166">
        <f>ROUND(VLOOKUP(C166,猎人难度!A$1:C$135,3,0)/VLOOKUP(B166,怪物抗性与玩家穿透!A$2:Q$74,17,0)*F166,0)</f>
        <v>54128</v>
      </c>
      <c r="L166">
        <f>IF(A166="卡雷",42,IF(A166="法力风暴",ROUND(K166*0.1,0),VLOOKUP(A166,怪物模型!$A$15:$I$70,9,0)*(1+(B166-30)/100)))</f>
        <v>5413</v>
      </c>
      <c r="M166">
        <f>ROUND(VLOOKUP(C166,猎人难度!A$1:C$135,2,0)*0.91*E166,0)</f>
        <v>2310</v>
      </c>
      <c r="N166">
        <f t="shared" si="6"/>
        <v>2772</v>
      </c>
      <c r="O166">
        <f>VLOOKUP(B166,怪物抗性与玩家穿透!A$2:Q$74,4,0)</f>
        <v>20</v>
      </c>
      <c r="P166">
        <f>VLOOKUP(B166,怪物抗性与玩家穿透!A$2:Q$74,5,0)</f>
        <v>0</v>
      </c>
      <c r="Q166">
        <f t="shared" si="7"/>
        <v>0</v>
      </c>
      <c r="R166">
        <f>ROUND(VLOOKUP(B166,[3]battleParameter.xml!$A$6:$E$107,5,0)*(I166/100)/(1-I166/100),0)</f>
        <v>0</v>
      </c>
      <c r="S166">
        <f>ROUND(VLOOKUP(B166,[3]battleParameter.xml!$A$6:$G$107,7,0)*(J166/100)/(1-J166/100),0)</f>
        <v>0</v>
      </c>
      <c r="T166">
        <f>ROUND(VLOOKUP(B166,[3]battleParameter.xml!$A$6:$Z$107,8,0)*(MIN(H166/100+0.2,0.99))/(1-MIN(H166/100+0.2,0.99)),0)</f>
        <v>346</v>
      </c>
      <c r="U166">
        <v>0</v>
      </c>
      <c r="V166">
        <v>0</v>
      </c>
    </row>
    <row r="167" spans="1:22">
      <c r="A167" t="str">
        <f>[2]monster.xml!$D512</f>
        <v>角斗士里奥</v>
      </c>
      <c r="B167">
        <f>[2]monster.xml!$C512</f>
        <v>31</v>
      </c>
      <c r="C167">
        <f t="shared" si="8"/>
        <v>3</v>
      </c>
      <c r="D167">
        <f>VLOOKUP(A167,怪物模型!A$15:Z$70,8,0)</f>
        <v>5</v>
      </c>
      <c r="E167">
        <f>VLOOKUP(A167,怪物模型!A$15:G$70,3,0)</f>
        <v>1</v>
      </c>
      <c r="F167">
        <f>VLOOKUP(A167,怪物模型!A$15:G$77,4,0)</f>
        <v>1</v>
      </c>
      <c r="G167">
        <v>1</v>
      </c>
      <c r="H167">
        <f>VLOOKUP(A167,怪物模型!A$15:G$77,5,0)</f>
        <v>13</v>
      </c>
      <c r="I167">
        <f>VLOOKUP(A167,怪物模型!A$15:G$77,6,0)</f>
        <v>0</v>
      </c>
      <c r="J167">
        <f>VLOOKUP(A167,怪物模型!A$15:G$77,7,0)</f>
        <v>0</v>
      </c>
      <c r="K167">
        <f>ROUND(VLOOKUP(C167,猎人难度!A$1:C$135,3,0)/VLOOKUP(B167,怪物抗性与玩家穿透!A$2:Q$74,17,0)*F167,0)</f>
        <v>101879</v>
      </c>
      <c r="L167">
        <f>IF(A167="卡雷",42,IF(A167="法力风暴",ROUND(K167*0.1,0),VLOOKUP(A167,怪物模型!$A$15:$I$70,9,0)*(1+(B167-30)/100)))</f>
        <v>1010</v>
      </c>
      <c r="M167">
        <f>ROUND(VLOOKUP(C167,猎人难度!A$1:C$135,2,0)*0.91*E167,0)</f>
        <v>1527</v>
      </c>
      <c r="N167">
        <f t="shared" si="6"/>
        <v>1832</v>
      </c>
      <c r="O167">
        <f>VLOOKUP(B167,怪物抗性与玩家穿透!A$2:Q$74,4,0)</f>
        <v>50</v>
      </c>
      <c r="P167">
        <f>VLOOKUP(B167,怪物抗性与玩家穿透!A$2:Q$74,5,0)</f>
        <v>0</v>
      </c>
      <c r="Q167">
        <f t="shared" si="7"/>
        <v>0</v>
      </c>
      <c r="R167">
        <f>ROUND(VLOOKUP(B167,[3]battleParameter.xml!$A$6:$E$107,5,0)*(I167/100)/(1-I167/100),0)</f>
        <v>0</v>
      </c>
      <c r="S167">
        <f>ROUND(VLOOKUP(B167,[3]battleParameter.xml!$A$6:$G$107,7,0)*(J167/100)/(1-J167/100),0)</f>
        <v>0</v>
      </c>
      <c r="T167">
        <f>ROUND(VLOOKUP(B167,[3]battleParameter.xml!$A$6:$Z$107,8,0)*(MIN(H167/100+0.2,0.99))/(1-MIN(H167/100+0.2,0.99)),0)</f>
        <v>369</v>
      </c>
      <c r="U167">
        <v>0</v>
      </c>
      <c r="V167">
        <v>0</v>
      </c>
    </row>
    <row r="168" spans="1:22">
      <c r="A168" t="str">
        <f>[2]monster.xml!$D513</f>
        <v>荒野游侠</v>
      </c>
      <c r="B168">
        <f>[2]monster.xml!$C513</f>
        <v>31</v>
      </c>
      <c r="C168">
        <f t="shared" si="8"/>
        <v>4</v>
      </c>
      <c r="D168">
        <f>VLOOKUP(A168,怪物模型!A$15:Z$70,8,0)</f>
        <v>16</v>
      </c>
      <c r="E168">
        <f>VLOOKUP(A168,怪物模型!A$15:G$70,3,0)</f>
        <v>1</v>
      </c>
      <c r="F168">
        <f>VLOOKUP(A168,怪物模型!A$15:G$77,4,0)</f>
        <v>0.8</v>
      </c>
      <c r="G168">
        <v>1</v>
      </c>
      <c r="H168">
        <f>VLOOKUP(A168,怪物模型!A$15:G$77,5,0)</f>
        <v>35</v>
      </c>
      <c r="I168">
        <f>VLOOKUP(A168,怪物模型!A$15:G$77,6,0)</f>
        <v>0</v>
      </c>
      <c r="J168">
        <f>VLOOKUP(A168,怪物模型!A$15:G$77,7,0)</f>
        <v>0</v>
      </c>
      <c r="K168">
        <f>ROUND(VLOOKUP(C168,猎人难度!A$1:C$135,3,0)/VLOOKUP(B168,怪物抗性与玩家穿透!A$2:Q$74,17,0)*F168,0)</f>
        <v>91508</v>
      </c>
      <c r="L168">
        <f>IF(A168="卡雷",42,IF(A168="法力风暴",ROUND(K168*0.1,0),VLOOKUP(A168,怪物模型!$A$15:$I$70,9,0)*(1+(B168-30)/100)))</f>
        <v>2020</v>
      </c>
      <c r="M168">
        <f>ROUND(VLOOKUP(C168,猎人难度!A$1:C$135,2,0)*0.91*E168,0)</f>
        <v>1517</v>
      </c>
      <c r="N168">
        <f t="shared" si="6"/>
        <v>1820</v>
      </c>
      <c r="O168">
        <f>VLOOKUP(B168,怪物抗性与玩家穿透!A$2:Q$74,4,0)</f>
        <v>50</v>
      </c>
      <c r="P168">
        <f>VLOOKUP(B168,怪物抗性与玩家穿透!A$2:Q$74,5,0)</f>
        <v>0</v>
      </c>
      <c r="Q168">
        <f t="shared" si="7"/>
        <v>0</v>
      </c>
      <c r="R168">
        <f>ROUND(VLOOKUP(B168,[3]battleParameter.xml!$A$6:$E$107,5,0)*(I168/100)/(1-I168/100),0)</f>
        <v>0</v>
      </c>
      <c r="S168">
        <f>ROUND(VLOOKUP(B168,[3]battleParameter.xml!$A$6:$G$107,7,0)*(J168/100)/(1-J168/100),0)</f>
        <v>0</v>
      </c>
      <c r="T168">
        <f>ROUND(VLOOKUP(B168,[3]battleParameter.xml!$A$6:$Z$107,8,0)*(MIN(H168/100+0.2,0.99))/(1-MIN(H168/100+0.2,0.99)),0)</f>
        <v>917</v>
      </c>
      <c r="U168">
        <v>0</v>
      </c>
      <c r="V168">
        <v>0</v>
      </c>
    </row>
    <row r="169" spans="1:22">
      <c r="A169" t="str">
        <f>[2]monster.xml!$D514</f>
        <v>憾地者</v>
      </c>
      <c r="B169">
        <f>[2]monster.xml!$C514</f>
        <v>31</v>
      </c>
      <c r="C169">
        <f t="shared" si="8"/>
        <v>5</v>
      </c>
      <c r="D169">
        <f>VLOOKUP(A169,怪物模型!A$15:Z$70,8,0)</f>
        <v>4</v>
      </c>
      <c r="E169">
        <f>VLOOKUP(A169,怪物模型!A$15:G$70,3,0)</f>
        <v>0.85</v>
      </c>
      <c r="F169">
        <f>VLOOKUP(A169,怪物模型!A$15:G$77,4,0)</f>
        <v>1</v>
      </c>
      <c r="G169">
        <v>1</v>
      </c>
      <c r="H169">
        <f>VLOOKUP(A169,怪物模型!A$15:G$77,5,0)</f>
        <v>13</v>
      </c>
      <c r="I169">
        <f>VLOOKUP(A169,怪物模型!A$15:G$77,6,0)</f>
        <v>0</v>
      </c>
      <c r="J169">
        <f>VLOOKUP(A169,怪物模型!A$15:G$77,7,0)</f>
        <v>0</v>
      </c>
      <c r="K169">
        <f>ROUND(VLOOKUP(C169,猎人难度!A$1:C$135,3,0)/VLOOKUP(B169,怪物抗性与玩家穿透!A$2:Q$74,17,0)*F169,0)</f>
        <v>128426</v>
      </c>
      <c r="L169">
        <f>IF(A169="卡雷",42,IF(A169="法力风暴",ROUND(K169*0.1,0),VLOOKUP(A169,怪物模型!$A$15:$I$70,9,0)*(1+(B169-30)/100)))</f>
        <v>1010</v>
      </c>
      <c r="M169">
        <f>ROUND(VLOOKUP(C169,猎人难度!A$1:C$135,2,0)*0.91*E169,0)</f>
        <v>1282</v>
      </c>
      <c r="N169">
        <f t="shared" si="6"/>
        <v>1538</v>
      </c>
      <c r="O169">
        <f>VLOOKUP(B169,怪物抗性与玩家穿透!A$2:Q$74,4,0)</f>
        <v>50</v>
      </c>
      <c r="P169">
        <f>VLOOKUP(B169,怪物抗性与玩家穿透!A$2:Q$74,5,0)</f>
        <v>0</v>
      </c>
      <c r="Q169">
        <f t="shared" si="7"/>
        <v>0</v>
      </c>
      <c r="R169">
        <f>ROUND(VLOOKUP(B169,[3]battleParameter.xml!$A$6:$E$107,5,0)*(I169/100)/(1-I169/100),0)</f>
        <v>0</v>
      </c>
      <c r="S169">
        <f>ROUND(VLOOKUP(B169,[3]battleParameter.xml!$A$6:$G$107,7,0)*(J169/100)/(1-J169/100),0)</f>
        <v>0</v>
      </c>
      <c r="T169">
        <f>ROUND(VLOOKUP(B169,[3]battleParameter.xml!$A$6:$Z$107,8,0)*(MIN(H169/100+0.2,0.99))/(1-MIN(H169/100+0.2,0.99)),0)</f>
        <v>369</v>
      </c>
      <c r="U169">
        <v>0</v>
      </c>
      <c r="V169">
        <v>0</v>
      </c>
    </row>
    <row r="170" spans="1:22">
      <c r="A170" t="str">
        <f>[2]monster.xml!$D515</f>
        <v>拉兹</v>
      </c>
      <c r="B170">
        <f>[2]monster.xml!$C515</f>
        <v>32</v>
      </c>
      <c r="C170">
        <f t="shared" si="8"/>
        <v>6</v>
      </c>
      <c r="D170">
        <f>VLOOKUP(A170,怪物模型!A$15:Z$70,8,0)</f>
        <v>10</v>
      </c>
      <c r="E170">
        <f>VLOOKUP(A170,怪物模型!A$15:G$70,3,0)</f>
        <v>1.2</v>
      </c>
      <c r="F170">
        <f>VLOOKUP(A170,怪物模型!A$15:G$77,4,0)</f>
        <v>1</v>
      </c>
      <c r="G170">
        <v>1</v>
      </c>
      <c r="H170">
        <f>VLOOKUP(A170,怪物模型!A$15:G$77,5,0)</f>
        <v>13</v>
      </c>
      <c r="I170">
        <f>VLOOKUP(A170,怪物模型!A$15:G$77,6,0)</f>
        <v>0</v>
      </c>
      <c r="J170">
        <f>VLOOKUP(A170,怪物模型!A$15:G$77,7,0)</f>
        <v>20</v>
      </c>
      <c r="K170">
        <f>ROUND(VLOOKUP(C170,猎人难度!A$1:C$135,3,0)/VLOOKUP(B170,怪物抗性与玩家穿透!A$2:Q$74,17,0)*F170,0)</f>
        <v>148097</v>
      </c>
      <c r="L170">
        <f>IF(A170="卡雷",42,IF(A170="法力风暴",ROUND(K170*0.1,0),VLOOKUP(A170,怪物模型!$A$15:$I$70,9,0)*(1+(B170-30)/100)))</f>
        <v>2040</v>
      </c>
      <c r="M170">
        <f>ROUND(VLOOKUP(C170,猎人难度!A$1:C$135,2,0)*0.91*E170,0)</f>
        <v>1794</v>
      </c>
      <c r="N170">
        <f t="shared" si="6"/>
        <v>2153</v>
      </c>
      <c r="O170">
        <f>VLOOKUP(B170,怪物抗性与玩家穿透!A$2:Q$74,4,0)</f>
        <v>80</v>
      </c>
      <c r="P170">
        <f>VLOOKUP(B170,怪物抗性与玩家穿透!A$2:Q$74,5,0)</f>
        <v>10</v>
      </c>
      <c r="Q170">
        <f t="shared" si="7"/>
        <v>10</v>
      </c>
      <c r="R170">
        <f>ROUND(VLOOKUP(B170,[3]battleParameter.xml!$A$6:$E$107,5,0)*(I170/100)/(1-I170/100),0)</f>
        <v>0</v>
      </c>
      <c r="S170">
        <f>ROUND(VLOOKUP(B170,[3]battleParameter.xml!$A$6:$G$107,7,0)*(J170/100)/(1-J170/100),0)</f>
        <v>798</v>
      </c>
      <c r="T170">
        <f>ROUND(VLOOKUP(B170,[3]battleParameter.xml!$A$6:$Z$107,8,0)*(MIN(H170/100+0.2,0.99))/(1-MIN(H170/100+0.2,0.99)),0)</f>
        <v>393</v>
      </c>
      <c r="U170">
        <v>0</v>
      </c>
      <c r="V170">
        <v>0</v>
      </c>
    </row>
    <row r="171" spans="1:22">
      <c r="A171" t="str">
        <f>[2]monster.xml!$D516</f>
        <v>塔克</v>
      </c>
      <c r="B171">
        <f>[2]monster.xml!$C516</f>
        <v>32</v>
      </c>
      <c r="C171">
        <f t="shared" si="8"/>
        <v>6</v>
      </c>
      <c r="D171">
        <f>VLOOKUP(A171,怪物模型!A$15:Z$70,8,0)</f>
        <v>3</v>
      </c>
      <c r="E171">
        <f>VLOOKUP(A171,怪物模型!A$15:G$70,3,0)</f>
        <v>0.35</v>
      </c>
      <c r="F171">
        <f>VLOOKUP(A171,怪物模型!A$15:G$77,4,0)</f>
        <v>0.6</v>
      </c>
      <c r="G171">
        <v>1</v>
      </c>
      <c r="H171">
        <f>VLOOKUP(A171,怪物模型!A$15:G$77,5,0)</f>
        <v>13</v>
      </c>
      <c r="I171">
        <f>VLOOKUP(A171,怪物模型!A$15:G$77,6,0)</f>
        <v>0</v>
      </c>
      <c r="J171">
        <f>VLOOKUP(A171,怪物模型!A$15:G$77,7,0)</f>
        <v>0</v>
      </c>
      <c r="K171">
        <f>ROUND(VLOOKUP(C171,猎人难度!A$1:C$135,3,0)/VLOOKUP(B171,怪物抗性与玩家穿透!A$2:Q$74,17,0)*F171,0)</f>
        <v>88858</v>
      </c>
      <c r="L171">
        <f>IF(A171="卡雷",42,IF(A171="法力风暴",ROUND(K171*0.1,0),VLOOKUP(A171,怪物模型!$A$15:$I$70,9,0)*(1+(B171-30)/100)))</f>
        <v>1020</v>
      </c>
      <c r="M171">
        <f>ROUND(VLOOKUP(C171,猎人难度!A$1:C$135,2,0)*0.91*E171,0)</f>
        <v>523</v>
      </c>
      <c r="N171">
        <f t="shared" si="6"/>
        <v>628</v>
      </c>
      <c r="O171">
        <f>VLOOKUP(B171,怪物抗性与玩家穿透!A$2:Q$74,4,0)</f>
        <v>80</v>
      </c>
      <c r="P171">
        <f>VLOOKUP(B171,怪物抗性与玩家穿透!A$2:Q$74,5,0)</f>
        <v>10</v>
      </c>
      <c r="Q171">
        <f t="shared" si="7"/>
        <v>10</v>
      </c>
      <c r="R171">
        <f>ROUND(VLOOKUP(B171,[3]battleParameter.xml!$A$6:$E$107,5,0)*(I171/100)/(1-I171/100),0)</f>
        <v>0</v>
      </c>
      <c r="S171">
        <f>ROUND(VLOOKUP(B171,[3]battleParameter.xml!$A$6:$G$107,7,0)*(J171/100)/(1-J171/100),0)</f>
        <v>0</v>
      </c>
      <c r="T171">
        <f>ROUND(VLOOKUP(B171,[3]battleParameter.xml!$A$6:$Z$107,8,0)*(MIN(H171/100+0.2,0.99))/(1-MIN(H171/100+0.2,0.99)),0)</f>
        <v>393</v>
      </c>
      <c r="U171">
        <v>0</v>
      </c>
      <c r="V171">
        <v>0</v>
      </c>
    </row>
    <row r="172" spans="1:22">
      <c r="A172" t="str">
        <f>[2]monster.xml!$D517</f>
        <v>迪皮斯</v>
      </c>
      <c r="B172">
        <f>[2]monster.xml!$C517</f>
        <v>32</v>
      </c>
      <c r="C172">
        <f t="shared" si="8"/>
        <v>7</v>
      </c>
      <c r="D172" t="str">
        <f>VLOOKUP(A172,怪物模型!A$15:Z$70,8,0)</f>
        <v>17,14</v>
      </c>
      <c r="E172">
        <f>VLOOKUP(A172,怪物模型!A$15:G$70,3,0)</f>
        <v>0.6</v>
      </c>
      <c r="F172">
        <f>VLOOKUP(A172,怪物模型!A$15:G$77,4,0)</f>
        <v>0.4</v>
      </c>
      <c r="G172">
        <v>1</v>
      </c>
      <c r="H172">
        <f>VLOOKUP(A172,怪物模型!A$15:G$77,5,0)</f>
        <v>13</v>
      </c>
      <c r="I172">
        <f>VLOOKUP(A172,怪物模型!A$15:G$77,6,0)</f>
        <v>0</v>
      </c>
      <c r="J172">
        <f>VLOOKUP(A172,怪物模型!A$15:G$77,7,0)</f>
        <v>0</v>
      </c>
      <c r="K172">
        <f>ROUND(VLOOKUP(C172,猎人难度!A$1:C$135,3,0)/VLOOKUP(B172,怪物抗性与玩家穿透!A$2:Q$74,17,0)*F172,0)</f>
        <v>65906</v>
      </c>
      <c r="L172">
        <f>IF(A172="卡雷",42,IF(A172="法力风暴",ROUND(K172*0.1,0),VLOOKUP(A172,怪物模型!$A$15:$I$70,9,0)*(1+(B172-30)/100)))</f>
        <v>1020</v>
      </c>
      <c r="M172">
        <f>ROUND(VLOOKUP(C172,猎人难度!A$1:C$135,2,0)*0.91*E172,0)</f>
        <v>889</v>
      </c>
      <c r="N172">
        <f t="shared" si="6"/>
        <v>1067</v>
      </c>
      <c r="O172">
        <f>VLOOKUP(B172,怪物抗性与玩家穿透!A$2:Q$74,4,0)</f>
        <v>80</v>
      </c>
      <c r="P172">
        <f>VLOOKUP(B172,怪物抗性与玩家穿透!A$2:Q$74,5,0)</f>
        <v>10</v>
      </c>
      <c r="Q172">
        <f t="shared" si="7"/>
        <v>10</v>
      </c>
      <c r="R172">
        <f>ROUND(VLOOKUP(B172,[3]battleParameter.xml!$A$6:$E$107,5,0)*(I172/100)/(1-I172/100),0)</f>
        <v>0</v>
      </c>
      <c r="S172">
        <f>ROUND(VLOOKUP(B172,[3]battleParameter.xml!$A$6:$G$107,7,0)*(J172/100)/(1-J172/100),0)</f>
        <v>0</v>
      </c>
      <c r="T172">
        <f>ROUND(VLOOKUP(B172,[3]battleParameter.xml!$A$6:$Z$107,8,0)*(MIN(H172/100+0.2,0.99))/(1-MIN(H172/100+0.2,0.99)),0)</f>
        <v>393</v>
      </c>
      <c r="U172">
        <v>0</v>
      </c>
      <c r="V172">
        <v>0</v>
      </c>
    </row>
    <row r="173" spans="1:22">
      <c r="A173" t="str">
        <f>[2]monster.xml!$D518</f>
        <v>狂野安东尼</v>
      </c>
      <c r="B173">
        <f>[2]monster.xml!$C518</f>
        <v>33</v>
      </c>
      <c r="C173">
        <f t="shared" si="8"/>
        <v>8</v>
      </c>
      <c r="D173">
        <f>VLOOKUP(A173,怪物模型!A$15:Z$70,8,0)</f>
        <v>7</v>
      </c>
      <c r="E173">
        <f>VLOOKUP(A173,怪物模型!A$15:G$70,3,0)</f>
        <v>1</v>
      </c>
      <c r="F173">
        <f>VLOOKUP(A173,怪物模型!A$15:G$77,4,0)</f>
        <v>1</v>
      </c>
      <c r="G173">
        <v>1</v>
      </c>
      <c r="H173">
        <f>VLOOKUP(A173,怪物模型!A$15:G$77,5,0)</f>
        <v>13</v>
      </c>
      <c r="I173">
        <f>VLOOKUP(A173,怪物模型!A$15:G$77,6,0)</f>
        <v>0</v>
      </c>
      <c r="J173">
        <f>VLOOKUP(A173,怪物模型!A$15:G$77,7,0)</f>
        <v>0</v>
      </c>
      <c r="K173">
        <f>ROUND(VLOOKUP(C173,猎人难度!A$1:C$135,3,0)/VLOOKUP(B173,怪物抗性与玩家穿透!A$2:Q$74,17,0)*F173,0)</f>
        <v>181416</v>
      </c>
      <c r="L173">
        <f>IF(A173="卡雷",42,IF(A173="法力风暴",ROUND(K173*0.1,0),VLOOKUP(A173,怪物模型!$A$15:$I$70,9,0)*(1+(B173-30)/100)))</f>
        <v>1030</v>
      </c>
      <c r="M173">
        <f>ROUND(VLOOKUP(C173,猎人难度!A$1:C$135,2,0)*0.91*E173,0)</f>
        <v>1470</v>
      </c>
      <c r="N173">
        <f t="shared" si="6"/>
        <v>1764</v>
      </c>
      <c r="O173">
        <f>VLOOKUP(B173,怪物抗性与玩家穿透!A$2:Q$74,4,0)</f>
        <v>110</v>
      </c>
      <c r="P173">
        <f>VLOOKUP(B173,怪物抗性与玩家穿透!A$2:Q$74,5,0)</f>
        <v>20</v>
      </c>
      <c r="Q173">
        <f t="shared" si="7"/>
        <v>20</v>
      </c>
      <c r="R173">
        <f>ROUND(VLOOKUP(B173,[3]battleParameter.xml!$A$6:$E$107,5,0)*(I173/100)/(1-I173/100),0)</f>
        <v>0</v>
      </c>
      <c r="S173">
        <f>ROUND(VLOOKUP(B173,[3]battleParameter.xml!$A$6:$G$107,7,0)*(J173/100)/(1-J173/100),0)</f>
        <v>0</v>
      </c>
      <c r="T173">
        <f>ROUND(VLOOKUP(B173,[3]battleParameter.xml!$A$6:$Z$107,8,0)*(MIN(H173/100+0.2,0.99))/(1-MIN(H173/100+0.2,0.99)),0)</f>
        <v>417</v>
      </c>
      <c r="U173">
        <v>0</v>
      </c>
      <c r="V173">
        <v>0</v>
      </c>
    </row>
    <row r="174" spans="1:22">
      <c r="A174" t="str">
        <f>[2]monster.xml!$D519</f>
        <v>巡林者瑞克</v>
      </c>
      <c r="B174">
        <f>[2]monster.xml!$C519</f>
        <v>34</v>
      </c>
      <c r="C174">
        <f t="shared" si="8"/>
        <v>9</v>
      </c>
      <c r="D174">
        <f>VLOOKUP(A174,怪物模型!A$15:Z$70,8,0)</f>
        <v>15</v>
      </c>
      <c r="E174">
        <f>VLOOKUP(A174,怪物模型!A$15:G$70,3,0)</f>
        <v>1</v>
      </c>
      <c r="F174">
        <f>VLOOKUP(A174,怪物模型!A$15:G$77,4,0)</f>
        <v>1</v>
      </c>
      <c r="G174">
        <v>1</v>
      </c>
      <c r="H174">
        <f>VLOOKUP(A174,怪物模型!A$15:G$77,5,0)</f>
        <v>13</v>
      </c>
      <c r="I174">
        <f>VLOOKUP(A174,怪物模型!A$15:G$77,6,0)</f>
        <v>0</v>
      </c>
      <c r="J174">
        <f>VLOOKUP(A174,怪物模型!A$15:G$77,7,0)</f>
        <v>0</v>
      </c>
      <c r="K174">
        <f>ROUND(VLOOKUP(C174,猎人难度!A$1:C$135,3,0)/VLOOKUP(B174,怪物抗性与玩家穿透!A$2:Q$74,17,0)*F174,0)</f>
        <v>207243</v>
      </c>
      <c r="L174">
        <f>IF(A174="卡雷",42,IF(A174="法力风暴",ROUND(K174*0.1,0),VLOOKUP(A174,怪物模型!$A$15:$I$70,9,0)*(1+(B174-30)/100)))</f>
        <v>1040</v>
      </c>
      <c r="M174">
        <f>ROUND(VLOOKUP(C174,猎人难度!A$1:C$135,2,0)*0.91*E174,0)</f>
        <v>1453</v>
      </c>
      <c r="N174">
        <f t="shared" si="6"/>
        <v>1744</v>
      </c>
      <c r="O174">
        <f>VLOOKUP(B174,怪物抗性与玩家穿透!A$2:Q$74,4,0)</f>
        <v>140</v>
      </c>
      <c r="P174">
        <f>VLOOKUP(B174,怪物抗性与玩家穿透!A$2:Q$74,5,0)</f>
        <v>30</v>
      </c>
      <c r="Q174">
        <f t="shared" si="7"/>
        <v>30</v>
      </c>
      <c r="R174">
        <f>ROUND(VLOOKUP(B174,[3]battleParameter.xml!$A$6:$E$107,5,0)*(I174/100)/(1-I174/100),0)</f>
        <v>0</v>
      </c>
      <c r="S174">
        <f>ROUND(VLOOKUP(B174,[3]battleParameter.xml!$A$6:$G$107,7,0)*(J174/100)/(1-J174/100),0)</f>
        <v>0</v>
      </c>
      <c r="T174">
        <f>ROUND(VLOOKUP(B174,[3]battleParameter.xml!$A$6:$Z$107,8,0)*(MIN(H174/100+0.2,0.99))/(1-MIN(H174/100+0.2,0.99)),0)</f>
        <v>442</v>
      </c>
      <c r="U174">
        <v>0</v>
      </c>
      <c r="V174">
        <v>0</v>
      </c>
    </row>
    <row r="175" spans="1:22">
      <c r="A175" t="str">
        <f>[2]monster.xml!$D520</f>
        <v>猎人幻象</v>
      </c>
      <c r="B175">
        <f>[2]monster.xml!$C520</f>
        <v>35</v>
      </c>
      <c r="C175">
        <f t="shared" si="8"/>
        <v>10</v>
      </c>
      <c r="D175">
        <f>VLOOKUP(A175,怪物模型!A$15:Z$70,8,0)</f>
        <v>11</v>
      </c>
      <c r="E175">
        <f>VLOOKUP(A175,怪物模型!A$15:G$70,3,0)</f>
        <v>1</v>
      </c>
      <c r="F175">
        <f>VLOOKUP(A175,怪物模型!A$15:G$77,4,0)</f>
        <v>1</v>
      </c>
      <c r="G175">
        <v>1</v>
      </c>
      <c r="H175">
        <f>VLOOKUP(A175,怪物模型!A$15:G$77,5,0)</f>
        <v>13</v>
      </c>
      <c r="I175">
        <f>VLOOKUP(A175,怪物模型!A$15:G$77,6,0)</f>
        <v>15</v>
      </c>
      <c r="J175">
        <f>VLOOKUP(A175,怪物模型!A$15:G$77,7,0)</f>
        <v>0</v>
      </c>
      <c r="K175">
        <f>ROUND(VLOOKUP(C175,猎人难度!A$1:C$135,3,0)/VLOOKUP(B175,怪物抗性与玩家穿透!A$2:Q$74,17,0)*F175,0)</f>
        <v>112295</v>
      </c>
      <c r="L175">
        <f>IF(A175="卡雷",42,IF(A175="法力风暴",ROUND(K175*0.1,0),VLOOKUP(A175,怪物模型!$A$15:$I$70,9,0)*(1+(B175-30)/100)))</f>
        <v>1050</v>
      </c>
      <c r="M175">
        <f>ROUND(VLOOKUP(C175,猎人难度!A$1:C$135,2,0)*0.91*E175,0)</f>
        <v>2246</v>
      </c>
      <c r="N175">
        <f t="shared" si="6"/>
        <v>2695</v>
      </c>
      <c r="O175">
        <f>VLOOKUP(B175,怪物抗性与玩家穿透!A$2:Q$74,4,0)</f>
        <v>170</v>
      </c>
      <c r="P175">
        <f>VLOOKUP(B175,怪物抗性与玩家穿透!A$2:Q$74,5,0)</f>
        <v>40</v>
      </c>
      <c r="Q175">
        <f t="shared" si="7"/>
        <v>40</v>
      </c>
      <c r="R175">
        <f>ROUND(VLOOKUP(B175,[3]battleParameter.xml!$A$6:$E$107,5,0)*(I175/100)/(1-I175/100),0)</f>
        <v>671</v>
      </c>
      <c r="S175">
        <f>ROUND(VLOOKUP(B175,[3]battleParameter.xml!$A$6:$G$107,7,0)*(J175/100)/(1-J175/100),0)</f>
        <v>0</v>
      </c>
      <c r="T175">
        <f>ROUND(VLOOKUP(B175,[3]battleParameter.xml!$A$6:$Z$107,8,0)*(MIN(H175/100+0.2,0.99))/(1-MIN(H175/100+0.2,0.99)),0)</f>
        <v>468</v>
      </c>
      <c r="U175">
        <v>0</v>
      </c>
      <c r="V175">
        <v>0</v>
      </c>
    </row>
    <row r="176" spans="1:22">
      <c r="A176" t="str">
        <f>[2]monster.xml!$D521</f>
        <v>法力风暴</v>
      </c>
      <c r="B176">
        <f>[2]monster.xml!$C521</f>
        <v>35</v>
      </c>
      <c r="C176">
        <f t="shared" si="8"/>
        <v>11</v>
      </c>
      <c r="D176" t="str">
        <f>VLOOKUP(A176,怪物模型!A$15:Z$70,8,0)</f>
        <v>25,30</v>
      </c>
      <c r="E176">
        <f>VLOOKUP(A176,怪物模型!A$15:G$70,3,0)</f>
        <v>1.5</v>
      </c>
      <c r="F176">
        <f>VLOOKUP(A176,怪物模型!A$15:G$77,4,0)</f>
        <v>0.68</v>
      </c>
      <c r="G176">
        <v>1</v>
      </c>
      <c r="H176">
        <f>VLOOKUP(A176,怪物模型!A$15:G$77,5,0)</f>
        <v>13</v>
      </c>
      <c r="I176">
        <f>VLOOKUP(A176,怪物模型!A$15:G$77,6,0)</f>
        <v>0</v>
      </c>
      <c r="J176">
        <f>VLOOKUP(A176,怪物模型!A$15:G$77,7,0)</f>
        <v>0</v>
      </c>
      <c r="K176">
        <f>ROUND(VLOOKUP(C176,猎人难度!A$1:C$135,3,0)/VLOOKUP(B176,怪物抗性与玩家穿透!A$2:Q$74,17,0)*F176,0)</f>
        <v>89682</v>
      </c>
      <c r="L176">
        <f>IF(A176="卡雷",42,IF(A176="法力风暴",ROUND(K176*0.1,0),VLOOKUP(A176,怪物模型!$A$15:$I$70,9,0)*(1+(B176-30)/100)))</f>
        <v>8968</v>
      </c>
      <c r="M176">
        <f>ROUND(VLOOKUP(C176,猎人难度!A$1:C$135,2,0)*0.91*E176,0)</f>
        <v>3397</v>
      </c>
      <c r="N176">
        <f t="shared" si="6"/>
        <v>4076</v>
      </c>
      <c r="O176">
        <f>VLOOKUP(B176,怪物抗性与玩家穿透!A$2:Q$74,4,0)</f>
        <v>170</v>
      </c>
      <c r="P176">
        <f>VLOOKUP(B176,怪物抗性与玩家穿透!A$2:Q$74,5,0)</f>
        <v>40</v>
      </c>
      <c r="Q176">
        <f t="shared" si="7"/>
        <v>40</v>
      </c>
      <c r="R176">
        <f>ROUND(VLOOKUP(B176,[3]battleParameter.xml!$A$6:$E$107,5,0)*(I176/100)/(1-I176/100),0)</f>
        <v>0</v>
      </c>
      <c r="S176">
        <f>ROUND(VLOOKUP(B176,[3]battleParameter.xml!$A$6:$G$107,7,0)*(J176/100)/(1-J176/100),0)</f>
        <v>0</v>
      </c>
      <c r="T176">
        <f>ROUND(VLOOKUP(B176,[3]battleParameter.xml!$A$6:$Z$107,8,0)*(MIN(H176/100+0.2,0.99))/(1-MIN(H176/100+0.2,0.99)),0)</f>
        <v>468</v>
      </c>
      <c r="U176">
        <v>0</v>
      </c>
      <c r="V176">
        <v>0</v>
      </c>
    </row>
    <row r="177" spans="1:22">
      <c r="A177" t="str">
        <f>[2]monster.xml!$D522</f>
        <v>角斗士里奥</v>
      </c>
      <c r="B177">
        <f>[2]monster.xml!$C522</f>
        <v>36</v>
      </c>
      <c r="C177">
        <f t="shared" si="8"/>
        <v>12</v>
      </c>
      <c r="D177">
        <f>VLOOKUP(A177,怪物模型!A$15:Z$70,8,0)</f>
        <v>5</v>
      </c>
      <c r="E177">
        <f>VLOOKUP(A177,怪物模型!A$15:G$70,3,0)</f>
        <v>1</v>
      </c>
      <c r="F177">
        <f>VLOOKUP(A177,怪物模型!A$15:G$77,4,0)</f>
        <v>1</v>
      </c>
      <c r="G177">
        <v>1</v>
      </c>
      <c r="H177">
        <f>VLOOKUP(A177,怪物模型!A$15:G$77,5,0)</f>
        <v>13</v>
      </c>
      <c r="I177">
        <f>VLOOKUP(A177,怪物模型!A$15:G$77,6,0)</f>
        <v>0</v>
      </c>
      <c r="J177">
        <f>VLOOKUP(A177,怪物模型!A$15:G$77,7,0)</f>
        <v>0</v>
      </c>
      <c r="K177">
        <f>ROUND(VLOOKUP(C177,猎人难度!A$1:C$135,3,0)/VLOOKUP(B177,怪物抗性与玩家穿透!A$2:Q$74,17,0)*F177,0)</f>
        <v>162270</v>
      </c>
      <c r="L177">
        <f>IF(A177="卡雷",42,IF(A177="法力风暴",ROUND(K177*0.1,0),VLOOKUP(A177,怪物模型!$A$15:$I$70,9,0)*(1+(B177-30)/100)))</f>
        <v>1060</v>
      </c>
      <c r="M177">
        <f>ROUND(VLOOKUP(C177,猎人难度!A$1:C$135,2,0)*0.91*E177,0)</f>
        <v>2290</v>
      </c>
      <c r="N177">
        <f t="shared" si="6"/>
        <v>2748</v>
      </c>
      <c r="O177">
        <f>VLOOKUP(B177,怪物抗性与玩家穿透!A$2:Q$74,4,0)</f>
        <v>200</v>
      </c>
      <c r="P177">
        <f>VLOOKUP(B177,怪物抗性与玩家穿透!A$2:Q$74,5,0)</f>
        <v>50</v>
      </c>
      <c r="Q177">
        <f t="shared" si="7"/>
        <v>50</v>
      </c>
      <c r="R177">
        <f>ROUND(VLOOKUP(B177,[3]battleParameter.xml!$A$6:$E$107,5,0)*(I177/100)/(1-I177/100),0)</f>
        <v>0</v>
      </c>
      <c r="S177">
        <f>ROUND(VLOOKUP(B177,[3]battleParameter.xml!$A$6:$G$107,7,0)*(J177/100)/(1-J177/100),0)</f>
        <v>0</v>
      </c>
      <c r="T177">
        <f>ROUND(VLOOKUP(B177,[3]battleParameter.xml!$A$6:$Z$107,8,0)*(MIN(H177/100+0.2,0.99))/(1-MIN(H177/100+0.2,0.99)),0)</f>
        <v>494</v>
      </c>
      <c r="U177">
        <v>0</v>
      </c>
      <c r="V177">
        <v>0</v>
      </c>
    </row>
    <row r="178" spans="1:22">
      <c r="A178" t="str">
        <f>[2]monster.xml!$D523</f>
        <v>荒野游侠</v>
      </c>
      <c r="B178">
        <f>[2]monster.xml!$C523</f>
        <v>36</v>
      </c>
      <c r="C178">
        <f t="shared" si="8"/>
        <v>13</v>
      </c>
      <c r="D178">
        <f>VLOOKUP(A178,怪物模型!A$15:Z$70,8,0)</f>
        <v>16</v>
      </c>
      <c r="E178">
        <f>VLOOKUP(A178,怪物模型!A$15:G$70,3,0)</f>
        <v>1</v>
      </c>
      <c r="F178">
        <f>VLOOKUP(A178,怪物模型!A$15:G$77,4,0)</f>
        <v>0.8</v>
      </c>
      <c r="G178">
        <v>1</v>
      </c>
      <c r="H178">
        <f>VLOOKUP(A178,怪物模型!A$15:G$77,5,0)</f>
        <v>35</v>
      </c>
      <c r="I178">
        <f>VLOOKUP(A178,怪物模型!A$15:G$77,6,0)</f>
        <v>0</v>
      </c>
      <c r="J178">
        <f>VLOOKUP(A178,怪物模型!A$15:G$77,7,0)</f>
        <v>0</v>
      </c>
      <c r="K178">
        <f>ROUND(VLOOKUP(C178,猎人难度!A$1:C$135,3,0)/VLOOKUP(B178,怪物抗性与玩家穿透!A$2:Q$74,17,0)*F178,0)</f>
        <v>144061</v>
      </c>
      <c r="L178">
        <f>IF(A178="卡雷",42,IF(A178="法力风暴",ROUND(K178*0.1,0),VLOOKUP(A178,怪物模型!$A$15:$I$70,9,0)*(1+(B178-30)/100)))</f>
        <v>2120</v>
      </c>
      <c r="M178">
        <f>ROUND(VLOOKUP(C178,猎人难度!A$1:C$135,2,0)*0.91*E178,0)</f>
        <v>2309</v>
      </c>
      <c r="N178">
        <f t="shared" si="6"/>
        <v>2771</v>
      </c>
      <c r="O178">
        <f>VLOOKUP(B178,怪物抗性与玩家穿透!A$2:Q$74,4,0)</f>
        <v>200</v>
      </c>
      <c r="P178">
        <f>VLOOKUP(B178,怪物抗性与玩家穿透!A$2:Q$74,5,0)</f>
        <v>50</v>
      </c>
      <c r="Q178">
        <f t="shared" si="7"/>
        <v>50</v>
      </c>
      <c r="R178">
        <f>ROUND(VLOOKUP(B178,[3]battleParameter.xml!$A$6:$E$107,5,0)*(I178/100)/(1-I178/100),0)</f>
        <v>0</v>
      </c>
      <c r="S178">
        <f>ROUND(VLOOKUP(B178,[3]battleParameter.xml!$A$6:$G$107,7,0)*(J178/100)/(1-J178/100),0)</f>
        <v>0</v>
      </c>
      <c r="T178">
        <f>ROUND(VLOOKUP(B178,[3]battleParameter.xml!$A$6:$Z$107,8,0)*(MIN(H178/100+0.2,0.99))/(1-MIN(H178/100+0.2,0.99)),0)</f>
        <v>1226</v>
      </c>
      <c r="U178">
        <v>0</v>
      </c>
      <c r="V178">
        <v>0</v>
      </c>
    </row>
    <row r="179" spans="1:22">
      <c r="A179" t="str">
        <f>[2]monster.xml!$D524</f>
        <v>憾地者</v>
      </c>
      <c r="B179">
        <f>[2]monster.xml!$C524</f>
        <v>36</v>
      </c>
      <c r="C179">
        <f t="shared" si="8"/>
        <v>14</v>
      </c>
      <c r="D179">
        <f>VLOOKUP(A179,怪物模型!A$15:Z$70,8,0)</f>
        <v>4</v>
      </c>
      <c r="E179">
        <f>VLOOKUP(A179,怪物模型!A$15:G$70,3,0)</f>
        <v>0.85</v>
      </c>
      <c r="F179">
        <f>VLOOKUP(A179,怪物模型!A$15:G$77,4,0)</f>
        <v>1</v>
      </c>
      <c r="G179">
        <v>1</v>
      </c>
      <c r="H179">
        <f>VLOOKUP(A179,怪物模型!A$15:G$77,5,0)</f>
        <v>13</v>
      </c>
      <c r="I179">
        <f>VLOOKUP(A179,怪物模型!A$15:G$77,6,0)</f>
        <v>0</v>
      </c>
      <c r="J179">
        <f>VLOOKUP(A179,怪物模型!A$15:G$77,7,0)</f>
        <v>0</v>
      </c>
      <c r="K179">
        <f>ROUND(VLOOKUP(C179,猎人难度!A$1:C$135,3,0)/VLOOKUP(B179,怪物抗性与玩家穿透!A$2:Q$74,17,0)*F179,0)</f>
        <v>199837</v>
      </c>
      <c r="L179">
        <f>IF(A179="卡雷",42,IF(A179="法力风暴",ROUND(K179*0.1,0),VLOOKUP(A179,怪物模型!$A$15:$I$70,9,0)*(1+(B179-30)/100)))</f>
        <v>1060</v>
      </c>
      <c r="M179">
        <f>ROUND(VLOOKUP(C179,猎人难度!A$1:C$135,2,0)*0.91*E179,0)</f>
        <v>1978</v>
      </c>
      <c r="N179">
        <f t="shared" si="6"/>
        <v>2374</v>
      </c>
      <c r="O179">
        <f>VLOOKUP(B179,怪物抗性与玩家穿透!A$2:Q$74,4,0)</f>
        <v>200</v>
      </c>
      <c r="P179">
        <f>VLOOKUP(B179,怪物抗性与玩家穿透!A$2:Q$74,5,0)</f>
        <v>50</v>
      </c>
      <c r="Q179">
        <f t="shared" si="7"/>
        <v>50</v>
      </c>
      <c r="R179">
        <f>ROUND(VLOOKUP(B179,[3]battleParameter.xml!$A$6:$E$107,5,0)*(I179/100)/(1-I179/100),0)</f>
        <v>0</v>
      </c>
      <c r="S179">
        <f>ROUND(VLOOKUP(B179,[3]battleParameter.xml!$A$6:$G$107,7,0)*(J179/100)/(1-J179/100),0)</f>
        <v>0</v>
      </c>
      <c r="T179">
        <f>ROUND(VLOOKUP(B179,[3]battleParameter.xml!$A$6:$Z$107,8,0)*(MIN(H179/100+0.2,0.99))/(1-MIN(H179/100+0.2,0.99)),0)</f>
        <v>494</v>
      </c>
      <c r="U179">
        <v>0</v>
      </c>
      <c r="V179">
        <v>0</v>
      </c>
    </row>
    <row r="180" spans="1:22">
      <c r="A180" t="str">
        <f>[2]monster.xml!$D525</f>
        <v>拉兹</v>
      </c>
      <c r="B180">
        <f>[2]monster.xml!$C525</f>
        <v>37</v>
      </c>
      <c r="C180">
        <f t="shared" si="8"/>
        <v>15</v>
      </c>
      <c r="D180">
        <f>VLOOKUP(A180,怪物模型!A$15:Z$70,8,0)</f>
        <v>10</v>
      </c>
      <c r="E180">
        <f>VLOOKUP(A180,怪物模型!A$15:G$70,3,0)</f>
        <v>1.2</v>
      </c>
      <c r="F180">
        <f>VLOOKUP(A180,怪物模型!A$15:G$77,4,0)</f>
        <v>1</v>
      </c>
      <c r="G180">
        <v>1</v>
      </c>
      <c r="H180">
        <f>VLOOKUP(A180,怪物模型!A$15:G$77,5,0)</f>
        <v>13</v>
      </c>
      <c r="I180">
        <f>VLOOKUP(A180,怪物模型!A$15:G$77,6,0)</f>
        <v>0</v>
      </c>
      <c r="J180">
        <f>VLOOKUP(A180,怪物模型!A$15:G$77,7,0)</f>
        <v>20</v>
      </c>
      <c r="K180">
        <f>ROUND(VLOOKUP(C180,猎人难度!A$1:C$135,3,0)/VLOOKUP(B180,怪物抗性与玩家穿透!A$2:Q$74,17,0)*F180,0)</f>
        <v>228171</v>
      </c>
      <c r="L180">
        <f>IF(A180="卡雷",42,IF(A180="法力风暴",ROUND(K180*0.1,0),VLOOKUP(A180,怪物模型!$A$15:$I$70,9,0)*(1+(B180-30)/100)))</f>
        <v>2140</v>
      </c>
      <c r="M180">
        <f>ROUND(VLOOKUP(C180,猎人难度!A$1:C$135,2,0)*0.91*E180,0)</f>
        <v>2823</v>
      </c>
      <c r="N180">
        <f t="shared" si="6"/>
        <v>3388</v>
      </c>
      <c r="O180">
        <f>VLOOKUP(B180,怪物抗性与玩家穿透!A$2:Q$74,4,0)</f>
        <v>230</v>
      </c>
      <c r="P180">
        <f>VLOOKUP(B180,怪物抗性与玩家穿透!A$2:Q$74,5,0)</f>
        <v>60</v>
      </c>
      <c r="Q180">
        <f t="shared" si="7"/>
        <v>60</v>
      </c>
      <c r="R180">
        <f>ROUND(VLOOKUP(B180,[3]battleParameter.xml!$A$6:$E$107,5,0)*(I180/100)/(1-I180/100),0)</f>
        <v>0</v>
      </c>
      <c r="S180">
        <f>ROUND(VLOOKUP(B180,[3]battleParameter.xml!$A$6:$G$107,7,0)*(J180/100)/(1-J180/100),0)</f>
        <v>1059</v>
      </c>
      <c r="T180">
        <f>ROUND(VLOOKUP(B180,[3]battleParameter.xml!$A$6:$Z$107,8,0)*(MIN(H180/100+0.2,0.99))/(1-MIN(H180/100+0.2,0.99)),0)</f>
        <v>522</v>
      </c>
      <c r="U180">
        <v>0</v>
      </c>
      <c r="V180">
        <v>0</v>
      </c>
    </row>
    <row r="181" spans="1:22">
      <c r="A181" t="str">
        <f>[2]monster.xml!$D526</f>
        <v>塔克</v>
      </c>
      <c r="B181">
        <f>[2]monster.xml!$C526</f>
        <v>37</v>
      </c>
      <c r="C181">
        <f t="shared" si="8"/>
        <v>15</v>
      </c>
      <c r="D181">
        <f>VLOOKUP(A181,怪物模型!A$15:Z$70,8,0)</f>
        <v>3</v>
      </c>
      <c r="E181">
        <f>VLOOKUP(A181,怪物模型!A$15:G$70,3,0)</f>
        <v>0.35</v>
      </c>
      <c r="F181">
        <f>VLOOKUP(A181,怪物模型!A$15:G$77,4,0)</f>
        <v>0.6</v>
      </c>
      <c r="G181">
        <v>1</v>
      </c>
      <c r="H181">
        <f>VLOOKUP(A181,怪物模型!A$15:G$77,5,0)</f>
        <v>13</v>
      </c>
      <c r="I181">
        <f>VLOOKUP(A181,怪物模型!A$15:G$77,6,0)</f>
        <v>0</v>
      </c>
      <c r="J181">
        <f>VLOOKUP(A181,怪物模型!A$15:G$77,7,0)</f>
        <v>0</v>
      </c>
      <c r="K181">
        <f>ROUND(VLOOKUP(C181,猎人难度!A$1:C$135,3,0)/VLOOKUP(B181,怪物抗性与玩家穿透!A$2:Q$74,17,0)*F181,0)</f>
        <v>136903</v>
      </c>
      <c r="L181">
        <f>IF(A181="卡雷",42,IF(A181="法力风暴",ROUND(K181*0.1,0),VLOOKUP(A181,怪物模型!$A$15:$I$70,9,0)*(1+(B181-30)/100)))</f>
        <v>1070</v>
      </c>
      <c r="M181">
        <f>ROUND(VLOOKUP(C181,猎人难度!A$1:C$135,2,0)*0.91*E181,0)</f>
        <v>823</v>
      </c>
      <c r="N181">
        <f t="shared" si="6"/>
        <v>988</v>
      </c>
      <c r="O181">
        <f>VLOOKUP(B181,怪物抗性与玩家穿透!A$2:Q$74,4,0)</f>
        <v>230</v>
      </c>
      <c r="P181">
        <f>VLOOKUP(B181,怪物抗性与玩家穿透!A$2:Q$74,5,0)</f>
        <v>60</v>
      </c>
      <c r="Q181">
        <f t="shared" si="7"/>
        <v>60</v>
      </c>
      <c r="R181">
        <f>ROUND(VLOOKUP(B181,[3]battleParameter.xml!$A$6:$E$107,5,0)*(I181/100)/(1-I181/100),0)</f>
        <v>0</v>
      </c>
      <c r="S181">
        <f>ROUND(VLOOKUP(B181,[3]battleParameter.xml!$A$6:$G$107,7,0)*(J181/100)/(1-J181/100),0)</f>
        <v>0</v>
      </c>
      <c r="T181">
        <f>ROUND(VLOOKUP(B181,[3]battleParameter.xml!$A$6:$Z$107,8,0)*(MIN(H181/100+0.2,0.99))/(1-MIN(H181/100+0.2,0.99)),0)</f>
        <v>522</v>
      </c>
      <c r="U181">
        <v>0</v>
      </c>
      <c r="V181">
        <v>0</v>
      </c>
    </row>
    <row r="182" spans="1:22">
      <c r="A182" t="str">
        <f>[2]monster.xml!$D527</f>
        <v>迪皮斯</v>
      </c>
      <c r="B182">
        <f>[2]monster.xml!$C527</f>
        <v>37</v>
      </c>
      <c r="C182">
        <f t="shared" si="8"/>
        <v>16</v>
      </c>
      <c r="D182" t="str">
        <f>VLOOKUP(A182,怪物模型!A$15:Z$70,8,0)</f>
        <v>17,14</v>
      </c>
      <c r="E182">
        <f>VLOOKUP(A182,怪物模型!A$15:G$70,3,0)</f>
        <v>0.6</v>
      </c>
      <c r="F182">
        <f>VLOOKUP(A182,怪物模型!A$15:G$77,4,0)</f>
        <v>0.4</v>
      </c>
      <c r="G182">
        <v>1</v>
      </c>
      <c r="H182">
        <f>VLOOKUP(A182,怪物模型!A$15:G$77,5,0)</f>
        <v>13</v>
      </c>
      <c r="I182">
        <f>VLOOKUP(A182,怪物模型!A$15:G$77,6,0)</f>
        <v>0</v>
      </c>
      <c r="J182">
        <f>VLOOKUP(A182,怪物模型!A$15:G$77,7,0)</f>
        <v>0</v>
      </c>
      <c r="K182">
        <f>ROUND(VLOOKUP(C182,猎人难度!A$1:C$135,3,0)/VLOOKUP(B182,怪物抗性与玩家穿透!A$2:Q$74,17,0)*F182,0)</f>
        <v>100767</v>
      </c>
      <c r="L182">
        <f>IF(A182="卡雷",42,IF(A182="法力风暴",ROUND(K182*0.1,0),VLOOKUP(A182,怪物模型!$A$15:$I$70,9,0)*(1+(B182-30)/100)))</f>
        <v>1070</v>
      </c>
      <c r="M182">
        <f>ROUND(VLOOKUP(C182,猎人难度!A$1:C$135,2,0)*0.91*E182,0)</f>
        <v>1426</v>
      </c>
      <c r="N182">
        <f t="shared" si="6"/>
        <v>1711</v>
      </c>
      <c r="O182">
        <f>VLOOKUP(B182,怪物抗性与玩家穿透!A$2:Q$74,4,0)</f>
        <v>230</v>
      </c>
      <c r="P182">
        <f>VLOOKUP(B182,怪物抗性与玩家穿透!A$2:Q$74,5,0)</f>
        <v>60</v>
      </c>
      <c r="Q182">
        <f t="shared" si="7"/>
        <v>60</v>
      </c>
      <c r="R182">
        <f>ROUND(VLOOKUP(B182,[3]battleParameter.xml!$A$6:$E$107,5,0)*(I182/100)/(1-I182/100),0)</f>
        <v>0</v>
      </c>
      <c r="S182">
        <f>ROUND(VLOOKUP(B182,[3]battleParameter.xml!$A$6:$G$107,7,0)*(J182/100)/(1-J182/100),0)</f>
        <v>0</v>
      </c>
      <c r="T182">
        <f>ROUND(VLOOKUP(B182,[3]battleParameter.xml!$A$6:$Z$107,8,0)*(MIN(H182/100+0.2,0.99))/(1-MIN(H182/100+0.2,0.99)),0)</f>
        <v>522</v>
      </c>
      <c r="U182">
        <v>0</v>
      </c>
      <c r="V182">
        <v>0</v>
      </c>
    </row>
    <row r="183" spans="1:22">
      <c r="A183" t="str">
        <f>[2]monster.xml!$D528</f>
        <v>狂野安东尼</v>
      </c>
      <c r="B183">
        <f>[2]monster.xml!$C528</f>
        <v>38</v>
      </c>
      <c r="C183">
        <f t="shared" si="8"/>
        <v>17</v>
      </c>
      <c r="D183">
        <f>VLOOKUP(A183,怪物模型!A$15:Z$70,8,0)</f>
        <v>7</v>
      </c>
      <c r="E183">
        <f>VLOOKUP(A183,怪物模型!A$15:G$70,3,0)</f>
        <v>1</v>
      </c>
      <c r="F183">
        <f>VLOOKUP(A183,怪物模型!A$15:G$77,4,0)</f>
        <v>1</v>
      </c>
      <c r="G183">
        <v>1</v>
      </c>
      <c r="H183">
        <f>VLOOKUP(A183,怪物模型!A$15:G$77,5,0)</f>
        <v>13</v>
      </c>
      <c r="I183">
        <f>VLOOKUP(A183,怪物模型!A$15:G$77,6,0)</f>
        <v>0</v>
      </c>
      <c r="J183">
        <f>VLOOKUP(A183,怪物模型!A$15:G$77,7,0)</f>
        <v>0</v>
      </c>
      <c r="K183">
        <f>ROUND(VLOOKUP(C183,猎人难度!A$1:C$135,3,0)/VLOOKUP(B183,怪物抗性与玩家穿透!A$2:Q$74,17,0)*F183,0)</f>
        <v>276607</v>
      </c>
      <c r="L183">
        <f>IF(A183="卡雷",42,IF(A183="法力风暴",ROUND(K183*0.1,0),VLOOKUP(A183,怪物模型!$A$15:$I$70,9,0)*(1+(B183-30)/100)))</f>
        <v>1080</v>
      </c>
      <c r="M183">
        <f>ROUND(VLOOKUP(C183,猎人难度!A$1:C$135,2,0)*0.91*E183,0)</f>
        <v>2401</v>
      </c>
      <c r="N183">
        <f t="shared" si="6"/>
        <v>2881</v>
      </c>
      <c r="O183">
        <f>VLOOKUP(B183,怪物抗性与玩家穿透!A$2:Q$74,4,0)</f>
        <v>260</v>
      </c>
      <c r="P183">
        <f>VLOOKUP(B183,怪物抗性与玩家穿透!A$2:Q$74,5,0)</f>
        <v>70</v>
      </c>
      <c r="Q183">
        <f t="shared" si="7"/>
        <v>70</v>
      </c>
      <c r="R183">
        <f>ROUND(VLOOKUP(B183,[3]battleParameter.xml!$A$6:$E$107,5,0)*(I183/100)/(1-I183/100),0)</f>
        <v>0</v>
      </c>
      <c r="S183">
        <f>ROUND(VLOOKUP(B183,[3]battleParameter.xml!$A$6:$G$107,7,0)*(J183/100)/(1-J183/100),0)</f>
        <v>0</v>
      </c>
      <c r="T183">
        <f>ROUND(VLOOKUP(B183,[3]battleParameter.xml!$A$6:$Z$107,8,0)*(MIN(H183/100+0.2,0.99))/(1-MIN(H183/100+0.2,0.99)),0)</f>
        <v>549</v>
      </c>
      <c r="U183">
        <v>0</v>
      </c>
      <c r="V183">
        <v>0</v>
      </c>
    </row>
    <row r="184" spans="1:22">
      <c r="A184" t="str">
        <f>[2]monster.xml!$D529</f>
        <v>巡林者瑞克</v>
      </c>
      <c r="B184">
        <f>[2]monster.xml!$C529</f>
        <v>39</v>
      </c>
      <c r="C184">
        <f t="shared" si="8"/>
        <v>18</v>
      </c>
      <c r="D184">
        <f>VLOOKUP(A184,怪物模型!A$15:Z$70,8,0)</f>
        <v>15</v>
      </c>
      <c r="E184">
        <f>VLOOKUP(A184,怪物模型!A$15:G$70,3,0)</f>
        <v>1</v>
      </c>
      <c r="F184">
        <f>VLOOKUP(A184,怪物模型!A$15:G$77,4,0)</f>
        <v>1</v>
      </c>
      <c r="G184">
        <v>1</v>
      </c>
      <c r="H184">
        <f>VLOOKUP(A184,怪物模型!A$15:G$77,5,0)</f>
        <v>13</v>
      </c>
      <c r="I184">
        <f>VLOOKUP(A184,怪物模型!A$15:G$77,6,0)</f>
        <v>0</v>
      </c>
      <c r="J184">
        <f>VLOOKUP(A184,怪物模型!A$15:G$77,7,0)</f>
        <v>0</v>
      </c>
      <c r="K184">
        <f>ROUND(VLOOKUP(C184,猎人难度!A$1:C$135,3,0)/VLOOKUP(B184,怪物抗性与玩家穿透!A$2:Q$74,17,0)*F184,0)</f>
        <v>314107</v>
      </c>
      <c r="L184">
        <f>IF(A184="卡雷",42,IF(A184="法力风暴",ROUND(K184*0.1,0),VLOOKUP(A184,怪物模型!$A$15:$I$70,9,0)*(1+(B184-30)/100)))</f>
        <v>1090</v>
      </c>
      <c r="M184">
        <f>ROUND(VLOOKUP(C184,猎人难度!A$1:C$135,2,0)*0.91*E184,0)</f>
        <v>2435</v>
      </c>
      <c r="N184">
        <f t="shared" si="6"/>
        <v>2922</v>
      </c>
      <c r="O184">
        <f>VLOOKUP(B184,怪物抗性与玩家穿透!A$2:Q$74,4,0)</f>
        <v>290</v>
      </c>
      <c r="P184">
        <f>VLOOKUP(B184,怪物抗性与玩家穿透!A$2:Q$74,5,0)</f>
        <v>80</v>
      </c>
      <c r="Q184">
        <f t="shared" si="7"/>
        <v>80</v>
      </c>
      <c r="R184">
        <f>ROUND(VLOOKUP(B184,[3]battleParameter.xml!$A$6:$E$107,5,0)*(I184/100)/(1-I184/100),0)</f>
        <v>0</v>
      </c>
      <c r="S184">
        <f>ROUND(VLOOKUP(B184,[3]battleParameter.xml!$A$6:$G$107,7,0)*(J184/100)/(1-J184/100),0)</f>
        <v>0</v>
      </c>
      <c r="T184">
        <f>ROUND(VLOOKUP(B184,[3]battleParameter.xml!$A$6:$Z$107,8,0)*(MIN(H184/100+0.2,0.99))/(1-MIN(H184/100+0.2,0.99)),0)</f>
        <v>578</v>
      </c>
      <c r="U184">
        <v>0</v>
      </c>
      <c r="V184">
        <v>0</v>
      </c>
    </row>
    <row r="185" spans="1:22">
      <c r="A185" t="str">
        <f>[2]monster.xml!$D530</f>
        <v>猎人幻象</v>
      </c>
      <c r="B185">
        <f>[2]monster.xml!$C530</f>
        <v>40</v>
      </c>
      <c r="C185">
        <f t="shared" si="8"/>
        <v>19</v>
      </c>
      <c r="D185">
        <f>VLOOKUP(A185,怪物模型!A$15:Z$70,8,0)</f>
        <v>11</v>
      </c>
      <c r="E185">
        <f>VLOOKUP(A185,怪物模型!A$15:G$70,3,0)</f>
        <v>1</v>
      </c>
      <c r="F185">
        <f>VLOOKUP(A185,怪物模型!A$15:G$77,4,0)</f>
        <v>1</v>
      </c>
      <c r="G185">
        <v>1</v>
      </c>
      <c r="H185">
        <f>VLOOKUP(A185,怪物模型!A$15:G$77,5,0)</f>
        <v>13</v>
      </c>
      <c r="I185">
        <f>VLOOKUP(A185,怪物模型!A$15:G$77,6,0)</f>
        <v>15</v>
      </c>
      <c r="J185">
        <f>VLOOKUP(A185,怪物模型!A$15:G$77,7,0)</f>
        <v>0</v>
      </c>
      <c r="K185">
        <f>ROUND(VLOOKUP(C185,猎人难度!A$1:C$135,3,0)/VLOOKUP(B185,怪物抗性与玩家穿透!A$2:Q$74,17,0)*F185,0)</f>
        <v>191319</v>
      </c>
      <c r="L185">
        <f>IF(A185="卡雷",42,IF(A185="法力风暴",ROUND(K185*0.1,0),VLOOKUP(A185,怪物模型!$A$15:$I$70,9,0)*(1+(B185-30)/100)))</f>
        <v>1100</v>
      </c>
      <c r="M185">
        <f>ROUND(VLOOKUP(C185,猎人难度!A$1:C$135,2,0)*0.91*E185,0)</f>
        <v>3463</v>
      </c>
      <c r="N185">
        <f t="shared" si="6"/>
        <v>4156</v>
      </c>
      <c r="O185">
        <f>VLOOKUP(B185,怪物抗性与玩家穿透!A$2:Q$74,4,0)</f>
        <v>320</v>
      </c>
      <c r="P185">
        <f>VLOOKUP(B185,怪物抗性与玩家穿透!A$2:Q$74,5,0)</f>
        <v>90</v>
      </c>
      <c r="Q185">
        <f t="shared" si="7"/>
        <v>90</v>
      </c>
      <c r="R185">
        <f>ROUND(VLOOKUP(B185,[3]battleParameter.xml!$A$6:$E$107,5,0)*(I185/100)/(1-I185/100),0)</f>
        <v>871</v>
      </c>
      <c r="S185">
        <f>ROUND(VLOOKUP(B185,[3]battleParameter.xml!$A$6:$G$107,7,0)*(J185/100)/(1-J185/100),0)</f>
        <v>0</v>
      </c>
      <c r="T185">
        <f>ROUND(VLOOKUP(B185,[3]battleParameter.xml!$A$6:$Z$107,8,0)*(MIN(H185/100+0.2,0.99))/(1-MIN(H185/100+0.2,0.99)),0)</f>
        <v>607</v>
      </c>
      <c r="U185">
        <v>0</v>
      </c>
      <c r="V185">
        <v>0</v>
      </c>
    </row>
    <row r="186" spans="1:22">
      <c r="A186" t="str">
        <f>[2]monster.xml!$D531</f>
        <v>法力风暴</v>
      </c>
      <c r="B186">
        <f>[2]monster.xml!$C531</f>
        <v>40</v>
      </c>
      <c r="C186">
        <f t="shared" si="8"/>
        <v>20</v>
      </c>
      <c r="D186" t="str">
        <f>VLOOKUP(A186,怪物模型!A$15:Z$70,8,0)</f>
        <v>25,30</v>
      </c>
      <c r="E186">
        <f>VLOOKUP(A186,怪物模型!A$15:G$70,3,0)</f>
        <v>1.5</v>
      </c>
      <c r="F186">
        <f>VLOOKUP(A186,怪物模型!A$15:G$77,4,0)</f>
        <v>0.68</v>
      </c>
      <c r="G186">
        <v>1</v>
      </c>
      <c r="H186">
        <f>VLOOKUP(A186,怪物模型!A$15:G$77,5,0)</f>
        <v>13</v>
      </c>
      <c r="I186">
        <f>VLOOKUP(A186,怪物模型!A$15:G$77,6,0)</f>
        <v>0</v>
      </c>
      <c r="J186">
        <f>VLOOKUP(A186,怪物模型!A$15:G$77,7,0)</f>
        <v>0</v>
      </c>
      <c r="K186">
        <f>ROUND(VLOOKUP(C186,猎人难度!A$1:C$135,3,0)/VLOOKUP(B186,怪物抗性与玩家穿透!A$2:Q$74,17,0)*F186,0)</f>
        <v>148290</v>
      </c>
      <c r="L186">
        <f>IF(A186="卡雷",42,IF(A186="法力风暴",ROUND(K186*0.1,0),VLOOKUP(A186,怪物模型!$A$15:$I$70,9,0)*(1+(B186-30)/100)))</f>
        <v>14829</v>
      </c>
      <c r="M186">
        <f>ROUND(VLOOKUP(C186,猎人难度!A$1:C$135,2,0)*0.91*E186,0)</f>
        <v>5324</v>
      </c>
      <c r="N186">
        <f t="shared" si="6"/>
        <v>6389</v>
      </c>
      <c r="O186">
        <f>VLOOKUP(B186,怪物抗性与玩家穿透!A$2:Q$74,4,0)</f>
        <v>320</v>
      </c>
      <c r="P186">
        <f>VLOOKUP(B186,怪物抗性与玩家穿透!A$2:Q$74,5,0)</f>
        <v>90</v>
      </c>
      <c r="Q186">
        <f t="shared" si="7"/>
        <v>90</v>
      </c>
      <c r="R186">
        <f>ROUND(VLOOKUP(B186,[3]battleParameter.xml!$A$6:$E$107,5,0)*(I186/100)/(1-I186/100),0)</f>
        <v>0</v>
      </c>
      <c r="S186">
        <f>ROUND(VLOOKUP(B186,[3]battleParameter.xml!$A$6:$G$107,7,0)*(J186/100)/(1-J186/100),0)</f>
        <v>0</v>
      </c>
      <c r="T186">
        <f>ROUND(VLOOKUP(B186,[3]battleParameter.xml!$A$6:$Z$107,8,0)*(MIN(H186/100+0.2,0.99))/(1-MIN(H186/100+0.2,0.99)),0)</f>
        <v>607</v>
      </c>
      <c r="U186">
        <v>0</v>
      </c>
      <c r="V186">
        <v>0</v>
      </c>
    </row>
    <row r="187" spans="1:22">
      <c r="A187" t="str">
        <f>[2]monster.xml!$D532</f>
        <v>角斗士里奥</v>
      </c>
      <c r="B187">
        <f>[2]monster.xml!$C532</f>
        <v>41</v>
      </c>
      <c r="C187">
        <f t="shared" si="8"/>
        <v>21</v>
      </c>
      <c r="D187">
        <f>VLOOKUP(A187,怪物模型!A$15:Z$70,8,0)</f>
        <v>5</v>
      </c>
      <c r="E187">
        <f>VLOOKUP(A187,怪物模型!A$15:G$70,3,0)</f>
        <v>1</v>
      </c>
      <c r="F187">
        <f>VLOOKUP(A187,怪物模型!A$15:G$77,4,0)</f>
        <v>1</v>
      </c>
      <c r="G187">
        <v>1</v>
      </c>
      <c r="H187">
        <f>VLOOKUP(A187,怪物模型!A$15:G$77,5,0)</f>
        <v>13</v>
      </c>
      <c r="I187">
        <f>VLOOKUP(A187,怪物模型!A$15:G$77,6,0)</f>
        <v>0</v>
      </c>
      <c r="J187">
        <f>VLOOKUP(A187,怪物模型!A$15:G$77,7,0)</f>
        <v>0</v>
      </c>
      <c r="K187">
        <f>ROUND(VLOOKUP(C187,猎人难度!A$1:C$135,3,0)/VLOOKUP(B187,怪物抗性与玩家穿透!A$2:Q$74,17,0)*F187,0)</f>
        <v>258663</v>
      </c>
      <c r="L187">
        <f>IF(A187="卡雷",42,IF(A187="法力风暴",ROUND(K187*0.1,0),VLOOKUP(A187,怪物模型!$A$15:$I$70,9,0)*(1+(B187-30)/100)))</f>
        <v>1110</v>
      </c>
      <c r="M187">
        <f>ROUND(VLOOKUP(C187,猎人难度!A$1:C$135,2,0)*0.91*E187,0)</f>
        <v>3668</v>
      </c>
      <c r="N187">
        <f t="shared" si="6"/>
        <v>4402</v>
      </c>
      <c r="O187">
        <f>VLOOKUP(B187,怪物抗性与玩家穿透!A$2:Q$74,4,0)</f>
        <v>350</v>
      </c>
      <c r="P187">
        <f>VLOOKUP(B187,怪物抗性与玩家穿透!A$2:Q$74,5,0)</f>
        <v>100</v>
      </c>
      <c r="Q187">
        <f t="shared" si="7"/>
        <v>100</v>
      </c>
      <c r="R187">
        <f>ROUND(VLOOKUP(B187,[3]battleParameter.xml!$A$6:$E$107,5,0)*(I187/100)/(1-I187/100),0)</f>
        <v>0</v>
      </c>
      <c r="S187">
        <f>ROUND(VLOOKUP(B187,[3]battleParameter.xml!$A$6:$G$107,7,0)*(J187/100)/(1-J187/100),0)</f>
        <v>0</v>
      </c>
      <c r="T187">
        <f>ROUND(VLOOKUP(B187,[3]battleParameter.xml!$A$6:$Z$107,8,0)*(MIN(H187/100+0.2,0.99))/(1-MIN(H187/100+0.2,0.99)),0)</f>
        <v>638</v>
      </c>
      <c r="U187">
        <v>0</v>
      </c>
      <c r="V187">
        <v>0</v>
      </c>
    </row>
    <row r="188" spans="1:22">
      <c r="A188" t="str">
        <f>[2]monster.xml!$D533</f>
        <v>荒野游侠</v>
      </c>
      <c r="B188">
        <f>[2]monster.xml!$C533</f>
        <v>41</v>
      </c>
      <c r="C188">
        <f t="shared" si="8"/>
        <v>22</v>
      </c>
      <c r="D188">
        <f>VLOOKUP(A188,怪物模型!A$15:Z$70,8,0)</f>
        <v>16</v>
      </c>
      <c r="E188">
        <f>VLOOKUP(A188,怪物模型!A$15:G$70,3,0)</f>
        <v>1</v>
      </c>
      <c r="F188">
        <f>VLOOKUP(A188,怪物模型!A$15:G$77,4,0)</f>
        <v>0.8</v>
      </c>
      <c r="G188">
        <v>1</v>
      </c>
      <c r="H188">
        <f>VLOOKUP(A188,怪物模型!A$15:G$77,5,0)</f>
        <v>35</v>
      </c>
      <c r="I188">
        <f>VLOOKUP(A188,怪物模型!A$15:G$77,6,0)</f>
        <v>0</v>
      </c>
      <c r="J188">
        <f>VLOOKUP(A188,怪物模型!A$15:G$77,7,0)</f>
        <v>0</v>
      </c>
      <c r="K188">
        <f>ROUND(VLOOKUP(C188,猎人难度!A$1:C$135,3,0)/VLOOKUP(B188,怪物抗性与玩家穿透!A$2:Q$74,17,0)*F188,0)</f>
        <v>226604</v>
      </c>
      <c r="L188">
        <f>IF(A188="卡雷",42,IF(A188="法力风暴",ROUND(K188*0.1,0),VLOOKUP(A188,怪物模型!$A$15:$I$70,9,0)*(1+(B188-30)/100)))</f>
        <v>2220</v>
      </c>
      <c r="M188">
        <f>ROUND(VLOOKUP(C188,猎人难度!A$1:C$135,2,0)*0.91*E188,0)</f>
        <v>3753</v>
      </c>
      <c r="N188">
        <f t="shared" si="6"/>
        <v>4504</v>
      </c>
      <c r="O188">
        <f>VLOOKUP(B188,怪物抗性与玩家穿透!A$2:Q$74,4,0)</f>
        <v>350</v>
      </c>
      <c r="P188">
        <f>VLOOKUP(B188,怪物抗性与玩家穿透!A$2:Q$74,5,0)</f>
        <v>100</v>
      </c>
      <c r="Q188">
        <f t="shared" si="7"/>
        <v>100</v>
      </c>
      <c r="R188">
        <f>ROUND(VLOOKUP(B188,[3]battleParameter.xml!$A$6:$E$107,5,0)*(I188/100)/(1-I188/100),0)</f>
        <v>0</v>
      </c>
      <c r="S188">
        <f>ROUND(VLOOKUP(B188,[3]battleParameter.xml!$A$6:$G$107,7,0)*(J188/100)/(1-J188/100),0)</f>
        <v>0</v>
      </c>
      <c r="T188">
        <f>ROUND(VLOOKUP(B188,[3]battleParameter.xml!$A$6:$Z$107,8,0)*(MIN(H188/100+0.2,0.99))/(1-MIN(H188/100+0.2,0.99)),0)</f>
        <v>1583</v>
      </c>
      <c r="U188">
        <v>0</v>
      </c>
      <c r="V188">
        <v>0</v>
      </c>
    </row>
    <row r="189" spans="1:22">
      <c r="A189" t="str">
        <f>[2]monster.xml!$D534</f>
        <v>憾地者</v>
      </c>
      <c r="B189">
        <f>[2]monster.xml!$C534</f>
        <v>41</v>
      </c>
      <c r="C189">
        <f t="shared" si="8"/>
        <v>23</v>
      </c>
      <c r="D189">
        <f>VLOOKUP(A189,怪物模型!A$15:Z$70,8,0)</f>
        <v>4</v>
      </c>
      <c r="E189">
        <f>VLOOKUP(A189,怪物模型!A$15:G$70,3,0)</f>
        <v>0.85</v>
      </c>
      <c r="F189">
        <f>VLOOKUP(A189,怪物模型!A$15:G$77,4,0)</f>
        <v>1</v>
      </c>
      <c r="G189">
        <v>1</v>
      </c>
      <c r="H189">
        <f>VLOOKUP(A189,怪物模型!A$15:G$77,5,0)</f>
        <v>13</v>
      </c>
      <c r="I189">
        <f>VLOOKUP(A189,怪物模型!A$15:G$77,6,0)</f>
        <v>0</v>
      </c>
      <c r="J189">
        <f>VLOOKUP(A189,怪物模型!A$15:G$77,7,0)</f>
        <v>0</v>
      </c>
      <c r="K189">
        <f>ROUND(VLOOKUP(C189,猎人难度!A$1:C$135,3,0)/VLOOKUP(B189,怪物抗性与玩家穿透!A$2:Q$74,17,0)*F189,0)</f>
        <v>310186</v>
      </c>
      <c r="L189">
        <f>IF(A189="卡雷",42,IF(A189="法力风暴",ROUND(K189*0.1,0),VLOOKUP(A189,怪物模型!$A$15:$I$70,9,0)*(1+(B189-30)/100)))</f>
        <v>1110</v>
      </c>
      <c r="M189">
        <f>ROUND(VLOOKUP(C189,猎人难度!A$1:C$135,2,0)*0.91*E189,0)</f>
        <v>3263</v>
      </c>
      <c r="N189">
        <f t="shared" si="6"/>
        <v>3916</v>
      </c>
      <c r="O189">
        <f>VLOOKUP(B189,怪物抗性与玩家穿透!A$2:Q$74,4,0)</f>
        <v>350</v>
      </c>
      <c r="P189">
        <f>VLOOKUP(B189,怪物抗性与玩家穿透!A$2:Q$74,5,0)</f>
        <v>100</v>
      </c>
      <c r="Q189">
        <f t="shared" si="7"/>
        <v>100</v>
      </c>
      <c r="R189">
        <f>ROUND(VLOOKUP(B189,[3]battleParameter.xml!$A$6:$E$107,5,0)*(I189/100)/(1-I189/100),0)</f>
        <v>0</v>
      </c>
      <c r="S189">
        <f>ROUND(VLOOKUP(B189,[3]battleParameter.xml!$A$6:$G$107,7,0)*(J189/100)/(1-J189/100),0)</f>
        <v>0</v>
      </c>
      <c r="T189">
        <f>ROUND(VLOOKUP(B189,[3]battleParameter.xml!$A$6:$Z$107,8,0)*(MIN(H189/100+0.2,0.99))/(1-MIN(H189/100+0.2,0.99)),0)</f>
        <v>638</v>
      </c>
      <c r="U189">
        <v>0</v>
      </c>
      <c r="V189">
        <v>0</v>
      </c>
    </row>
    <row r="190" spans="1:22">
      <c r="A190" t="str">
        <f>[2]monster.xml!$D535</f>
        <v>拉兹</v>
      </c>
      <c r="B190">
        <f>[2]monster.xml!$C535</f>
        <v>42</v>
      </c>
      <c r="C190">
        <f t="shared" si="8"/>
        <v>24</v>
      </c>
      <c r="D190">
        <f>VLOOKUP(A190,怪物模型!A$15:Z$70,8,0)</f>
        <v>10</v>
      </c>
      <c r="E190">
        <f>VLOOKUP(A190,怪物模型!A$15:G$70,3,0)</f>
        <v>1.2</v>
      </c>
      <c r="F190">
        <f>VLOOKUP(A190,怪物模型!A$15:G$77,4,0)</f>
        <v>1</v>
      </c>
      <c r="G190">
        <v>1</v>
      </c>
      <c r="H190">
        <f>VLOOKUP(A190,怪物模型!A$15:G$77,5,0)</f>
        <v>13</v>
      </c>
      <c r="I190">
        <f>VLOOKUP(A190,怪物模型!A$15:G$77,6,0)</f>
        <v>0</v>
      </c>
      <c r="J190">
        <f>VLOOKUP(A190,怪物模型!A$15:G$77,7,0)</f>
        <v>20</v>
      </c>
      <c r="K190">
        <f>ROUND(VLOOKUP(C190,猎人难度!A$1:C$135,3,0)/VLOOKUP(B190,怪物抗性与玩家穿透!A$2:Q$74,17,0)*F190,0)</f>
        <v>348935</v>
      </c>
      <c r="L190">
        <f>IF(A190="卡雷",42,IF(A190="法力风暴",ROUND(K190*0.1,0),VLOOKUP(A190,怪物模型!$A$15:$I$70,9,0)*(1+(B190-30)/100)))</f>
        <v>2240</v>
      </c>
      <c r="M190">
        <f>ROUND(VLOOKUP(C190,猎人难度!A$1:C$135,2,0)*0.91*E190,0)</f>
        <v>4749</v>
      </c>
      <c r="N190">
        <f t="shared" si="6"/>
        <v>5699</v>
      </c>
      <c r="O190">
        <f>VLOOKUP(B190,怪物抗性与玩家穿透!A$2:Q$74,4,0)</f>
        <v>380</v>
      </c>
      <c r="P190">
        <f>VLOOKUP(B190,怪物抗性与玩家穿透!A$2:Q$74,5,0)</f>
        <v>110</v>
      </c>
      <c r="Q190">
        <f t="shared" si="7"/>
        <v>110</v>
      </c>
      <c r="R190">
        <f>ROUND(VLOOKUP(B190,[3]battleParameter.xml!$A$6:$E$107,5,0)*(I190/100)/(1-I190/100),0)</f>
        <v>0</v>
      </c>
      <c r="S190">
        <f>ROUND(VLOOKUP(B190,[3]battleParameter.xml!$A$6:$G$107,7,0)*(J190/100)/(1-J190/100),0)</f>
        <v>1358</v>
      </c>
      <c r="T190">
        <f>ROUND(VLOOKUP(B190,[3]battleParameter.xml!$A$6:$Z$107,8,0)*(MIN(H190/100+0.2,0.99))/(1-MIN(H190/100+0.2,0.99)),0)</f>
        <v>668</v>
      </c>
      <c r="U190">
        <v>0</v>
      </c>
      <c r="V190">
        <v>0</v>
      </c>
    </row>
    <row r="191" spans="1:22">
      <c r="A191" t="str">
        <f>[2]monster.xml!$D536</f>
        <v>塔克</v>
      </c>
      <c r="B191">
        <f>[2]monster.xml!$C536</f>
        <v>42</v>
      </c>
      <c r="C191">
        <f t="shared" si="8"/>
        <v>24</v>
      </c>
      <c r="D191">
        <f>VLOOKUP(A191,怪物模型!A$15:Z$70,8,0)</f>
        <v>3</v>
      </c>
      <c r="E191">
        <f>VLOOKUP(A191,怪物模型!A$15:G$70,3,0)</f>
        <v>0.35</v>
      </c>
      <c r="F191">
        <f>VLOOKUP(A191,怪物模型!A$15:G$77,4,0)</f>
        <v>0.6</v>
      </c>
      <c r="G191">
        <v>1</v>
      </c>
      <c r="H191">
        <f>VLOOKUP(A191,怪物模型!A$15:G$77,5,0)</f>
        <v>13</v>
      </c>
      <c r="I191">
        <f>VLOOKUP(A191,怪物模型!A$15:G$77,6,0)</f>
        <v>0</v>
      </c>
      <c r="J191">
        <f>VLOOKUP(A191,怪物模型!A$15:G$77,7,0)</f>
        <v>0</v>
      </c>
      <c r="K191">
        <f>ROUND(VLOOKUP(C191,猎人难度!A$1:C$135,3,0)/VLOOKUP(B191,怪物抗性与玩家穿透!A$2:Q$74,17,0)*F191,0)</f>
        <v>209361</v>
      </c>
      <c r="L191">
        <f>IF(A191="卡雷",42,IF(A191="法力风暴",ROUND(K191*0.1,0),VLOOKUP(A191,怪物模型!$A$15:$I$70,9,0)*(1+(B191-30)/100)))</f>
        <v>1120</v>
      </c>
      <c r="M191">
        <f>ROUND(VLOOKUP(C191,猎人难度!A$1:C$135,2,0)*0.91*E191,0)</f>
        <v>1385</v>
      </c>
      <c r="N191">
        <f t="shared" si="6"/>
        <v>1662</v>
      </c>
      <c r="O191">
        <f>VLOOKUP(B191,怪物抗性与玩家穿透!A$2:Q$74,4,0)</f>
        <v>380</v>
      </c>
      <c r="P191">
        <f>VLOOKUP(B191,怪物抗性与玩家穿透!A$2:Q$74,5,0)</f>
        <v>110</v>
      </c>
      <c r="Q191">
        <f t="shared" si="7"/>
        <v>110</v>
      </c>
      <c r="R191">
        <f>ROUND(VLOOKUP(B191,[3]battleParameter.xml!$A$6:$E$107,5,0)*(I191/100)/(1-I191/100),0)</f>
        <v>0</v>
      </c>
      <c r="S191">
        <f>ROUND(VLOOKUP(B191,[3]battleParameter.xml!$A$6:$G$107,7,0)*(J191/100)/(1-J191/100),0)</f>
        <v>0</v>
      </c>
      <c r="T191">
        <f>ROUND(VLOOKUP(B191,[3]battleParameter.xml!$A$6:$Z$107,8,0)*(MIN(H191/100+0.2,0.99))/(1-MIN(H191/100+0.2,0.99)),0)</f>
        <v>668</v>
      </c>
      <c r="U191">
        <v>0</v>
      </c>
      <c r="V191">
        <v>0</v>
      </c>
    </row>
    <row r="192" spans="1:22">
      <c r="A192" t="str">
        <f>[2]monster.xml!$D537</f>
        <v>迪皮斯</v>
      </c>
      <c r="B192">
        <f>[2]monster.xml!$C537</f>
        <v>42</v>
      </c>
      <c r="C192">
        <f t="shared" si="8"/>
        <v>25</v>
      </c>
      <c r="D192" t="str">
        <f>VLOOKUP(A192,怪物模型!A$15:Z$70,8,0)</f>
        <v>17,14</v>
      </c>
      <c r="E192">
        <f>VLOOKUP(A192,怪物模型!A$15:G$70,3,0)</f>
        <v>0.6</v>
      </c>
      <c r="F192">
        <f>VLOOKUP(A192,怪物模型!A$15:G$77,4,0)</f>
        <v>0.4</v>
      </c>
      <c r="G192">
        <v>1</v>
      </c>
      <c r="H192">
        <f>VLOOKUP(A192,怪物模型!A$15:G$77,5,0)</f>
        <v>13</v>
      </c>
      <c r="I192">
        <f>VLOOKUP(A192,怪物模型!A$15:G$77,6,0)</f>
        <v>0</v>
      </c>
      <c r="J192">
        <f>VLOOKUP(A192,怪物模型!A$15:G$77,7,0)</f>
        <v>0</v>
      </c>
      <c r="K192">
        <f>ROUND(VLOOKUP(C192,猎人难度!A$1:C$135,3,0)/VLOOKUP(B192,怪物抗性与玩家穿透!A$2:Q$74,17,0)*F192,0)</f>
        <v>152665</v>
      </c>
      <c r="L192">
        <f>IF(A192="卡雷",42,IF(A192="法力风暴",ROUND(K192*0.1,0),VLOOKUP(A192,怪物模型!$A$15:$I$70,9,0)*(1+(B192-30)/100)))</f>
        <v>1120</v>
      </c>
      <c r="M192">
        <f>ROUND(VLOOKUP(C192,猎人难度!A$1:C$135,2,0)*0.91*E192,0)</f>
        <v>2442</v>
      </c>
      <c r="N192">
        <f t="shared" si="6"/>
        <v>2930</v>
      </c>
      <c r="O192">
        <f>VLOOKUP(B192,怪物抗性与玩家穿透!A$2:Q$74,4,0)</f>
        <v>380</v>
      </c>
      <c r="P192">
        <f>VLOOKUP(B192,怪物抗性与玩家穿透!A$2:Q$74,5,0)</f>
        <v>110</v>
      </c>
      <c r="Q192">
        <f t="shared" si="7"/>
        <v>110</v>
      </c>
      <c r="R192">
        <f>ROUND(VLOOKUP(B192,[3]battleParameter.xml!$A$6:$E$107,5,0)*(I192/100)/(1-I192/100),0)</f>
        <v>0</v>
      </c>
      <c r="S192">
        <f>ROUND(VLOOKUP(B192,[3]battleParameter.xml!$A$6:$G$107,7,0)*(J192/100)/(1-J192/100),0)</f>
        <v>0</v>
      </c>
      <c r="T192">
        <f>ROUND(VLOOKUP(B192,[3]battleParameter.xml!$A$6:$Z$107,8,0)*(MIN(H192/100+0.2,0.99))/(1-MIN(H192/100+0.2,0.99)),0)</f>
        <v>668</v>
      </c>
      <c r="U192">
        <v>0</v>
      </c>
      <c r="V192">
        <v>0</v>
      </c>
    </row>
    <row r="193" spans="1:22">
      <c r="A193" t="str">
        <f>[2]monster.xml!$D538</f>
        <v>狂野安东尼</v>
      </c>
      <c r="B193">
        <f>[2]monster.xml!$C538</f>
        <v>43</v>
      </c>
      <c r="C193">
        <f t="shared" si="8"/>
        <v>26</v>
      </c>
      <c r="D193">
        <f>VLOOKUP(A193,怪物模型!A$15:Z$70,8,0)</f>
        <v>7</v>
      </c>
      <c r="E193">
        <f>VLOOKUP(A193,怪物模型!A$15:G$70,3,0)</f>
        <v>1</v>
      </c>
      <c r="F193">
        <f>VLOOKUP(A193,怪物模型!A$15:G$77,4,0)</f>
        <v>1</v>
      </c>
      <c r="G193">
        <v>1</v>
      </c>
      <c r="H193">
        <f>VLOOKUP(A193,怪物模型!A$15:G$77,5,0)</f>
        <v>13</v>
      </c>
      <c r="I193">
        <f>VLOOKUP(A193,怪物模型!A$15:G$77,6,0)</f>
        <v>0</v>
      </c>
      <c r="J193">
        <f>VLOOKUP(A193,怪物模型!A$15:G$77,7,0)</f>
        <v>0</v>
      </c>
      <c r="K193">
        <f>ROUND(VLOOKUP(C193,猎人难度!A$1:C$135,3,0)/VLOOKUP(B193,怪物抗性与玩家穿透!A$2:Q$74,17,0)*F193,0)</f>
        <v>416209</v>
      </c>
      <c r="L193">
        <f>IF(A193="卡雷",42,IF(A193="法力风暴",ROUND(K193*0.1,0),VLOOKUP(A193,怪物模型!$A$15:$I$70,9,0)*(1+(B193-30)/100)))</f>
        <v>1130</v>
      </c>
      <c r="M193">
        <f>ROUND(VLOOKUP(C193,猎人难度!A$1:C$135,2,0)*0.91*E193,0)</f>
        <v>4185</v>
      </c>
      <c r="N193">
        <f t="shared" si="6"/>
        <v>5022</v>
      </c>
      <c r="O193">
        <f>VLOOKUP(B193,怪物抗性与玩家穿透!A$2:Q$74,4,0)</f>
        <v>410</v>
      </c>
      <c r="P193">
        <f>VLOOKUP(B193,怪物抗性与玩家穿透!A$2:Q$74,5,0)</f>
        <v>120</v>
      </c>
      <c r="Q193">
        <f t="shared" si="7"/>
        <v>120</v>
      </c>
      <c r="R193">
        <f>ROUND(VLOOKUP(B193,[3]battleParameter.xml!$A$6:$E$107,5,0)*(I193/100)/(1-I193/100),0)</f>
        <v>0</v>
      </c>
      <c r="S193">
        <f>ROUND(VLOOKUP(B193,[3]battleParameter.xml!$A$6:$G$107,7,0)*(J193/100)/(1-J193/100),0)</f>
        <v>0</v>
      </c>
      <c r="T193">
        <f>ROUND(VLOOKUP(B193,[3]battleParameter.xml!$A$6:$Z$107,8,0)*(MIN(H193/100+0.2,0.99))/(1-MIN(H193/100+0.2,0.99)),0)</f>
        <v>700</v>
      </c>
      <c r="U193">
        <v>0</v>
      </c>
      <c r="V193">
        <v>0</v>
      </c>
    </row>
    <row r="194" spans="1:22">
      <c r="A194" t="str">
        <f>[2]monster.xml!$D539</f>
        <v>巡林者瑞克</v>
      </c>
      <c r="B194">
        <f>[2]monster.xml!$C539</f>
        <v>44</v>
      </c>
      <c r="C194">
        <f t="shared" si="8"/>
        <v>27</v>
      </c>
      <c r="D194">
        <f>VLOOKUP(A194,怪物模型!A$15:Z$70,8,0)</f>
        <v>15</v>
      </c>
      <c r="E194">
        <f>VLOOKUP(A194,怪物模型!A$15:G$70,3,0)</f>
        <v>1</v>
      </c>
      <c r="F194">
        <f>VLOOKUP(A194,怪物模型!A$15:G$77,4,0)</f>
        <v>1</v>
      </c>
      <c r="G194">
        <v>1</v>
      </c>
      <c r="H194">
        <f>VLOOKUP(A194,怪物模型!A$15:G$77,5,0)</f>
        <v>13</v>
      </c>
      <c r="I194">
        <f>VLOOKUP(A194,怪物模型!A$15:G$77,6,0)</f>
        <v>0</v>
      </c>
      <c r="J194">
        <f>VLOOKUP(A194,怪物模型!A$15:G$77,7,0)</f>
        <v>0</v>
      </c>
      <c r="K194">
        <f>ROUND(VLOOKUP(C194,猎人难度!A$1:C$135,3,0)/VLOOKUP(B194,怪物抗性与玩家穿透!A$2:Q$74,17,0)*F194,0)</f>
        <v>467813</v>
      </c>
      <c r="L194">
        <f>IF(A194="卡雷",42,IF(A194="法力风暴",ROUND(K194*0.1,0),VLOOKUP(A194,怪物模型!$A$15:$I$70,9,0)*(1+(B194-30)/100)))</f>
        <v>1140.0000000000002</v>
      </c>
      <c r="M194">
        <f>ROUND(VLOOKUP(C194,猎人难度!A$1:C$135,2,0)*0.91*E194,0)</f>
        <v>4344</v>
      </c>
      <c r="N194">
        <f t="shared" si="6"/>
        <v>5213</v>
      </c>
      <c r="O194">
        <f>VLOOKUP(B194,怪物抗性与玩家穿透!A$2:Q$74,4,0)</f>
        <v>440</v>
      </c>
      <c r="P194">
        <f>VLOOKUP(B194,怪物抗性与玩家穿透!A$2:Q$74,5,0)</f>
        <v>130</v>
      </c>
      <c r="Q194">
        <f t="shared" si="7"/>
        <v>130</v>
      </c>
      <c r="R194">
        <f>ROUND(VLOOKUP(B194,[3]battleParameter.xml!$A$6:$E$107,5,0)*(I194/100)/(1-I194/100),0)</f>
        <v>0</v>
      </c>
      <c r="S194">
        <f>ROUND(VLOOKUP(B194,[3]battleParameter.xml!$A$6:$G$107,7,0)*(J194/100)/(1-J194/100),0)</f>
        <v>0</v>
      </c>
      <c r="T194">
        <f>ROUND(VLOOKUP(B194,[3]battleParameter.xml!$A$6:$Z$107,8,0)*(MIN(H194/100+0.2,0.99))/(1-MIN(H194/100+0.2,0.99)),0)</f>
        <v>732</v>
      </c>
      <c r="U194">
        <v>0</v>
      </c>
      <c r="V194">
        <v>0</v>
      </c>
    </row>
    <row r="195" spans="1:22">
      <c r="A195" t="str">
        <f>[2]monster.xml!$D540</f>
        <v>猎人幻象</v>
      </c>
      <c r="B195">
        <f>[2]monster.xml!$C540</f>
        <v>45</v>
      </c>
      <c r="C195">
        <f t="shared" si="8"/>
        <v>28</v>
      </c>
      <c r="D195">
        <f>VLOOKUP(A195,怪物模型!A$15:Z$70,8,0)</f>
        <v>11</v>
      </c>
      <c r="E195">
        <f>VLOOKUP(A195,怪物模型!A$15:G$70,3,0)</f>
        <v>1</v>
      </c>
      <c r="F195">
        <f>VLOOKUP(A195,怪物模型!A$15:G$77,4,0)</f>
        <v>1</v>
      </c>
      <c r="G195">
        <v>1</v>
      </c>
      <c r="H195">
        <f>VLOOKUP(A195,怪物模型!A$15:G$77,5,0)</f>
        <v>13</v>
      </c>
      <c r="I195">
        <f>VLOOKUP(A195,怪物模型!A$15:G$77,6,0)</f>
        <v>15</v>
      </c>
      <c r="J195">
        <f>VLOOKUP(A195,怪物模型!A$15:G$77,7,0)</f>
        <v>0</v>
      </c>
      <c r="K195">
        <f>ROUND(VLOOKUP(C195,猎人难度!A$1:C$135,3,0)/VLOOKUP(B195,怪物抗性与玩家穿透!A$2:Q$74,17,0)*F195,0)</f>
        <v>281069</v>
      </c>
      <c r="L195">
        <f>IF(A195="卡雷",42,IF(A195="法力风暴",ROUND(K195*0.1,0),VLOOKUP(A195,怪物模型!$A$15:$I$70,9,0)*(1+(B195-30)/100)))</f>
        <v>1150</v>
      </c>
      <c r="M195">
        <f>ROUND(VLOOKUP(C195,猎人难度!A$1:C$135,2,0)*0.91*E195,0)</f>
        <v>4133</v>
      </c>
      <c r="N195">
        <f t="shared" ref="N195:N258" si="9">ROUND(M195*1.2,0)</f>
        <v>4960</v>
      </c>
      <c r="O195">
        <f>VLOOKUP(B195,怪物抗性与玩家穿透!A$2:Q$74,4,0)</f>
        <v>470</v>
      </c>
      <c r="P195">
        <f>VLOOKUP(B195,怪物抗性与玩家穿透!A$2:Q$74,5,0)</f>
        <v>140</v>
      </c>
      <c r="Q195">
        <f t="shared" ref="Q195:Q258" si="10">P195</f>
        <v>140</v>
      </c>
      <c r="R195">
        <f>ROUND(VLOOKUP(B195,[3]battleParameter.xml!$A$6:$E$107,5,0)*(I195/100)/(1-I195/100),0)</f>
        <v>1098</v>
      </c>
      <c r="S195">
        <f>ROUND(VLOOKUP(B195,[3]battleParameter.xml!$A$6:$G$107,7,0)*(J195/100)/(1-J195/100),0)</f>
        <v>0</v>
      </c>
      <c r="T195">
        <f>ROUND(VLOOKUP(B195,[3]battleParameter.xml!$A$6:$Z$107,8,0)*(MIN(H195/100+0.2,0.99))/(1-MIN(H195/100+0.2,0.99)),0)</f>
        <v>766</v>
      </c>
      <c r="U195">
        <v>0</v>
      </c>
      <c r="V195">
        <v>0</v>
      </c>
    </row>
    <row r="196" spans="1:22">
      <c r="A196" t="str">
        <f>[2]monster.xml!$D541</f>
        <v>法力风暴</v>
      </c>
      <c r="B196">
        <f>[2]monster.xml!$C541</f>
        <v>45</v>
      </c>
      <c r="C196">
        <f t="shared" ref="C196:C259" si="11">IF(OR(A196="塔克",A196="多兰",A196="约翰",A196="血誓预言者",A196="血誓召唤者",A196="血誓领主"),C195,C195+1)</f>
        <v>29</v>
      </c>
      <c r="D196" t="str">
        <f>VLOOKUP(A196,怪物模型!A$15:Z$70,8,0)</f>
        <v>25,30</v>
      </c>
      <c r="E196">
        <f>VLOOKUP(A196,怪物模型!A$15:G$70,3,0)</f>
        <v>1.5</v>
      </c>
      <c r="F196">
        <f>VLOOKUP(A196,怪物模型!A$15:G$77,4,0)</f>
        <v>0.68</v>
      </c>
      <c r="G196">
        <v>1</v>
      </c>
      <c r="H196">
        <f>VLOOKUP(A196,怪物模型!A$15:G$77,5,0)</f>
        <v>13</v>
      </c>
      <c r="I196">
        <f>VLOOKUP(A196,怪物模型!A$15:G$77,6,0)</f>
        <v>0</v>
      </c>
      <c r="J196">
        <f>VLOOKUP(A196,怪物模型!A$15:G$77,7,0)</f>
        <v>0</v>
      </c>
      <c r="K196">
        <f>ROUND(VLOOKUP(C196,猎人难度!A$1:C$135,3,0)/VLOOKUP(B196,怪物抗性与玩家穿透!A$2:Q$74,17,0)*F196,0)</f>
        <v>214256</v>
      </c>
      <c r="L196">
        <f>IF(A196="卡雷",42,IF(A196="法力风暴",ROUND(K196*0.1,0),VLOOKUP(A196,怪物模型!$A$15:$I$70,9,0)*(1+(B196-30)/100)))</f>
        <v>21426</v>
      </c>
      <c r="M196">
        <f>ROUND(VLOOKUP(C196,猎人难度!A$1:C$135,2,0)*0.91*E196,0)</f>
        <v>6429</v>
      </c>
      <c r="N196">
        <f t="shared" si="9"/>
        <v>7715</v>
      </c>
      <c r="O196">
        <f>VLOOKUP(B196,怪物抗性与玩家穿透!A$2:Q$74,4,0)</f>
        <v>470</v>
      </c>
      <c r="P196">
        <f>VLOOKUP(B196,怪物抗性与玩家穿透!A$2:Q$74,5,0)</f>
        <v>140</v>
      </c>
      <c r="Q196">
        <f t="shared" si="10"/>
        <v>140</v>
      </c>
      <c r="R196">
        <f>ROUND(VLOOKUP(B196,[3]battleParameter.xml!$A$6:$E$107,5,0)*(I196/100)/(1-I196/100),0)</f>
        <v>0</v>
      </c>
      <c r="S196">
        <f>ROUND(VLOOKUP(B196,[3]battleParameter.xml!$A$6:$G$107,7,0)*(J196/100)/(1-J196/100),0)</f>
        <v>0</v>
      </c>
      <c r="T196">
        <f>ROUND(VLOOKUP(B196,[3]battleParameter.xml!$A$6:$Z$107,8,0)*(MIN(H196/100+0.2,0.99))/(1-MIN(H196/100+0.2,0.99)),0)</f>
        <v>766</v>
      </c>
      <c r="U196">
        <v>0</v>
      </c>
      <c r="V196">
        <v>0</v>
      </c>
    </row>
    <row r="197" spans="1:22">
      <c r="A197" t="str">
        <f>[2]monster.xml!$D542</f>
        <v>角斗士里奥</v>
      </c>
      <c r="B197">
        <f>[2]monster.xml!$C542</f>
        <v>46</v>
      </c>
      <c r="C197">
        <f t="shared" si="11"/>
        <v>30</v>
      </c>
      <c r="D197">
        <f>VLOOKUP(A197,怪物模型!A$15:Z$70,8,0)</f>
        <v>5</v>
      </c>
      <c r="E197">
        <f>VLOOKUP(A197,怪物模型!A$15:G$70,3,0)</f>
        <v>1</v>
      </c>
      <c r="F197">
        <f>VLOOKUP(A197,怪物模型!A$15:G$77,4,0)</f>
        <v>1</v>
      </c>
      <c r="G197">
        <v>1</v>
      </c>
      <c r="H197">
        <f>VLOOKUP(A197,怪物模型!A$15:G$77,5,0)</f>
        <v>13</v>
      </c>
      <c r="I197">
        <f>VLOOKUP(A197,怪物模型!A$15:G$77,6,0)</f>
        <v>0</v>
      </c>
      <c r="J197">
        <f>VLOOKUP(A197,怪物模型!A$15:G$77,7,0)</f>
        <v>0</v>
      </c>
      <c r="K197">
        <f>ROUND(VLOOKUP(C197,猎人难度!A$1:C$135,3,0)/VLOOKUP(B197,怪物抗性与玩家穿透!A$2:Q$74,17,0)*F197,0)</f>
        <v>366161</v>
      </c>
      <c r="L197">
        <f>IF(A197="卡雷",42,IF(A197="法力风暴",ROUND(K197*0.1,0),VLOOKUP(A197,怪物模型!$A$15:$I$70,9,0)*(1+(B197-30)/100)))</f>
        <v>1160</v>
      </c>
      <c r="M197">
        <f>ROUND(VLOOKUP(C197,猎人难度!A$1:C$135,2,0)*0.91*E197,0)</f>
        <v>4499</v>
      </c>
      <c r="N197">
        <f t="shared" si="9"/>
        <v>5399</v>
      </c>
      <c r="O197">
        <f>VLOOKUP(B197,怪物抗性与玩家穿透!A$2:Q$74,4,0)</f>
        <v>500</v>
      </c>
      <c r="P197">
        <f>VLOOKUP(B197,怪物抗性与玩家穿透!A$2:Q$74,5,0)</f>
        <v>150</v>
      </c>
      <c r="Q197">
        <f t="shared" si="10"/>
        <v>150</v>
      </c>
      <c r="R197">
        <f>ROUND(VLOOKUP(B197,[3]battleParameter.xml!$A$6:$E$107,5,0)*(I197/100)/(1-I197/100),0)</f>
        <v>0</v>
      </c>
      <c r="S197">
        <f>ROUND(VLOOKUP(B197,[3]battleParameter.xml!$A$6:$G$107,7,0)*(J197/100)/(1-J197/100),0)</f>
        <v>0</v>
      </c>
      <c r="T197">
        <f>ROUND(VLOOKUP(B197,[3]battleParameter.xml!$A$6:$Z$107,8,0)*(MIN(H197/100+0.2,0.99))/(1-MIN(H197/100+0.2,0.99)),0)</f>
        <v>799</v>
      </c>
      <c r="U197">
        <v>0</v>
      </c>
      <c r="V197">
        <v>0</v>
      </c>
    </row>
    <row r="198" spans="1:22">
      <c r="A198" t="str">
        <f>[2]monster.xml!$D543</f>
        <v>荒野游侠</v>
      </c>
      <c r="B198">
        <f>[2]monster.xml!$C543</f>
        <v>46</v>
      </c>
      <c r="C198">
        <f t="shared" si="11"/>
        <v>31</v>
      </c>
      <c r="D198">
        <f>VLOOKUP(A198,怪物模型!A$15:Z$70,8,0)</f>
        <v>16</v>
      </c>
      <c r="E198">
        <f>VLOOKUP(A198,怪物模型!A$15:G$70,3,0)</f>
        <v>1</v>
      </c>
      <c r="F198">
        <f>VLOOKUP(A198,怪物模型!A$15:G$77,4,0)</f>
        <v>0.8</v>
      </c>
      <c r="G198">
        <v>1</v>
      </c>
      <c r="H198">
        <f>VLOOKUP(A198,怪物模型!A$15:G$77,5,0)</f>
        <v>35</v>
      </c>
      <c r="I198">
        <f>VLOOKUP(A198,怪物模型!A$15:G$77,6,0)</f>
        <v>0</v>
      </c>
      <c r="J198">
        <f>VLOOKUP(A198,怪物模型!A$15:G$77,7,0)</f>
        <v>0</v>
      </c>
      <c r="K198">
        <f>ROUND(VLOOKUP(C198,猎人难度!A$1:C$135,3,0)/VLOOKUP(B198,怪物抗性与玩家穿透!A$2:Q$74,17,0)*F198,0)</f>
        <v>318130</v>
      </c>
      <c r="L198">
        <f>IF(A198="卡雷",42,IF(A198="法力风暴",ROUND(K198*0.1,0),VLOOKUP(A198,怪物模型!$A$15:$I$70,9,0)*(1+(B198-30)/100)))</f>
        <v>2320</v>
      </c>
      <c r="M198">
        <f>ROUND(VLOOKUP(C198,猎人难度!A$1:C$135,2,0)*0.91*E198,0)</f>
        <v>4647</v>
      </c>
      <c r="N198">
        <f t="shared" si="9"/>
        <v>5576</v>
      </c>
      <c r="O198">
        <f>VLOOKUP(B198,怪物抗性与玩家穿透!A$2:Q$74,4,0)</f>
        <v>500</v>
      </c>
      <c r="P198">
        <f>VLOOKUP(B198,怪物抗性与玩家穿透!A$2:Q$74,5,0)</f>
        <v>150</v>
      </c>
      <c r="Q198">
        <f t="shared" si="10"/>
        <v>150</v>
      </c>
      <c r="R198">
        <f>ROUND(VLOOKUP(B198,[3]battleParameter.xml!$A$6:$E$107,5,0)*(I198/100)/(1-I198/100),0)</f>
        <v>0</v>
      </c>
      <c r="S198">
        <f>ROUND(VLOOKUP(B198,[3]battleParameter.xml!$A$6:$G$107,7,0)*(J198/100)/(1-J198/100),0)</f>
        <v>0</v>
      </c>
      <c r="T198">
        <f>ROUND(VLOOKUP(B198,[3]battleParameter.xml!$A$6:$Z$107,8,0)*(MIN(H198/100+0.2,0.99))/(1-MIN(H198/100+0.2,0.99)),0)</f>
        <v>1984</v>
      </c>
      <c r="U198">
        <v>0</v>
      </c>
      <c r="V198">
        <v>0</v>
      </c>
    </row>
    <row r="199" spans="1:22">
      <c r="A199" t="str">
        <f>[2]monster.xml!$D544</f>
        <v>憾地者</v>
      </c>
      <c r="B199">
        <f>[2]monster.xml!$C544</f>
        <v>46</v>
      </c>
      <c r="C199">
        <f t="shared" si="11"/>
        <v>32</v>
      </c>
      <c r="D199">
        <f>VLOOKUP(A199,怪物模型!A$15:Z$70,8,0)</f>
        <v>4</v>
      </c>
      <c r="E199">
        <f>VLOOKUP(A199,怪物模型!A$15:G$70,3,0)</f>
        <v>0.85</v>
      </c>
      <c r="F199">
        <f>VLOOKUP(A199,怪物模型!A$15:G$77,4,0)</f>
        <v>1</v>
      </c>
      <c r="G199">
        <v>1</v>
      </c>
      <c r="H199">
        <f>VLOOKUP(A199,怪物模型!A$15:G$77,5,0)</f>
        <v>13</v>
      </c>
      <c r="I199">
        <f>VLOOKUP(A199,怪物模型!A$15:G$77,6,0)</f>
        <v>0</v>
      </c>
      <c r="J199">
        <f>VLOOKUP(A199,怪物模型!A$15:G$77,7,0)</f>
        <v>0</v>
      </c>
      <c r="K199">
        <f>ROUND(VLOOKUP(C199,猎人难度!A$1:C$135,3,0)/VLOOKUP(B199,怪物抗性与玩家穿透!A$2:Q$74,17,0)*F199,0)</f>
        <v>431875</v>
      </c>
      <c r="L199">
        <f>IF(A199="卡雷",42,IF(A199="法力风暴",ROUND(K199*0.1,0),VLOOKUP(A199,怪物模型!$A$15:$I$70,9,0)*(1+(B199-30)/100)))</f>
        <v>1160</v>
      </c>
      <c r="M199">
        <f>ROUND(VLOOKUP(C199,猎人难度!A$1:C$135,2,0)*0.91*E199,0)</f>
        <v>4081</v>
      </c>
      <c r="N199">
        <f t="shared" si="9"/>
        <v>4897</v>
      </c>
      <c r="O199">
        <f>VLOOKUP(B199,怪物抗性与玩家穿透!A$2:Q$74,4,0)</f>
        <v>500</v>
      </c>
      <c r="P199">
        <f>VLOOKUP(B199,怪物抗性与玩家穿透!A$2:Q$74,5,0)</f>
        <v>150</v>
      </c>
      <c r="Q199">
        <f t="shared" si="10"/>
        <v>150</v>
      </c>
      <c r="R199">
        <f>ROUND(VLOOKUP(B199,[3]battleParameter.xml!$A$6:$E$107,5,0)*(I199/100)/(1-I199/100),0)</f>
        <v>0</v>
      </c>
      <c r="S199">
        <f>ROUND(VLOOKUP(B199,[3]battleParameter.xml!$A$6:$G$107,7,0)*(J199/100)/(1-J199/100),0)</f>
        <v>0</v>
      </c>
      <c r="T199">
        <f>ROUND(VLOOKUP(B199,[3]battleParameter.xml!$A$6:$Z$107,8,0)*(MIN(H199/100+0.2,0.99))/(1-MIN(H199/100+0.2,0.99)),0)</f>
        <v>799</v>
      </c>
      <c r="U199">
        <v>0</v>
      </c>
      <c r="V199">
        <v>0</v>
      </c>
    </row>
    <row r="200" spans="1:22">
      <c r="A200" t="str">
        <f>[2]monster.xml!$D545</f>
        <v>拉兹</v>
      </c>
      <c r="B200">
        <f>[2]monster.xml!$C545</f>
        <v>47</v>
      </c>
      <c r="C200">
        <f t="shared" si="11"/>
        <v>33</v>
      </c>
      <c r="D200">
        <f>VLOOKUP(A200,怪物模型!A$15:Z$70,8,0)</f>
        <v>10</v>
      </c>
      <c r="E200">
        <f>VLOOKUP(A200,怪物模型!A$15:G$70,3,0)</f>
        <v>1.2</v>
      </c>
      <c r="F200">
        <f>VLOOKUP(A200,怪物模型!A$15:G$77,4,0)</f>
        <v>1</v>
      </c>
      <c r="G200">
        <v>1</v>
      </c>
      <c r="H200">
        <f>VLOOKUP(A200,怪物模型!A$15:G$77,5,0)</f>
        <v>13</v>
      </c>
      <c r="I200">
        <f>VLOOKUP(A200,怪物模型!A$15:G$77,6,0)</f>
        <v>0</v>
      </c>
      <c r="J200">
        <f>VLOOKUP(A200,怪物模型!A$15:G$77,7,0)</f>
        <v>20</v>
      </c>
      <c r="K200">
        <f>ROUND(VLOOKUP(C200,猎人难度!A$1:C$135,3,0)/VLOOKUP(B200,怪物抗性与玩家穿透!A$2:Q$74,17,0)*F200,0)</f>
        <v>442234</v>
      </c>
      <c r="L200">
        <f>IF(A200="卡雷",42,IF(A200="法力风暴",ROUND(K200*0.1,0),VLOOKUP(A200,怪物模型!$A$15:$I$70,9,0)*(1+(B200-30)/100)))</f>
        <v>2340</v>
      </c>
      <c r="M200">
        <f>ROUND(VLOOKUP(C200,猎人难度!A$1:C$135,2,0)*0.91*E200,0)</f>
        <v>6016</v>
      </c>
      <c r="N200">
        <f t="shared" si="9"/>
        <v>7219</v>
      </c>
      <c r="O200">
        <f>VLOOKUP(B200,怪物抗性与玩家穿透!A$2:Q$74,4,0)</f>
        <v>1000</v>
      </c>
      <c r="P200">
        <f>VLOOKUP(B200,怪物抗性与玩家穿透!A$2:Q$74,5,0)</f>
        <v>300</v>
      </c>
      <c r="Q200">
        <f t="shared" si="10"/>
        <v>300</v>
      </c>
      <c r="R200">
        <f>ROUND(VLOOKUP(B200,[3]battleParameter.xml!$A$6:$E$107,5,0)*(I200/100)/(1-I200/100),0)</f>
        <v>0</v>
      </c>
      <c r="S200">
        <f>ROUND(VLOOKUP(B200,[3]battleParameter.xml!$A$6:$G$107,7,0)*(J200/100)/(1-J200/100),0)</f>
        <v>1694</v>
      </c>
      <c r="T200">
        <f>ROUND(VLOOKUP(B200,[3]battleParameter.xml!$A$6:$Z$107,8,0)*(MIN(H200/100+0.2,0.99))/(1-MIN(H200/100+0.2,0.99)),0)</f>
        <v>834</v>
      </c>
      <c r="U200">
        <v>0</v>
      </c>
      <c r="V200">
        <v>0</v>
      </c>
    </row>
    <row r="201" spans="1:22">
      <c r="A201" t="str">
        <f>[2]monster.xml!$D546</f>
        <v>塔克</v>
      </c>
      <c r="B201">
        <f>[2]monster.xml!$C546</f>
        <v>47</v>
      </c>
      <c r="C201">
        <f t="shared" si="11"/>
        <v>33</v>
      </c>
      <c r="D201">
        <f>VLOOKUP(A201,怪物模型!A$15:Z$70,8,0)</f>
        <v>3</v>
      </c>
      <c r="E201">
        <f>VLOOKUP(A201,怪物模型!A$15:G$70,3,0)</f>
        <v>0.35</v>
      </c>
      <c r="F201">
        <f>VLOOKUP(A201,怪物模型!A$15:G$77,4,0)</f>
        <v>0.6</v>
      </c>
      <c r="G201">
        <v>1</v>
      </c>
      <c r="H201">
        <f>VLOOKUP(A201,怪物模型!A$15:G$77,5,0)</f>
        <v>13</v>
      </c>
      <c r="I201">
        <f>VLOOKUP(A201,怪物模型!A$15:G$77,6,0)</f>
        <v>0</v>
      </c>
      <c r="J201">
        <f>VLOOKUP(A201,怪物模型!A$15:G$77,7,0)</f>
        <v>0</v>
      </c>
      <c r="K201">
        <f>ROUND(VLOOKUP(C201,猎人难度!A$1:C$135,3,0)/VLOOKUP(B201,怪物抗性与玩家穿透!A$2:Q$74,17,0)*F201,0)</f>
        <v>265340</v>
      </c>
      <c r="L201">
        <f>IF(A201="卡雷",42,IF(A201="法力风暴",ROUND(K201*0.1,0),VLOOKUP(A201,怪物模型!$A$15:$I$70,9,0)*(1+(B201-30)/100)))</f>
        <v>1170</v>
      </c>
      <c r="M201">
        <f>ROUND(VLOOKUP(C201,猎人难度!A$1:C$135,2,0)*0.91*E201,0)</f>
        <v>1755</v>
      </c>
      <c r="N201">
        <f t="shared" si="9"/>
        <v>2106</v>
      </c>
      <c r="O201">
        <f>VLOOKUP(B201,怪物抗性与玩家穿透!A$2:Q$74,4,0)</f>
        <v>1000</v>
      </c>
      <c r="P201">
        <f>VLOOKUP(B201,怪物抗性与玩家穿透!A$2:Q$74,5,0)</f>
        <v>300</v>
      </c>
      <c r="Q201">
        <f t="shared" si="10"/>
        <v>300</v>
      </c>
      <c r="R201">
        <f>ROUND(VLOOKUP(B201,[3]battleParameter.xml!$A$6:$E$107,5,0)*(I201/100)/(1-I201/100),0)</f>
        <v>0</v>
      </c>
      <c r="S201">
        <f>ROUND(VLOOKUP(B201,[3]battleParameter.xml!$A$6:$G$107,7,0)*(J201/100)/(1-J201/100),0)</f>
        <v>0</v>
      </c>
      <c r="T201">
        <f>ROUND(VLOOKUP(B201,[3]battleParameter.xml!$A$6:$Z$107,8,0)*(MIN(H201/100+0.2,0.99))/(1-MIN(H201/100+0.2,0.99)),0)</f>
        <v>834</v>
      </c>
      <c r="U201">
        <v>0</v>
      </c>
      <c r="V201">
        <v>0</v>
      </c>
    </row>
    <row r="202" spans="1:22">
      <c r="A202" t="str">
        <f>[2]monster.xml!$D547</f>
        <v>迪皮斯</v>
      </c>
      <c r="B202">
        <f>[2]monster.xml!$C547</f>
        <v>47</v>
      </c>
      <c r="C202">
        <f t="shared" si="11"/>
        <v>34</v>
      </c>
      <c r="D202" t="str">
        <f>VLOOKUP(A202,怪物模型!A$15:Z$70,8,0)</f>
        <v>17,14</v>
      </c>
      <c r="E202">
        <f>VLOOKUP(A202,怪物模型!A$15:G$70,3,0)</f>
        <v>0.6</v>
      </c>
      <c r="F202">
        <f>VLOOKUP(A202,怪物模型!A$15:G$77,4,0)</f>
        <v>0.4</v>
      </c>
      <c r="G202">
        <v>1</v>
      </c>
      <c r="H202">
        <f>VLOOKUP(A202,怪物模型!A$15:G$77,5,0)</f>
        <v>13</v>
      </c>
      <c r="I202">
        <f>VLOOKUP(A202,怪物模型!A$15:G$77,6,0)</f>
        <v>0</v>
      </c>
      <c r="J202">
        <f>VLOOKUP(A202,怪物模型!A$15:G$77,7,0)</f>
        <v>0</v>
      </c>
      <c r="K202">
        <f>ROUND(VLOOKUP(C202,猎人难度!A$1:C$135,3,0)/VLOOKUP(B202,怪物抗性与玩家穿透!A$2:Q$74,17,0)*F202,0)</f>
        <v>192287</v>
      </c>
      <c r="L202">
        <f>IF(A202="卡雷",42,IF(A202="法力风暴",ROUND(K202*0.1,0),VLOOKUP(A202,怪物模型!$A$15:$I$70,9,0)*(1+(B202-30)/100)))</f>
        <v>1170</v>
      </c>
      <c r="M202">
        <f>ROUND(VLOOKUP(C202,猎人难度!A$1:C$135,2,0)*0.91*E202,0)</f>
        <v>3126</v>
      </c>
      <c r="N202">
        <f t="shared" si="9"/>
        <v>3751</v>
      </c>
      <c r="O202">
        <f>VLOOKUP(B202,怪物抗性与玩家穿透!A$2:Q$74,4,0)</f>
        <v>1000</v>
      </c>
      <c r="P202">
        <f>VLOOKUP(B202,怪物抗性与玩家穿透!A$2:Q$74,5,0)</f>
        <v>300</v>
      </c>
      <c r="Q202">
        <f t="shared" si="10"/>
        <v>300</v>
      </c>
      <c r="R202">
        <f>ROUND(VLOOKUP(B202,[3]battleParameter.xml!$A$6:$E$107,5,0)*(I202/100)/(1-I202/100),0)</f>
        <v>0</v>
      </c>
      <c r="S202">
        <f>ROUND(VLOOKUP(B202,[3]battleParameter.xml!$A$6:$G$107,7,0)*(J202/100)/(1-J202/100),0)</f>
        <v>0</v>
      </c>
      <c r="T202">
        <f>ROUND(VLOOKUP(B202,[3]battleParameter.xml!$A$6:$Z$107,8,0)*(MIN(H202/100+0.2,0.99))/(1-MIN(H202/100+0.2,0.99)),0)</f>
        <v>834</v>
      </c>
      <c r="U202">
        <v>0</v>
      </c>
      <c r="V202">
        <v>0</v>
      </c>
    </row>
    <row r="203" spans="1:22">
      <c r="A203" t="str">
        <f>[2]monster.xml!$D548</f>
        <v>狂野安东尼</v>
      </c>
      <c r="B203">
        <f>[2]monster.xml!$C548</f>
        <v>48</v>
      </c>
      <c r="C203">
        <f t="shared" si="11"/>
        <v>35</v>
      </c>
      <c r="D203">
        <f>VLOOKUP(A203,怪物模型!A$15:Z$70,8,0)</f>
        <v>7</v>
      </c>
      <c r="E203">
        <f>VLOOKUP(A203,怪物模型!A$15:G$70,3,0)</f>
        <v>1</v>
      </c>
      <c r="F203">
        <f>VLOOKUP(A203,怪物模型!A$15:G$77,4,0)</f>
        <v>1</v>
      </c>
      <c r="G203">
        <v>1</v>
      </c>
      <c r="H203">
        <f>VLOOKUP(A203,怪物模型!A$15:G$77,5,0)</f>
        <v>13</v>
      </c>
      <c r="I203">
        <f>VLOOKUP(A203,怪物模型!A$15:G$77,6,0)</f>
        <v>0</v>
      </c>
      <c r="J203">
        <f>VLOOKUP(A203,怪物模型!A$15:G$77,7,0)</f>
        <v>0</v>
      </c>
      <c r="K203">
        <f>ROUND(VLOOKUP(C203,猎人难度!A$1:C$135,3,0)/VLOOKUP(B203,怪物抗性与玩家穿透!A$2:Q$74,17,0)*F203,0)</f>
        <v>484270</v>
      </c>
      <c r="L203">
        <f>IF(A203="卡雷",42,IF(A203="法力风暴",ROUND(K203*0.1,0),VLOOKUP(A203,怪物模型!$A$15:$I$70,9,0)*(1+(B203-30)/100)))</f>
        <v>1180</v>
      </c>
      <c r="M203">
        <f>ROUND(VLOOKUP(C203,猎人难度!A$1:C$135,2,0)*0.91*E203,0)</f>
        <v>5414</v>
      </c>
      <c r="N203">
        <f t="shared" si="9"/>
        <v>6497</v>
      </c>
      <c r="O203">
        <f>VLOOKUP(B203,怪物抗性与玩家穿透!A$2:Q$74,4,0)</f>
        <v>1500</v>
      </c>
      <c r="P203">
        <f>VLOOKUP(B203,怪物抗性与玩家穿透!A$2:Q$74,5,0)</f>
        <v>450</v>
      </c>
      <c r="Q203">
        <f t="shared" si="10"/>
        <v>450</v>
      </c>
      <c r="R203">
        <f>ROUND(VLOOKUP(B203,[3]battleParameter.xml!$A$6:$E$107,5,0)*(I203/100)/(1-I203/100),0)</f>
        <v>0</v>
      </c>
      <c r="S203">
        <f>ROUND(VLOOKUP(B203,[3]battleParameter.xml!$A$6:$G$107,7,0)*(J203/100)/(1-J203/100),0)</f>
        <v>0</v>
      </c>
      <c r="T203">
        <f>ROUND(VLOOKUP(B203,[3]battleParameter.xml!$A$6:$Z$107,8,0)*(MIN(H203/100+0.2,0.99))/(1-MIN(H203/100+0.2,0.99)),0)</f>
        <v>869</v>
      </c>
      <c r="U203">
        <v>0</v>
      </c>
      <c r="V203">
        <v>0</v>
      </c>
    </row>
    <row r="204" spans="1:22">
      <c r="A204" t="str">
        <f>[2]monster.xml!$D549</f>
        <v>巡林者瑞克</v>
      </c>
      <c r="B204">
        <f>[2]monster.xml!$C549</f>
        <v>49</v>
      </c>
      <c r="C204">
        <f t="shared" si="11"/>
        <v>36</v>
      </c>
      <c r="D204">
        <f>VLOOKUP(A204,怪物模型!A$15:Z$70,8,0)</f>
        <v>15</v>
      </c>
      <c r="E204">
        <f>VLOOKUP(A204,怪物模型!A$15:G$70,3,0)</f>
        <v>1</v>
      </c>
      <c r="F204">
        <f>VLOOKUP(A204,怪物模型!A$15:G$77,4,0)</f>
        <v>1</v>
      </c>
      <c r="G204">
        <v>1</v>
      </c>
      <c r="H204">
        <f>VLOOKUP(A204,怪物模型!A$15:G$77,5,0)</f>
        <v>13</v>
      </c>
      <c r="I204">
        <f>VLOOKUP(A204,怪物模型!A$15:G$77,6,0)</f>
        <v>0</v>
      </c>
      <c r="J204">
        <f>VLOOKUP(A204,怪物模型!A$15:G$77,7,0)</f>
        <v>0</v>
      </c>
      <c r="K204">
        <f>ROUND(VLOOKUP(C204,猎人难度!A$1:C$135,3,0)/VLOOKUP(B204,怪物抗性与玩家穿透!A$2:Q$74,17,0)*F204,0)</f>
        <v>505972</v>
      </c>
      <c r="L204">
        <f>IF(A204="卡雷",42,IF(A204="法力风暴",ROUND(K204*0.1,0),VLOOKUP(A204,怪物模型!$A$15:$I$70,9,0)*(1+(B204-30)/100)))</f>
        <v>1190</v>
      </c>
      <c r="M204">
        <f>ROUND(VLOOKUP(C204,猎人难度!A$1:C$135,2,0)*0.91*E204,0)</f>
        <v>5698</v>
      </c>
      <c r="N204">
        <f t="shared" si="9"/>
        <v>6838</v>
      </c>
      <c r="O204">
        <f>VLOOKUP(B204,怪物抗性与玩家穿透!A$2:Q$74,4,0)</f>
        <v>2000</v>
      </c>
      <c r="P204">
        <f>VLOOKUP(B204,怪物抗性与玩家穿透!A$2:Q$74,5,0)</f>
        <v>600</v>
      </c>
      <c r="Q204">
        <f t="shared" si="10"/>
        <v>600</v>
      </c>
      <c r="R204">
        <f>ROUND(VLOOKUP(B204,[3]battleParameter.xml!$A$6:$E$107,5,0)*(I204/100)/(1-I204/100),0)</f>
        <v>0</v>
      </c>
      <c r="S204">
        <f>ROUND(VLOOKUP(B204,[3]battleParameter.xml!$A$6:$G$107,7,0)*(J204/100)/(1-J204/100),0)</f>
        <v>0</v>
      </c>
      <c r="T204">
        <f>ROUND(VLOOKUP(B204,[3]battleParameter.xml!$A$6:$Z$107,8,0)*(MIN(H204/100+0.2,0.99))/(1-MIN(H204/100+0.2,0.99)),0)</f>
        <v>906</v>
      </c>
      <c r="U204">
        <v>0</v>
      </c>
      <c r="V204">
        <v>0</v>
      </c>
    </row>
    <row r="205" spans="1:22">
      <c r="A205" t="str">
        <f>[2]monster.xml!$D550</f>
        <v>猎人幻象</v>
      </c>
      <c r="B205">
        <f>[2]monster.xml!$C550</f>
        <v>50</v>
      </c>
      <c r="C205">
        <f t="shared" si="11"/>
        <v>37</v>
      </c>
      <c r="D205">
        <f>VLOOKUP(A205,怪物模型!A$15:Z$70,8,0)</f>
        <v>11</v>
      </c>
      <c r="E205">
        <f>VLOOKUP(A205,怪物模型!A$15:G$70,3,0)</f>
        <v>1</v>
      </c>
      <c r="F205">
        <f>VLOOKUP(A205,怪物模型!A$15:G$77,4,0)</f>
        <v>1</v>
      </c>
      <c r="G205">
        <v>1</v>
      </c>
      <c r="H205">
        <f>VLOOKUP(A205,怪物模型!A$15:G$77,5,0)</f>
        <v>13</v>
      </c>
      <c r="I205">
        <f>VLOOKUP(A205,怪物模型!A$15:G$77,6,0)</f>
        <v>15</v>
      </c>
      <c r="J205">
        <f>VLOOKUP(A205,怪物模型!A$15:G$77,7,0)</f>
        <v>0</v>
      </c>
      <c r="K205">
        <f>ROUND(VLOOKUP(C205,猎人难度!A$1:C$135,3,0)/VLOOKUP(B205,怪物抗性与玩家穿透!A$2:Q$74,17,0)*F205,0)</f>
        <v>335691</v>
      </c>
      <c r="L205">
        <f>IF(A205="卡雷",42,IF(A205="法力风暴",ROUND(K205*0.1,0),VLOOKUP(A205,怪物模型!$A$15:$I$70,9,0)*(1+(B205-30)/100)))</f>
        <v>1200</v>
      </c>
      <c r="M205">
        <f>ROUND(VLOOKUP(C205,猎人难度!A$1:C$135,2,0)*0.91*E205,0)</f>
        <v>6335</v>
      </c>
      <c r="N205">
        <f t="shared" si="9"/>
        <v>7602</v>
      </c>
      <c r="O205">
        <f>VLOOKUP(B205,怪物抗性与玩家穿透!A$2:Q$74,4,0)</f>
        <v>2500</v>
      </c>
      <c r="P205">
        <f>VLOOKUP(B205,怪物抗性与玩家穿透!A$2:Q$74,5,0)</f>
        <v>750</v>
      </c>
      <c r="Q205">
        <f t="shared" si="10"/>
        <v>750</v>
      </c>
      <c r="R205">
        <f>ROUND(VLOOKUP(B205,[3]battleParameter.xml!$A$6:$E$107,5,0)*(I205/100)/(1-I205/100),0)</f>
        <v>1351</v>
      </c>
      <c r="S205">
        <f>ROUND(VLOOKUP(B205,[3]battleParameter.xml!$A$6:$G$107,7,0)*(J205/100)/(1-J205/100),0)</f>
        <v>0</v>
      </c>
      <c r="T205">
        <f>ROUND(VLOOKUP(B205,[3]battleParameter.xml!$A$6:$Z$107,8,0)*(MIN(H205/100+0.2,0.99))/(1-MIN(H205/100+0.2,0.99)),0)</f>
        <v>942</v>
      </c>
      <c r="U205">
        <v>0</v>
      </c>
      <c r="V205">
        <v>0</v>
      </c>
    </row>
    <row r="206" spans="1:22">
      <c r="A206" t="str">
        <f>[2]monster.xml!$D551</f>
        <v>法力风暴</v>
      </c>
      <c r="B206">
        <f>[2]monster.xml!$C551</f>
        <v>50</v>
      </c>
      <c r="C206">
        <f t="shared" si="11"/>
        <v>38</v>
      </c>
      <c r="D206" t="str">
        <f>VLOOKUP(A206,怪物模型!A$15:Z$70,8,0)</f>
        <v>25,30</v>
      </c>
      <c r="E206">
        <f>VLOOKUP(A206,怪物模型!A$15:G$70,3,0)</f>
        <v>1.5</v>
      </c>
      <c r="F206">
        <f>VLOOKUP(A206,怪物模型!A$15:G$77,4,0)</f>
        <v>0.68</v>
      </c>
      <c r="G206">
        <v>1</v>
      </c>
      <c r="H206">
        <f>VLOOKUP(A206,怪物模型!A$15:G$77,5,0)</f>
        <v>13</v>
      </c>
      <c r="I206">
        <f>VLOOKUP(A206,怪物模型!A$15:G$77,6,0)</f>
        <v>0</v>
      </c>
      <c r="J206">
        <f>VLOOKUP(A206,怪物模型!A$15:G$77,7,0)</f>
        <v>0</v>
      </c>
      <c r="K206">
        <f>ROUND(VLOOKUP(C206,猎人难度!A$1:C$135,3,0)/VLOOKUP(B206,怪物抗性与玩家穿透!A$2:Q$74,17,0)*F206,0)</f>
        <v>251226</v>
      </c>
      <c r="L206">
        <f>IF(A206="卡雷",42,IF(A206="法力风暴",ROUND(K206*0.1,0),VLOOKUP(A206,怪物模型!$A$15:$I$70,9,0)*(1+(B206-30)/100)))</f>
        <v>25123</v>
      </c>
      <c r="M206">
        <f>ROUND(VLOOKUP(C206,猎人难度!A$1:C$135,2,0)*0.91*E206,0)</f>
        <v>9969</v>
      </c>
      <c r="N206">
        <f t="shared" si="9"/>
        <v>11963</v>
      </c>
      <c r="O206">
        <f>VLOOKUP(B206,怪物抗性与玩家穿透!A$2:Q$74,4,0)</f>
        <v>2500</v>
      </c>
      <c r="P206">
        <f>VLOOKUP(B206,怪物抗性与玩家穿透!A$2:Q$74,5,0)</f>
        <v>750</v>
      </c>
      <c r="Q206">
        <f t="shared" si="10"/>
        <v>750</v>
      </c>
      <c r="R206">
        <f>ROUND(VLOOKUP(B206,[3]battleParameter.xml!$A$6:$E$107,5,0)*(I206/100)/(1-I206/100),0)</f>
        <v>0</v>
      </c>
      <c r="S206">
        <f>ROUND(VLOOKUP(B206,[3]battleParameter.xml!$A$6:$G$107,7,0)*(J206/100)/(1-J206/100),0)</f>
        <v>0</v>
      </c>
      <c r="T206">
        <f>ROUND(VLOOKUP(B206,[3]battleParameter.xml!$A$6:$Z$107,8,0)*(MIN(H206/100+0.2,0.99))/(1-MIN(H206/100+0.2,0.99)),0)</f>
        <v>942</v>
      </c>
      <c r="U206">
        <v>0</v>
      </c>
      <c r="V206">
        <v>0</v>
      </c>
    </row>
    <row r="207" spans="1:22">
      <c r="A207" t="str">
        <f>[2]monster.xml!$D552</f>
        <v>角斗士里奥</v>
      </c>
      <c r="B207">
        <f>[2]monster.xml!$C552</f>
        <v>51</v>
      </c>
      <c r="C207">
        <f t="shared" si="11"/>
        <v>39</v>
      </c>
      <c r="D207">
        <f>VLOOKUP(A207,怪物模型!A$15:Z$70,8,0)</f>
        <v>5</v>
      </c>
      <c r="E207">
        <f>VLOOKUP(A207,怪物模型!A$15:G$70,3,0)</f>
        <v>1</v>
      </c>
      <c r="F207">
        <f>VLOOKUP(A207,怪物模型!A$15:G$77,4,0)</f>
        <v>1</v>
      </c>
      <c r="G207">
        <v>1</v>
      </c>
      <c r="H207">
        <f>VLOOKUP(A207,怪物模型!A$15:G$77,5,0)</f>
        <v>13</v>
      </c>
      <c r="I207">
        <f>VLOOKUP(A207,怪物模型!A$15:G$77,6,0)</f>
        <v>0</v>
      </c>
      <c r="J207">
        <f>VLOOKUP(A207,怪物模型!A$15:G$77,7,0)</f>
        <v>0</v>
      </c>
      <c r="K207">
        <f>ROUND(VLOOKUP(C207,猎人难度!A$1:C$135,3,0)/VLOOKUP(B207,怪物抗性与玩家穿透!A$2:Q$74,17,0)*F207,0)</f>
        <v>397867</v>
      </c>
      <c r="L207">
        <f>IF(A207="卡雷",42,IF(A207="法力风暴",ROUND(K207*0.1,0),VLOOKUP(A207,怪物模型!$A$15:$I$70,9,0)*(1+(B207-30)/100)))</f>
        <v>1210</v>
      </c>
      <c r="M207">
        <f>ROUND(VLOOKUP(C207,猎人难度!A$1:C$135,2,0)*0.91*E207,0)</f>
        <v>7083</v>
      </c>
      <c r="N207">
        <f t="shared" si="9"/>
        <v>8500</v>
      </c>
      <c r="O207">
        <f>VLOOKUP(B207,怪物抗性与玩家穿透!A$2:Q$74,4,0)</f>
        <v>3000</v>
      </c>
      <c r="P207">
        <f>VLOOKUP(B207,怪物抗性与玩家穿透!A$2:Q$74,5,0)</f>
        <v>900</v>
      </c>
      <c r="Q207">
        <f t="shared" si="10"/>
        <v>900</v>
      </c>
      <c r="R207">
        <f>ROUND(VLOOKUP(B207,[3]battleParameter.xml!$A$6:$E$107,5,0)*(I207/100)/(1-I207/100),0)</f>
        <v>0</v>
      </c>
      <c r="S207">
        <f>ROUND(VLOOKUP(B207,[3]battleParameter.xml!$A$6:$G$107,7,0)*(J207/100)/(1-J207/100),0)</f>
        <v>0</v>
      </c>
      <c r="T207">
        <f>ROUND(VLOOKUP(B207,[3]battleParameter.xml!$A$6:$Z$107,8,0)*(MIN(H207/100+0.2,0.99))/(1-MIN(H207/100+0.2,0.99)),0)</f>
        <v>980</v>
      </c>
      <c r="U207">
        <v>0</v>
      </c>
      <c r="V207">
        <v>0</v>
      </c>
    </row>
    <row r="208" spans="1:22">
      <c r="A208" t="str">
        <f>[2]monster.xml!$D553</f>
        <v>荒野游侠</v>
      </c>
      <c r="B208">
        <f>[2]monster.xml!$C553</f>
        <v>51</v>
      </c>
      <c r="C208">
        <f t="shared" si="11"/>
        <v>40</v>
      </c>
      <c r="D208">
        <f>VLOOKUP(A208,怪物模型!A$15:Z$70,8,0)</f>
        <v>16</v>
      </c>
      <c r="E208">
        <f>VLOOKUP(A208,怪物模型!A$15:G$70,3,0)</f>
        <v>1</v>
      </c>
      <c r="F208">
        <f>VLOOKUP(A208,怪物模型!A$15:G$77,4,0)</f>
        <v>0.8</v>
      </c>
      <c r="G208">
        <v>1</v>
      </c>
      <c r="H208">
        <f>VLOOKUP(A208,怪物模型!A$15:G$77,5,0)</f>
        <v>35</v>
      </c>
      <c r="I208">
        <f>VLOOKUP(A208,怪物模型!A$15:G$77,6,0)</f>
        <v>0</v>
      </c>
      <c r="J208">
        <f>VLOOKUP(A208,怪物模型!A$15:G$77,7,0)</f>
        <v>0</v>
      </c>
      <c r="K208">
        <f>ROUND(VLOOKUP(C208,猎人难度!A$1:C$135,3,0)/VLOOKUP(B208,怪物抗性与玩家穿透!A$2:Q$74,17,0)*F208,0)</f>
        <v>342232</v>
      </c>
      <c r="L208">
        <f>IF(A208="卡雷",42,IF(A208="法力风暴",ROUND(K208*0.1,0),VLOOKUP(A208,怪物模型!$A$15:$I$70,9,0)*(1+(B208-30)/100)))</f>
        <v>2420</v>
      </c>
      <c r="M208">
        <f>ROUND(VLOOKUP(C208,猎人难度!A$1:C$135,2,0)*0.91*E208,0)</f>
        <v>7382</v>
      </c>
      <c r="N208">
        <f t="shared" si="9"/>
        <v>8858</v>
      </c>
      <c r="O208">
        <f>VLOOKUP(B208,怪物抗性与玩家穿透!A$2:Q$74,4,0)</f>
        <v>3000</v>
      </c>
      <c r="P208">
        <f>VLOOKUP(B208,怪物抗性与玩家穿透!A$2:Q$74,5,0)</f>
        <v>900</v>
      </c>
      <c r="Q208">
        <f t="shared" si="10"/>
        <v>900</v>
      </c>
      <c r="R208">
        <f>ROUND(VLOOKUP(B208,[3]battleParameter.xml!$A$6:$E$107,5,0)*(I208/100)/(1-I208/100),0)</f>
        <v>0</v>
      </c>
      <c r="S208">
        <f>ROUND(VLOOKUP(B208,[3]battleParameter.xml!$A$6:$G$107,7,0)*(J208/100)/(1-J208/100),0)</f>
        <v>0</v>
      </c>
      <c r="T208">
        <f>ROUND(VLOOKUP(B208,[3]battleParameter.xml!$A$6:$Z$107,8,0)*(MIN(H208/100+0.2,0.99))/(1-MIN(H208/100+0.2,0.99)),0)</f>
        <v>2432</v>
      </c>
      <c r="U208">
        <v>0</v>
      </c>
      <c r="V208">
        <v>0</v>
      </c>
    </row>
    <row r="209" spans="1:22">
      <c r="A209" t="str">
        <f>[2]monster.xml!$D554</f>
        <v>憾地者</v>
      </c>
      <c r="B209">
        <f>[2]monster.xml!$C554</f>
        <v>51</v>
      </c>
      <c r="C209">
        <f t="shared" si="11"/>
        <v>41</v>
      </c>
      <c r="D209">
        <f>VLOOKUP(A209,怪物模型!A$15:Z$70,8,0)</f>
        <v>4</v>
      </c>
      <c r="E209">
        <f>VLOOKUP(A209,怪物模型!A$15:G$70,3,0)</f>
        <v>0.85</v>
      </c>
      <c r="F209">
        <f>VLOOKUP(A209,怪物模型!A$15:G$77,4,0)</f>
        <v>1</v>
      </c>
      <c r="G209">
        <v>1</v>
      </c>
      <c r="H209">
        <f>VLOOKUP(A209,怪物模型!A$15:G$77,5,0)</f>
        <v>13</v>
      </c>
      <c r="I209">
        <f>VLOOKUP(A209,怪物模型!A$15:G$77,6,0)</f>
        <v>0</v>
      </c>
      <c r="J209">
        <f>VLOOKUP(A209,怪物模型!A$15:G$77,7,0)</f>
        <v>0</v>
      </c>
      <c r="K209">
        <f>ROUND(VLOOKUP(C209,猎人难度!A$1:C$135,3,0)/VLOOKUP(B209,怪物抗性与玩家穿透!A$2:Q$74,17,0)*F209,0)</f>
        <v>459964</v>
      </c>
      <c r="L209">
        <f>IF(A209="卡雷",42,IF(A209="法力风暴",ROUND(K209*0.1,0),VLOOKUP(A209,怪物模型!$A$15:$I$70,9,0)*(1+(B209-30)/100)))</f>
        <v>1210</v>
      </c>
      <c r="M209">
        <f>ROUND(VLOOKUP(C209,猎人难度!A$1:C$135,2,0)*0.91*E209,0)</f>
        <v>6538</v>
      </c>
      <c r="N209">
        <f t="shared" si="9"/>
        <v>7846</v>
      </c>
      <c r="O209">
        <f>VLOOKUP(B209,怪物抗性与玩家穿透!A$2:Q$74,4,0)</f>
        <v>3000</v>
      </c>
      <c r="P209">
        <f>VLOOKUP(B209,怪物抗性与玩家穿透!A$2:Q$74,5,0)</f>
        <v>900</v>
      </c>
      <c r="Q209">
        <f t="shared" si="10"/>
        <v>900</v>
      </c>
      <c r="R209">
        <f>ROUND(VLOOKUP(B209,[3]battleParameter.xml!$A$6:$E$107,5,0)*(I209/100)/(1-I209/100),0)</f>
        <v>0</v>
      </c>
      <c r="S209">
        <f>ROUND(VLOOKUP(B209,[3]battleParameter.xml!$A$6:$G$107,7,0)*(J209/100)/(1-J209/100),0)</f>
        <v>0</v>
      </c>
      <c r="T209">
        <f>ROUND(VLOOKUP(B209,[3]battleParameter.xml!$A$6:$Z$107,8,0)*(MIN(H209/100+0.2,0.99))/(1-MIN(H209/100+0.2,0.99)),0)</f>
        <v>980</v>
      </c>
      <c r="U209">
        <v>0</v>
      </c>
      <c r="V209">
        <v>0</v>
      </c>
    </row>
    <row r="210" spans="1:22">
      <c r="A210" t="str">
        <f>[2]monster.xml!$D555</f>
        <v>拉兹</v>
      </c>
      <c r="B210">
        <f>[2]monster.xml!$C555</f>
        <v>52</v>
      </c>
      <c r="C210">
        <f t="shared" si="11"/>
        <v>42</v>
      </c>
      <c r="D210">
        <f>VLOOKUP(A210,怪物模型!A$15:Z$70,8,0)</f>
        <v>10</v>
      </c>
      <c r="E210">
        <f>VLOOKUP(A210,怪物模型!A$15:G$70,3,0)</f>
        <v>1.2</v>
      </c>
      <c r="F210">
        <f>VLOOKUP(A210,怪物模型!A$15:G$77,4,0)</f>
        <v>1</v>
      </c>
      <c r="G210">
        <v>1</v>
      </c>
      <c r="H210">
        <f>VLOOKUP(A210,怪物模型!A$15:G$77,5,0)</f>
        <v>13</v>
      </c>
      <c r="I210">
        <f>VLOOKUP(A210,怪物模型!A$15:G$77,6,0)</f>
        <v>0</v>
      </c>
      <c r="J210">
        <f>VLOOKUP(A210,怪物模型!A$15:G$77,7,0)</f>
        <v>20</v>
      </c>
      <c r="K210">
        <f>ROUND(VLOOKUP(C210,猎人难度!A$1:C$135,3,0)/VLOOKUP(B210,怪物抗性与玩家穿透!A$2:Q$74,17,0)*F210,0)</f>
        <v>482838</v>
      </c>
      <c r="L210">
        <f>IF(A210="卡雷",42,IF(A210="法力风暴",ROUND(K210*0.1,0),VLOOKUP(A210,怪物模型!$A$15:$I$70,9,0)*(1+(B210-30)/100)))</f>
        <v>2440</v>
      </c>
      <c r="M210">
        <f>ROUND(VLOOKUP(C210,猎人难度!A$1:C$135,2,0)*0.91*E210,0)</f>
        <v>9753</v>
      </c>
      <c r="N210">
        <f t="shared" si="9"/>
        <v>11704</v>
      </c>
      <c r="O210">
        <f>VLOOKUP(B210,怪物抗性与玩家穿透!A$2:Q$74,4,0)</f>
        <v>3500</v>
      </c>
      <c r="P210">
        <f>VLOOKUP(B210,怪物抗性与玩家穿透!A$2:Q$74,5,0)</f>
        <v>1050</v>
      </c>
      <c r="Q210">
        <f t="shared" si="10"/>
        <v>1050</v>
      </c>
      <c r="R210">
        <f>ROUND(VLOOKUP(B210,[3]battleParameter.xml!$A$6:$E$107,5,0)*(I210/100)/(1-I210/100),0)</f>
        <v>0</v>
      </c>
      <c r="S210">
        <f>ROUND(VLOOKUP(B210,[3]battleParameter.xml!$A$6:$G$107,7,0)*(J210/100)/(1-J210/100),0)</f>
        <v>2068</v>
      </c>
      <c r="T210">
        <f>ROUND(VLOOKUP(B210,[3]battleParameter.xml!$A$6:$Z$107,8,0)*(MIN(H210/100+0.2,0.99))/(1-MIN(H210/100+0.2,0.99)),0)</f>
        <v>1018</v>
      </c>
      <c r="U210">
        <v>0</v>
      </c>
      <c r="V210">
        <v>0</v>
      </c>
    </row>
    <row r="211" spans="1:22">
      <c r="A211" t="str">
        <f>[2]monster.xml!$D556</f>
        <v>塔克</v>
      </c>
      <c r="B211">
        <f>[2]monster.xml!$C556</f>
        <v>52</v>
      </c>
      <c r="C211">
        <f t="shared" si="11"/>
        <v>42</v>
      </c>
      <c r="D211">
        <f>VLOOKUP(A211,怪物模型!A$15:Z$70,8,0)</f>
        <v>3</v>
      </c>
      <c r="E211">
        <f>VLOOKUP(A211,怪物模型!A$15:G$70,3,0)</f>
        <v>0.35</v>
      </c>
      <c r="F211">
        <f>VLOOKUP(A211,怪物模型!A$15:G$77,4,0)</f>
        <v>0.6</v>
      </c>
      <c r="G211">
        <v>1</v>
      </c>
      <c r="H211">
        <f>VLOOKUP(A211,怪物模型!A$15:G$77,5,0)</f>
        <v>13</v>
      </c>
      <c r="I211">
        <f>VLOOKUP(A211,怪物模型!A$15:G$77,6,0)</f>
        <v>0</v>
      </c>
      <c r="J211">
        <f>VLOOKUP(A211,怪物模型!A$15:G$77,7,0)</f>
        <v>0</v>
      </c>
      <c r="K211">
        <f>ROUND(VLOOKUP(C211,猎人难度!A$1:C$135,3,0)/VLOOKUP(B211,怪物抗性与玩家穿透!A$2:Q$74,17,0)*F211,0)</f>
        <v>289703</v>
      </c>
      <c r="L211">
        <f>IF(A211="卡雷",42,IF(A211="法力风暴",ROUND(K211*0.1,0),VLOOKUP(A211,怪物模型!$A$15:$I$70,9,0)*(1+(B211-30)/100)))</f>
        <v>1220</v>
      </c>
      <c r="M211">
        <f>ROUND(VLOOKUP(C211,猎人难度!A$1:C$135,2,0)*0.91*E211,0)</f>
        <v>2845</v>
      </c>
      <c r="N211">
        <f t="shared" si="9"/>
        <v>3414</v>
      </c>
      <c r="O211">
        <f>VLOOKUP(B211,怪物抗性与玩家穿透!A$2:Q$74,4,0)</f>
        <v>3500</v>
      </c>
      <c r="P211">
        <f>VLOOKUP(B211,怪物抗性与玩家穿透!A$2:Q$74,5,0)</f>
        <v>1050</v>
      </c>
      <c r="Q211">
        <f t="shared" si="10"/>
        <v>1050</v>
      </c>
      <c r="R211">
        <f>ROUND(VLOOKUP(B211,[3]battleParameter.xml!$A$6:$E$107,5,0)*(I211/100)/(1-I211/100),0)</f>
        <v>0</v>
      </c>
      <c r="S211">
        <f>ROUND(VLOOKUP(B211,[3]battleParameter.xml!$A$6:$G$107,7,0)*(J211/100)/(1-J211/100),0)</f>
        <v>0</v>
      </c>
      <c r="T211">
        <f>ROUND(VLOOKUP(B211,[3]battleParameter.xml!$A$6:$Z$107,8,0)*(MIN(H211/100+0.2,0.99))/(1-MIN(H211/100+0.2,0.99)),0)</f>
        <v>1018</v>
      </c>
      <c r="U211">
        <v>0</v>
      </c>
      <c r="V211">
        <v>0</v>
      </c>
    </row>
    <row r="212" spans="1:22">
      <c r="A212" t="str">
        <f>[2]monster.xml!$D557</f>
        <v>迪皮斯</v>
      </c>
      <c r="B212">
        <f>[2]monster.xml!$C557</f>
        <v>52</v>
      </c>
      <c r="C212">
        <f t="shared" si="11"/>
        <v>43</v>
      </c>
      <c r="D212" t="str">
        <f>VLOOKUP(A212,怪物模型!A$15:Z$70,8,0)</f>
        <v>17,14</v>
      </c>
      <c r="E212">
        <f>VLOOKUP(A212,怪物模型!A$15:G$70,3,0)</f>
        <v>0.6</v>
      </c>
      <c r="F212">
        <f>VLOOKUP(A212,怪物模型!A$15:G$77,4,0)</f>
        <v>0.4</v>
      </c>
      <c r="G212">
        <v>1</v>
      </c>
      <c r="H212">
        <f>VLOOKUP(A212,怪物模型!A$15:G$77,5,0)</f>
        <v>13</v>
      </c>
      <c r="I212">
        <f>VLOOKUP(A212,怪物模型!A$15:G$77,6,0)</f>
        <v>0</v>
      </c>
      <c r="J212">
        <f>VLOOKUP(A212,怪物模型!A$15:G$77,7,0)</f>
        <v>0</v>
      </c>
      <c r="K212">
        <f>ROUND(VLOOKUP(C212,猎人难度!A$1:C$135,3,0)/VLOOKUP(B212,怪物抗性与玩家穿透!A$2:Q$74,17,0)*F212,0)</f>
        <v>208288</v>
      </c>
      <c r="L212">
        <f>IF(A212="卡雷",42,IF(A212="法力风暴",ROUND(K212*0.1,0),VLOOKUP(A212,怪物模型!$A$15:$I$70,9,0)*(1+(B212-30)/100)))</f>
        <v>1220</v>
      </c>
      <c r="M212">
        <f>ROUND(VLOOKUP(C212,猎人难度!A$1:C$135,2,0)*0.91*E212,0)</f>
        <v>5113</v>
      </c>
      <c r="N212">
        <f t="shared" si="9"/>
        <v>6136</v>
      </c>
      <c r="O212">
        <f>VLOOKUP(B212,怪物抗性与玩家穿透!A$2:Q$74,4,0)</f>
        <v>3500</v>
      </c>
      <c r="P212">
        <f>VLOOKUP(B212,怪物抗性与玩家穿透!A$2:Q$74,5,0)</f>
        <v>1050</v>
      </c>
      <c r="Q212">
        <f t="shared" si="10"/>
        <v>1050</v>
      </c>
      <c r="R212">
        <f>ROUND(VLOOKUP(B212,[3]battleParameter.xml!$A$6:$E$107,5,0)*(I212/100)/(1-I212/100),0)</f>
        <v>0</v>
      </c>
      <c r="S212">
        <f>ROUND(VLOOKUP(B212,[3]battleParameter.xml!$A$6:$G$107,7,0)*(J212/100)/(1-J212/100),0)</f>
        <v>0</v>
      </c>
      <c r="T212">
        <f>ROUND(VLOOKUP(B212,[3]battleParameter.xml!$A$6:$Z$107,8,0)*(MIN(H212/100+0.2,0.99))/(1-MIN(H212/100+0.2,0.99)),0)</f>
        <v>1018</v>
      </c>
      <c r="U212">
        <v>0</v>
      </c>
      <c r="V212">
        <v>0</v>
      </c>
    </row>
    <row r="213" spans="1:22">
      <c r="A213" t="str">
        <f>[2]monster.xml!$D558</f>
        <v>狂野安东尼</v>
      </c>
      <c r="B213">
        <f>[2]monster.xml!$C558</f>
        <v>53</v>
      </c>
      <c r="C213">
        <f t="shared" si="11"/>
        <v>44</v>
      </c>
      <c r="D213">
        <f>VLOOKUP(A213,怪物模型!A$15:Z$70,8,0)</f>
        <v>7</v>
      </c>
      <c r="E213">
        <f>VLOOKUP(A213,怪物模型!A$15:G$70,3,0)</f>
        <v>1</v>
      </c>
      <c r="F213">
        <f>VLOOKUP(A213,怪物模型!A$15:G$77,4,0)</f>
        <v>1</v>
      </c>
      <c r="G213">
        <v>1</v>
      </c>
      <c r="H213">
        <f>VLOOKUP(A213,怪物模型!A$15:G$77,5,0)</f>
        <v>13</v>
      </c>
      <c r="I213">
        <f>VLOOKUP(A213,怪物模型!A$15:G$77,6,0)</f>
        <v>0</v>
      </c>
      <c r="J213">
        <f>VLOOKUP(A213,怪物模型!A$15:G$77,7,0)</f>
        <v>0</v>
      </c>
      <c r="K213">
        <f>ROUND(VLOOKUP(C213,猎人难度!A$1:C$135,3,0)/VLOOKUP(B213,怪物抗性与玩家穿透!A$2:Q$74,17,0)*F213,0)</f>
        <v>537756</v>
      </c>
      <c r="L213">
        <f>IF(A213="卡雷",42,IF(A213="法力风暴",ROUND(K213*0.1,0),VLOOKUP(A213,怪物模型!$A$15:$I$70,9,0)*(1+(B213-30)/100)))</f>
        <v>1230</v>
      </c>
      <c r="M213">
        <f>ROUND(VLOOKUP(C213,猎人难度!A$1:C$135,2,0)*0.91*E213,0)</f>
        <v>8935</v>
      </c>
      <c r="N213">
        <f t="shared" si="9"/>
        <v>10722</v>
      </c>
      <c r="O213">
        <f>VLOOKUP(B213,怪物抗性与玩家穿透!A$2:Q$74,4,0)</f>
        <v>4000</v>
      </c>
      <c r="P213">
        <f>VLOOKUP(B213,怪物抗性与玩家穿透!A$2:Q$74,5,0)</f>
        <v>1200</v>
      </c>
      <c r="Q213">
        <f t="shared" si="10"/>
        <v>1200</v>
      </c>
      <c r="R213">
        <f>ROUND(VLOOKUP(B213,[3]battleParameter.xml!$A$6:$E$107,5,0)*(I213/100)/(1-I213/100),0)</f>
        <v>0</v>
      </c>
      <c r="S213">
        <f>ROUND(VLOOKUP(B213,[3]battleParameter.xml!$A$6:$G$107,7,0)*(J213/100)/(1-J213/100),0)</f>
        <v>0</v>
      </c>
      <c r="T213">
        <f>ROUND(VLOOKUP(B213,[3]battleParameter.xml!$A$6:$Z$107,8,0)*(MIN(H213/100+0.2,0.99))/(1-MIN(H213/100+0.2,0.99)),0)</f>
        <v>1057</v>
      </c>
      <c r="U213">
        <v>0</v>
      </c>
      <c r="V213">
        <v>0</v>
      </c>
    </row>
    <row r="214" spans="1:22">
      <c r="A214" t="str">
        <f>[2]monster.xml!$D559</f>
        <v>巡林者瑞克</v>
      </c>
      <c r="B214">
        <f>[2]monster.xml!$C559</f>
        <v>54</v>
      </c>
      <c r="C214">
        <f t="shared" si="11"/>
        <v>45</v>
      </c>
      <c r="D214">
        <f>VLOOKUP(A214,怪物模型!A$15:Z$70,8,0)</f>
        <v>15</v>
      </c>
      <c r="E214">
        <f>VLOOKUP(A214,怪物模型!A$15:G$70,3,0)</f>
        <v>1</v>
      </c>
      <c r="F214">
        <f>VLOOKUP(A214,怪物模型!A$15:G$77,4,0)</f>
        <v>1</v>
      </c>
      <c r="G214">
        <v>1</v>
      </c>
      <c r="H214">
        <f>VLOOKUP(A214,怪物模型!A$15:G$77,5,0)</f>
        <v>13</v>
      </c>
      <c r="I214">
        <f>VLOOKUP(A214,怪物模型!A$15:G$77,6,0)</f>
        <v>0</v>
      </c>
      <c r="J214">
        <f>VLOOKUP(A214,怪物模型!A$15:G$77,7,0)</f>
        <v>0</v>
      </c>
      <c r="K214">
        <f>ROUND(VLOOKUP(C214,猎人难度!A$1:C$135,3,0)/VLOOKUP(B214,怪物抗性与玩家穿透!A$2:Q$74,17,0)*F214,0)</f>
        <v>571926</v>
      </c>
      <c r="L214">
        <f>IF(A214="卡雷",42,IF(A214="法力风暴",ROUND(K214*0.1,0),VLOOKUP(A214,怪物模型!$A$15:$I$70,9,0)*(1+(B214-30)/100)))</f>
        <v>1240</v>
      </c>
      <c r="M214">
        <f>ROUND(VLOOKUP(C214,猎人难度!A$1:C$135,2,0)*0.91*E214,0)</f>
        <v>9519</v>
      </c>
      <c r="N214">
        <f t="shared" si="9"/>
        <v>11423</v>
      </c>
      <c r="O214">
        <f>VLOOKUP(B214,怪物抗性与玩家穿透!A$2:Q$74,4,0)</f>
        <v>4500</v>
      </c>
      <c r="P214">
        <f>VLOOKUP(B214,怪物抗性与玩家穿透!A$2:Q$74,5,0)</f>
        <v>1350</v>
      </c>
      <c r="Q214">
        <f t="shared" si="10"/>
        <v>1350</v>
      </c>
      <c r="R214">
        <f>ROUND(VLOOKUP(B214,[3]battleParameter.xml!$A$6:$E$107,5,0)*(I214/100)/(1-I214/100),0)</f>
        <v>0</v>
      </c>
      <c r="S214">
        <f>ROUND(VLOOKUP(B214,[3]battleParameter.xml!$A$6:$G$107,7,0)*(J214/100)/(1-J214/100),0)</f>
        <v>0</v>
      </c>
      <c r="T214">
        <f>ROUND(VLOOKUP(B214,[3]battleParameter.xml!$A$6:$Z$107,8,0)*(MIN(H214/100+0.2,0.99))/(1-MIN(H214/100+0.2,0.99)),0)</f>
        <v>1097</v>
      </c>
      <c r="U214">
        <v>0</v>
      </c>
      <c r="V214">
        <v>0</v>
      </c>
    </row>
    <row r="215" spans="1:22">
      <c r="A215" t="str">
        <f>[2]monster.xml!$D560</f>
        <v>猎人幻象</v>
      </c>
      <c r="B215">
        <f>[2]monster.xml!$C560</f>
        <v>55</v>
      </c>
      <c r="C215">
        <f t="shared" si="11"/>
        <v>46</v>
      </c>
      <c r="D215">
        <f>VLOOKUP(A215,怪物模型!A$15:Z$70,8,0)</f>
        <v>11</v>
      </c>
      <c r="E215">
        <f>VLOOKUP(A215,怪物模型!A$15:G$70,3,0)</f>
        <v>1</v>
      </c>
      <c r="F215">
        <f>VLOOKUP(A215,怪物模型!A$15:G$77,4,0)</f>
        <v>1</v>
      </c>
      <c r="G215">
        <v>1</v>
      </c>
      <c r="H215">
        <f>VLOOKUP(A215,怪物模型!A$15:G$77,5,0)</f>
        <v>13</v>
      </c>
      <c r="I215">
        <f>VLOOKUP(A215,怪物模型!A$15:G$77,6,0)</f>
        <v>15</v>
      </c>
      <c r="J215">
        <f>VLOOKUP(A215,怪物模型!A$15:G$77,7,0)</f>
        <v>0</v>
      </c>
      <c r="K215">
        <f>ROUND(VLOOKUP(C215,猎人难度!A$1:C$135,3,0)/VLOOKUP(B215,怪物抗性与玩家穿透!A$2:Q$74,17,0)*F215,0)</f>
        <v>407028</v>
      </c>
      <c r="L215">
        <f>IF(A215="卡雷",42,IF(A215="法力风暴",ROUND(K215*0.1,0),VLOOKUP(A215,怪物模型!$A$15:$I$70,9,0)*(1+(B215-30)/100)))</f>
        <v>1250</v>
      </c>
      <c r="M215">
        <f>ROUND(VLOOKUP(C215,猎人难度!A$1:C$135,2,0)*0.91*E215,0)</f>
        <v>9314</v>
      </c>
      <c r="N215">
        <f t="shared" si="9"/>
        <v>11177</v>
      </c>
      <c r="O215">
        <f>VLOOKUP(B215,怪物抗性与玩家穿透!A$2:Q$74,4,0)</f>
        <v>5000</v>
      </c>
      <c r="P215">
        <f>VLOOKUP(B215,怪物抗性与玩家穿透!A$2:Q$74,5,0)</f>
        <v>1500</v>
      </c>
      <c r="Q215">
        <f t="shared" si="10"/>
        <v>1500</v>
      </c>
      <c r="R215">
        <f>ROUND(VLOOKUP(B215,[3]battleParameter.xml!$A$6:$E$107,5,0)*(I215/100)/(1-I215/100),0)</f>
        <v>1631</v>
      </c>
      <c r="S215">
        <f>ROUND(VLOOKUP(B215,[3]battleParameter.xml!$A$6:$G$107,7,0)*(J215/100)/(1-J215/100),0)</f>
        <v>0</v>
      </c>
      <c r="T215">
        <f>ROUND(VLOOKUP(B215,[3]battleParameter.xml!$A$6:$Z$107,8,0)*(MIN(H215/100+0.2,0.99))/(1-MIN(H215/100+0.2,0.99)),0)</f>
        <v>1138</v>
      </c>
      <c r="U215">
        <v>0</v>
      </c>
      <c r="V215">
        <v>0</v>
      </c>
    </row>
    <row r="216" spans="1:22">
      <c r="A216" t="str">
        <f>[2]monster.xml!$D561</f>
        <v>法力风暴</v>
      </c>
      <c r="B216">
        <f>[2]monster.xml!$C561</f>
        <v>55</v>
      </c>
      <c r="C216">
        <f t="shared" si="11"/>
        <v>47</v>
      </c>
      <c r="D216" t="str">
        <f>VLOOKUP(A216,怪物模型!A$15:Z$70,8,0)</f>
        <v>25,30</v>
      </c>
      <c r="E216">
        <f>VLOOKUP(A216,怪物模型!A$15:G$70,3,0)</f>
        <v>1.5</v>
      </c>
      <c r="F216">
        <f>VLOOKUP(A216,怪物模型!A$15:G$77,4,0)</f>
        <v>0.68</v>
      </c>
      <c r="G216">
        <v>1</v>
      </c>
      <c r="H216">
        <f>VLOOKUP(A216,怪物模型!A$15:G$77,5,0)</f>
        <v>13</v>
      </c>
      <c r="I216">
        <f>VLOOKUP(A216,怪物模型!A$15:G$77,6,0)</f>
        <v>0</v>
      </c>
      <c r="J216">
        <f>VLOOKUP(A216,怪物模型!A$15:G$77,7,0)</f>
        <v>0</v>
      </c>
      <c r="K216">
        <f>ROUND(VLOOKUP(C216,猎人难度!A$1:C$135,3,0)/VLOOKUP(B216,怪物抗性与玩家穿透!A$2:Q$74,17,0)*F216,0)</f>
        <v>300455</v>
      </c>
      <c r="L216">
        <f>IF(A216="卡雷",42,IF(A216="法力风暴",ROUND(K216*0.1,0),VLOOKUP(A216,怪物模型!$A$15:$I$70,9,0)*(1+(B216-30)/100)))</f>
        <v>30046</v>
      </c>
      <c r="M216">
        <f>ROUND(VLOOKUP(C216,猎人难度!A$1:C$135,2,0)*0.91*E216,0)</f>
        <v>14808</v>
      </c>
      <c r="N216">
        <f t="shared" si="9"/>
        <v>17770</v>
      </c>
      <c r="O216">
        <f>VLOOKUP(B216,怪物抗性与玩家穿透!A$2:Q$74,4,0)</f>
        <v>5000</v>
      </c>
      <c r="P216">
        <f>VLOOKUP(B216,怪物抗性与玩家穿透!A$2:Q$74,5,0)</f>
        <v>1500</v>
      </c>
      <c r="Q216">
        <f t="shared" si="10"/>
        <v>1500</v>
      </c>
      <c r="R216">
        <f>ROUND(VLOOKUP(B216,[3]battleParameter.xml!$A$6:$E$107,5,0)*(I216/100)/(1-I216/100),0)</f>
        <v>0</v>
      </c>
      <c r="S216">
        <f>ROUND(VLOOKUP(B216,[3]battleParameter.xml!$A$6:$G$107,7,0)*(J216/100)/(1-J216/100),0)</f>
        <v>0</v>
      </c>
      <c r="T216">
        <f>ROUND(VLOOKUP(B216,[3]battleParameter.xml!$A$6:$Z$107,8,0)*(MIN(H216/100+0.2,0.99))/(1-MIN(H216/100+0.2,0.99)),0)</f>
        <v>1138</v>
      </c>
      <c r="U216">
        <v>0</v>
      </c>
      <c r="V216">
        <v>0</v>
      </c>
    </row>
    <row r="217" spans="1:22">
      <c r="A217" t="str">
        <f>[2]monster.xml!$D562</f>
        <v>角斗士里奥</v>
      </c>
      <c r="B217">
        <f>[2]monster.xml!$C562</f>
        <v>56</v>
      </c>
      <c r="C217">
        <f t="shared" si="11"/>
        <v>48</v>
      </c>
      <c r="D217">
        <f>VLOOKUP(A217,怪物模型!A$15:Z$70,8,0)</f>
        <v>5</v>
      </c>
      <c r="E217">
        <f>VLOOKUP(A217,怪物模型!A$15:G$70,3,0)</f>
        <v>1</v>
      </c>
      <c r="F217">
        <f>VLOOKUP(A217,怪物模型!A$15:G$77,4,0)</f>
        <v>1</v>
      </c>
      <c r="G217">
        <v>1</v>
      </c>
      <c r="H217">
        <f>VLOOKUP(A217,怪物模型!A$15:G$77,5,0)</f>
        <v>13</v>
      </c>
      <c r="I217">
        <f>VLOOKUP(A217,怪物模型!A$15:G$77,6,0)</f>
        <v>0</v>
      </c>
      <c r="J217">
        <f>VLOOKUP(A217,怪物模型!A$15:G$77,7,0)</f>
        <v>0</v>
      </c>
      <c r="K217">
        <f>ROUND(VLOOKUP(C217,猎人难度!A$1:C$135,3,0)/VLOOKUP(B217,怪物抗性与玩家穿透!A$2:Q$74,17,0)*F217,0)</f>
        <v>477398</v>
      </c>
      <c r="L217">
        <f>IF(A217="卡雷",42,IF(A217="法力风暴",ROUND(K217*0.1,0),VLOOKUP(A217,怪物模型!$A$15:$I$70,9,0)*(1+(B217-30)/100)))</f>
        <v>1260</v>
      </c>
      <c r="M217">
        <f>ROUND(VLOOKUP(C217,猎人难度!A$1:C$135,2,0)*0.91*E217,0)</f>
        <v>10669</v>
      </c>
      <c r="N217">
        <f t="shared" si="9"/>
        <v>12803</v>
      </c>
      <c r="O217">
        <f>VLOOKUP(B217,怪物抗性与玩家穿透!A$2:Q$74,4,0)</f>
        <v>5500</v>
      </c>
      <c r="P217">
        <f>VLOOKUP(B217,怪物抗性与玩家穿透!A$2:Q$74,5,0)</f>
        <v>1650</v>
      </c>
      <c r="Q217">
        <f t="shared" si="10"/>
        <v>1650</v>
      </c>
      <c r="R217">
        <f>ROUND(VLOOKUP(B217,[3]battleParameter.xml!$A$6:$E$107,5,0)*(I217/100)/(1-I217/100),0)</f>
        <v>0</v>
      </c>
      <c r="S217">
        <f>ROUND(VLOOKUP(B217,[3]battleParameter.xml!$A$6:$G$107,7,0)*(J217/100)/(1-J217/100),0)</f>
        <v>0</v>
      </c>
      <c r="T217">
        <f>ROUND(VLOOKUP(B217,[3]battleParameter.xml!$A$6:$Z$107,8,0)*(MIN(H217/100+0.2,0.99))/(1-MIN(H217/100+0.2,0.99)),0)</f>
        <v>1179</v>
      </c>
      <c r="U217">
        <v>0</v>
      </c>
      <c r="V217">
        <v>0</v>
      </c>
    </row>
    <row r="218" spans="1:22">
      <c r="A218" t="str">
        <f>[2]monster.xml!$D563</f>
        <v>荒野游侠</v>
      </c>
      <c r="B218">
        <f>[2]monster.xml!$C563</f>
        <v>56</v>
      </c>
      <c r="C218">
        <f t="shared" si="11"/>
        <v>49</v>
      </c>
      <c r="D218">
        <f>VLOOKUP(A218,怪物模型!A$15:Z$70,8,0)</f>
        <v>16</v>
      </c>
      <c r="E218">
        <f>VLOOKUP(A218,怪物模型!A$15:G$70,3,0)</f>
        <v>1</v>
      </c>
      <c r="F218">
        <f>VLOOKUP(A218,怪物模型!A$15:G$77,4,0)</f>
        <v>0.8</v>
      </c>
      <c r="G218">
        <v>1</v>
      </c>
      <c r="H218">
        <f>VLOOKUP(A218,怪物模型!A$15:G$77,5,0)</f>
        <v>35</v>
      </c>
      <c r="I218">
        <f>VLOOKUP(A218,怪物模型!A$15:G$77,6,0)</f>
        <v>0</v>
      </c>
      <c r="J218">
        <f>VLOOKUP(A218,怪物模型!A$15:G$77,7,0)</f>
        <v>0</v>
      </c>
      <c r="K218">
        <f>ROUND(VLOOKUP(C218,猎人难度!A$1:C$135,3,0)/VLOOKUP(B218,怪物抗性与玩家穿透!A$2:Q$74,17,0)*F218,0)</f>
        <v>407314</v>
      </c>
      <c r="L218">
        <f>IF(A218="卡雷",42,IF(A218="法力风暴",ROUND(K218*0.1,0),VLOOKUP(A218,怪物模型!$A$15:$I$70,9,0)*(1+(B218-30)/100)))</f>
        <v>2520</v>
      </c>
      <c r="M218">
        <f>ROUND(VLOOKUP(C218,猎人难度!A$1:C$135,2,0)*0.91*E218,0)</f>
        <v>11201</v>
      </c>
      <c r="N218">
        <f t="shared" si="9"/>
        <v>13441</v>
      </c>
      <c r="O218">
        <f>VLOOKUP(B218,怪物抗性与玩家穿透!A$2:Q$74,4,0)</f>
        <v>5500</v>
      </c>
      <c r="P218">
        <f>VLOOKUP(B218,怪物抗性与玩家穿透!A$2:Q$74,5,0)</f>
        <v>1650</v>
      </c>
      <c r="Q218">
        <f t="shared" si="10"/>
        <v>1650</v>
      </c>
      <c r="R218">
        <f>ROUND(VLOOKUP(B218,[3]battleParameter.xml!$A$6:$E$107,5,0)*(I218/100)/(1-I218/100),0)</f>
        <v>0</v>
      </c>
      <c r="S218">
        <f>ROUND(VLOOKUP(B218,[3]battleParameter.xml!$A$6:$G$107,7,0)*(J218/100)/(1-J218/100),0)</f>
        <v>0</v>
      </c>
      <c r="T218">
        <f>ROUND(VLOOKUP(B218,[3]battleParameter.xml!$A$6:$Z$107,8,0)*(MIN(H218/100+0.2,0.99))/(1-MIN(H218/100+0.2,0.99)),0)</f>
        <v>2925</v>
      </c>
      <c r="U218">
        <v>0</v>
      </c>
      <c r="V218">
        <v>0</v>
      </c>
    </row>
    <row r="219" spans="1:22">
      <c r="A219" t="str">
        <f>[2]monster.xml!$D564</f>
        <v>憾地者</v>
      </c>
      <c r="B219">
        <f>[2]monster.xml!$C564</f>
        <v>56</v>
      </c>
      <c r="C219">
        <f t="shared" si="11"/>
        <v>50</v>
      </c>
      <c r="D219">
        <f>VLOOKUP(A219,怪物模型!A$15:Z$70,8,0)</f>
        <v>4</v>
      </c>
      <c r="E219">
        <f>VLOOKUP(A219,怪物模型!A$15:G$70,3,0)</f>
        <v>0.85</v>
      </c>
      <c r="F219">
        <f>VLOOKUP(A219,怪物模型!A$15:G$77,4,0)</f>
        <v>1</v>
      </c>
      <c r="G219">
        <v>1</v>
      </c>
      <c r="H219">
        <f>VLOOKUP(A219,怪物模型!A$15:G$77,5,0)</f>
        <v>13</v>
      </c>
      <c r="I219">
        <f>VLOOKUP(A219,怪物模型!A$15:G$77,6,0)</f>
        <v>0</v>
      </c>
      <c r="J219">
        <f>VLOOKUP(A219,怪物模型!A$15:G$77,7,0)</f>
        <v>0</v>
      </c>
      <c r="K219">
        <f>ROUND(VLOOKUP(C219,猎人难度!A$1:C$135,3,0)/VLOOKUP(B219,怪物抗性与玩家穿透!A$2:Q$74,17,0)*F219,0)</f>
        <v>542998</v>
      </c>
      <c r="L219">
        <f>IF(A219="卡雷",42,IF(A219="法力风暴",ROUND(K219*0.1,0),VLOOKUP(A219,怪物模型!$A$15:$I$70,9,0)*(1+(B219-30)/100)))</f>
        <v>1260</v>
      </c>
      <c r="M219">
        <f>ROUND(VLOOKUP(C219,猎人难度!A$1:C$135,2,0)*0.91*E219,0)</f>
        <v>9997</v>
      </c>
      <c r="N219">
        <f t="shared" si="9"/>
        <v>11996</v>
      </c>
      <c r="O219">
        <f>VLOOKUP(B219,怪物抗性与玩家穿透!A$2:Q$74,4,0)</f>
        <v>5500</v>
      </c>
      <c r="P219">
        <f>VLOOKUP(B219,怪物抗性与玩家穿透!A$2:Q$74,5,0)</f>
        <v>1650</v>
      </c>
      <c r="Q219">
        <f t="shared" si="10"/>
        <v>1650</v>
      </c>
      <c r="R219">
        <f>ROUND(VLOOKUP(B219,[3]battleParameter.xml!$A$6:$E$107,5,0)*(I219/100)/(1-I219/100),0)</f>
        <v>0</v>
      </c>
      <c r="S219">
        <f>ROUND(VLOOKUP(B219,[3]battleParameter.xml!$A$6:$G$107,7,0)*(J219/100)/(1-J219/100),0)</f>
        <v>0</v>
      </c>
      <c r="T219">
        <f>ROUND(VLOOKUP(B219,[3]battleParameter.xml!$A$6:$Z$107,8,0)*(MIN(H219/100+0.2,0.99))/(1-MIN(H219/100+0.2,0.99)),0)</f>
        <v>1179</v>
      </c>
      <c r="U219">
        <v>0</v>
      </c>
      <c r="V219">
        <v>0</v>
      </c>
    </row>
    <row r="220" spans="1:22">
      <c r="A220" t="str">
        <f>[2]monster.xml!$D565</f>
        <v>拉兹</v>
      </c>
      <c r="B220">
        <f>[2]monster.xml!$C565</f>
        <v>57</v>
      </c>
      <c r="C220">
        <f t="shared" si="11"/>
        <v>51</v>
      </c>
      <c r="D220">
        <f>VLOOKUP(A220,怪物模型!A$15:Z$70,8,0)</f>
        <v>10</v>
      </c>
      <c r="E220">
        <f>VLOOKUP(A220,怪物模型!A$15:G$70,3,0)</f>
        <v>1.2</v>
      </c>
      <c r="F220">
        <f>VLOOKUP(A220,怪物模型!A$15:G$77,4,0)</f>
        <v>1</v>
      </c>
      <c r="G220">
        <v>1</v>
      </c>
      <c r="H220">
        <f>VLOOKUP(A220,怪物模型!A$15:G$77,5,0)</f>
        <v>13</v>
      </c>
      <c r="I220">
        <f>VLOOKUP(A220,怪物模型!A$15:G$77,6,0)</f>
        <v>0</v>
      </c>
      <c r="J220">
        <f>VLOOKUP(A220,怪物模型!A$15:G$77,7,0)</f>
        <v>20</v>
      </c>
      <c r="K220">
        <f>ROUND(VLOOKUP(C220,猎人难度!A$1:C$135,3,0)/VLOOKUP(B220,怪物抗性与玩家穿透!A$2:Q$74,17,0)*F220,0)</f>
        <v>574705</v>
      </c>
      <c r="L220">
        <f>IF(A220="卡雷",42,IF(A220="法力风暴",ROUND(K220*0.1,0),VLOOKUP(A220,怪物模型!$A$15:$I$70,9,0)*(1+(B220-30)/100)))</f>
        <v>2540</v>
      </c>
      <c r="M220">
        <f>ROUND(VLOOKUP(C220,猎人难度!A$1:C$135,2,0)*0.91*E220,0)</f>
        <v>15060</v>
      </c>
      <c r="N220">
        <f t="shared" si="9"/>
        <v>18072</v>
      </c>
      <c r="O220">
        <f>VLOOKUP(B220,怪物抗性与玩家穿透!A$2:Q$74,4,0)</f>
        <v>6000</v>
      </c>
      <c r="P220">
        <f>VLOOKUP(B220,怪物抗性与玩家穿透!A$2:Q$74,5,0)</f>
        <v>1800</v>
      </c>
      <c r="Q220">
        <f t="shared" si="10"/>
        <v>1800</v>
      </c>
      <c r="R220">
        <f>ROUND(VLOOKUP(B220,[3]battleParameter.xml!$A$6:$E$107,5,0)*(I220/100)/(1-I220/100),0)</f>
        <v>0</v>
      </c>
      <c r="S220">
        <f>ROUND(VLOOKUP(B220,[3]battleParameter.xml!$A$6:$G$107,7,0)*(J220/100)/(1-J220/100),0)</f>
        <v>2479</v>
      </c>
      <c r="T220">
        <f>ROUND(VLOOKUP(B220,[3]battleParameter.xml!$A$6:$Z$107,8,0)*(MIN(H220/100+0.2,0.99))/(1-MIN(H220/100+0.2,0.99)),0)</f>
        <v>1221</v>
      </c>
      <c r="U220">
        <v>0</v>
      </c>
      <c r="V220">
        <v>0</v>
      </c>
    </row>
    <row r="221" spans="1:22">
      <c r="A221" t="str">
        <f>[2]monster.xml!$D566</f>
        <v>塔克</v>
      </c>
      <c r="B221">
        <f>[2]monster.xml!$C566</f>
        <v>57</v>
      </c>
      <c r="C221">
        <f t="shared" si="11"/>
        <v>51</v>
      </c>
      <c r="D221">
        <f>VLOOKUP(A221,怪物模型!A$15:Z$70,8,0)</f>
        <v>3</v>
      </c>
      <c r="E221">
        <f>VLOOKUP(A221,怪物模型!A$15:G$70,3,0)</f>
        <v>0.35</v>
      </c>
      <c r="F221">
        <f>VLOOKUP(A221,怪物模型!A$15:G$77,4,0)</f>
        <v>0.6</v>
      </c>
      <c r="G221">
        <v>1</v>
      </c>
      <c r="H221">
        <f>VLOOKUP(A221,怪物模型!A$15:G$77,5,0)</f>
        <v>13</v>
      </c>
      <c r="I221">
        <f>VLOOKUP(A221,怪物模型!A$15:G$77,6,0)</f>
        <v>0</v>
      </c>
      <c r="J221">
        <f>VLOOKUP(A221,怪物模型!A$15:G$77,7,0)</f>
        <v>0</v>
      </c>
      <c r="K221">
        <f>ROUND(VLOOKUP(C221,猎人难度!A$1:C$135,3,0)/VLOOKUP(B221,怪物抗性与玩家穿透!A$2:Q$74,17,0)*F221,0)</f>
        <v>344823</v>
      </c>
      <c r="L221">
        <f>IF(A221="卡雷",42,IF(A221="法力风暴",ROUND(K221*0.1,0),VLOOKUP(A221,怪物模型!$A$15:$I$70,9,0)*(1+(B221-30)/100)))</f>
        <v>1270</v>
      </c>
      <c r="M221">
        <f>ROUND(VLOOKUP(C221,猎人难度!A$1:C$135,2,0)*0.91*E221,0)</f>
        <v>4392</v>
      </c>
      <c r="N221">
        <f t="shared" si="9"/>
        <v>5270</v>
      </c>
      <c r="O221">
        <f>VLOOKUP(B221,怪物抗性与玩家穿透!A$2:Q$74,4,0)</f>
        <v>6000</v>
      </c>
      <c r="P221">
        <f>VLOOKUP(B221,怪物抗性与玩家穿透!A$2:Q$74,5,0)</f>
        <v>1800</v>
      </c>
      <c r="Q221">
        <f t="shared" si="10"/>
        <v>1800</v>
      </c>
      <c r="R221">
        <f>ROUND(VLOOKUP(B221,[3]battleParameter.xml!$A$6:$E$107,5,0)*(I221/100)/(1-I221/100),0)</f>
        <v>0</v>
      </c>
      <c r="S221">
        <f>ROUND(VLOOKUP(B221,[3]battleParameter.xml!$A$6:$G$107,7,0)*(J221/100)/(1-J221/100),0)</f>
        <v>0</v>
      </c>
      <c r="T221">
        <f>ROUND(VLOOKUP(B221,[3]battleParameter.xml!$A$6:$Z$107,8,0)*(MIN(H221/100+0.2,0.99))/(1-MIN(H221/100+0.2,0.99)),0)</f>
        <v>1221</v>
      </c>
      <c r="U221">
        <v>0</v>
      </c>
      <c r="V221">
        <v>0</v>
      </c>
    </row>
    <row r="222" spans="1:22">
      <c r="A222" t="str">
        <f>[2]monster.xml!$D567</f>
        <v>迪皮斯</v>
      </c>
      <c r="B222">
        <f>[2]monster.xml!$C567</f>
        <v>57</v>
      </c>
      <c r="C222">
        <f t="shared" si="11"/>
        <v>52</v>
      </c>
      <c r="D222" t="str">
        <f>VLOOKUP(A222,怪物模型!A$15:Z$70,8,0)</f>
        <v>17,14</v>
      </c>
      <c r="E222">
        <f>VLOOKUP(A222,怪物模型!A$15:G$70,3,0)</f>
        <v>0.6</v>
      </c>
      <c r="F222">
        <f>VLOOKUP(A222,怪物模型!A$15:G$77,4,0)</f>
        <v>0.4</v>
      </c>
      <c r="G222">
        <v>1</v>
      </c>
      <c r="H222">
        <f>VLOOKUP(A222,怪物模型!A$15:G$77,5,0)</f>
        <v>13</v>
      </c>
      <c r="I222">
        <f>VLOOKUP(A222,怪物模型!A$15:G$77,6,0)</f>
        <v>0</v>
      </c>
      <c r="J222">
        <f>VLOOKUP(A222,怪物模型!A$15:G$77,7,0)</f>
        <v>0</v>
      </c>
      <c r="K222">
        <f>ROUND(VLOOKUP(C222,猎人难度!A$1:C$135,3,0)/VLOOKUP(B222,怪物抗性与玩家穿透!A$2:Q$74,17,0)*F222,0)</f>
        <v>246239</v>
      </c>
      <c r="L222">
        <f>IF(A222="卡雷",42,IF(A222="法力风暴",ROUND(K222*0.1,0),VLOOKUP(A222,怪物模型!$A$15:$I$70,9,0)*(1+(B222-30)/100)))</f>
        <v>1270</v>
      </c>
      <c r="M222">
        <f>ROUND(VLOOKUP(C222,猎人难度!A$1:C$135,2,0)*0.91*E222,0)</f>
        <v>7953</v>
      </c>
      <c r="N222">
        <f t="shared" si="9"/>
        <v>9544</v>
      </c>
      <c r="O222">
        <f>VLOOKUP(B222,怪物抗性与玩家穿透!A$2:Q$74,4,0)</f>
        <v>6000</v>
      </c>
      <c r="P222">
        <f>VLOOKUP(B222,怪物抗性与玩家穿透!A$2:Q$74,5,0)</f>
        <v>1800</v>
      </c>
      <c r="Q222">
        <f t="shared" si="10"/>
        <v>1800</v>
      </c>
      <c r="R222">
        <f>ROUND(VLOOKUP(B222,[3]battleParameter.xml!$A$6:$E$107,5,0)*(I222/100)/(1-I222/100),0)</f>
        <v>0</v>
      </c>
      <c r="S222">
        <f>ROUND(VLOOKUP(B222,[3]battleParameter.xml!$A$6:$G$107,7,0)*(J222/100)/(1-J222/100),0)</f>
        <v>0</v>
      </c>
      <c r="T222">
        <f>ROUND(VLOOKUP(B222,[3]battleParameter.xml!$A$6:$Z$107,8,0)*(MIN(H222/100+0.2,0.99))/(1-MIN(H222/100+0.2,0.99)),0)</f>
        <v>1221</v>
      </c>
      <c r="U222">
        <v>0</v>
      </c>
      <c r="V222">
        <v>0</v>
      </c>
    </row>
    <row r="223" spans="1:22">
      <c r="A223" t="str">
        <f>[2]monster.xml!$D568</f>
        <v>狂野安东尼</v>
      </c>
      <c r="B223">
        <f>[2]monster.xml!$C568</f>
        <v>58</v>
      </c>
      <c r="C223">
        <f t="shared" si="11"/>
        <v>53</v>
      </c>
      <c r="D223">
        <f>VLOOKUP(A223,怪物模型!A$15:Z$70,8,0)</f>
        <v>7</v>
      </c>
      <c r="E223">
        <f>VLOOKUP(A223,怪物模型!A$15:G$70,3,0)</f>
        <v>1</v>
      </c>
      <c r="F223">
        <f>VLOOKUP(A223,怪物模型!A$15:G$77,4,0)</f>
        <v>1</v>
      </c>
      <c r="G223">
        <v>1</v>
      </c>
      <c r="H223">
        <f>VLOOKUP(A223,怪物模型!A$15:G$77,5,0)</f>
        <v>13</v>
      </c>
      <c r="I223">
        <f>VLOOKUP(A223,怪物模型!A$15:G$77,6,0)</f>
        <v>0</v>
      </c>
      <c r="J223">
        <f>VLOOKUP(A223,怪物模型!A$15:G$77,7,0)</f>
        <v>0</v>
      </c>
      <c r="K223">
        <f>ROUND(VLOOKUP(C223,猎人难度!A$1:C$135,3,0)/VLOOKUP(B223,怪物抗性与玩家穿透!A$2:Q$74,17,0)*F223,0)</f>
        <v>642197</v>
      </c>
      <c r="L223">
        <f>IF(A223="卡雷",42,IF(A223="法力风暴",ROUND(K223*0.1,0),VLOOKUP(A223,怪物模型!$A$15:$I$70,9,0)*(1+(B223-30)/100)))</f>
        <v>1280</v>
      </c>
      <c r="M223">
        <f>ROUND(VLOOKUP(C223,猎人难度!A$1:C$135,2,0)*0.91*E223,0)</f>
        <v>14000</v>
      </c>
      <c r="N223">
        <f t="shared" si="9"/>
        <v>16800</v>
      </c>
      <c r="O223">
        <f>VLOOKUP(B223,怪物抗性与玩家穿透!A$2:Q$74,4,0)</f>
        <v>6500</v>
      </c>
      <c r="P223">
        <f>VLOOKUP(B223,怪物抗性与玩家穿透!A$2:Q$74,5,0)</f>
        <v>1950</v>
      </c>
      <c r="Q223">
        <f t="shared" si="10"/>
        <v>1950</v>
      </c>
      <c r="R223">
        <f>ROUND(VLOOKUP(B223,[3]battleParameter.xml!$A$6:$E$107,5,0)*(I223/100)/(1-I223/100),0)</f>
        <v>0</v>
      </c>
      <c r="S223">
        <f>ROUND(VLOOKUP(B223,[3]battleParameter.xml!$A$6:$G$107,7,0)*(J223/100)/(1-J223/100),0)</f>
        <v>0</v>
      </c>
      <c r="T223">
        <f>ROUND(VLOOKUP(B223,[3]battleParameter.xml!$A$6:$Z$107,8,0)*(MIN(H223/100+0.2,0.99))/(1-MIN(H223/100+0.2,0.99)),0)</f>
        <v>1263</v>
      </c>
      <c r="U223">
        <v>0</v>
      </c>
      <c r="V223">
        <v>0</v>
      </c>
    </row>
    <row r="224" spans="1:22">
      <c r="A224" t="str">
        <f>[2]monster.xml!$D569</f>
        <v>巡林者瑞克</v>
      </c>
      <c r="B224">
        <f>[2]monster.xml!$C569</f>
        <v>59</v>
      </c>
      <c r="C224">
        <f t="shared" si="11"/>
        <v>54</v>
      </c>
      <c r="D224">
        <f>VLOOKUP(A224,怪物模型!A$15:Z$70,8,0)</f>
        <v>15</v>
      </c>
      <c r="E224">
        <f>VLOOKUP(A224,怪物模型!A$15:G$70,3,0)</f>
        <v>1</v>
      </c>
      <c r="F224">
        <f>VLOOKUP(A224,怪物模型!A$15:G$77,4,0)</f>
        <v>1</v>
      </c>
      <c r="G224">
        <v>1</v>
      </c>
      <c r="H224">
        <f>VLOOKUP(A224,怪物模型!A$15:G$77,5,0)</f>
        <v>13</v>
      </c>
      <c r="I224">
        <f>VLOOKUP(A224,怪物模型!A$15:G$77,6,0)</f>
        <v>0</v>
      </c>
      <c r="J224">
        <f>VLOOKUP(A224,怪物模型!A$15:G$77,7,0)</f>
        <v>0</v>
      </c>
      <c r="K224">
        <f>ROUND(VLOOKUP(C224,猎人难度!A$1:C$135,3,0)/VLOOKUP(B224,怪物抗性与玩家穿透!A$2:Q$74,17,0)*F224,0)</f>
        <v>687104</v>
      </c>
      <c r="L224">
        <f>IF(A224="卡雷",42,IF(A224="法力风暴",ROUND(K224*0.1,0),VLOOKUP(A224,怪物模型!$A$15:$I$70,9,0)*(1+(B224-30)/100)))</f>
        <v>1290</v>
      </c>
      <c r="M224">
        <f>ROUND(VLOOKUP(C224,猎人难度!A$1:C$135,2,0)*0.91*E224,0)</f>
        <v>15059</v>
      </c>
      <c r="N224">
        <f t="shared" si="9"/>
        <v>18071</v>
      </c>
      <c r="O224">
        <f>VLOOKUP(B224,怪物抗性与玩家穿透!A$2:Q$74,4,0)</f>
        <v>7000</v>
      </c>
      <c r="P224">
        <f>VLOOKUP(B224,怪物抗性与玩家穿透!A$2:Q$74,5,0)</f>
        <v>2100</v>
      </c>
      <c r="Q224">
        <f t="shared" si="10"/>
        <v>2100</v>
      </c>
      <c r="R224">
        <f>ROUND(VLOOKUP(B224,[3]battleParameter.xml!$A$6:$E$107,5,0)*(I224/100)/(1-I224/100),0)</f>
        <v>0</v>
      </c>
      <c r="S224">
        <f>ROUND(VLOOKUP(B224,[3]battleParameter.xml!$A$6:$G$107,7,0)*(J224/100)/(1-J224/100),0)</f>
        <v>0</v>
      </c>
      <c r="T224">
        <f>ROUND(VLOOKUP(B224,[3]battleParameter.xml!$A$6:$Z$107,8,0)*(MIN(H224/100+0.2,0.99))/(1-MIN(H224/100+0.2,0.99)),0)</f>
        <v>1307</v>
      </c>
      <c r="U224">
        <v>0</v>
      </c>
      <c r="V224">
        <v>0</v>
      </c>
    </row>
    <row r="225" spans="1:22">
      <c r="A225" t="str">
        <f>[2]monster.xml!$D570</f>
        <v>坚定的格雷格</v>
      </c>
      <c r="B225">
        <f>[2]monster.xml!$C570</f>
        <v>60</v>
      </c>
      <c r="C225">
        <f t="shared" si="11"/>
        <v>55</v>
      </c>
      <c r="D225">
        <f>VLOOKUP(A225,怪物模型!A$15:Z$70,8,0)</f>
        <v>3</v>
      </c>
      <c r="E225">
        <f>VLOOKUP(A225,怪物模型!A$15:G$70,3,0)</f>
        <v>0.7</v>
      </c>
      <c r="F225">
        <f>VLOOKUP(A225,怪物模型!A$15:G$77,4,0)</f>
        <v>0.8</v>
      </c>
      <c r="G225">
        <v>1</v>
      </c>
      <c r="H225">
        <f>VLOOKUP(A225,怪物模型!A$15:G$77,5,0)</f>
        <v>13</v>
      </c>
      <c r="I225">
        <f>VLOOKUP(A225,怪物模型!A$15:G$77,6,0)</f>
        <v>0</v>
      </c>
      <c r="J225">
        <f>VLOOKUP(A225,怪物模型!A$15:G$77,7,0)</f>
        <v>0</v>
      </c>
      <c r="K225">
        <f>ROUND(VLOOKUP(C225,猎人难度!A$1:C$135,3,0)/VLOOKUP(B225,怪物抗性与玩家穿透!A$2:Q$74,17,0)*F225,0)</f>
        <v>434230</v>
      </c>
      <c r="L225">
        <f>IF(A225="卡雷",42,IF(A225="法力风暴",ROUND(K225*0.1,0),VLOOKUP(A225,怪物模型!$A$15:$I$70,9,0)*(1+(B225-30)/100)))</f>
        <v>780</v>
      </c>
      <c r="M225">
        <f>ROUND(VLOOKUP(C225,猎人难度!A$1:C$135,2,0)*0.91*E225,0)</f>
        <v>9458</v>
      </c>
      <c r="N225">
        <f t="shared" si="9"/>
        <v>11350</v>
      </c>
      <c r="O225">
        <f>VLOOKUP(B225,怪物抗性与玩家穿透!A$2:Q$74,4,0)</f>
        <v>7500</v>
      </c>
      <c r="P225">
        <f>VLOOKUP(B225,怪物抗性与玩家穿透!A$2:Q$74,5,0)</f>
        <v>2250</v>
      </c>
      <c r="Q225">
        <f t="shared" si="10"/>
        <v>2250</v>
      </c>
      <c r="R225">
        <f>ROUND(VLOOKUP(B225,[3]battleParameter.xml!$A$6:$E$107,5,0)*(I225/100)/(1-I225/100),0)</f>
        <v>0</v>
      </c>
      <c r="S225">
        <f>ROUND(VLOOKUP(B225,[3]battleParameter.xml!$A$6:$G$107,7,0)*(J225/100)/(1-J225/100),0)</f>
        <v>0</v>
      </c>
      <c r="T225">
        <f>ROUND(VLOOKUP(B225,[3]battleParameter.xml!$A$6:$Z$107,8,0)*(MIN(H225/100+0.2,0.99))/(1-MIN(H225/100+0.2,0.99)),0)</f>
        <v>1351</v>
      </c>
      <c r="U225">
        <v>0</v>
      </c>
      <c r="V225">
        <v>0</v>
      </c>
    </row>
    <row r="226" spans="1:22">
      <c r="A226" t="str">
        <f>[2]monster.xml!$D571</f>
        <v>菲德丝的倒影</v>
      </c>
      <c r="B226">
        <f>[2]monster.xml!$C571</f>
        <v>60</v>
      </c>
      <c r="C226">
        <f t="shared" si="11"/>
        <v>56</v>
      </c>
      <c r="D226" t="str">
        <f>VLOOKUP(A226,怪物模型!A$15:Z$70,8,0)</f>
        <v>15,11</v>
      </c>
      <c r="E226">
        <f>VLOOKUP(A226,怪物模型!A$15:G$70,3,0)</f>
        <v>1</v>
      </c>
      <c r="F226">
        <f>VLOOKUP(A226,怪物模型!A$15:G$77,4,0)</f>
        <v>1</v>
      </c>
      <c r="G226">
        <v>1</v>
      </c>
      <c r="H226">
        <f>VLOOKUP(A226,怪物模型!A$15:G$77,5,0)</f>
        <v>13</v>
      </c>
      <c r="I226">
        <f>VLOOKUP(A226,怪物模型!A$15:G$77,6,0)</f>
        <v>0</v>
      </c>
      <c r="J226">
        <f>VLOOKUP(A226,怪物模型!A$15:G$77,7,0)</f>
        <v>0</v>
      </c>
      <c r="K226">
        <f>ROUND(VLOOKUP(C226,猎人难度!A$1:C$135,3,0)/VLOOKUP(B226,怪物抗性与玩家穿透!A$2:Q$74,17,0)*F226,0)</f>
        <v>585754</v>
      </c>
      <c r="L226">
        <f>IF(A226="卡雷",42,IF(A226="法力风暴",ROUND(K226*0.1,0),VLOOKUP(A226,怪物模型!$A$15:$I$70,9,0)*(1+(B226-30)/100)))</f>
        <v>1300</v>
      </c>
      <c r="M226">
        <f>ROUND(VLOOKUP(C226,猎人难度!A$1:C$135,2,0)*0.91*E226,0)</f>
        <v>14472</v>
      </c>
      <c r="N226">
        <f t="shared" si="9"/>
        <v>17366</v>
      </c>
      <c r="O226">
        <f>VLOOKUP(B226,怪物抗性与玩家穿透!A$2:Q$74,4,0)</f>
        <v>7500</v>
      </c>
      <c r="P226">
        <f>VLOOKUP(B226,怪物抗性与玩家穿透!A$2:Q$74,5,0)</f>
        <v>2250</v>
      </c>
      <c r="Q226">
        <f t="shared" si="10"/>
        <v>2250</v>
      </c>
      <c r="R226">
        <f>ROUND(VLOOKUP(B226,[3]battleParameter.xml!$A$6:$E$107,5,0)*(I226/100)/(1-I226/100),0)</f>
        <v>0</v>
      </c>
      <c r="S226">
        <f>ROUND(VLOOKUP(B226,[3]battleParameter.xml!$A$6:$G$107,7,0)*(J226/100)/(1-J226/100),0)</f>
        <v>0</v>
      </c>
      <c r="T226">
        <f>ROUND(VLOOKUP(B226,[3]battleParameter.xml!$A$6:$Z$107,8,0)*(MIN(H226/100+0.2,0.99))/(1-MIN(H226/100+0.2,0.99)),0)</f>
        <v>1351</v>
      </c>
      <c r="U226">
        <v>0</v>
      </c>
      <c r="V226">
        <v>0</v>
      </c>
    </row>
    <row r="227" spans="1:22">
      <c r="A227" t="str">
        <f>[2]monster.xml!$D572</f>
        <v>惊人的盖亚</v>
      </c>
      <c r="B227">
        <f>[2]monster.xml!$C572</f>
        <v>61</v>
      </c>
      <c r="C227">
        <f t="shared" si="11"/>
        <v>57</v>
      </c>
      <c r="D227" t="str">
        <f>VLOOKUP(A227,怪物模型!A$15:Z$70,8,0)</f>
        <v>10,15,17,14</v>
      </c>
      <c r="E227">
        <f>VLOOKUP(A227,怪物模型!A$15:G$70,3,0)</f>
        <v>1.5</v>
      </c>
      <c r="F227">
        <f>VLOOKUP(A227,怪物模型!A$15:G$77,4,0)</f>
        <v>0.6</v>
      </c>
      <c r="G227">
        <v>1</v>
      </c>
      <c r="H227">
        <f>VLOOKUP(A227,怪物模型!A$15:G$77,5,0)</f>
        <v>13</v>
      </c>
      <c r="I227">
        <f>VLOOKUP(A227,怪物模型!A$15:G$77,6,0)</f>
        <v>0</v>
      </c>
      <c r="J227">
        <f>VLOOKUP(A227,怪物模型!A$15:G$77,7,0)</f>
        <v>30</v>
      </c>
      <c r="K227">
        <f>ROUND(VLOOKUP(C227,猎人难度!A$1:C$135,3,0)/VLOOKUP(B227,怪物抗性与玩家穿透!A$2:Q$74,17,0)*F227,0)</f>
        <v>381330</v>
      </c>
      <c r="L227">
        <f>IF(A227="卡雷",42,IF(A227="法力风暴",ROUND(K227*0.1,0),VLOOKUP(A227,怪物模型!$A$15:$I$70,9,0)*(1+(B227-30)/100)))</f>
        <v>5895</v>
      </c>
      <c r="M227">
        <f>ROUND(VLOOKUP(C227,猎人难度!A$1:C$135,2,0)*0.91*E227,0)</f>
        <v>23791</v>
      </c>
      <c r="N227">
        <f t="shared" si="9"/>
        <v>28549</v>
      </c>
      <c r="O227">
        <f>VLOOKUP(B227,怪物抗性与玩家穿透!A$2:Q$74,4,0)</f>
        <v>8000</v>
      </c>
      <c r="P227">
        <f>VLOOKUP(B227,怪物抗性与玩家穿透!A$2:Q$74,5,0)</f>
        <v>2400</v>
      </c>
      <c r="Q227">
        <f t="shared" si="10"/>
        <v>2400</v>
      </c>
      <c r="R227">
        <f>ROUND(VLOOKUP(B227,[3]battleParameter.xml!$A$6:$E$107,5,0)*(I227/100)/(1-I227/100),0)</f>
        <v>0</v>
      </c>
      <c r="S227">
        <f>ROUND(VLOOKUP(B227,[3]battleParameter.xml!$A$6:$G$107,7,0)*(J227/100)/(1-J227/100),0)</f>
        <v>4860</v>
      </c>
      <c r="T227">
        <f>ROUND(VLOOKUP(B227,[3]battleParameter.xml!$A$6:$Z$107,8,0)*(MIN(H227/100+0.2,0.99))/(1-MIN(H227/100+0.2,0.99)),0)</f>
        <v>1396</v>
      </c>
      <c r="U227">
        <v>0</v>
      </c>
      <c r="V227">
        <v>0</v>
      </c>
    </row>
    <row r="228" spans="1:22">
      <c r="A228" t="str">
        <f>[2]monster.xml!$D573</f>
        <v>驯兽师瓦纳</v>
      </c>
      <c r="B228">
        <f>[2]monster.xml!$C573</f>
        <v>61</v>
      </c>
      <c r="C228">
        <f t="shared" si="11"/>
        <v>58</v>
      </c>
      <c r="D228">
        <f>VLOOKUP(A228,怪物模型!A$15:Z$70,8,0)</f>
        <v>2</v>
      </c>
      <c r="E228">
        <f>VLOOKUP(A228,怪物模型!A$15:G$70,3,0)</f>
        <v>0.6</v>
      </c>
      <c r="F228">
        <f>VLOOKUP(A228,怪物模型!A$15:G$77,4,0)</f>
        <v>0.6</v>
      </c>
      <c r="G228">
        <v>1</v>
      </c>
      <c r="H228">
        <f>VLOOKUP(A228,怪物模型!A$15:G$77,5,0)</f>
        <v>13</v>
      </c>
      <c r="I228">
        <f>VLOOKUP(A228,怪物模型!A$15:G$77,6,0)</f>
        <v>0</v>
      </c>
      <c r="J228">
        <f>VLOOKUP(A228,怪物模型!A$15:G$77,7,0)</f>
        <v>0</v>
      </c>
      <c r="K228">
        <f>ROUND(VLOOKUP(C228,猎人难度!A$1:C$135,3,0)/VLOOKUP(B228,怪物抗性与玩家穿透!A$2:Q$74,17,0)*F228,0)</f>
        <v>405194</v>
      </c>
      <c r="L228">
        <f>IF(A228="卡雷",42,IF(A228="法力风暴",ROUND(K228*0.1,0),VLOOKUP(A228,怪物模型!$A$15:$I$70,9,0)*(1+(B228-30)/100)))</f>
        <v>1048</v>
      </c>
      <c r="M228">
        <f>ROUND(VLOOKUP(C228,猎人难度!A$1:C$135,2,0)*0.91*E228,0)</f>
        <v>10063</v>
      </c>
      <c r="N228">
        <f t="shared" si="9"/>
        <v>12076</v>
      </c>
      <c r="O228">
        <f>VLOOKUP(B228,怪物抗性与玩家穿透!A$2:Q$74,4,0)</f>
        <v>8000</v>
      </c>
      <c r="P228">
        <f>VLOOKUP(B228,怪物抗性与玩家穿透!A$2:Q$74,5,0)</f>
        <v>2400</v>
      </c>
      <c r="Q228">
        <f t="shared" si="10"/>
        <v>2400</v>
      </c>
      <c r="R228">
        <f>ROUND(VLOOKUP(B228,[3]battleParameter.xml!$A$6:$E$107,5,0)*(I228/100)/(1-I228/100),0)</f>
        <v>0</v>
      </c>
      <c r="S228">
        <f>ROUND(VLOOKUP(B228,[3]battleParameter.xml!$A$6:$G$107,7,0)*(J228/100)/(1-J228/100),0)</f>
        <v>0</v>
      </c>
      <c r="T228">
        <f>ROUND(VLOOKUP(B228,[3]battleParameter.xml!$A$6:$Z$107,8,0)*(MIN(H228/100+0.2,0.99))/(1-MIN(H228/100+0.2,0.99)),0)</f>
        <v>1396</v>
      </c>
      <c r="U228">
        <v>0</v>
      </c>
      <c r="V228">
        <v>0</v>
      </c>
    </row>
    <row r="229" spans="1:22">
      <c r="A229" t="str">
        <f>[2]monster.xml!$D574</f>
        <v>多兰</v>
      </c>
      <c r="B229">
        <f>[2]monster.xml!$C574</f>
        <v>61</v>
      </c>
      <c r="C229">
        <f t="shared" si="11"/>
        <v>58</v>
      </c>
      <c r="D229">
        <f>VLOOKUP(A229,怪物模型!A$15:Z$70,8,0)</f>
        <v>9</v>
      </c>
      <c r="E229">
        <f>VLOOKUP(A229,怪物模型!A$15:G$70,3,0)</f>
        <v>0.35</v>
      </c>
      <c r="F229">
        <f>VLOOKUP(A229,怪物模型!A$15:G$77,4,0)</f>
        <v>0.28000000000000003</v>
      </c>
      <c r="G229">
        <v>1</v>
      </c>
      <c r="H229">
        <f>VLOOKUP(A229,怪物模型!A$15:G$77,5,0)</f>
        <v>13</v>
      </c>
      <c r="I229">
        <f>VLOOKUP(A229,怪物模型!A$15:G$77,6,0)</f>
        <v>0</v>
      </c>
      <c r="J229">
        <f>VLOOKUP(A229,怪物模型!A$15:G$77,7,0)</f>
        <v>0</v>
      </c>
      <c r="K229">
        <f>ROUND(VLOOKUP(C229,猎人难度!A$1:C$135,3,0)/VLOOKUP(B229,怪物抗性与玩家穿透!A$2:Q$74,17,0)*F229,0)</f>
        <v>189091</v>
      </c>
      <c r="L229">
        <f>IF(A229="卡雷",42,IF(A229="法力风暴",ROUND(K229*0.1,0),VLOOKUP(A229,怪物模型!$A$15:$I$70,9,0)*(1+(B229-30)/100)))</f>
        <v>1310</v>
      </c>
      <c r="M229">
        <f>ROUND(VLOOKUP(C229,猎人难度!A$1:C$135,2,0)*0.91*E229,0)</f>
        <v>5870</v>
      </c>
      <c r="N229">
        <f t="shared" si="9"/>
        <v>7044</v>
      </c>
      <c r="O229">
        <f>VLOOKUP(B229,怪物抗性与玩家穿透!A$2:Q$74,4,0)</f>
        <v>8000</v>
      </c>
      <c r="P229">
        <f>VLOOKUP(B229,怪物抗性与玩家穿透!A$2:Q$74,5,0)</f>
        <v>2400</v>
      </c>
      <c r="Q229">
        <f t="shared" si="10"/>
        <v>2400</v>
      </c>
      <c r="R229">
        <f>ROUND(VLOOKUP(B229,[3]battleParameter.xml!$A$6:$E$107,5,0)*(I229/100)/(1-I229/100),0)</f>
        <v>0</v>
      </c>
      <c r="S229">
        <f>ROUND(VLOOKUP(B229,[3]battleParameter.xml!$A$6:$G$107,7,0)*(J229/100)/(1-J229/100),0)</f>
        <v>0</v>
      </c>
      <c r="T229">
        <f>ROUND(VLOOKUP(B229,[3]battleParameter.xml!$A$6:$Z$107,8,0)*(MIN(H229/100+0.2,0.99))/(1-MIN(H229/100+0.2,0.99)),0)</f>
        <v>1396</v>
      </c>
      <c r="U229">
        <v>0</v>
      </c>
      <c r="V229">
        <v>0</v>
      </c>
    </row>
    <row r="230" spans="1:22">
      <c r="A230" t="str">
        <f>[2]monster.xml!$D575</f>
        <v>约翰</v>
      </c>
      <c r="B230">
        <f>[2]monster.xml!$C575</f>
        <v>61</v>
      </c>
      <c r="C230">
        <f t="shared" si="11"/>
        <v>58</v>
      </c>
      <c r="D230">
        <f>VLOOKUP(A230,怪物模型!A$15:Z$70,8,0)</f>
        <v>10</v>
      </c>
      <c r="E230">
        <f>VLOOKUP(A230,怪物模型!A$15:G$70,3,0)</f>
        <v>0.35</v>
      </c>
      <c r="F230">
        <f>VLOOKUP(A230,怪物模型!A$15:G$77,4,0)</f>
        <v>0.28000000000000003</v>
      </c>
      <c r="G230">
        <v>1</v>
      </c>
      <c r="H230">
        <f>VLOOKUP(A230,怪物模型!A$15:G$77,5,0)</f>
        <v>13</v>
      </c>
      <c r="I230">
        <f>VLOOKUP(A230,怪物模型!A$15:G$77,6,0)</f>
        <v>0</v>
      </c>
      <c r="J230">
        <f>VLOOKUP(A230,怪物模型!A$15:G$77,7,0)</f>
        <v>0</v>
      </c>
      <c r="K230">
        <f>ROUND(VLOOKUP(C230,猎人难度!A$1:C$135,3,0)/VLOOKUP(B230,怪物抗性与玩家穿透!A$2:Q$74,17,0)*F230,0)</f>
        <v>189091</v>
      </c>
      <c r="L230">
        <f>IF(A230="卡雷",42,IF(A230="法力风暴",ROUND(K230*0.1,0),VLOOKUP(A230,怪物模型!$A$15:$I$70,9,0)*(1+(B230-30)/100)))</f>
        <v>1310</v>
      </c>
      <c r="M230">
        <f>ROUND(VLOOKUP(C230,猎人难度!A$1:C$135,2,0)*0.91*E230,0)</f>
        <v>5870</v>
      </c>
      <c r="N230">
        <f t="shared" si="9"/>
        <v>7044</v>
      </c>
      <c r="O230">
        <f>VLOOKUP(B230,怪物抗性与玩家穿透!A$2:Q$74,4,0)</f>
        <v>8000</v>
      </c>
      <c r="P230">
        <f>VLOOKUP(B230,怪物抗性与玩家穿透!A$2:Q$74,5,0)</f>
        <v>2400</v>
      </c>
      <c r="Q230">
        <f t="shared" si="10"/>
        <v>2400</v>
      </c>
      <c r="R230">
        <f>ROUND(VLOOKUP(B230,[3]battleParameter.xml!$A$6:$E$107,5,0)*(I230/100)/(1-I230/100),0)</f>
        <v>0</v>
      </c>
      <c r="S230">
        <f>ROUND(VLOOKUP(B230,[3]battleParameter.xml!$A$6:$G$107,7,0)*(J230/100)/(1-J230/100),0)</f>
        <v>0</v>
      </c>
      <c r="T230">
        <f>ROUND(VLOOKUP(B230,[3]battleParameter.xml!$A$6:$Z$107,8,0)*(MIN(H230/100+0.2,0.99))/(1-MIN(H230/100+0.2,0.99)),0)</f>
        <v>1396</v>
      </c>
      <c r="U230">
        <v>0</v>
      </c>
      <c r="V230">
        <v>0</v>
      </c>
    </row>
    <row r="231" spans="1:22">
      <c r="A231" t="str">
        <f>[2]monster.xml!$D576</f>
        <v>炎之安苏</v>
      </c>
      <c r="B231">
        <f>[2]monster.xml!$C576</f>
        <v>61</v>
      </c>
      <c r="C231">
        <f t="shared" si="11"/>
        <v>59</v>
      </c>
      <c r="D231">
        <f>VLOOKUP(A231,怪物模型!A$15:Z$70,8,0)</f>
        <v>21</v>
      </c>
      <c r="E231">
        <f>VLOOKUP(A231,怪物模型!A$15:G$70,3,0)</f>
        <v>1</v>
      </c>
      <c r="F231">
        <f>VLOOKUP(A231,怪物模型!A$15:G$77,4,0)</f>
        <v>0.95</v>
      </c>
      <c r="G231">
        <v>1</v>
      </c>
      <c r="H231">
        <f>VLOOKUP(A231,怪物模型!A$15:G$77,5,0)</f>
        <v>13</v>
      </c>
      <c r="I231">
        <f>VLOOKUP(A231,怪物模型!A$15:G$77,6,0)</f>
        <v>0</v>
      </c>
      <c r="J231">
        <f>VLOOKUP(A231,怪物模型!A$15:G$77,7,0)</f>
        <v>0</v>
      </c>
      <c r="K231">
        <f>ROUND(VLOOKUP(C231,猎人难度!A$1:C$135,3,0)/VLOOKUP(B231,怪物抗性与玩家穿透!A$2:Q$74,17,0)*F231,0)</f>
        <v>681707</v>
      </c>
      <c r="L231">
        <f>IF(A231="卡雷",42,IF(A231="法力风暴",ROUND(K231*0.1,0),VLOOKUP(A231,怪物模型!$A$15:$I$70,9,0)*(1+(B231-30)/100)))</f>
        <v>1310</v>
      </c>
      <c r="M231">
        <f>ROUND(VLOOKUP(C231,猎人难度!A$1:C$135,2,0)*0.91*E231,0)</f>
        <v>17735</v>
      </c>
      <c r="N231">
        <f t="shared" si="9"/>
        <v>21282</v>
      </c>
      <c r="O231">
        <f>VLOOKUP(B231,怪物抗性与玩家穿透!A$2:Q$74,4,0)</f>
        <v>8000</v>
      </c>
      <c r="P231">
        <f>VLOOKUP(B231,怪物抗性与玩家穿透!A$2:Q$74,5,0)</f>
        <v>2400</v>
      </c>
      <c r="Q231">
        <f t="shared" si="10"/>
        <v>2400</v>
      </c>
      <c r="R231">
        <f>ROUND(VLOOKUP(B231,[3]battleParameter.xml!$A$6:$E$107,5,0)*(I231/100)/(1-I231/100),0)</f>
        <v>0</v>
      </c>
      <c r="S231">
        <f>ROUND(VLOOKUP(B231,[3]battleParameter.xml!$A$6:$G$107,7,0)*(J231/100)/(1-J231/100),0)</f>
        <v>0</v>
      </c>
      <c r="T231">
        <f>ROUND(VLOOKUP(B231,[3]battleParameter.xml!$A$6:$Z$107,8,0)*(MIN(H231/100+0.2,0.99))/(1-MIN(H231/100+0.2,0.99)),0)</f>
        <v>1396</v>
      </c>
      <c r="U231">
        <v>0</v>
      </c>
      <c r="V231">
        <v>0</v>
      </c>
    </row>
    <row r="232" spans="1:22">
      <c r="A232" t="str">
        <f>[2]monster.xml!$D577</f>
        <v>迅捷的维恩</v>
      </c>
      <c r="B232">
        <f>[2]monster.xml!$C577</f>
        <v>62</v>
      </c>
      <c r="C232">
        <f t="shared" si="11"/>
        <v>60</v>
      </c>
      <c r="D232">
        <f>VLOOKUP(A232,怪物模型!A$15:Z$70,8,0)</f>
        <v>14</v>
      </c>
      <c r="E232">
        <f>VLOOKUP(A232,怪物模型!A$15:G$70,3,0)</f>
        <v>1</v>
      </c>
      <c r="F232">
        <f>VLOOKUP(A232,怪物模型!A$15:G$77,4,0)</f>
        <v>1</v>
      </c>
      <c r="G232">
        <v>1</v>
      </c>
      <c r="H232">
        <f>VLOOKUP(A232,怪物模型!A$15:G$77,5,0)</f>
        <v>0</v>
      </c>
      <c r="I232">
        <f>VLOOKUP(A232,怪物模型!A$15:G$77,6,0)</f>
        <v>0</v>
      </c>
      <c r="J232">
        <f>VLOOKUP(A232,怪物模型!A$15:G$77,7,0)</f>
        <v>0</v>
      </c>
      <c r="K232">
        <f>ROUND(VLOOKUP(C232,猎人难度!A$1:C$135,3,0)/VLOOKUP(B232,怪物抗性与玩家穿透!A$2:Q$74,17,0)*F232,0)</f>
        <v>764023</v>
      </c>
      <c r="L232">
        <f>IF(A232="卡雷",42,IF(A232="法力风暴",ROUND(K232*0.1,0),VLOOKUP(A232,怪物模型!$A$15:$I$70,9,0)*(1+(B232-30)/100)))</f>
        <v>1320</v>
      </c>
      <c r="M232">
        <f>ROUND(VLOOKUP(C232,猎人难度!A$1:C$135,2,0)*0.91*E232,0)</f>
        <v>19106</v>
      </c>
      <c r="N232">
        <f t="shared" si="9"/>
        <v>22927</v>
      </c>
      <c r="O232">
        <f>VLOOKUP(B232,怪物抗性与玩家穿透!A$2:Q$74,4,0)</f>
        <v>8500</v>
      </c>
      <c r="P232">
        <f>VLOOKUP(B232,怪物抗性与玩家穿透!A$2:Q$74,5,0)</f>
        <v>2550</v>
      </c>
      <c r="Q232">
        <f t="shared" si="10"/>
        <v>2550</v>
      </c>
      <c r="R232">
        <f>ROUND(VLOOKUP(B232,[3]battleParameter.xml!$A$6:$E$107,5,0)*(I232/100)/(1-I232/100),0)</f>
        <v>0</v>
      </c>
      <c r="S232">
        <f>ROUND(VLOOKUP(B232,[3]battleParameter.xml!$A$6:$G$107,7,0)*(J232/100)/(1-J232/100),0)</f>
        <v>0</v>
      </c>
      <c r="T232">
        <f>ROUND(VLOOKUP(B232,[3]battleParameter.xml!$A$6:$Z$107,8,0)*(MIN(H232/100+0.2,0.99))/(1-MIN(H232/100+0.2,0.99)),0)</f>
        <v>732</v>
      </c>
      <c r="U232">
        <v>0</v>
      </c>
      <c r="V232">
        <v>0</v>
      </c>
    </row>
    <row r="233" spans="1:22">
      <c r="A233" t="str">
        <f>[2]monster.xml!$D578</f>
        <v>暮光预言者</v>
      </c>
      <c r="B233">
        <f>[2]monster.xml!$C578</f>
        <v>62</v>
      </c>
      <c r="C233">
        <f t="shared" si="11"/>
        <v>61</v>
      </c>
      <c r="D233">
        <f>VLOOKUP(A233,怪物模型!A$15:Z$70,8,0)</f>
        <v>13</v>
      </c>
      <c r="E233">
        <f>VLOOKUP(A233,怪物模型!A$15:G$70,3,0)</f>
        <v>0.7</v>
      </c>
      <c r="F233">
        <f>VLOOKUP(A233,怪物模型!A$15:G$77,4,0)</f>
        <v>1</v>
      </c>
      <c r="G233">
        <v>1</v>
      </c>
      <c r="H233">
        <f>VLOOKUP(A233,怪物模型!A$15:G$77,5,0)</f>
        <v>0</v>
      </c>
      <c r="I233">
        <f>VLOOKUP(A233,怪物模型!A$15:G$77,6,0)</f>
        <v>0</v>
      </c>
      <c r="J233">
        <f>VLOOKUP(A233,怪物模型!A$15:G$77,7,0)</f>
        <v>0</v>
      </c>
      <c r="K233">
        <f>ROUND(VLOOKUP(C233,猎人难度!A$1:C$135,3,0)/VLOOKUP(B233,怪物抗性与玩家穿透!A$2:Q$74,17,0)*F233,0)</f>
        <v>815789</v>
      </c>
      <c r="L233">
        <f>IF(A233="卡雷",42,IF(A233="法力风暴",ROUND(K233*0.1,0),VLOOKUP(A233,怪物模型!$A$15:$I$70,9,0)*(1+(B233-30)/100)))</f>
        <v>1056</v>
      </c>
      <c r="M233">
        <f>ROUND(VLOOKUP(C233,猎人难度!A$1:C$135,2,0)*0.91*E233,0)</f>
        <v>14220</v>
      </c>
      <c r="N233">
        <f t="shared" si="9"/>
        <v>17064</v>
      </c>
      <c r="O233">
        <f>VLOOKUP(B233,怪物抗性与玩家穿透!A$2:Q$74,4,0)</f>
        <v>8500</v>
      </c>
      <c r="P233">
        <f>VLOOKUP(B233,怪物抗性与玩家穿透!A$2:Q$74,5,0)</f>
        <v>2550</v>
      </c>
      <c r="Q233">
        <f t="shared" si="10"/>
        <v>2550</v>
      </c>
      <c r="R233">
        <f>ROUND(VLOOKUP(B233,[3]battleParameter.xml!$A$6:$E$107,5,0)*(I233/100)/(1-I233/100),0)</f>
        <v>0</v>
      </c>
      <c r="S233">
        <f>ROUND(VLOOKUP(B233,[3]battleParameter.xml!$A$6:$G$107,7,0)*(J233/100)/(1-J233/100),0)</f>
        <v>0</v>
      </c>
      <c r="T233">
        <f>ROUND(VLOOKUP(B233,[3]battleParameter.xml!$A$6:$Z$107,8,0)*(MIN(H233/100+0.2,0.99))/(1-MIN(H233/100+0.2,0.99)),0)</f>
        <v>732</v>
      </c>
      <c r="U233">
        <v>0</v>
      </c>
      <c r="V233">
        <v>0</v>
      </c>
    </row>
    <row r="234" spans="1:22">
      <c r="A234" t="str">
        <f>[2]monster.xml!$D579</f>
        <v>卡雷</v>
      </c>
      <c r="B234">
        <f>[2]monster.xml!$C579</f>
        <v>63</v>
      </c>
      <c r="C234">
        <f t="shared" si="11"/>
        <v>62</v>
      </c>
      <c r="D234">
        <f>VLOOKUP(A234,怪物模型!A$15:Z$70,8,0)</f>
        <v>25</v>
      </c>
      <c r="E234">
        <f>VLOOKUP(A234,怪物模型!A$15:G$70,3,0)</f>
        <v>1.25</v>
      </c>
      <c r="F234">
        <f>VLOOKUP(A234,怪物模型!A$15:G$77,4,0)</f>
        <v>1</v>
      </c>
      <c r="G234">
        <v>1</v>
      </c>
      <c r="H234">
        <f>VLOOKUP(A234,怪物模型!A$15:G$77,5,0)</f>
        <v>13</v>
      </c>
      <c r="I234">
        <f>VLOOKUP(A234,怪物模型!A$15:G$77,6,0)</f>
        <v>0</v>
      </c>
      <c r="J234">
        <f>VLOOKUP(A234,怪物模型!A$15:G$77,7,0)</f>
        <v>0</v>
      </c>
      <c r="K234">
        <f>ROUND(VLOOKUP(C234,猎人难度!A$1:C$135,3,0)/VLOOKUP(B234,怪物抗性与玩家穿透!A$2:Q$74,17,0)*F234,0)</f>
        <v>856687</v>
      </c>
      <c r="L234">
        <f>IF(A234="卡雷",42,IF(A234="法力风暴",ROUND(K234*0.1,0),VLOOKUP(A234,怪物模型!$A$15:$I$70,9,0)*(1+(B234-30)/100)))</f>
        <v>42</v>
      </c>
      <c r="M234">
        <f>ROUND(VLOOKUP(C234,猎人难度!A$1:C$135,2,0)*0.91*E234,0)</f>
        <v>26996</v>
      </c>
      <c r="N234">
        <f t="shared" si="9"/>
        <v>32395</v>
      </c>
      <c r="O234">
        <f>VLOOKUP(B234,怪物抗性与玩家穿透!A$2:Q$74,4,0)</f>
        <v>9000</v>
      </c>
      <c r="P234">
        <f>VLOOKUP(B234,怪物抗性与玩家穿透!A$2:Q$74,5,0)</f>
        <v>2700</v>
      </c>
      <c r="Q234">
        <f t="shared" si="10"/>
        <v>2700</v>
      </c>
      <c r="R234">
        <f>ROUND(VLOOKUP(B234,[3]battleParameter.xml!$A$6:$E$107,5,0)*(I234/100)/(1-I234/100),0)</f>
        <v>0</v>
      </c>
      <c r="S234">
        <f>ROUND(VLOOKUP(B234,[3]battleParameter.xml!$A$6:$G$107,7,0)*(J234/100)/(1-J234/100),0)</f>
        <v>0</v>
      </c>
      <c r="T234">
        <f>ROUND(VLOOKUP(B234,[3]battleParameter.xml!$A$6:$Z$107,8,0)*(MIN(H234/100+0.2,0.99))/(1-MIN(H234/100+0.2,0.99)),0)</f>
        <v>1488</v>
      </c>
      <c r="U234">
        <v>0</v>
      </c>
      <c r="V234">
        <v>0</v>
      </c>
    </row>
    <row r="235" spans="1:22">
      <c r="A235" t="str">
        <f>[2]monster.xml!$D580</f>
        <v>日光弗雷尔</v>
      </c>
      <c r="B235">
        <f>[2]monster.xml!$C580</f>
        <v>64</v>
      </c>
      <c r="C235">
        <f t="shared" si="11"/>
        <v>63</v>
      </c>
      <c r="D235">
        <f>VLOOKUP(A235,怪物模型!A$15:Z$70,8,0)</f>
        <v>28</v>
      </c>
      <c r="E235">
        <f>VLOOKUP(A235,怪物模型!A$15:G$70,3,0)</f>
        <v>0.9</v>
      </c>
      <c r="F235">
        <f>VLOOKUP(A235,怪物模型!A$15:G$77,4,0)</f>
        <v>0.9</v>
      </c>
      <c r="G235">
        <v>1</v>
      </c>
      <c r="H235">
        <f>VLOOKUP(A235,怪物模型!A$15:G$77,5,0)</f>
        <v>13</v>
      </c>
      <c r="I235">
        <f>VLOOKUP(A235,怪物模型!A$15:G$77,6,0)</f>
        <v>0</v>
      </c>
      <c r="J235">
        <f>VLOOKUP(A235,怪物模型!A$15:G$77,7,0)</f>
        <v>0</v>
      </c>
      <c r="K235">
        <f>ROUND(VLOOKUP(C235,猎人难度!A$1:C$135,3,0)/VLOOKUP(B235,怪物抗性与玩家穿透!A$2:Q$74,17,0)*F235,0)</f>
        <v>828762</v>
      </c>
      <c r="L235">
        <f>IF(A235="卡雷",42,IF(A235="法力风暴",ROUND(K235*0.1,0),VLOOKUP(A235,怪物模型!$A$15:$I$70,9,0)*(1+(B235-30)/100)))</f>
        <v>1340</v>
      </c>
      <c r="M235">
        <f>ROUND(VLOOKUP(C235,猎人难度!A$1:C$135,2,0)*0.91*E235,0)</f>
        <v>21092</v>
      </c>
      <c r="N235">
        <f t="shared" si="9"/>
        <v>25310</v>
      </c>
      <c r="O235">
        <f>VLOOKUP(B235,怪物抗性与玩家穿透!A$2:Q$74,4,0)</f>
        <v>9500</v>
      </c>
      <c r="P235">
        <f>VLOOKUP(B235,怪物抗性与玩家穿透!A$2:Q$74,5,0)</f>
        <v>2850</v>
      </c>
      <c r="Q235">
        <f t="shared" si="10"/>
        <v>2850</v>
      </c>
      <c r="R235">
        <f>ROUND(VLOOKUP(B235,[3]battleParameter.xml!$A$6:$E$107,5,0)*(I235/100)/(1-I235/100),0)</f>
        <v>0</v>
      </c>
      <c r="S235">
        <f>ROUND(VLOOKUP(B235,[3]battleParameter.xml!$A$6:$G$107,7,0)*(J235/100)/(1-J235/100),0)</f>
        <v>0</v>
      </c>
      <c r="T235">
        <f>ROUND(VLOOKUP(B235,[3]battleParameter.xml!$A$6:$Z$107,8,0)*(MIN(H235/100+0.2,0.99))/(1-MIN(H235/100+0.2,0.99)),0)</f>
        <v>1535</v>
      </c>
      <c r="U235">
        <v>0</v>
      </c>
      <c r="V235">
        <v>0</v>
      </c>
    </row>
    <row r="236" spans="1:22">
      <c r="A236" t="str">
        <f>[2]monster.xml!$D581</f>
        <v>坚定的格雷格</v>
      </c>
      <c r="B236">
        <f>[2]monster.xml!$C581</f>
        <v>65</v>
      </c>
      <c r="C236">
        <f t="shared" si="11"/>
        <v>64</v>
      </c>
      <c r="D236">
        <f>VLOOKUP(A236,怪物模型!A$15:Z$70,8,0)</f>
        <v>3</v>
      </c>
      <c r="E236">
        <f>VLOOKUP(A236,怪物模型!A$15:G$70,3,0)</f>
        <v>0.7</v>
      </c>
      <c r="F236">
        <f>VLOOKUP(A236,怪物模型!A$15:G$77,4,0)</f>
        <v>0.8</v>
      </c>
      <c r="G236">
        <v>1</v>
      </c>
      <c r="H236">
        <f>VLOOKUP(A236,怪物模型!A$15:G$77,5,0)</f>
        <v>13</v>
      </c>
      <c r="I236">
        <f>VLOOKUP(A236,怪物模型!A$15:G$77,6,0)</f>
        <v>0</v>
      </c>
      <c r="J236">
        <f>VLOOKUP(A236,怪物模型!A$15:G$77,7,0)</f>
        <v>0</v>
      </c>
      <c r="K236">
        <f>ROUND(VLOOKUP(C236,猎人难度!A$1:C$135,3,0)/VLOOKUP(B236,怪物抗性与玩家穿透!A$2:Q$74,17,0)*F236,0)</f>
        <v>590520</v>
      </c>
      <c r="L236">
        <f>IF(A236="卡雷",42,IF(A236="法力风暴",ROUND(K236*0.1,0),VLOOKUP(A236,怪物模型!$A$15:$I$70,9,0)*(1+(B236-30)/100)))</f>
        <v>810</v>
      </c>
      <c r="M236">
        <f>ROUND(VLOOKUP(C236,猎人难度!A$1:C$135,2,0)*0.91*E236,0)</f>
        <v>15065</v>
      </c>
      <c r="N236">
        <f t="shared" si="9"/>
        <v>18078</v>
      </c>
      <c r="O236">
        <f>VLOOKUP(B236,怪物抗性与玩家穿透!A$2:Q$74,4,0)</f>
        <v>10000</v>
      </c>
      <c r="P236">
        <f>VLOOKUP(B236,怪物抗性与玩家穿透!A$2:Q$74,5,0)</f>
        <v>3000</v>
      </c>
      <c r="Q236">
        <f t="shared" si="10"/>
        <v>3000</v>
      </c>
      <c r="R236">
        <f>ROUND(VLOOKUP(B236,[3]battleParameter.xml!$A$6:$E$107,5,0)*(I236/100)/(1-I236/100),0)</f>
        <v>0</v>
      </c>
      <c r="S236">
        <f>ROUND(VLOOKUP(B236,[3]battleParameter.xml!$A$6:$G$107,7,0)*(J236/100)/(1-J236/100),0)</f>
        <v>0</v>
      </c>
      <c r="T236">
        <f>ROUND(VLOOKUP(B236,[3]battleParameter.xml!$A$6:$Z$107,8,0)*(MIN(H236/100+0.2,0.99))/(1-MIN(H236/100+0.2,0.99)),0)</f>
        <v>1584</v>
      </c>
      <c r="U236">
        <v>0</v>
      </c>
      <c r="V236">
        <v>0</v>
      </c>
    </row>
    <row r="237" spans="1:22">
      <c r="A237" t="str">
        <f>[2]monster.xml!$D582</f>
        <v>菲德丝的倒影</v>
      </c>
      <c r="B237">
        <f>[2]monster.xml!$C582</f>
        <v>65</v>
      </c>
      <c r="C237">
        <f t="shared" si="11"/>
        <v>65</v>
      </c>
      <c r="D237" t="str">
        <f>VLOOKUP(A237,怪物模型!A$15:Z$70,8,0)</f>
        <v>15,11</v>
      </c>
      <c r="E237">
        <f>VLOOKUP(A237,怪物模型!A$15:G$70,3,0)</f>
        <v>1</v>
      </c>
      <c r="F237">
        <f>VLOOKUP(A237,怪物模型!A$15:G$77,4,0)</f>
        <v>1</v>
      </c>
      <c r="G237">
        <v>1</v>
      </c>
      <c r="H237">
        <f>VLOOKUP(A237,怪物模型!A$15:G$77,5,0)</f>
        <v>13</v>
      </c>
      <c r="I237">
        <f>VLOOKUP(A237,怪物模型!A$15:G$77,6,0)</f>
        <v>0</v>
      </c>
      <c r="J237">
        <f>VLOOKUP(A237,怪物模型!A$15:G$77,7,0)</f>
        <v>0</v>
      </c>
      <c r="K237">
        <f>ROUND(VLOOKUP(C237,猎人难度!A$1:C$135,3,0)/VLOOKUP(B237,怪物抗性与玩家穿透!A$2:Q$74,17,0)*F237,0)</f>
        <v>791270</v>
      </c>
      <c r="L237">
        <f>IF(A237="卡雷",42,IF(A237="法力风暴",ROUND(K237*0.1,0),VLOOKUP(A237,怪物模型!$A$15:$I$70,9,0)*(1+(B237-30)/100)))</f>
        <v>1350</v>
      </c>
      <c r="M237">
        <f>ROUND(VLOOKUP(C237,猎人难度!A$1:C$135,2,0)*0.91*E237,0)</f>
        <v>23280</v>
      </c>
      <c r="N237">
        <f t="shared" si="9"/>
        <v>27936</v>
      </c>
      <c r="O237">
        <f>VLOOKUP(B237,怪物抗性与玩家穿透!A$2:Q$74,4,0)</f>
        <v>10000</v>
      </c>
      <c r="P237">
        <f>VLOOKUP(B237,怪物抗性与玩家穿透!A$2:Q$74,5,0)</f>
        <v>3000</v>
      </c>
      <c r="Q237">
        <f t="shared" si="10"/>
        <v>3000</v>
      </c>
      <c r="R237">
        <f>ROUND(VLOOKUP(B237,[3]battleParameter.xml!$A$6:$E$107,5,0)*(I237/100)/(1-I237/100),0)</f>
        <v>0</v>
      </c>
      <c r="S237">
        <f>ROUND(VLOOKUP(B237,[3]battleParameter.xml!$A$6:$G$107,7,0)*(J237/100)/(1-J237/100),0)</f>
        <v>0</v>
      </c>
      <c r="T237">
        <f>ROUND(VLOOKUP(B237,[3]battleParameter.xml!$A$6:$Z$107,8,0)*(MIN(H237/100+0.2,0.99))/(1-MIN(H237/100+0.2,0.99)),0)</f>
        <v>1584</v>
      </c>
      <c r="U237">
        <v>0</v>
      </c>
      <c r="V237">
        <v>0</v>
      </c>
    </row>
    <row r="238" spans="1:22">
      <c r="A238" t="str">
        <f>[2]monster.xml!$D583</f>
        <v>惊人的盖亚</v>
      </c>
      <c r="B238">
        <f>[2]monster.xml!$C583</f>
        <v>66</v>
      </c>
      <c r="C238">
        <f t="shared" si="11"/>
        <v>66</v>
      </c>
      <c r="D238" t="str">
        <f>VLOOKUP(A238,怪物模型!A$15:Z$70,8,0)</f>
        <v>10,15,17,14</v>
      </c>
      <c r="E238">
        <f>VLOOKUP(A238,怪物模型!A$15:G$70,3,0)</f>
        <v>1.5</v>
      </c>
      <c r="F238">
        <f>VLOOKUP(A238,怪物模型!A$15:G$77,4,0)</f>
        <v>0.6</v>
      </c>
      <c r="G238">
        <v>1</v>
      </c>
      <c r="H238">
        <f>VLOOKUP(A238,怪物模型!A$15:G$77,5,0)</f>
        <v>13</v>
      </c>
      <c r="I238">
        <f>VLOOKUP(A238,怪物模型!A$15:G$77,6,0)</f>
        <v>0</v>
      </c>
      <c r="J238">
        <f>VLOOKUP(A238,怪物模型!A$15:G$77,7,0)</f>
        <v>30</v>
      </c>
      <c r="K238">
        <f>ROUND(VLOOKUP(C238,猎人难度!A$1:C$135,3,0)/VLOOKUP(B238,怪物抗性与玩家穿透!A$2:Q$74,17,0)*F238,0)</f>
        <v>514301</v>
      </c>
      <c r="L238">
        <f>IF(A238="卡雷",42,IF(A238="法力风暴",ROUND(K238*0.1,0),VLOOKUP(A238,怪物模型!$A$15:$I$70,9,0)*(1+(B238-30)/100)))</f>
        <v>6119.9999999999991</v>
      </c>
      <c r="M238">
        <f>ROUND(VLOOKUP(C238,猎人难度!A$1:C$135,2,0)*0.91*E238,0)</f>
        <v>38774</v>
      </c>
      <c r="N238">
        <f t="shared" si="9"/>
        <v>46529</v>
      </c>
      <c r="O238">
        <f>VLOOKUP(B238,怪物抗性与玩家穿透!A$2:Q$74,4,0)</f>
        <v>10500</v>
      </c>
      <c r="P238">
        <f>VLOOKUP(B238,怪物抗性与玩家穿透!A$2:Q$74,5,0)</f>
        <v>3150</v>
      </c>
      <c r="Q238">
        <f t="shared" si="10"/>
        <v>3150</v>
      </c>
      <c r="R238">
        <f>ROUND(VLOOKUP(B238,[3]battleParameter.xml!$A$6:$E$107,5,0)*(I238/100)/(1-I238/100),0)</f>
        <v>0</v>
      </c>
      <c r="S238">
        <f>ROUND(VLOOKUP(B238,[3]battleParameter.xml!$A$6:$G$107,7,0)*(J238/100)/(1-J238/100),0)</f>
        <v>5681</v>
      </c>
      <c r="T238">
        <f>ROUND(VLOOKUP(B238,[3]battleParameter.xml!$A$6:$Z$107,8,0)*(MIN(H238/100+0.2,0.99))/(1-MIN(H238/100+0.2,0.99)),0)</f>
        <v>1632</v>
      </c>
      <c r="U238">
        <v>0</v>
      </c>
      <c r="V238">
        <v>0</v>
      </c>
    </row>
    <row r="239" spans="1:22">
      <c r="A239" t="str">
        <f>[2]monster.xml!$D584</f>
        <v>驯兽师瓦纳</v>
      </c>
      <c r="B239">
        <f>[2]monster.xml!$C584</f>
        <v>66</v>
      </c>
      <c r="C239">
        <f t="shared" si="11"/>
        <v>67</v>
      </c>
      <c r="D239">
        <f>VLOOKUP(A239,怪物模型!A$15:Z$70,8,0)</f>
        <v>2</v>
      </c>
      <c r="E239">
        <f>VLOOKUP(A239,怪物模型!A$15:G$70,3,0)</f>
        <v>0.6</v>
      </c>
      <c r="F239">
        <f>VLOOKUP(A239,怪物模型!A$15:G$77,4,0)</f>
        <v>0.6</v>
      </c>
      <c r="G239">
        <v>1</v>
      </c>
      <c r="H239">
        <f>VLOOKUP(A239,怪物模型!A$15:G$77,5,0)</f>
        <v>13</v>
      </c>
      <c r="I239">
        <f>VLOOKUP(A239,怪物模型!A$15:G$77,6,0)</f>
        <v>0</v>
      </c>
      <c r="J239">
        <f>VLOOKUP(A239,怪物模型!A$15:G$77,7,0)</f>
        <v>0</v>
      </c>
      <c r="K239">
        <f>ROUND(VLOOKUP(C239,猎人难度!A$1:C$135,3,0)/VLOOKUP(B239,怪物抗性与玩家穿透!A$2:Q$74,17,0)*F239,0)</f>
        <v>544133</v>
      </c>
      <c r="L239">
        <f>IF(A239="卡雷",42,IF(A239="法力风暴",ROUND(K239*0.1,0),VLOOKUP(A239,怪物模型!$A$15:$I$70,9,0)*(1+(B239-30)/100)))</f>
        <v>1088</v>
      </c>
      <c r="M239">
        <f>ROUND(VLOOKUP(C239,猎人难度!A$1:C$135,2,0)*0.91*E239,0)</f>
        <v>16505</v>
      </c>
      <c r="N239">
        <f t="shared" si="9"/>
        <v>19806</v>
      </c>
      <c r="O239">
        <f>VLOOKUP(B239,怪物抗性与玩家穿透!A$2:Q$74,4,0)</f>
        <v>10500</v>
      </c>
      <c r="P239">
        <f>VLOOKUP(B239,怪物抗性与玩家穿透!A$2:Q$74,5,0)</f>
        <v>3150</v>
      </c>
      <c r="Q239">
        <f t="shared" si="10"/>
        <v>3150</v>
      </c>
      <c r="R239">
        <f>ROUND(VLOOKUP(B239,[3]battleParameter.xml!$A$6:$E$107,5,0)*(I239/100)/(1-I239/100),0)</f>
        <v>0</v>
      </c>
      <c r="S239">
        <f>ROUND(VLOOKUP(B239,[3]battleParameter.xml!$A$6:$G$107,7,0)*(J239/100)/(1-J239/100),0)</f>
        <v>0</v>
      </c>
      <c r="T239">
        <f>ROUND(VLOOKUP(B239,[3]battleParameter.xml!$A$6:$Z$107,8,0)*(MIN(H239/100+0.2,0.99))/(1-MIN(H239/100+0.2,0.99)),0)</f>
        <v>1632</v>
      </c>
      <c r="U239">
        <v>0</v>
      </c>
      <c r="V239">
        <v>0</v>
      </c>
    </row>
    <row r="240" spans="1:22">
      <c r="A240" t="str">
        <f>[2]monster.xml!$D585</f>
        <v>多兰</v>
      </c>
      <c r="B240">
        <f>[2]monster.xml!$C585</f>
        <v>66</v>
      </c>
      <c r="C240">
        <f t="shared" si="11"/>
        <v>67</v>
      </c>
      <c r="D240">
        <f>VLOOKUP(A240,怪物模型!A$15:Z$70,8,0)</f>
        <v>9</v>
      </c>
      <c r="E240">
        <f>VLOOKUP(A240,怪物模型!A$15:G$70,3,0)</f>
        <v>0.35</v>
      </c>
      <c r="F240">
        <f>VLOOKUP(A240,怪物模型!A$15:G$77,4,0)</f>
        <v>0.28000000000000003</v>
      </c>
      <c r="G240">
        <v>1</v>
      </c>
      <c r="H240">
        <f>VLOOKUP(A240,怪物模型!A$15:G$77,5,0)</f>
        <v>13</v>
      </c>
      <c r="I240">
        <f>VLOOKUP(A240,怪物模型!A$15:G$77,6,0)</f>
        <v>0</v>
      </c>
      <c r="J240">
        <f>VLOOKUP(A240,怪物模型!A$15:G$77,7,0)</f>
        <v>0</v>
      </c>
      <c r="K240">
        <f>ROUND(VLOOKUP(C240,猎人难度!A$1:C$135,3,0)/VLOOKUP(B240,怪物抗性与玩家穿透!A$2:Q$74,17,0)*F240,0)</f>
        <v>253929</v>
      </c>
      <c r="L240">
        <f>IF(A240="卡雷",42,IF(A240="法力风暴",ROUND(K240*0.1,0),VLOOKUP(A240,怪物模型!$A$15:$I$70,9,0)*(1+(B240-30)/100)))</f>
        <v>1359.9999999999998</v>
      </c>
      <c r="M240">
        <f>ROUND(VLOOKUP(C240,猎人难度!A$1:C$135,2,0)*0.91*E240,0)</f>
        <v>9628</v>
      </c>
      <c r="N240">
        <f t="shared" si="9"/>
        <v>11554</v>
      </c>
      <c r="O240">
        <f>VLOOKUP(B240,怪物抗性与玩家穿透!A$2:Q$74,4,0)</f>
        <v>10500</v>
      </c>
      <c r="P240">
        <f>VLOOKUP(B240,怪物抗性与玩家穿透!A$2:Q$74,5,0)</f>
        <v>3150</v>
      </c>
      <c r="Q240">
        <f t="shared" si="10"/>
        <v>3150</v>
      </c>
      <c r="R240">
        <f>ROUND(VLOOKUP(B240,[3]battleParameter.xml!$A$6:$E$107,5,0)*(I240/100)/(1-I240/100),0)</f>
        <v>0</v>
      </c>
      <c r="S240">
        <f>ROUND(VLOOKUP(B240,[3]battleParameter.xml!$A$6:$G$107,7,0)*(J240/100)/(1-J240/100),0)</f>
        <v>0</v>
      </c>
      <c r="T240">
        <f>ROUND(VLOOKUP(B240,[3]battleParameter.xml!$A$6:$Z$107,8,0)*(MIN(H240/100+0.2,0.99))/(1-MIN(H240/100+0.2,0.99)),0)</f>
        <v>1632</v>
      </c>
      <c r="U240">
        <v>0</v>
      </c>
      <c r="V240">
        <v>0</v>
      </c>
    </row>
    <row r="241" spans="1:22">
      <c r="A241" t="str">
        <f>[2]monster.xml!$D586</f>
        <v>约翰</v>
      </c>
      <c r="B241">
        <f>[2]monster.xml!$C586</f>
        <v>66</v>
      </c>
      <c r="C241">
        <f t="shared" si="11"/>
        <v>67</v>
      </c>
      <c r="D241">
        <f>VLOOKUP(A241,怪物模型!A$15:Z$70,8,0)</f>
        <v>10</v>
      </c>
      <c r="E241">
        <f>VLOOKUP(A241,怪物模型!A$15:G$70,3,0)</f>
        <v>0.35</v>
      </c>
      <c r="F241">
        <f>VLOOKUP(A241,怪物模型!A$15:G$77,4,0)</f>
        <v>0.28000000000000003</v>
      </c>
      <c r="G241">
        <v>1</v>
      </c>
      <c r="H241">
        <f>VLOOKUP(A241,怪物模型!A$15:G$77,5,0)</f>
        <v>13</v>
      </c>
      <c r="I241">
        <f>VLOOKUP(A241,怪物模型!A$15:G$77,6,0)</f>
        <v>0</v>
      </c>
      <c r="J241">
        <f>VLOOKUP(A241,怪物模型!A$15:G$77,7,0)</f>
        <v>0</v>
      </c>
      <c r="K241">
        <f>ROUND(VLOOKUP(C241,猎人难度!A$1:C$135,3,0)/VLOOKUP(B241,怪物抗性与玩家穿透!A$2:Q$74,17,0)*F241,0)</f>
        <v>253929</v>
      </c>
      <c r="L241">
        <f>IF(A241="卡雷",42,IF(A241="法力风暴",ROUND(K241*0.1,0),VLOOKUP(A241,怪物模型!$A$15:$I$70,9,0)*(1+(B241-30)/100)))</f>
        <v>1359.9999999999998</v>
      </c>
      <c r="M241">
        <f>ROUND(VLOOKUP(C241,猎人难度!A$1:C$135,2,0)*0.91*E241,0)</f>
        <v>9628</v>
      </c>
      <c r="N241">
        <f t="shared" si="9"/>
        <v>11554</v>
      </c>
      <c r="O241">
        <f>VLOOKUP(B241,怪物抗性与玩家穿透!A$2:Q$74,4,0)</f>
        <v>10500</v>
      </c>
      <c r="P241">
        <f>VLOOKUP(B241,怪物抗性与玩家穿透!A$2:Q$74,5,0)</f>
        <v>3150</v>
      </c>
      <c r="Q241">
        <f t="shared" si="10"/>
        <v>3150</v>
      </c>
      <c r="R241">
        <f>ROUND(VLOOKUP(B241,[3]battleParameter.xml!$A$6:$E$107,5,0)*(I241/100)/(1-I241/100),0)</f>
        <v>0</v>
      </c>
      <c r="S241">
        <f>ROUND(VLOOKUP(B241,[3]battleParameter.xml!$A$6:$G$107,7,0)*(J241/100)/(1-J241/100),0)</f>
        <v>0</v>
      </c>
      <c r="T241">
        <f>ROUND(VLOOKUP(B241,[3]battleParameter.xml!$A$6:$Z$107,8,0)*(MIN(H241/100+0.2,0.99))/(1-MIN(H241/100+0.2,0.99)),0)</f>
        <v>1632</v>
      </c>
      <c r="U241">
        <v>0</v>
      </c>
      <c r="V241">
        <v>0</v>
      </c>
    </row>
    <row r="242" spans="1:22">
      <c r="A242" t="str">
        <f>[2]monster.xml!$D587</f>
        <v>炎之安苏</v>
      </c>
      <c r="B242">
        <f>[2]monster.xml!$C587</f>
        <v>66</v>
      </c>
      <c r="C242">
        <f t="shared" si="11"/>
        <v>68</v>
      </c>
      <c r="D242">
        <f>VLOOKUP(A242,怪物模型!A$15:Z$70,8,0)</f>
        <v>21</v>
      </c>
      <c r="E242">
        <f>VLOOKUP(A242,怪物模型!A$15:G$70,3,0)</f>
        <v>1</v>
      </c>
      <c r="F242">
        <f>VLOOKUP(A242,怪物模型!A$15:G$77,4,0)</f>
        <v>0.95</v>
      </c>
      <c r="G242">
        <v>1</v>
      </c>
      <c r="H242">
        <f>VLOOKUP(A242,怪物模型!A$15:G$77,5,0)</f>
        <v>13</v>
      </c>
      <c r="I242">
        <f>VLOOKUP(A242,怪物模型!A$15:G$77,6,0)</f>
        <v>0</v>
      </c>
      <c r="J242">
        <f>VLOOKUP(A242,怪物模型!A$15:G$77,7,0)</f>
        <v>0</v>
      </c>
      <c r="K242">
        <f>ROUND(VLOOKUP(C242,猎人难度!A$1:C$135,3,0)/VLOOKUP(B242,怪物抗性与玩家穿透!A$2:Q$74,17,0)*F242,0)</f>
        <v>911516</v>
      </c>
      <c r="L242">
        <f>IF(A242="卡雷",42,IF(A242="法力风暴",ROUND(K242*0.1,0),VLOOKUP(A242,怪物模型!$A$15:$I$70,9,0)*(1+(B242-30)/100)))</f>
        <v>1359.9999999999998</v>
      </c>
      <c r="M242">
        <f>ROUND(VLOOKUP(C242,猎人难度!A$1:C$135,2,0)*0.91*E242,0)</f>
        <v>29273</v>
      </c>
      <c r="N242">
        <f t="shared" si="9"/>
        <v>35128</v>
      </c>
      <c r="O242">
        <f>VLOOKUP(B242,怪物抗性与玩家穿透!A$2:Q$74,4,0)</f>
        <v>10500</v>
      </c>
      <c r="P242">
        <f>VLOOKUP(B242,怪物抗性与玩家穿透!A$2:Q$74,5,0)</f>
        <v>3150</v>
      </c>
      <c r="Q242">
        <f t="shared" si="10"/>
        <v>3150</v>
      </c>
      <c r="R242">
        <f>ROUND(VLOOKUP(B242,[3]battleParameter.xml!$A$6:$E$107,5,0)*(I242/100)/(1-I242/100),0)</f>
        <v>0</v>
      </c>
      <c r="S242">
        <f>ROUND(VLOOKUP(B242,[3]battleParameter.xml!$A$6:$G$107,7,0)*(J242/100)/(1-J242/100),0)</f>
        <v>0</v>
      </c>
      <c r="T242">
        <f>ROUND(VLOOKUP(B242,[3]battleParameter.xml!$A$6:$Z$107,8,0)*(MIN(H242/100+0.2,0.99))/(1-MIN(H242/100+0.2,0.99)),0)</f>
        <v>1632</v>
      </c>
      <c r="U242">
        <v>0</v>
      </c>
      <c r="V242">
        <v>0</v>
      </c>
    </row>
    <row r="243" spans="1:22">
      <c r="A243" t="str">
        <f>[2]monster.xml!$D588</f>
        <v>迅捷的维恩</v>
      </c>
      <c r="B243">
        <f>[2]monster.xml!$C588</f>
        <v>67</v>
      </c>
      <c r="C243">
        <f t="shared" si="11"/>
        <v>69</v>
      </c>
      <c r="D243">
        <f>VLOOKUP(A243,怪物模型!A$15:Z$70,8,0)</f>
        <v>14</v>
      </c>
      <c r="E243">
        <f>VLOOKUP(A243,怪物模型!A$15:G$70,3,0)</f>
        <v>1</v>
      </c>
      <c r="F243">
        <f>VLOOKUP(A243,怪物模型!A$15:G$77,4,0)</f>
        <v>1</v>
      </c>
      <c r="G243">
        <v>1</v>
      </c>
      <c r="H243">
        <f>VLOOKUP(A243,怪物模型!A$15:G$77,5,0)</f>
        <v>0</v>
      </c>
      <c r="I243">
        <f>VLOOKUP(A243,怪物模型!A$15:G$77,6,0)</f>
        <v>0</v>
      </c>
      <c r="J243">
        <f>VLOOKUP(A243,怪物模型!A$15:G$77,7,0)</f>
        <v>0</v>
      </c>
      <c r="K243">
        <f>ROUND(VLOOKUP(C243,猎人难度!A$1:C$135,3,0)/VLOOKUP(B243,怪物抗性与玩家穿透!A$2:Q$74,17,0)*F243,0)</f>
        <v>1022522</v>
      </c>
      <c r="L243">
        <f>IF(A243="卡雷",42,IF(A243="法力风暴",ROUND(K243*0.1,0),VLOOKUP(A243,怪物模型!$A$15:$I$70,9,0)*(1+(B243-30)/100)))</f>
        <v>1370</v>
      </c>
      <c r="M243">
        <f>ROUND(VLOOKUP(C243,猎人难度!A$1:C$135,2,0)*0.91*E243,0)</f>
        <v>31804</v>
      </c>
      <c r="N243">
        <f t="shared" si="9"/>
        <v>38165</v>
      </c>
      <c r="O243">
        <f>VLOOKUP(B243,怪物抗性与玩家穿透!A$2:Q$74,4,0)</f>
        <v>11000</v>
      </c>
      <c r="P243">
        <f>VLOOKUP(B243,怪物抗性与玩家穿透!A$2:Q$74,5,0)</f>
        <v>3300</v>
      </c>
      <c r="Q243">
        <f t="shared" si="10"/>
        <v>3300</v>
      </c>
      <c r="R243">
        <f>ROUND(VLOOKUP(B243,[3]battleParameter.xml!$A$6:$E$107,5,0)*(I243/100)/(1-I243/100),0)</f>
        <v>0</v>
      </c>
      <c r="S243">
        <f>ROUND(VLOOKUP(B243,[3]battleParameter.xml!$A$6:$G$107,7,0)*(J243/100)/(1-J243/100),0)</f>
        <v>0</v>
      </c>
      <c r="T243">
        <f>ROUND(VLOOKUP(B243,[3]battleParameter.xml!$A$6:$Z$107,8,0)*(MIN(H243/100+0.2,0.99))/(1-MIN(H243/100+0.2,0.99)),0)</f>
        <v>854</v>
      </c>
      <c r="U243">
        <v>0</v>
      </c>
      <c r="V243">
        <v>0</v>
      </c>
    </row>
    <row r="244" spans="1:22">
      <c r="A244" t="str">
        <f>[2]monster.xml!$D589</f>
        <v>暮光预言者</v>
      </c>
      <c r="B244">
        <f>[2]monster.xml!$C589</f>
        <v>67</v>
      </c>
      <c r="C244">
        <f t="shared" si="11"/>
        <v>70</v>
      </c>
      <c r="D244">
        <f>VLOOKUP(A244,怪物模型!A$15:Z$70,8,0)</f>
        <v>13</v>
      </c>
      <c r="E244">
        <f>VLOOKUP(A244,怪物模型!A$15:G$70,3,0)</f>
        <v>0.7</v>
      </c>
      <c r="F244">
        <f>VLOOKUP(A244,怪物模型!A$15:G$77,4,0)</f>
        <v>1</v>
      </c>
      <c r="G244">
        <v>1</v>
      </c>
      <c r="H244">
        <f>VLOOKUP(A244,怪物模型!A$15:G$77,5,0)</f>
        <v>0</v>
      </c>
      <c r="I244">
        <f>VLOOKUP(A244,怪物模型!A$15:G$77,6,0)</f>
        <v>0</v>
      </c>
      <c r="J244">
        <f>VLOOKUP(A244,怪物模型!A$15:G$77,7,0)</f>
        <v>0</v>
      </c>
      <c r="K244">
        <f>ROUND(VLOOKUP(C244,猎人难度!A$1:C$135,3,0)/VLOOKUP(B244,怪物抗性与玩家穿透!A$2:Q$74,17,0)*F244,0)</f>
        <v>1087628</v>
      </c>
      <c r="L244">
        <f>IF(A244="卡雷",42,IF(A244="法力风暴",ROUND(K244*0.1,0),VLOOKUP(A244,怪物模型!$A$15:$I$70,9,0)*(1+(B244-30)/100)))</f>
        <v>1096</v>
      </c>
      <c r="M244">
        <f>ROUND(VLOOKUP(C244,猎人难度!A$1:C$135,2,0)*0.91*E244,0)</f>
        <v>23802</v>
      </c>
      <c r="N244">
        <f t="shared" si="9"/>
        <v>28562</v>
      </c>
      <c r="O244">
        <f>VLOOKUP(B244,怪物抗性与玩家穿透!A$2:Q$74,4,0)</f>
        <v>11000</v>
      </c>
      <c r="P244">
        <f>VLOOKUP(B244,怪物抗性与玩家穿透!A$2:Q$74,5,0)</f>
        <v>3300</v>
      </c>
      <c r="Q244">
        <f t="shared" si="10"/>
        <v>3300</v>
      </c>
      <c r="R244">
        <f>ROUND(VLOOKUP(B244,[3]battleParameter.xml!$A$6:$E$107,5,0)*(I244/100)/(1-I244/100),0)</f>
        <v>0</v>
      </c>
      <c r="S244">
        <f>ROUND(VLOOKUP(B244,[3]battleParameter.xml!$A$6:$G$107,7,0)*(J244/100)/(1-J244/100),0)</f>
        <v>0</v>
      </c>
      <c r="T244">
        <f>ROUND(VLOOKUP(B244,[3]battleParameter.xml!$A$6:$Z$107,8,0)*(MIN(H244/100+0.2,0.99))/(1-MIN(H244/100+0.2,0.99)),0)</f>
        <v>854</v>
      </c>
      <c r="U244">
        <v>0</v>
      </c>
      <c r="V244">
        <v>0</v>
      </c>
    </row>
    <row r="245" spans="1:22">
      <c r="A245" t="str">
        <f>[2]monster.xml!$D590</f>
        <v>卡雷</v>
      </c>
      <c r="B245">
        <f>[2]monster.xml!$C590</f>
        <v>68</v>
      </c>
      <c r="C245">
        <f t="shared" si="11"/>
        <v>71</v>
      </c>
      <c r="D245">
        <f>VLOOKUP(A245,怪物模型!A$15:Z$70,8,0)</f>
        <v>25</v>
      </c>
      <c r="E245">
        <f>VLOOKUP(A245,怪物模型!A$15:G$70,3,0)</f>
        <v>1.25</v>
      </c>
      <c r="F245">
        <f>VLOOKUP(A245,怪物模型!A$15:G$77,4,0)</f>
        <v>1</v>
      </c>
      <c r="G245">
        <v>1</v>
      </c>
      <c r="H245">
        <f>VLOOKUP(A245,怪物模型!A$15:G$77,5,0)</f>
        <v>13</v>
      </c>
      <c r="I245">
        <f>VLOOKUP(A245,怪物模型!A$15:G$77,6,0)</f>
        <v>0</v>
      </c>
      <c r="J245">
        <f>VLOOKUP(A245,怪物模型!A$15:G$77,7,0)</f>
        <v>0</v>
      </c>
      <c r="K245">
        <f>ROUND(VLOOKUP(C245,猎人难度!A$1:C$135,3,0)/VLOOKUP(B245,怪物抗性与玩家穿透!A$2:Q$74,17,0)*F245,0)</f>
        <v>1144752</v>
      </c>
      <c r="L245">
        <f>IF(A245="卡雷",42,IF(A245="法力风暴",ROUND(K245*0.1,0),VLOOKUP(A245,怪物模型!$A$15:$I$70,9,0)*(1+(B245-30)/100)))</f>
        <v>42</v>
      </c>
      <c r="M245">
        <f>ROUND(VLOOKUP(C245,猎人难度!A$1:C$135,2,0)*0.91*E245,0)</f>
        <v>45441</v>
      </c>
      <c r="N245">
        <f t="shared" si="9"/>
        <v>54529</v>
      </c>
      <c r="O245">
        <f>VLOOKUP(B245,怪物抗性与玩家穿透!A$2:Q$74,4,0)</f>
        <v>11500</v>
      </c>
      <c r="P245">
        <f>VLOOKUP(B245,怪物抗性与玩家穿透!A$2:Q$74,5,0)</f>
        <v>3450</v>
      </c>
      <c r="Q245">
        <f t="shared" si="10"/>
        <v>3450</v>
      </c>
      <c r="R245">
        <f>ROUND(VLOOKUP(B245,[3]battleParameter.xml!$A$6:$E$107,5,0)*(I245/100)/(1-I245/100),0)</f>
        <v>0</v>
      </c>
      <c r="S245">
        <f>ROUND(VLOOKUP(B245,[3]battleParameter.xml!$A$6:$G$107,7,0)*(J245/100)/(1-J245/100),0)</f>
        <v>0</v>
      </c>
      <c r="T245">
        <f>ROUND(VLOOKUP(B245,[3]battleParameter.xml!$A$6:$Z$107,8,0)*(MIN(H245/100+0.2,0.99))/(1-MIN(H245/100+0.2,0.99)),0)</f>
        <v>1731</v>
      </c>
      <c r="U245">
        <v>0</v>
      </c>
      <c r="V245">
        <v>0</v>
      </c>
    </row>
    <row r="246" spans="1:22">
      <c r="A246" t="str">
        <f>[2]monster.xml!$D591</f>
        <v>日光弗雷尔</v>
      </c>
      <c r="B246">
        <f>[2]monster.xml!$C591</f>
        <v>69</v>
      </c>
      <c r="C246">
        <f t="shared" si="11"/>
        <v>72</v>
      </c>
      <c r="D246">
        <f>VLOOKUP(A246,怪物模型!A$15:Z$70,8,0)</f>
        <v>28</v>
      </c>
      <c r="E246">
        <f>VLOOKUP(A246,怪物模型!A$15:G$70,3,0)</f>
        <v>0.9</v>
      </c>
      <c r="F246">
        <f>VLOOKUP(A246,怪物模型!A$15:G$77,4,0)</f>
        <v>0.9</v>
      </c>
      <c r="G246">
        <v>1</v>
      </c>
      <c r="H246">
        <f>VLOOKUP(A246,怪物模型!A$15:G$77,5,0)</f>
        <v>13</v>
      </c>
      <c r="I246">
        <f>VLOOKUP(A246,怪物模型!A$15:G$77,6,0)</f>
        <v>0</v>
      </c>
      <c r="J246">
        <f>VLOOKUP(A246,怪物模型!A$15:G$77,7,0)</f>
        <v>0</v>
      </c>
      <c r="K246">
        <f>ROUND(VLOOKUP(C246,猎人难度!A$1:C$135,3,0)/VLOOKUP(B246,怪物抗性与玩家穿透!A$2:Q$74,17,0)*F246,0)</f>
        <v>1107965</v>
      </c>
      <c r="L246">
        <f>IF(A246="卡雷",42,IF(A246="法力风暴",ROUND(K246*0.1,0),VLOOKUP(A246,怪物模型!$A$15:$I$70,9,0)*(1+(B246-30)/100)))</f>
        <v>1390.0000000000002</v>
      </c>
      <c r="M246">
        <f>ROUND(VLOOKUP(C246,猎人难度!A$1:C$135,2,0)*0.91*E246,0)</f>
        <v>35767</v>
      </c>
      <c r="N246">
        <f t="shared" si="9"/>
        <v>42920</v>
      </c>
      <c r="O246">
        <f>VLOOKUP(B246,怪物抗性与玩家穿透!A$2:Q$74,4,0)</f>
        <v>12000</v>
      </c>
      <c r="P246">
        <f>VLOOKUP(B246,怪物抗性与玩家穿透!A$2:Q$74,5,0)</f>
        <v>3600</v>
      </c>
      <c r="Q246">
        <f t="shared" si="10"/>
        <v>3600</v>
      </c>
      <c r="R246">
        <f>ROUND(VLOOKUP(B246,[3]battleParameter.xml!$A$6:$E$107,5,0)*(I246/100)/(1-I246/100),0)</f>
        <v>0</v>
      </c>
      <c r="S246">
        <f>ROUND(VLOOKUP(B246,[3]battleParameter.xml!$A$6:$G$107,7,0)*(J246/100)/(1-J246/100),0)</f>
        <v>0</v>
      </c>
      <c r="T246">
        <f>ROUND(VLOOKUP(B246,[3]battleParameter.xml!$A$6:$Z$107,8,0)*(MIN(H246/100+0.2,0.99))/(1-MIN(H246/100+0.2,0.99)),0)</f>
        <v>1782</v>
      </c>
      <c r="U246">
        <v>0</v>
      </c>
      <c r="V246">
        <v>0</v>
      </c>
    </row>
    <row r="247" spans="1:22">
      <c r="A247" t="str">
        <f>[2]monster.xml!$D592</f>
        <v>坚定的格雷格</v>
      </c>
      <c r="B247">
        <f>[2]monster.xml!$C592</f>
        <v>70</v>
      </c>
      <c r="C247">
        <f t="shared" si="11"/>
        <v>73</v>
      </c>
      <c r="D247">
        <f>VLOOKUP(A247,怪物模型!A$15:Z$70,8,0)</f>
        <v>3</v>
      </c>
      <c r="E247">
        <f>VLOOKUP(A247,怪物模型!A$15:G$70,3,0)</f>
        <v>0.7</v>
      </c>
      <c r="F247">
        <f>VLOOKUP(A247,怪物模型!A$15:G$77,4,0)</f>
        <v>0.8</v>
      </c>
      <c r="G247">
        <v>1</v>
      </c>
      <c r="H247">
        <f>VLOOKUP(A247,怪物模型!A$15:G$77,5,0)</f>
        <v>13</v>
      </c>
      <c r="I247">
        <f>VLOOKUP(A247,怪物模型!A$15:G$77,6,0)</f>
        <v>0</v>
      </c>
      <c r="J247">
        <f>VLOOKUP(A247,怪物模型!A$15:G$77,7,0)</f>
        <v>0</v>
      </c>
      <c r="K247">
        <f>ROUND(VLOOKUP(C247,猎人难度!A$1:C$135,3,0)/VLOOKUP(B247,怪物抗性与玩家穿透!A$2:Q$74,17,0)*F247,0)</f>
        <v>788770</v>
      </c>
      <c r="L247">
        <f>IF(A247="卡雷",42,IF(A247="法力风暴",ROUND(K247*0.1,0),VLOOKUP(A247,怪物模型!$A$15:$I$70,9,0)*(1+(B247-30)/100)))</f>
        <v>840</v>
      </c>
      <c r="M247">
        <f>ROUND(VLOOKUP(C247,猎人难度!A$1:C$135,2,0)*0.91*E247,0)</f>
        <v>21963</v>
      </c>
      <c r="N247">
        <f t="shared" si="9"/>
        <v>26356</v>
      </c>
      <c r="O247">
        <f>VLOOKUP(B247,怪物抗性与玩家穿透!A$2:Q$74,4,0)</f>
        <v>12500</v>
      </c>
      <c r="P247">
        <f>VLOOKUP(B247,怪物抗性与玩家穿透!A$2:Q$74,5,0)</f>
        <v>3750</v>
      </c>
      <c r="Q247">
        <f t="shared" si="10"/>
        <v>3750</v>
      </c>
      <c r="R247">
        <f>ROUND(VLOOKUP(B247,[3]battleParameter.xml!$A$6:$E$107,5,0)*(I247/100)/(1-I247/100),0)</f>
        <v>0</v>
      </c>
      <c r="S247">
        <f>ROUND(VLOOKUP(B247,[3]battleParameter.xml!$A$6:$G$107,7,0)*(J247/100)/(1-J247/100),0)</f>
        <v>0</v>
      </c>
      <c r="T247">
        <f>ROUND(VLOOKUP(B247,[3]battleParameter.xml!$A$6:$Z$107,8,0)*(MIN(H247/100+0.2,0.99))/(1-MIN(H247/100+0.2,0.99)),0)</f>
        <v>1834</v>
      </c>
      <c r="U247">
        <v>0</v>
      </c>
      <c r="V247">
        <v>0</v>
      </c>
    </row>
    <row r="248" spans="1:22">
      <c r="A248" t="str">
        <f>[2]monster.xml!$D593</f>
        <v>菲德丝的倒影</v>
      </c>
      <c r="B248">
        <f>[2]monster.xml!$C593</f>
        <v>70</v>
      </c>
      <c r="C248">
        <f t="shared" si="11"/>
        <v>74</v>
      </c>
      <c r="D248" t="str">
        <f>VLOOKUP(A248,怪物模型!A$15:Z$70,8,0)</f>
        <v>15,11</v>
      </c>
      <c r="E248">
        <f>VLOOKUP(A248,怪物模型!A$15:G$70,3,0)</f>
        <v>1</v>
      </c>
      <c r="F248">
        <f>VLOOKUP(A248,怪物模型!A$15:G$77,4,0)</f>
        <v>1</v>
      </c>
      <c r="G248">
        <v>1</v>
      </c>
      <c r="H248">
        <f>VLOOKUP(A248,怪物模型!A$15:G$77,5,0)</f>
        <v>13</v>
      </c>
      <c r="I248">
        <f>VLOOKUP(A248,怪物模型!A$15:G$77,6,0)</f>
        <v>0</v>
      </c>
      <c r="J248">
        <f>VLOOKUP(A248,怪物模型!A$15:G$77,7,0)</f>
        <v>0</v>
      </c>
      <c r="K248">
        <f>ROUND(VLOOKUP(C248,猎人难度!A$1:C$135,3,0)/VLOOKUP(B248,怪物抗性与玩家穿透!A$2:Q$74,17,0)*F248,0)</f>
        <v>1054474</v>
      </c>
      <c r="L248">
        <f>IF(A248="卡雷",42,IF(A248="法力风暴",ROUND(K248*0.1,0),VLOOKUP(A248,怪物模型!$A$15:$I$70,9,0)*(1+(B248-30)/100)))</f>
        <v>1400</v>
      </c>
      <c r="M248">
        <f>ROUND(VLOOKUP(C248,猎人难度!A$1:C$135,2,0)*0.91*E248,0)</f>
        <v>34259</v>
      </c>
      <c r="N248">
        <f t="shared" si="9"/>
        <v>41111</v>
      </c>
      <c r="O248">
        <f>VLOOKUP(B248,怪物抗性与玩家穿透!A$2:Q$74,4,0)</f>
        <v>12500</v>
      </c>
      <c r="P248">
        <f>VLOOKUP(B248,怪物抗性与玩家穿透!A$2:Q$74,5,0)</f>
        <v>3750</v>
      </c>
      <c r="Q248">
        <f t="shared" si="10"/>
        <v>3750</v>
      </c>
      <c r="R248">
        <f>ROUND(VLOOKUP(B248,[3]battleParameter.xml!$A$6:$E$107,5,0)*(I248/100)/(1-I248/100),0)</f>
        <v>0</v>
      </c>
      <c r="S248">
        <f>ROUND(VLOOKUP(B248,[3]battleParameter.xml!$A$6:$G$107,7,0)*(J248/100)/(1-J248/100),0)</f>
        <v>0</v>
      </c>
      <c r="T248">
        <f>ROUND(VLOOKUP(B248,[3]battleParameter.xml!$A$6:$Z$107,8,0)*(MIN(H248/100+0.2,0.99))/(1-MIN(H248/100+0.2,0.99)),0)</f>
        <v>1834</v>
      </c>
      <c r="U248">
        <v>0</v>
      </c>
      <c r="V248">
        <v>0</v>
      </c>
    </row>
    <row r="249" spans="1:22">
      <c r="A249" t="str">
        <f>[2]monster.xml!$D594</f>
        <v>惊人的盖亚</v>
      </c>
      <c r="B249">
        <f>[2]monster.xml!$C594</f>
        <v>71</v>
      </c>
      <c r="C249">
        <f t="shared" si="11"/>
        <v>75</v>
      </c>
      <c r="D249" t="str">
        <f>VLOOKUP(A249,怪物模型!A$15:Z$70,8,0)</f>
        <v>10,15,17,14</v>
      </c>
      <c r="E249">
        <f>VLOOKUP(A249,怪物模型!A$15:G$70,3,0)</f>
        <v>1.5</v>
      </c>
      <c r="F249">
        <f>VLOOKUP(A249,怪物模型!A$15:G$77,4,0)</f>
        <v>0.6</v>
      </c>
      <c r="G249">
        <v>1</v>
      </c>
      <c r="H249">
        <f>VLOOKUP(A249,怪物模型!A$15:G$77,5,0)</f>
        <v>13</v>
      </c>
      <c r="I249">
        <f>VLOOKUP(A249,怪物模型!A$15:G$77,6,0)</f>
        <v>0</v>
      </c>
      <c r="J249">
        <f>VLOOKUP(A249,怪物模型!A$15:G$77,7,0)</f>
        <v>30</v>
      </c>
      <c r="K249">
        <f>ROUND(VLOOKUP(C249,猎人难度!A$1:C$135,3,0)/VLOOKUP(B249,怪物抗性与玩家穿透!A$2:Q$74,17,0)*F249,0)</f>
        <v>687270</v>
      </c>
      <c r="L249">
        <f>IF(A249="卡雷",42,IF(A249="法力风暴",ROUND(K249*0.1,0),VLOOKUP(A249,怪物模型!$A$15:$I$70,9,0)*(1+(B249-30)/100)))</f>
        <v>6345</v>
      </c>
      <c r="M249">
        <f>ROUND(VLOOKUP(C249,猎人难度!A$1:C$135,2,0)*0.91*E249,0)</f>
        <v>57778</v>
      </c>
      <c r="N249">
        <f t="shared" si="9"/>
        <v>69334</v>
      </c>
      <c r="O249">
        <f>VLOOKUP(B249,怪物抗性与玩家穿透!A$2:Q$74,4,0)</f>
        <v>13000</v>
      </c>
      <c r="P249">
        <f>VLOOKUP(B249,怪物抗性与玩家穿透!A$2:Q$74,5,0)</f>
        <v>3900</v>
      </c>
      <c r="Q249">
        <f t="shared" si="10"/>
        <v>3900</v>
      </c>
      <c r="R249">
        <f>ROUND(VLOOKUP(B249,[3]battleParameter.xml!$A$6:$E$107,5,0)*(I249/100)/(1-I249/100),0)</f>
        <v>0</v>
      </c>
      <c r="S249">
        <f>ROUND(VLOOKUP(B249,[3]battleParameter.xml!$A$6:$G$107,7,0)*(J249/100)/(1-J249/100),0)</f>
        <v>6566</v>
      </c>
      <c r="T249">
        <f>ROUND(VLOOKUP(B249,[3]battleParameter.xml!$A$6:$Z$107,8,0)*(MIN(H249/100+0.2,0.99))/(1-MIN(H249/100+0.2,0.99)),0)</f>
        <v>1886</v>
      </c>
      <c r="U249">
        <v>0</v>
      </c>
      <c r="V249">
        <v>0</v>
      </c>
    </row>
    <row r="250" spans="1:22">
      <c r="A250" t="str">
        <f>[2]monster.xml!$D595</f>
        <v>驯兽师瓦纳</v>
      </c>
      <c r="B250">
        <f>[2]monster.xml!$C595</f>
        <v>71</v>
      </c>
      <c r="C250">
        <f t="shared" si="11"/>
        <v>76</v>
      </c>
      <c r="D250">
        <f>VLOOKUP(A250,怪物模型!A$15:Z$70,8,0)</f>
        <v>2</v>
      </c>
      <c r="E250">
        <f>VLOOKUP(A250,怪物模型!A$15:G$70,3,0)</f>
        <v>0.6</v>
      </c>
      <c r="F250">
        <f>VLOOKUP(A250,怪物模型!A$15:G$77,4,0)</f>
        <v>0.6</v>
      </c>
      <c r="G250">
        <v>1</v>
      </c>
      <c r="H250">
        <f>VLOOKUP(A250,怪物模型!A$15:G$77,5,0)</f>
        <v>13</v>
      </c>
      <c r="I250">
        <f>VLOOKUP(A250,怪物模型!A$15:G$77,6,0)</f>
        <v>0</v>
      </c>
      <c r="J250">
        <f>VLOOKUP(A250,怪物模型!A$15:G$77,7,0)</f>
        <v>0</v>
      </c>
      <c r="K250">
        <f>ROUND(VLOOKUP(C250,猎人难度!A$1:C$135,3,0)/VLOOKUP(B250,怪物抗性与玩家穿透!A$2:Q$74,17,0)*F250,0)</f>
        <v>726023</v>
      </c>
      <c r="L250">
        <f>IF(A250="卡雷",42,IF(A250="法力风暴",ROUND(K250*0.1,0),VLOOKUP(A250,怪物模型!$A$15:$I$70,9,0)*(1+(B250-30)/100)))</f>
        <v>1128</v>
      </c>
      <c r="M250">
        <f>ROUND(VLOOKUP(C250,猎人难度!A$1:C$135,2,0)*0.91*E250,0)</f>
        <v>24735</v>
      </c>
      <c r="N250">
        <f t="shared" si="9"/>
        <v>29682</v>
      </c>
      <c r="O250">
        <f>VLOOKUP(B250,怪物抗性与玩家穿透!A$2:Q$74,4,0)</f>
        <v>13000</v>
      </c>
      <c r="P250">
        <f>VLOOKUP(B250,怪物抗性与玩家穿透!A$2:Q$74,5,0)</f>
        <v>3900</v>
      </c>
      <c r="Q250">
        <f t="shared" si="10"/>
        <v>3900</v>
      </c>
      <c r="R250">
        <f>ROUND(VLOOKUP(B250,[3]battleParameter.xml!$A$6:$E$107,5,0)*(I250/100)/(1-I250/100),0)</f>
        <v>0</v>
      </c>
      <c r="S250">
        <f>ROUND(VLOOKUP(B250,[3]battleParameter.xml!$A$6:$G$107,7,0)*(J250/100)/(1-J250/100),0)</f>
        <v>0</v>
      </c>
      <c r="T250">
        <f>ROUND(VLOOKUP(B250,[3]battleParameter.xml!$A$6:$Z$107,8,0)*(MIN(H250/100+0.2,0.99))/(1-MIN(H250/100+0.2,0.99)),0)</f>
        <v>1886</v>
      </c>
      <c r="U250">
        <v>0</v>
      </c>
      <c r="V250">
        <v>0</v>
      </c>
    </row>
    <row r="251" spans="1:22">
      <c r="A251" t="str">
        <f>[2]monster.xml!$D596</f>
        <v>多兰</v>
      </c>
      <c r="B251">
        <f>[2]monster.xml!$C596</f>
        <v>71</v>
      </c>
      <c r="C251">
        <f t="shared" si="11"/>
        <v>76</v>
      </c>
      <c r="D251">
        <f>VLOOKUP(A251,怪物模型!A$15:Z$70,8,0)</f>
        <v>9</v>
      </c>
      <c r="E251">
        <f>VLOOKUP(A251,怪物模型!A$15:G$70,3,0)</f>
        <v>0.35</v>
      </c>
      <c r="F251">
        <f>VLOOKUP(A251,怪物模型!A$15:G$77,4,0)</f>
        <v>0.28000000000000003</v>
      </c>
      <c r="G251">
        <v>1</v>
      </c>
      <c r="H251">
        <f>VLOOKUP(A251,怪物模型!A$15:G$77,5,0)</f>
        <v>13</v>
      </c>
      <c r="I251">
        <f>VLOOKUP(A251,怪物模型!A$15:G$77,6,0)</f>
        <v>0</v>
      </c>
      <c r="J251">
        <f>VLOOKUP(A251,怪物模型!A$15:G$77,7,0)</f>
        <v>0</v>
      </c>
      <c r="K251">
        <f>ROUND(VLOOKUP(C251,猎人难度!A$1:C$135,3,0)/VLOOKUP(B251,怪物抗性与玩家穿透!A$2:Q$74,17,0)*F251,0)</f>
        <v>338811</v>
      </c>
      <c r="L251">
        <f>IF(A251="卡雷",42,IF(A251="法力风暴",ROUND(K251*0.1,0),VLOOKUP(A251,怪物模型!$A$15:$I$70,9,0)*(1+(B251-30)/100)))</f>
        <v>1410</v>
      </c>
      <c r="M251">
        <f>ROUND(VLOOKUP(C251,猎人难度!A$1:C$135,2,0)*0.91*E251,0)</f>
        <v>14429</v>
      </c>
      <c r="N251">
        <f t="shared" si="9"/>
        <v>17315</v>
      </c>
      <c r="O251">
        <f>VLOOKUP(B251,怪物抗性与玩家穿透!A$2:Q$74,4,0)</f>
        <v>13000</v>
      </c>
      <c r="P251">
        <f>VLOOKUP(B251,怪物抗性与玩家穿透!A$2:Q$74,5,0)</f>
        <v>3900</v>
      </c>
      <c r="Q251">
        <f t="shared" si="10"/>
        <v>3900</v>
      </c>
      <c r="R251">
        <f>ROUND(VLOOKUP(B251,[3]battleParameter.xml!$A$6:$E$107,5,0)*(I251/100)/(1-I251/100),0)</f>
        <v>0</v>
      </c>
      <c r="S251">
        <f>ROUND(VLOOKUP(B251,[3]battleParameter.xml!$A$6:$G$107,7,0)*(J251/100)/(1-J251/100),0)</f>
        <v>0</v>
      </c>
      <c r="T251">
        <f>ROUND(VLOOKUP(B251,[3]battleParameter.xml!$A$6:$Z$107,8,0)*(MIN(H251/100+0.2,0.99))/(1-MIN(H251/100+0.2,0.99)),0)</f>
        <v>1886</v>
      </c>
      <c r="U251">
        <v>0</v>
      </c>
      <c r="V251">
        <v>0</v>
      </c>
    </row>
    <row r="252" spans="1:22">
      <c r="A252" t="str">
        <f>[2]monster.xml!$D597</f>
        <v>约翰</v>
      </c>
      <c r="B252">
        <f>[2]monster.xml!$C597</f>
        <v>71</v>
      </c>
      <c r="C252">
        <f t="shared" si="11"/>
        <v>76</v>
      </c>
      <c r="D252">
        <f>VLOOKUP(A252,怪物模型!A$15:Z$70,8,0)</f>
        <v>10</v>
      </c>
      <c r="E252">
        <f>VLOOKUP(A252,怪物模型!A$15:G$70,3,0)</f>
        <v>0.35</v>
      </c>
      <c r="F252">
        <f>VLOOKUP(A252,怪物模型!A$15:G$77,4,0)</f>
        <v>0.28000000000000003</v>
      </c>
      <c r="G252">
        <v>1</v>
      </c>
      <c r="H252">
        <f>VLOOKUP(A252,怪物模型!A$15:G$77,5,0)</f>
        <v>13</v>
      </c>
      <c r="I252">
        <f>VLOOKUP(A252,怪物模型!A$15:G$77,6,0)</f>
        <v>0</v>
      </c>
      <c r="J252">
        <f>VLOOKUP(A252,怪物模型!A$15:G$77,7,0)</f>
        <v>0</v>
      </c>
      <c r="K252">
        <f>ROUND(VLOOKUP(C252,猎人难度!A$1:C$135,3,0)/VLOOKUP(B252,怪物抗性与玩家穿透!A$2:Q$74,17,0)*F252,0)</f>
        <v>338811</v>
      </c>
      <c r="L252">
        <f>IF(A252="卡雷",42,IF(A252="法力风暴",ROUND(K252*0.1,0),VLOOKUP(A252,怪物模型!$A$15:$I$70,9,0)*(1+(B252-30)/100)))</f>
        <v>1410</v>
      </c>
      <c r="M252">
        <f>ROUND(VLOOKUP(C252,猎人难度!A$1:C$135,2,0)*0.91*E252,0)</f>
        <v>14429</v>
      </c>
      <c r="N252">
        <f t="shared" si="9"/>
        <v>17315</v>
      </c>
      <c r="O252">
        <f>VLOOKUP(B252,怪物抗性与玩家穿透!A$2:Q$74,4,0)</f>
        <v>13000</v>
      </c>
      <c r="P252">
        <f>VLOOKUP(B252,怪物抗性与玩家穿透!A$2:Q$74,5,0)</f>
        <v>3900</v>
      </c>
      <c r="Q252">
        <f t="shared" si="10"/>
        <v>3900</v>
      </c>
      <c r="R252">
        <f>ROUND(VLOOKUP(B252,[3]battleParameter.xml!$A$6:$E$107,5,0)*(I252/100)/(1-I252/100),0)</f>
        <v>0</v>
      </c>
      <c r="S252">
        <f>ROUND(VLOOKUP(B252,[3]battleParameter.xml!$A$6:$G$107,7,0)*(J252/100)/(1-J252/100),0)</f>
        <v>0</v>
      </c>
      <c r="T252">
        <f>ROUND(VLOOKUP(B252,[3]battleParameter.xml!$A$6:$Z$107,8,0)*(MIN(H252/100+0.2,0.99))/(1-MIN(H252/100+0.2,0.99)),0)</f>
        <v>1886</v>
      </c>
      <c r="U252">
        <v>0</v>
      </c>
      <c r="V252">
        <v>0</v>
      </c>
    </row>
    <row r="253" spans="1:22">
      <c r="A253" t="str">
        <f>[2]monster.xml!$D598</f>
        <v>炎之安苏</v>
      </c>
      <c r="B253">
        <f>[2]monster.xml!$C598</f>
        <v>71</v>
      </c>
      <c r="C253">
        <f t="shared" si="11"/>
        <v>77</v>
      </c>
      <c r="D253">
        <f>VLOOKUP(A253,怪物模型!A$15:Z$70,8,0)</f>
        <v>21</v>
      </c>
      <c r="E253">
        <f>VLOOKUP(A253,怪物模型!A$15:G$70,3,0)</f>
        <v>1</v>
      </c>
      <c r="F253">
        <f>VLOOKUP(A253,怪物模型!A$15:G$77,4,0)</f>
        <v>0.95</v>
      </c>
      <c r="G253">
        <v>1</v>
      </c>
      <c r="H253">
        <f>VLOOKUP(A253,怪物模型!A$15:G$77,5,0)</f>
        <v>13</v>
      </c>
      <c r="I253">
        <f>VLOOKUP(A253,怪物模型!A$15:G$77,6,0)</f>
        <v>0</v>
      </c>
      <c r="J253">
        <f>VLOOKUP(A253,怪物模型!A$15:G$77,7,0)</f>
        <v>0</v>
      </c>
      <c r="K253">
        <f>ROUND(VLOOKUP(C253,猎人难度!A$1:C$135,3,0)/VLOOKUP(B253,怪物抗性与玩家穿透!A$2:Q$74,17,0)*F253,0)</f>
        <v>1214354</v>
      </c>
      <c r="L253">
        <f>IF(A253="卡雷",42,IF(A253="法力风暴",ROUND(K253*0.1,0),VLOOKUP(A253,怪物模型!$A$15:$I$70,9,0)*(1+(B253-30)/100)))</f>
        <v>1410</v>
      </c>
      <c r="M253">
        <f>ROUND(VLOOKUP(C253,猎人难度!A$1:C$135,2,0)*0.91*E253,0)</f>
        <v>44120</v>
      </c>
      <c r="N253">
        <f t="shared" si="9"/>
        <v>52944</v>
      </c>
      <c r="O253">
        <f>VLOOKUP(B253,怪物抗性与玩家穿透!A$2:Q$74,4,0)</f>
        <v>13000</v>
      </c>
      <c r="P253">
        <f>VLOOKUP(B253,怪物抗性与玩家穿透!A$2:Q$74,5,0)</f>
        <v>3900</v>
      </c>
      <c r="Q253">
        <f t="shared" si="10"/>
        <v>3900</v>
      </c>
      <c r="R253">
        <f>ROUND(VLOOKUP(B253,[3]battleParameter.xml!$A$6:$E$107,5,0)*(I253/100)/(1-I253/100),0)</f>
        <v>0</v>
      </c>
      <c r="S253">
        <f>ROUND(VLOOKUP(B253,[3]battleParameter.xml!$A$6:$G$107,7,0)*(J253/100)/(1-J253/100),0)</f>
        <v>0</v>
      </c>
      <c r="T253">
        <f>ROUND(VLOOKUP(B253,[3]battleParameter.xml!$A$6:$Z$107,8,0)*(MIN(H253/100+0.2,0.99))/(1-MIN(H253/100+0.2,0.99)),0)</f>
        <v>1886</v>
      </c>
      <c r="U253">
        <v>0</v>
      </c>
      <c r="V253">
        <v>0</v>
      </c>
    </row>
    <row r="254" spans="1:22">
      <c r="A254" t="str">
        <f>[2]monster.xml!$D599</f>
        <v>迅捷的维恩</v>
      </c>
      <c r="B254">
        <f>[2]monster.xml!$C599</f>
        <v>72</v>
      </c>
      <c r="C254">
        <f t="shared" si="11"/>
        <v>78</v>
      </c>
      <c r="D254">
        <f>VLOOKUP(A254,怪物模型!A$15:Z$70,8,0)</f>
        <v>14</v>
      </c>
      <c r="E254">
        <f>VLOOKUP(A254,怪物模型!A$15:G$70,3,0)</f>
        <v>1</v>
      </c>
      <c r="F254">
        <f>VLOOKUP(A254,怪物模型!A$15:G$77,4,0)</f>
        <v>1</v>
      </c>
      <c r="G254">
        <v>1</v>
      </c>
      <c r="H254">
        <f>VLOOKUP(A254,怪物模型!A$15:G$77,5,0)</f>
        <v>0</v>
      </c>
      <c r="I254">
        <f>VLOOKUP(A254,怪物模型!A$15:G$77,6,0)</f>
        <v>0</v>
      </c>
      <c r="J254">
        <f>VLOOKUP(A254,怪物模型!A$15:G$77,7,0)</f>
        <v>0</v>
      </c>
      <c r="K254">
        <f>ROUND(VLOOKUP(C254,猎人难度!A$1:C$135,3,0)/VLOOKUP(B254,怪物抗性与玩家穿透!A$2:Q$74,17,0)*F254,0)</f>
        <v>1368439</v>
      </c>
      <c r="L254">
        <f>IF(A254="卡雷",42,IF(A254="法力风暴",ROUND(K254*0.1,0),VLOOKUP(A254,怪物模型!$A$15:$I$70,9,0)*(1+(B254-30)/100)))</f>
        <v>1420</v>
      </c>
      <c r="M254">
        <f>ROUND(VLOOKUP(C254,猎人难度!A$1:C$135,2,0)*0.91*E254,0)</f>
        <v>48301</v>
      </c>
      <c r="N254">
        <f t="shared" si="9"/>
        <v>57961</v>
      </c>
      <c r="O254">
        <f>VLOOKUP(B254,怪物抗性与玩家穿透!A$2:Q$74,4,0)</f>
        <v>13500</v>
      </c>
      <c r="P254">
        <f>VLOOKUP(B254,怪物抗性与玩家穿透!A$2:Q$74,5,0)</f>
        <v>4050</v>
      </c>
      <c r="Q254">
        <f t="shared" si="10"/>
        <v>4050</v>
      </c>
      <c r="R254">
        <f>ROUND(VLOOKUP(B254,[3]battleParameter.xml!$A$6:$E$107,5,0)*(I254/100)/(1-I254/100),0)</f>
        <v>0</v>
      </c>
      <c r="S254">
        <f>ROUND(VLOOKUP(B254,[3]battleParameter.xml!$A$6:$G$107,7,0)*(J254/100)/(1-J254/100),0)</f>
        <v>0</v>
      </c>
      <c r="T254">
        <f>ROUND(VLOOKUP(B254,[3]battleParameter.xml!$A$6:$Z$107,8,0)*(MIN(H254/100+0.2,0.99))/(1-MIN(H254/100+0.2,0.99)),0)</f>
        <v>984</v>
      </c>
      <c r="U254">
        <v>0</v>
      </c>
      <c r="V254">
        <v>0</v>
      </c>
    </row>
    <row r="255" spans="1:22">
      <c r="A255" t="str">
        <f>[2]monster.xml!$D600</f>
        <v>暮光预言者</v>
      </c>
      <c r="B255">
        <f>[2]monster.xml!$C600</f>
        <v>72</v>
      </c>
      <c r="C255">
        <f t="shared" si="11"/>
        <v>79</v>
      </c>
      <c r="D255">
        <f>VLOOKUP(A255,怪物模型!A$15:Z$70,8,0)</f>
        <v>13</v>
      </c>
      <c r="E255">
        <f>VLOOKUP(A255,怪物模型!A$15:G$70,3,0)</f>
        <v>0.7</v>
      </c>
      <c r="F255">
        <f>VLOOKUP(A255,怪物模型!A$15:G$77,4,0)</f>
        <v>1</v>
      </c>
      <c r="G255">
        <v>1</v>
      </c>
      <c r="H255">
        <f>VLOOKUP(A255,怪物模型!A$15:G$77,5,0)</f>
        <v>0</v>
      </c>
      <c r="I255">
        <f>VLOOKUP(A255,怪物模型!A$15:G$77,6,0)</f>
        <v>0</v>
      </c>
      <c r="J255">
        <f>VLOOKUP(A255,怪物模型!A$15:G$77,7,0)</f>
        <v>0</v>
      </c>
      <c r="K255">
        <f>ROUND(VLOOKUP(C255,猎人难度!A$1:C$135,3,0)/VLOOKUP(B255,怪物抗性与玩家穿透!A$2:Q$74,17,0)*F255,0)</f>
        <v>1453558</v>
      </c>
      <c r="L255">
        <f>IF(A255="卡雷",42,IF(A255="法力风暴",ROUND(K255*0.1,0),VLOOKUP(A255,怪物模型!$A$15:$I$70,9,0)*(1+(B255-30)/100)))</f>
        <v>1136</v>
      </c>
      <c r="M255">
        <f>ROUND(VLOOKUP(C255,猎人难度!A$1:C$135,2,0)*0.91*E255,0)</f>
        <v>36324</v>
      </c>
      <c r="N255">
        <f t="shared" si="9"/>
        <v>43589</v>
      </c>
      <c r="O255">
        <f>VLOOKUP(B255,怪物抗性与玩家穿透!A$2:Q$74,4,0)</f>
        <v>13500</v>
      </c>
      <c r="P255">
        <f>VLOOKUP(B255,怪物抗性与玩家穿透!A$2:Q$74,5,0)</f>
        <v>4050</v>
      </c>
      <c r="Q255">
        <f t="shared" si="10"/>
        <v>4050</v>
      </c>
      <c r="R255">
        <f>ROUND(VLOOKUP(B255,[3]battleParameter.xml!$A$6:$E$107,5,0)*(I255/100)/(1-I255/100),0)</f>
        <v>0</v>
      </c>
      <c r="S255">
        <f>ROUND(VLOOKUP(B255,[3]battleParameter.xml!$A$6:$G$107,7,0)*(J255/100)/(1-J255/100),0)</f>
        <v>0</v>
      </c>
      <c r="T255">
        <f>ROUND(VLOOKUP(B255,[3]battleParameter.xml!$A$6:$Z$107,8,0)*(MIN(H255/100+0.2,0.99))/(1-MIN(H255/100+0.2,0.99)),0)</f>
        <v>984</v>
      </c>
      <c r="U255">
        <v>0</v>
      </c>
      <c r="V255">
        <v>0</v>
      </c>
    </row>
    <row r="256" spans="1:22">
      <c r="A256" t="str">
        <f>[2]monster.xml!$D601</f>
        <v>卡雷</v>
      </c>
      <c r="B256">
        <f>[2]monster.xml!$C601</f>
        <v>73</v>
      </c>
      <c r="C256">
        <f t="shared" si="11"/>
        <v>80</v>
      </c>
      <c r="D256">
        <f>VLOOKUP(A256,怪物模型!A$15:Z$70,8,0)</f>
        <v>25</v>
      </c>
      <c r="E256">
        <f>VLOOKUP(A256,怪物模型!A$15:G$70,3,0)</f>
        <v>1.25</v>
      </c>
      <c r="F256">
        <f>VLOOKUP(A256,怪物模型!A$15:G$77,4,0)</f>
        <v>1</v>
      </c>
      <c r="G256">
        <v>1</v>
      </c>
      <c r="H256">
        <f>VLOOKUP(A256,怪物模型!A$15:G$77,5,0)</f>
        <v>13</v>
      </c>
      <c r="I256">
        <f>VLOOKUP(A256,怪物模型!A$15:G$77,6,0)</f>
        <v>0</v>
      </c>
      <c r="J256">
        <f>VLOOKUP(A256,怪物模型!A$15:G$77,7,0)</f>
        <v>0</v>
      </c>
      <c r="K256">
        <f>ROUND(VLOOKUP(C256,猎人难度!A$1:C$135,3,0)/VLOOKUP(B256,怪物抗性与玩家穿透!A$2:Q$74,17,0)*F256,0)</f>
        <v>1538996</v>
      </c>
      <c r="L256">
        <f>IF(A256="卡雷",42,IF(A256="法力风暴",ROUND(K256*0.1,0),VLOOKUP(A256,怪物模型!$A$15:$I$70,9,0)*(1+(B256-30)/100)))</f>
        <v>42</v>
      </c>
      <c r="M256">
        <f>ROUND(VLOOKUP(C256,猎人难度!A$1:C$135,2,0)*0.91*E256,0)</f>
        <v>69688</v>
      </c>
      <c r="N256">
        <f t="shared" si="9"/>
        <v>83626</v>
      </c>
      <c r="O256">
        <f>VLOOKUP(B256,怪物抗性与玩家穿透!A$2:Q$74,4,0)</f>
        <v>14000</v>
      </c>
      <c r="P256">
        <f>VLOOKUP(B256,怪物抗性与玩家穿透!A$2:Q$74,5,0)</f>
        <v>4200</v>
      </c>
      <c r="Q256">
        <f t="shared" si="10"/>
        <v>4200</v>
      </c>
      <c r="R256">
        <f>ROUND(VLOOKUP(B256,[3]battleParameter.xml!$A$6:$E$107,5,0)*(I256/100)/(1-I256/100),0)</f>
        <v>0</v>
      </c>
      <c r="S256">
        <f>ROUND(VLOOKUP(B256,[3]battleParameter.xml!$A$6:$G$107,7,0)*(J256/100)/(1-J256/100),0)</f>
        <v>0</v>
      </c>
      <c r="T256">
        <f>ROUND(VLOOKUP(B256,[3]battleParameter.xml!$A$6:$Z$107,8,0)*(MIN(H256/100+0.2,0.99))/(1-MIN(H256/100+0.2,0.99)),0)</f>
        <v>1993</v>
      </c>
      <c r="U256">
        <v>0</v>
      </c>
      <c r="V256">
        <v>0</v>
      </c>
    </row>
    <row r="257" spans="1:22">
      <c r="A257" t="str">
        <f>[2]monster.xml!$D602</f>
        <v>日光弗雷尔</v>
      </c>
      <c r="B257">
        <f>[2]monster.xml!$C602</f>
        <v>74</v>
      </c>
      <c r="C257">
        <f t="shared" si="11"/>
        <v>81</v>
      </c>
      <c r="D257">
        <f>VLOOKUP(A257,怪物模型!A$15:Z$70,8,0)</f>
        <v>28</v>
      </c>
      <c r="E257">
        <f>VLOOKUP(A257,怪物模型!A$15:G$70,3,0)</f>
        <v>0.9</v>
      </c>
      <c r="F257">
        <f>VLOOKUP(A257,怪物模型!A$15:G$77,4,0)</f>
        <v>0.9</v>
      </c>
      <c r="G257">
        <v>1</v>
      </c>
      <c r="H257">
        <f>VLOOKUP(A257,怪物模型!A$15:G$77,5,0)</f>
        <v>13</v>
      </c>
      <c r="I257">
        <f>VLOOKUP(A257,怪物模型!A$15:G$77,6,0)</f>
        <v>0</v>
      </c>
      <c r="J257">
        <f>VLOOKUP(A257,怪物模型!A$15:G$77,7,0)</f>
        <v>0</v>
      </c>
      <c r="K257">
        <f>ROUND(VLOOKUP(C257,猎人难度!A$1:C$135,3,0)/VLOOKUP(B257,怪物抗性与玩家穿透!A$2:Q$74,17,0)*F257,0)</f>
        <v>1498759</v>
      </c>
      <c r="L257">
        <f>IF(A257="卡雷",42,IF(A257="法力风暴",ROUND(K257*0.1,0),VLOOKUP(A257,怪物模型!$A$15:$I$70,9,0)*(1+(B257-30)/100)))</f>
        <v>1440</v>
      </c>
      <c r="M257">
        <f>ROUND(VLOOKUP(C257,猎人难度!A$1:C$135,2,0)*0.91*E257,0)</f>
        <v>55210</v>
      </c>
      <c r="N257">
        <f t="shared" si="9"/>
        <v>66252</v>
      </c>
      <c r="O257">
        <f>VLOOKUP(B257,怪物抗性与玩家穿透!A$2:Q$74,4,0)</f>
        <v>14500</v>
      </c>
      <c r="P257">
        <f>VLOOKUP(B257,怪物抗性与玩家穿透!A$2:Q$74,5,0)</f>
        <v>4350</v>
      </c>
      <c r="Q257">
        <f t="shared" si="10"/>
        <v>4350</v>
      </c>
      <c r="R257">
        <f>ROUND(VLOOKUP(B257,[3]battleParameter.xml!$A$6:$E$107,5,0)*(I257/100)/(1-I257/100),0)</f>
        <v>0</v>
      </c>
      <c r="S257">
        <f>ROUND(VLOOKUP(B257,[3]battleParameter.xml!$A$6:$G$107,7,0)*(J257/100)/(1-J257/100),0)</f>
        <v>0</v>
      </c>
      <c r="T257">
        <f>ROUND(VLOOKUP(B257,[3]battleParameter.xml!$A$6:$Z$107,8,0)*(MIN(H257/100+0.2,0.99))/(1-MIN(H257/100+0.2,0.99)),0)</f>
        <v>2047</v>
      </c>
      <c r="U257">
        <v>0</v>
      </c>
      <c r="V257">
        <v>0</v>
      </c>
    </row>
    <row r="258" spans="1:22">
      <c r="A258" t="str">
        <f>[2]monster.xml!$D603</f>
        <v>坚定的格雷格</v>
      </c>
      <c r="B258">
        <f>[2]monster.xml!$C603</f>
        <v>75</v>
      </c>
      <c r="C258">
        <f t="shared" si="11"/>
        <v>82</v>
      </c>
      <c r="D258">
        <f>VLOOKUP(A258,怪物模型!A$15:Z$70,8,0)</f>
        <v>3</v>
      </c>
      <c r="E258">
        <f>VLOOKUP(A258,怪物模型!A$15:G$70,3,0)</f>
        <v>0.7</v>
      </c>
      <c r="F258">
        <f>VLOOKUP(A258,怪物模型!A$15:G$77,4,0)</f>
        <v>0.8</v>
      </c>
      <c r="G258">
        <v>1</v>
      </c>
      <c r="H258">
        <f>VLOOKUP(A258,怪物模型!A$15:G$77,5,0)</f>
        <v>13</v>
      </c>
      <c r="I258">
        <f>VLOOKUP(A258,怪物模型!A$15:G$77,6,0)</f>
        <v>0</v>
      </c>
      <c r="J258">
        <f>VLOOKUP(A258,怪物模型!A$15:G$77,7,0)</f>
        <v>0</v>
      </c>
      <c r="K258">
        <f>ROUND(VLOOKUP(C258,猎人难度!A$1:C$135,3,0)/VLOOKUP(B258,怪物抗性与玩家穿透!A$2:Q$74,17,0)*F258,0)</f>
        <v>1048674</v>
      </c>
      <c r="L258">
        <f>IF(A258="卡雷",42,IF(A258="法力风暴",ROUND(K258*0.1,0),VLOOKUP(A258,怪物模型!$A$15:$I$70,9,0)*(1+(B258-30)/100)))</f>
        <v>870</v>
      </c>
      <c r="M258">
        <f>ROUND(VLOOKUP(C258,猎人难度!A$1:C$135,2,0)*0.91*E258,0)</f>
        <v>32229</v>
      </c>
      <c r="N258">
        <f t="shared" si="9"/>
        <v>38675</v>
      </c>
      <c r="O258">
        <f>VLOOKUP(B258,怪物抗性与玩家穿透!A$2:Q$74,4,0)</f>
        <v>15000</v>
      </c>
      <c r="P258">
        <f>VLOOKUP(B258,怪物抗性与玩家穿透!A$2:Q$74,5,0)</f>
        <v>4500</v>
      </c>
      <c r="Q258">
        <f t="shared" si="10"/>
        <v>4500</v>
      </c>
      <c r="R258">
        <f>ROUND(VLOOKUP(B258,[3]battleParameter.xml!$A$6:$E$107,5,0)*(I258/100)/(1-I258/100),0)</f>
        <v>0</v>
      </c>
      <c r="S258">
        <f>ROUND(VLOOKUP(B258,[3]battleParameter.xml!$A$6:$G$107,7,0)*(J258/100)/(1-J258/100),0)</f>
        <v>0</v>
      </c>
      <c r="T258">
        <f>ROUND(VLOOKUP(B258,[3]battleParameter.xml!$A$6:$Z$107,8,0)*(MIN(H258/100+0.2,0.99))/(1-MIN(H258/100+0.2,0.99)),0)</f>
        <v>2103</v>
      </c>
      <c r="U258">
        <v>0</v>
      </c>
      <c r="V258">
        <v>0</v>
      </c>
    </row>
    <row r="259" spans="1:22">
      <c r="A259" t="str">
        <f>[2]monster.xml!$D604</f>
        <v>菲德丝的倒影</v>
      </c>
      <c r="B259">
        <f>[2]monster.xml!$C604</f>
        <v>75</v>
      </c>
      <c r="C259">
        <f t="shared" si="11"/>
        <v>83</v>
      </c>
      <c r="D259" t="str">
        <f>VLOOKUP(A259,怪物模型!A$15:Z$70,8,0)</f>
        <v>15,11</v>
      </c>
      <c r="E259">
        <f>VLOOKUP(A259,怪物模型!A$15:G$70,3,0)</f>
        <v>1</v>
      </c>
      <c r="F259">
        <f>VLOOKUP(A259,怪物模型!A$15:G$77,4,0)</f>
        <v>1</v>
      </c>
      <c r="G259">
        <v>1</v>
      </c>
      <c r="H259">
        <f>VLOOKUP(A259,怪物模型!A$15:G$77,5,0)</f>
        <v>13</v>
      </c>
      <c r="I259">
        <f>VLOOKUP(A259,怪物模型!A$15:G$77,6,0)</f>
        <v>0</v>
      </c>
      <c r="J259">
        <f>VLOOKUP(A259,怪物模型!A$15:G$77,7,0)</f>
        <v>0</v>
      </c>
      <c r="K259">
        <f>ROUND(VLOOKUP(C259,猎人难度!A$1:C$135,3,0)/VLOOKUP(B259,怪物抗性与玩家穿透!A$2:Q$74,17,0)*F259,0)</f>
        <v>1405428</v>
      </c>
      <c r="L259">
        <f>IF(A259="卡雷",42,IF(A259="法力风暴",ROUND(K259*0.1,0),VLOOKUP(A259,怪物模型!$A$15:$I$70,9,0)*(1+(B259-30)/100)))</f>
        <v>1450</v>
      </c>
      <c r="M259">
        <f>ROUND(VLOOKUP(C259,猎人难度!A$1:C$135,2,0)*0.91*E259,0)</f>
        <v>50721</v>
      </c>
      <c r="N259">
        <f t="shared" ref="N259:N322" si="12">ROUND(M259*1.2,0)</f>
        <v>60865</v>
      </c>
      <c r="O259">
        <f>VLOOKUP(B259,怪物抗性与玩家穿透!A$2:Q$74,4,0)</f>
        <v>15000</v>
      </c>
      <c r="P259">
        <f>VLOOKUP(B259,怪物抗性与玩家穿透!A$2:Q$74,5,0)</f>
        <v>4500</v>
      </c>
      <c r="Q259">
        <f t="shared" ref="Q259:Q322" si="13">P259</f>
        <v>4500</v>
      </c>
      <c r="R259">
        <f>ROUND(VLOOKUP(B259,[3]battleParameter.xml!$A$6:$E$107,5,0)*(I259/100)/(1-I259/100),0)</f>
        <v>0</v>
      </c>
      <c r="S259">
        <f>ROUND(VLOOKUP(B259,[3]battleParameter.xml!$A$6:$G$107,7,0)*(J259/100)/(1-J259/100),0)</f>
        <v>0</v>
      </c>
      <c r="T259">
        <f>ROUND(VLOOKUP(B259,[3]battleParameter.xml!$A$6:$Z$107,8,0)*(MIN(H259/100+0.2,0.99))/(1-MIN(H259/100+0.2,0.99)),0)</f>
        <v>2103</v>
      </c>
      <c r="U259">
        <v>0</v>
      </c>
      <c r="V259">
        <v>0</v>
      </c>
    </row>
    <row r="260" spans="1:22">
      <c r="A260" t="str">
        <f>[2]monster.xml!$D605</f>
        <v>惊人的盖亚</v>
      </c>
      <c r="B260">
        <f>[2]monster.xml!$C605</f>
        <v>76</v>
      </c>
      <c r="C260">
        <f t="shared" ref="C260:C323" si="14">IF(OR(A260="塔克",A260="多兰",A260="约翰",A260="血誓预言者",A260="血誓召唤者",A260="血誓领主"),C259,C259+1)</f>
        <v>84</v>
      </c>
      <c r="D260" t="str">
        <f>VLOOKUP(A260,怪物模型!A$15:Z$70,8,0)</f>
        <v>10,15,17,14</v>
      </c>
      <c r="E260">
        <f>VLOOKUP(A260,怪物模型!A$15:G$70,3,0)</f>
        <v>1.5</v>
      </c>
      <c r="F260">
        <f>VLOOKUP(A260,怪物模型!A$15:G$77,4,0)</f>
        <v>0.6</v>
      </c>
      <c r="G260">
        <v>1</v>
      </c>
      <c r="H260">
        <f>VLOOKUP(A260,怪物模型!A$15:G$77,5,0)</f>
        <v>13</v>
      </c>
      <c r="I260">
        <f>VLOOKUP(A260,怪物模型!A$15:G$77,6,0)</f>
        <v>0</v>
      </c>
      <c r="J260">
        <f>VLOOKUP(A260,怪物模型!A$15:G$77,7,0)</f>
        <v>30</v>
      </c>
      <c r="K260">
        <f>ROUND(VLOOKUP(C260,猎人难度!A$1:C$135,3,0)/VLOOKUP(B260,怪物抗性与玩家穿透!A$2:Q$74,17,0)*F260,0)</f>
        <v>926585</v>
      </c>
      <c r="L260">
        <f>IF(A260="卡雷",42,IF(A260="法力风暴",ROUND(K260*0.1,0),VLOOKUP(A260,怪物模型!$A$15:$I$70,9,0)*(1+(B260-30)/100)))</f>
        <v>6570</v>
      </c>
      <c r="M260">
        <f>ROUND(VLOOKUP(C260,猎人难度!A$1:C$135,2,0)*0.91*E260,0)</f>
        <v>86560</v>
      </c>
      <c r="N260">
        <f t="shared" si="12"/>
        <v>103872</v>
      </c>
      <c r="O260">
        <f>VLOOKUP(B260,怪物抗性与玩家穿透!A$2:Q$74,4,0)</f>
        <v>15500</v>
      </c>
      <c r="P260">
        <f>VLOOKUP(B260,怪物抗性与玩家穿透!A$2:Q$74,5,0)</f>
        <v>4650</v>
      </c>
      <c r="Q260">
        <f t="shared" si="13"/>
        <v>4650</v>
      </c>
      <c r="R260">
        <f>ROUND(VLOOKUP(B260,[3]battleParameter.xml!$A$6:$E$107,5,0)*(I260/100)/(1-I260/100),0)</f>
        <v>0</v>
      </c>
      <c r="S260">
        <f>ROUND(VLOOKUP(B260,[3]battleParameter.xml!$A$6:$G$107,7,0)*(J260/100)/(1-J260/100),0)</f>
        <v>7515</v>
      </c>
      <c r="T260">
        <f>ROUND(VLOOKUP(B260,[3]battleParameter.xml!$A$6:$Z$107,8,0)*(MIN(H260/100+0.2,0.99))/(1-MIN(H260/100+0.2,0.99)),0)</f>
        <v>2159</v>
      </c>
      <c r="U260">
        <v>0</v>
      </c>
      <c r="V260">
        <v>0</v>
      </c>
    </row>
    <row r="261" spans="1:22">
      <c r="A261" t="str">
        <f>[2]monster.xml!$D606</f>
        <v>驯兽师瓦纳</v>
      </c>
      <c r="B261">
        <f>[2]monster.xml!$C606</f>
        <v>76</v>
      </c>
      <c r="C261">
        <f t="shared" si="14"/>
        <v>85</v>
      </c>
      <c r="D261">
        <f>VLOOKUP(A261,怪物模型!A$15:Z$70,8,0)</f>
        <v>2</v>
      </c>
      <c r="E261">
        <f>VLOOKUP(A261,怪物模型!A$15:G$70,3,0)</f>
        <v>0.6</v>
      </c>
      <c r="F261">
        <f>VLOOKUP(A261,怪物模型!A$15:G$77,4,0)</f>
        <v>0.6</v>
      </c>
      <c r="G261">
        <v>1</v>
      </c>
      <c r="H261">
        <f>VLOOKUP(A261,怪物模型!A$15:G$77,5,0)</f>
        <v>13</v>
      </c>
      <c r="I261">
        <f>VLOOKUP(A261,怪物模型!A$15:G$77,6,0)</f>
        <v>0</v>
      </c>
      <c r="J261">
        <f>VLOOKUP(A261,怪物模型!A$15:G$77,7,0)</f>
        <v>0</v>
      </c>
      <c r="K261">
        <f>ROUND(VLOOKUP(C261,猎人难度!A$1:C$135,3,0)/VLOOKUP(B261,怪物抗性与玩家穿透!A$2:Q$74,17,0)*F261,0)</f>
        <v>980446</v>
      </c>
      <c r="L261">
        <f>IF(A261="卡雷",42,IF(A261="法力风暴",ROUND(K261*0.1,0),VLOOKUP(A261,怪物模型!$A$15:$I$70,9,0)*(1+(B261-30)/100)))</f>
        <v>1168</v>
      </c>
      <c r="M261">
        <f>ROUND(VLOOKUP(C261,猎人难度!A$1:C$135,2,0)*0.91*E261,0)</f>
        <v>37249</v>
      </c>
      <c r="N261">
        <f t="shared" si="12"/>
        <v>44699</v>
      </c>
      <c r="O261">
        <f>VLOOKUP(B261,怪物抗性与玩家穿透!A$2:Q$74,4,0)</f>
        <v>15500</v>
      </c>
      <c r="P261">
        <f>VLOOKUP(B261,怪物抗性与玩家穿透!A$2:Q$74,5,0)</f>
        <v>4650</v>
      </c>
      <c r="Q261">
        <f t="shared" si="13"/>
        <v>4650</v>
      </c>
      <c r="R261">
        <f>ROUND(VLOOKUP(B261,[3]battleParameter.xml!$A$6:$E$107,5,0)*(I261/100)/(1-I261/100),0)</f>
        <v>0</v>
      </c>
      <c r="S261">
        <f>ROUND(VLOOKUP(B261,[3]battleParameter.xml!$A$6:$G$107,7,0)*(J261/100)/(1-J261/100),0)</f>
        <v>0</v>
      </c>
      <c r="T261">
        <f>ROUND(VLOOKUP(B261,[3]battleParameter.xml!$A$6:$Z$107,8,0)*(MIN(H261/100+0.2,0.99))/(1-MIN(H261/100+0.2,0.99)),0)</f>
        <v>2159</v>
      </c>
      <c r="U261">
        <v>0</v>
      </c>
      <c r="V261">
        <v>0</v>
      </c>
    </row>
    <row r="262" spans="1:22">
      <c r="A262" t="str">
        <f>[2]monster.xml!$D607</f>
        <v>多兰</v>
      </c>
      <c r="B262">
        <f>[2]monster.xml!$C607</f>
        <v>76</v>
      </c>
      <c r="C262">
        <f t="shared" si="14"/>
        <v>85</v>
      </c>
      <c r="D262">
        <f>VLOOKUP(A262,怪物模型!A$15:Z$70,8,0)</f>
        <v>9</v>
      </c>
      <c r="E262">
        <f>VLOOKUP(A262,怪物模型!A$15:G$70,3,0)</f>
        <v>0.35</v>
      </c>
      <c r="F262">
        <f>VLOOKUP(A262,怪物模型!A$15:G$77,4,0)</f>
        <v>0.28000000000000003</v>
      </c>
      <c r="G262">
        <v>1</v>
      </c>
      <c r="H262">
        <f>VLOOKUP(A262,怪物模型!A$15:G$77,5,0)</f>
        <v>13</v>
      </c>
      <c r="I262">
        <f>VLOOKUP(A262,怪物模型!A$15:G$77,6,0)</f>
        <v>0</v>
      </c>
      <c r="J262">
        <f>VLOOKUP(A262,怪物模型!A$15:G$77,7,0)</f>
        <v>0</v>
      </c>
      <c r="K262">
        <f>ROUND(VLOOKUP(C262,猎人难度!A$1:C$135,3,0)/VLOOKUP(B262,怪物抗性与玩家穿透!A$2:Q$74,17,0)*F262,0)</f>
        <v>457542</v>
      </c>
      <c r="L262">
        <f>IF(A262="卡雷",42,IF(A262="法力风暴",ROUND(K262*0.1,0),VLOOKUP(A262,怪物模型!$A$15:$I$70,9,0)*(1+(B262-30)/100)))</f>
        <v>1460</v>
      </c>
      <c r="M262">
        <f>ROUND(VLOOKUP(C262,猎人难度!A$1:C$135,2,0)*0.91*E262,0)</f>
        <v>21728</v>
      </c>
      <c r="N262">
        <f t="shared" si="12"/>
        <v>26074</v>
      </c>
      <c r="O262">
        <f>VLOOKUP(B262,怪物抗性与玩家穿透!A$2:Q$74,4,0)</f>
        <v>15500</v>
      </c>
      <c r="P262">
        <f>VLOOKUP(B262,怪物抗性与玩家穿透!A$2:Q$74,5,0)</f>
        <v>4650</v>
      </c>
      <c r="Q262">
        <f t="shared" si="13"/>
        <v>4650</v>
      </c>
      <c r="R262">
        <f>ROUND(VLOOKUP(B262,[3]battleParameter.xml!$A$6:$E$107,5,0)*(I262/100)/(1-I262/100),0)</f>
        <v>0</v>
      </c>
      <c r="S262">
        <f>ROUND(VLOOKUP(B262,[3]battleParameter.xml!$A$6:$G$107,7,0)*(J262/100)/(1-J262/100),0)</f>
        <v>0</v>
      </c>
      <c r="T262">
        <f>ROUND(VLOOKUP(B262,[3]battleParameter.xml!$A$6:$Z$107,8,0)*(MIN(H262/100+0.2,0.99))/(1-MIN(H262/100+0.2,0.99)),0)</f>
        <v>2159</v>
      </c>
      <c r="U262">
        <v>0</v>
      </c>
      <c r="V262">
        <v>0</v>
      </c>
    </row>
    <row r="263" spans="1:22">
      <c r="A263" t="str">
        <f>[2]monster.xml!$D608</f>
        <v>约翰</v>
      </c>
      <c r="B263">
        <f>[2]monster.xml!$C608</f>
        <v>76</v>
      </c>
      <c r="C263">
        <f t="shared" si="14"/>
        <v>85</v>
      </c>
      <c r="D263">
        <f>VLOOKUP(A263,怪物模型!A$15:Z$70,8,0)</f>
        <v>10</v>
      </c>
      <c r="E263">
        <f>VLOOKUP(A263,怪物模型!A$15:G$70,3,0)</f>
        <v>0.35</v>
      </c>
      <c r="F263">
        <f>VLOOKUP(A263,怪物模型!A$15:G$77,4,0)</f>
        <v>0.28000000000000003</v>
      </c>
      <c r="G263">
        <v>1</v>
      </c>
      <c r="H263">
        <f>VLOOKUP(A263,怪物模型!A$15:G$77,5,0)</f>
        <v>13</v>
      </c>
      <c r="I263">
        <f>VLOOKUP(A263,怪物模型!A$15:G$77,6,0)</f>
        <v>0</v>
      </c>
      <c r="J263">
        <f>VLOOKUP(A263,怪物模型!A$15:G$77,7,0)</f>
        <v>0</v>
      </c>
      <c r="K263">
        <f>ROUND(VLOOKUP(C263,猎人难度!A$1:C$135,3,0)/VLOOKUP(B263,怪物抗性与玩家穿透!A$2:Q$74,17,0)*F263,0)</f>
        <v>457542</v>
      </c>
      <c r="L263">
        <f>IF(A263="卡雷",42,IF(A263="法力风暴",ROUND(K263*0.1,0),VLOOKUP(A263,怪物模型!$A$15:$I$70,9,0)*(1+(B263-30)/100)))</f>
        <v>1460</v>
      </c>
      <c r="M263">
        <f>ROUND(VLOOKUP(C263,猎人难度!A$1:C$135,2,0)*0.91*E263,0)</f>
        <v>21728</v>
      </c>
      <c r="N263">
        <f t="shared" si="12"/>
        <v>26074</v>
      </c>
      <c r="O263">
        <f>VLOOKUP(B263,怪物抗性与玩家穿透!A$2:Q$74,4,0)</f>
        <v>15500</v>
      </c>
      <c r="P263">
        <f>VLOOKUP(B263,怪物抗性与玩家穿透!A$2:Q$74,5,0)</f>
        <v>4650</v>
      </c>
      <c r="Q263">
        <f t="shared" si="13"/>
        <v>4650</v>
      </c>
      <c r="R263">
        <f>ROUND(VLOOKUP(B263,[3]battleParameter.xml!$A$6:$E$107,5,0)*(I263/100)/(1-I263/100),0)</f>
        <v>0</v>
      </c>
      <c r="S263">
        <f>ROUND(VLOOKUP(B263,[3]battleParameter.xml!$A$6:$G$107,7,0)*(J263/100)/(1-J263/100),0)</f>
        <v>0</v>
      </c>
      <c r="T263">
        <f>ROUND(VLOOKUP(B263,[3]battleParameter.xml!$A$6:$Z$107,8,0)*(MIN(H263/100+0.2,0.99))/(1-MIN(H263/100+0.2,0.99)),0)</f>
        <v>2159</v>
      </c>
      <c r="U263">
        <v>0</v>
      </c>
      <c r="V263">
        <v>0</v>
      </c>
    </row>
    <row r="264" spans="1:22">
      <c r="A264" t="str">
        <f>[2]monster.xml!$D609</f>
        <v>炎之安苏</v>
      </c>
      <c r="B264">
        <f>[2]monster.xml!$C609</f>
        <v>76</v>
      </c>
      <c r="C264">
        <f t="shared" si="14"/>
        <v>86</v>
      </c>
      <c r="D264">
        <f>VLOOKUP(A264,怪物模型!A$15:Z$70,8,0)</f>
        <v>21</v>
      </c>
      <c r="E264">
        <f>VLOOKUP(A264,怪物模型!A$15:G$70,3,0)</f>
        <v>1</v>
      </c>
      <c r="F264">
        <f>VLOOKUP(A264,怪物模型!A$15:G$77,4,0)</f>
        <v>0.95</v>
      </c>
      <c r="G264">
        <v>1</v>
      </c>
      <c r="H264">
        <f>VLOOKUP(A264,怪物模型!A$15:G$77,5,0)</f>
        <v>13</v>
      </c>
      <c r="I264">
        <f>VLOOKUP(A264,怪物模型!A$15:G$77,6,0)</f>
        <v>0</v>
      </c>
      <c r="J264">
        <f>VLOOKUP(A264,怪物模型!A$15:G$77,7,0)</f>
        <v>0</v>
      </c>
      <c r="K264">
        <f>ROUND(VLOOKUP(C264,猎人难度!A$1:C$135,3,0)/VLOOKUP(B264,怪物抗性与玩家穿透!A$2:Q$74,17,0)*F264,0)</f>
        <v>1642611</v>
      </c>
      <c r="L264">
        <f>IF(A264="卡雷",42,IF(A264="法力风暴",ROUND(K264*0.1,0),VLOOKUP(A264,怪物模型!$A$15:$I$70,9,0)*(1+(B264-30)/100)))</f>
        <v>1460</v>
      </c>
      <c r="M264">
        <f>ROUND(VLOOKUP(C264,猎人难度!A$1:C$135,2,0)*0.91*E264,0)</f>
        <v>66787</v>
      </c>
      <c r="N264">
        <f t="shared" si="12"/>
        <v>80144</v>
      </c>
      <c r="O264">
        <f>VLOOKUP(B264,怪物抗性与玩家穿透!A$2:Q$74,4,0)</f>
        <v>15500</v>
      </c>
      <c r="P264">
        <f>VLOOKUP(B264,怪物抗性与玩家穿透!A$2:Q$74,5,0)</f>
        <v>4650</v>
      </c>
      <c r="Q264">
        <f t="shared" si="13"/>
        <v>4650</v>
      </c>
      <c r="R264">
        <f>ROUND(VLOOKUP(B264,[3]battleParameter.xml!$A$6:$E$107,5,0)*(I264/100)/(1-I264/100),0)</f>
        <v>0</v>
      </c>
      <c r="S264">
        <f>ROUND(VLOOKUP(B264,[3]battleParameter.xml!$A$6:$G$107,7,0)*(J264/100)/(1-J264/100),0)</f>
        <v>0</v>
      </c>
      <c r="T264">
        <f>ROUND(VLOOKUP(B264,[3]battleParameter.xml!$A$6:$Z$107,8,0)*(MIN(H264/100+0.2,0.99))/(1-MIN(H264/100+0.2,0.99)),0)</f>
        <v>2159</v>
      </c>
      <c r="U264">
        <v>0</v>
      </c>
      <c r="V264">
        <v>0</v>
      </c>
    </row>
    <row r="265" spans="1:22">
      <c r="A265" t="str">
        <f>[2]monster.xml!$D610</f>
        <v>迅捷的维恩</v>
      </c>
      <c r="B265">
        <f>[2]monster.xml!$C610</f>
        <v>77</v>
      </c>
      <c r="C265">
        <f t="shared" si="14"/>
        <v>87</v>
      </c>
      <c r="D265">
        <f>VLOOKUP(A265,怪物模型!A$15:Z$70,8,0)</f>
        <v>14</v>
      </c>
      <c r="E265">
        <f>VLOOKUP(A265,怪物模型!A$15:G$70,3,0)</f>
        <v>1</v>
      </c>
      <c r="F265">
        <f>VLOOKUP(A265,怪物模型!A$15:G$77,4,0)</f>
        <v>1</v>
      </c>
      <c r="G265">
        <v>1</v>
      </c>
      <c r="H265">
        <f>VLOOKUP(A265,怪物模型!A$15:G$77,5,0)</f>
        <v>0</v>
      </c>
      <c r="I265">
        <f>VLOOKUP(A265,怪物模型!A$15:G$77,6,0)</f>
        <v>0</v>
      </c>
      <c r="J265">
        <f>VLOOKUP(A265,怪物模型!A$15:G$77,7,0)</f>
        <v>0</v>
      </c>
      <c r="K265">
        <f>ROUND(VLOOKUP(C265,猎人难度!A$1:C$135,3,0)/VLOOKUP(B265,怪物抗性与玩家穿透!A$2:Q$74,17,0)*F265,0)</f>
        <v>1869262</v>
      </c>
      <c r="L265">
        <f>IF(A265="卡雷",42,IF(A265="法力风暴",ROUND(K265*0.1,0),VLOOKUP(A265,怪物模型!$A$15:$I$70,9,0)*(1+(B265-30)/100)))</f>
        <v>1470</v>
      </c>
      <c r="M265">
        <f>ROUND(VLOOKUP(C265,猎人难度!A$1:C$135,2,0)*0.91*E265,0)</f>
        <v>73620</v>
      </c>
      <c r="N265">
        <f t="shared" si="12"/>
        <v>88344</v>
      </c>
      <c r="O265">
        <f>VLOOKUP(B265,怪物抗性与玩家穿透!A$2:Q$74,4,0)</f>
        <v>16000</v>
      </c>
      <c r="P265">
        <f>VLOOKUP(B265,怪物抗性与玩家穿透!A$2:Q$74,5,0)</f>
        <v>4800</v>
      </c>
      <c r="Q265">
        <f t="shared" si="13"/>
        <v>4800</v>
      </c>
      <c r="R265">
        <f>ROUND(VLOOKUP(B265,[3]battleParameter.xml!$A$6:$E$107,5,0)*(I265/100)/(1-I265/100),0)</f>
        <v>0</v>
      </c>
      <c r="S265">
        <f>ROUND(VLOOKUP(B265,[3]battleParameter.xml!$A$6:$G$107,7,0)*(J265/100)/(1-J265/100),0)</f>
        <v>0</v>
      </c>
      <c r="T265">
        <f>ROUND(VLOOKUP(B265,[3]battleParameter.xml!$A$6:$Z$107,8,0)*(MIN(H265/100+0.2,0.99))/(1-MIN(H265/100+0.2,0.99)),0)</f>
        <v>1125</v>
      </c>
      <c r="U265">
        <v>0</v>
      </c>
      <c r="V265">
        <v>0</v>
      </c>
    </row>
    <row r="266" spans="1:22">
      <c r="A266" t="str">
        <f>[2]monster.xml!$D611</f>
        <v>暮光预言者</v>
      </c>
      <c r="B266">
        <f>[2]monster.xml!$C611</f>
        <v>77</v>
      </c>
      <c r="C266">
        <f t="shared" si="14"/>
        <v>88</v>
      </c>
      <c r="D266">
        <f>VLOOKUP(A266,怪物模型!A$15:Z$70,8,0)</f>
        <v>13</v>
      </c>
      <c r="E266">
        <f>VLOOKUP(A266,怪物模型!A$15:G$70,3,0)</f>
        <v>0.7</v>
      </c>
      <c r="F266">
        <f>VLOOKUP(A266,怪物模型!A$15:G$77,4,0)</f>
        <v>1</v>
      </c>
      <c r="G266">
        <v>1</v>
      </c>
      <c r="H266">
        <f>VLOOKUP(A266,怪物模型!A$15:G$77,5,0)</f>
        <v>0</v>
      </c>
      <c r="I266">
        <f>VLOOKUP(A266,怪物模型!A$15:G$77,6,0)</f>
        <v>0</v>
      </c>
      <c r="J266">
        <f>VLOOKUP(A266,怪物模型!A$15:G$77,7,0)</f>
        <v>0</v>
      </c>
      <c r="K266">
        <f>ROUND(VLOOKUP(C266,猎人难度!A$1:C$135,3,0)/VLOOKUP(B266,怪物抗性与玩家穿透!A$2:Q$74,17,0)*F266,0)</f>
        <v>1988492</v>
      </c>
      <c r="L266">
        <f>IF(A266="卡雷",42,IF(A266="法力风暴",ROUND(K266*0.1,0),VLOOKUP(A266,怪物模型!$A$15:$I$70,9,0)*(1+(B266-30)/100)))</f>
        <v>1176</v>
      </c>
      <c r="M266">
        <f>ROUND(VLOOKUP(C266,猎人难度!A$1:C$135,2,0)*0.91*E266,0)</f>
        <v>55602</v>
      </c>
      <c r="N266">
        <f t="shared" si="12"/>
        <v>66722</v>
      </c>
      <c r="O266">
        <f>VLOOKUP(B266,怪物抗性与玩家穿透!A$2:Q$74,4,0)</f>
        <v>16000</v>
      </c>
      <c r="P266">
        <f>VLOOKUP(B266,怪物抗性与玩家穿透!A$2:Q$74,5,0)</f>
        <v>4800</v>
      </c>
      <c r="Q266">
        <f t="shared" si="13"/>
        <v>4800</v>
      </c>
      <c r="R266">
        <f>ROUND(VLOOKUP(B266,[3]battleParameter.xml!$A$6:$E$107,5,0)*(I266/100)/(1-I266/100),0)</f>
        <v>0</v>
      </c>
      <c r="S266">
        <f>ROUND(VLOOKUP(B266,[3]battleParameter.xml!$A$6:$G$107,7,0)*(J266/100)/(1-J266/100),0)</f>
        <v>0</v>
      </c>
      <c r="T266">
        <f>ROUND(VLOOKUP(B266,[3]battleParameter.xml!$A$6:$Z$107,8,0)*(MIN(H266/100+0.2,0.99))/(1-MIN(H266/100+0.2,0.99)),0)</f>
        <v>1125</v>
      </c>
      <c r="U266">
        <v>0</v>
      </c>
      <c r="V266">
        <v>0</v>
      </c>
    </row>
    <row r="267" spans="1:22">
      <c r="A267" t="str">
        <f>[2]monster.xml!$D612</f>
        <v>卡雷</v>
      </c>
      <c r="B267">
        <f>[2]monster.xml!$C612</f>
        <v>78</v>
      </c>
      <c r="C267">
        <f t="shared" si="14"/>
        <v>89</v>
      </c>
      <c r="D267">
        <f>VLOOKUP(A267,怪物模型!A$15:Z$70,8,0)</f>
        <v>25</v>
      </c>
      <c r="E267">
        <f>VLOOKUP(A267,怪物模型!A$15:G$70,3,0)</f>
        <v>1.25</v>
      </c>
      <c r="F267">
        <f>VLOOKUP(A267,怪物模型!A$15:G$77,4,0)</f>
        <v>1</v>
      </c>
      <c r="G267">
        <v>1</v>
      </c>
      <c r="H267">
        <f>VLOOKUP(A267,怪物模型!A$15:G$77,5,0)</f>
        <v>13</v>
      </c>
      <c r="I267">
        <f>VLOOKUP(A267,怪物模型!A$15:G$77,6,0)</f>
        <v>0</v>
      </c>
      <c r="J267">
        <f>VLOOKUP(A267,怪物模型!A$15:G$77,7,0)</f>
        <v>0</v>
      </c>
      <c r="K267">
        <f>ROUND(VLOOKUP(C267,猎人难度!A$1:C$135,3,0)/VLOOKUP(B267,怪物抗性与玩家穿透!A$2:Q$74,17,0)*F267,0)</f>
        <v>2123377</v>
      </c>
      <c r="L267">
        <f>IF(A267="卡雷",42,IF(A267="法力风暴",ROUND(K267*0.1,0),VLOOKUP(A267,怪物模型!$A$15:$I$70,9,0)*(1+(B267-30)/100)))</f>
        <v>42</v>
      </c>
      <c r="M267">
        <f>ROUND(VLOOKUP(C267,猎人难度!A$1:C$135,2,0)*0.91*E267,0)</f>
        <v>107125</v>
      </c>
      <c r="N267">
        <f t="shared" si="12"/>
        <v>128550</v>
      </c>
      <c r="O267">
        <f>VLOOKUP(B267,怪物抗性与玩家穿透!A$2:Q$74,4,0)</f>
        <v>16500</v>
      </c>
      <c r="P267">
        <f>VLOOKUP(B267,怪物抗性与玩家穿透!A$2:Q$74,5,0)</f>
        <v>4950</v>
      </c>
      <c r="Q267">
        <f t="shared" si="13"/>
        <v>4950</v>
      </c>
      <c r="R267">
        <f>ROUND(VLOOKUP(B267,[3]battleParameter.xml!$A$6:$E$107,5,0)*(I267/100)/(1-I267/100),0)</f>
        <v>0</v>
      </c>
      <c r="S267">
        <f>ROUND(VLOOKUP(B267,[3]battleParameter.xml!$A$6:$G$107,7,0)*(J267/100)/(1-J267/100),0)</f>
        <v>0</v>
      </c>
      <c r="T267">
        <f>ROUND(VLOOKUP(B267,[3]battleParameter.xml!$A$6:$Z$107,8,0)*(MIN(H267/100+0.2,0.99))/(1-MIN(H267/100+0.2,0.99)),0)</f>
        <v>2273</v>
      </c>
      <c r="U267">
        <v>0</v>
      </c>
      <c r="V267">
        <v>0</v>
      </c>
    </row>
    <row r="268" spans="1:22">
      <c r="A268" t="str">
        <f>[2]monster.xml!$D613</f>
        <v>日光弗雷尔</v>
      </c>
      <c r="B268">
        <f>[2]monster.xml!$C613</f>
        <v>79</v>
      </c>
      <c r="C268">
        <f t="shared" si="14"/>
        <v>90</v>
      </c>
      <c r="D268">
        <f>VLOOKUP(A268,怪物模型!A$15:Z$70,8,0)</f>
        <v>28</v>
      </c>
      <c r="E268">
        <f>VLOOKUP(A268,怪物模型!A$15:G$70,3,0)</f>
        <v>0.9</v>
      </c>
      <c r="F268">
        <f>VLOOKUP(A268,怪物模型!A$15:G$77,4,0)</f>
        <v>0.9</v>
      </c>
      <c r="G268">
        <v>1</v>
      </c>
      <c r="H268">
        <f>VLOOKUP(A268,怪物模型!A$15:G$77,5,0)</f>
        <v>13</v>
      </c>
      <c r="I268">
        <f>VLOOKUP(A268,怪物模型!A$15:G$77,6,0)</f>
        <v>0</v>
      </c>
      <c r="J268">
        <f>VLOOKUP(A268,怪物模型!A$15:G$77,7,0)</f>
        <v>0</v>
      </c>
      <c r="K268">
        <f>ROUND(VLOOKUP(C268,猎人难度!A$1:C$135,3,0)/VLOOKUP(B268,怪物抗性与玩家穿透!A$2:Q$74,17,0)*F268,0)</f>
        <v>2085364</v>
      </c>
      <c r="L268">
        <f>IF(A268="卡雷",42,IF(A268="法力风暴",ROUND(K268*0.1,0),VLOOKUP(A268,怪物模型!$A$15:$I$70,9,0)*(1+(B268-30)/100)))</f>
        <v>1490</v>
      </c>
      <c r="M268">
        <f>ROUND(VLOOKUP(C268,猎人难度!A$1:C$135,2,0)*0.91*E268,0)</f>
        <v>85353</v>
      </c>
      <c r="N268">
        <f t="shared" si="12"/>
        <v>102424</v>
      </c>
      <c r="O268">
        <f>VLOOKUP(B268,怪物抗性与玩家穿透!A$2:Q$74,4,0)</f>
        <v>17000</v>
      </c>
      <c r="P268">
        <f>VLOOKUP(B268,怪物抗性与玩家穿透!A$2:Q$74,5,0)</f>
        <v>5100</v>
      </c>
      <c r="Q268">
        <f t="shared" si="13"/>
        <v>5100</v>
      </c>
      <c r="R268">
        <f>ROUND(VLOOKUP(B268,[3]battleParameter.xml!$A$6:$E$107,5,0)*(I268/100)/(1-I268/100),0)</f>
        <v>0</v>
      </c>
      <c r="S268">
        <f>ROUND(VLOOKUP(B268,[3]battleParameter.xml!$A$6:$G$107,7,0)*(J268/100)/(1-J268/100),0)</f>
        <v>0</v>
      </c>
      <c r="T268">
        <f>ROUND(VLOOKUP(B268,[3]battleParameter.xml!$A$6:$Z$107,8,0)*(MIN(H268/100+0.2,0.99))/(1-MIN(H268/100+0.2,0.99)),0)</f>
        <v>2332</v>
      </c>
      <c r="U268">
        <v>0</v>
      </c>
      <c r="V268">
        <v>0</v>
      </c>
    </row>
    <row r="269" spans="1:22">
      <c r="A269" t="str">
        <f>[2]monster.xml!$D614</f>
        <v>坚定的格雷格</v>
      </c>
      <c r="B269">
        <f>[2]monster.xml!$C614</f>
        <v>80</v>
      </c>
      <c r="C269">
        <f t="shared" si="14"/>
        <v>91</v>
      </c>
      <c r="D269">
        <f>VLOOKUP(A269,怪物模型!A$15:Z$70,8,0)</f>
        <v>3</v>
      </c>
      <c r="E269">
        <f>VLOOKUP(A269,怪物模型!A$15:G$70,3,0)</f>
        <v>0.7</v>
      </c>
      <c r="F269">
        <f>VLOOKUP(A269,怪物模型!A$15:G$77,4,0)</f>
        <v>0.8</v>
      </c>
      <c r="G269">
        <v>1</v>
      </c>
      <c r="H269">
        <f>VLOOKUP(A269,怪物模型!A$15:G$77,5,0)</f>
        <v>13</v>
      </c>
      <c r="I269">
        <f>VLOOKUP(A269,怪物模型!A$15:G$77,6,0)</f>
        <v>0</v>
      </c>
      <c r="J269">
        <f>VLOOKUP(A269,怪物模型!A$15:G$77,7,0)</f>
        <v>0</v>
      </c>
      <c r="K269">
        <f>ROUND(VLOOKUP(C269,猎人难度!A$1:C$135,3,0)/VLOOKUP(B269,怪物抗性与玩家穿透!A$2:Q$74,17,0)*F269,0)</f>
        <v>1407627</v>
      </c>
      <c r="L269">
        <f>IF(A269="卡雷",42,IF(A269="法力风暴",ROUND(K269*0.1,0),VLOOKUP(A269,怪物模型!$A$15:$I$70,9,0)*(1+(B269-30)/100)))</f>
        <v>900</v>
      </c>
      <c r="M269">
        <f>ROUND(VLOOKUP(C269,猎人难度!A$1:C$135,2,0)*0.91*E269,0)</f>
        <v>45282</v>
      </c>
      <c r="N269">
        <f t="shared" si="12"/>
        <v>54338</v>
      </c>
      <c r="O269">
        <f>VLOOKUP(B269,怪物抗性与玩家穿透!A$2:Q$74,4,0)</f>
        <v>17500</v>
      </c>
      <c r="P269">
        <f>VLOOKUP(B269,怪物抗性与玩家穿透!A$2:Q$74,5,0)</f>
        <v>5250</v>
      </c>
      <c r="Q269">
        <f t="shared" si="13"/>
        <v>5250</v>
      </c>
      <c r="R269">
        <f>ROUND(VLOOKUP(B269,[3]battleParameter.xml!$A$6:$E$107,5,0)*(I269/100)/(1-I269/100),0)</f>
        <v>0</v>
      </c>
      <c r="S269">
        <f>ROUND(VLOOKUP(B269,[3]battleParameter.xml!$A$6:$G$107,7,0)*(J269/100)/(1-J269/100),0)</f>
        <v>0</v>
      </c>
      <c r="T269">
        <f>ROUND(VLOOKUP(B269,[3]battleParameter.xml!$A$6:$Z$107,8,0)*(MIN(H269/100+0.2,0.99))/(1-MIN(H269/100+0.2,0.99)),0)</f>
        <v>2390</v>
      </c>
      <c r="U269">
        <v>0</v>
      </c>
      <c r="V269">
        <v>0</v>
      </c>
    </row>
    <row r="270" spans="1:22">
      <c r="A270" t="str">
        <f>[2]monster.xml!$D615</f>
        <v>菲德丝的倒影</v>
      </c>
      <c r="B270">
        <f>[2]monster.xml!$C615</f>
        <v>80</v>
      </c>
      <c r="C270">
        <f t="shared" si="14"/>
        <v>92</v>
      </c>
      <c r="D270" t="str">
        <f>VLOOKUP(A270,怪物模型!A$15:Z$70,8,0)</f>
        <v>15,11</v>
      </c>
      <c r="E270">
        <f>VLOOKUP(A270,怪物模型!A$15:G$70,3,0)</f>
        <v>1</v>
      </c>
      <c r="F270">
        <f>VLOOKUP(A270,怪物模型!A$15:G$77,4,0)</f>
        <v>1</v>
      </c>
      <c r="G270">
        <v>1</v>
      </c>
      <c r="H270">
        <f>VLOOKUP(A270,怪物模型!A$15:G$77,5,0)</f>
        <v>13</v>
      </c>
      <c r="I270">
        <f>VLOOKUP(A270,怪物模型!A$15:G$77,6,0)</f>
        <v>0</v>
      </c>
      <c r="J270">
        <f>VLOOKUP(A270,怪物模型!A$15:G$77,7,0)</f>
        <v>0</v>
      </c>
      <c r="K270">
        <f>ROUND(VLOOKUP(C270,猎人难度!A$1:C$135,3,0)/VLOOKUP(B270,怪物抗性与玩家穿透!A$2:Q$74,17,0)*F270,0)</f>
        <v>1889200</v>
      </c>
      <c r="L270">
        <f>IF(A270="卡雷",42,IF(A270="法力风暴",ROUND(K270*0.1,0),VLOOKUP(A270,怪物模型!$A$15:$I$70,9,0)*(1+(B270-30)/100)))</f>
        <v>1500</v>
      </c>
      <c r="M270">
        <f>ROUND(VLOOKUP(C270,猎人难度!A$1:C$135,2,0)*0.91*E270,0)</f>
        <v>71865</v>
      </c>
      <c r="N270">
        <f t="shared" si="12"/>
        <v>86238</v>
      </c>
      <c r="O270">
        <f>VLOOKUP(B270,怪物抗性与玩家穿透!A$2:Q$74,4,0)</f>
        <v>17500</v>
      </c>
      <c r="P270">
        <f>VLOOKUP(B270,怪物抗性与玩家穿透!A$2:Q$74,5,0)</f>
        <v>5250</v>
      </c>
      <c r="Q270">
        <f t="shared" si="13"/>
        <v>5250</v>
      </c>
      <c r="R270">
        <f>ROUND(VLOOKUP(B270,[3]battleParameter.xml!$A$6:$E$107,5,0)*(I270/100)/(1-I270/100),0)</f>
        <v>0</v>
      </c>
      <c r="S270">
        <f>ROUND(VLOOKUP(B270,[3]battleParameter.xml!$A$6:$G$107,7,0)*(J270/100)/(1-J270/100),0)</f>
        <v>0</v>
      </c>
      <c r="T270">
        <f>ROUND(VLOOKUP(B270,[3]battleParameter.xml!$A$6:$Z$107,8,0)*(MIN(H270/100+0.2,0.99))/(1-MIN(H270/100+0.2,0.99)),0)</f>
        <v>2390</v>
      </c>
      <c r="U270">
        <v>0</v>
      </c>
      <c r="V270">
        <v>0</v>
      </c>
    </row>
    <row r="271" spans="1:22">
      <c r="A271" t="str">
        <f>[2]monster.xml!$D616</f>
        <v>惊人的盖亚</v>
      </c>
      <c r="B271">
        <f>[2]monster.xml!$C616</f>
        <v>81</v>
      </c>
      <c r="C271">
        <f t="shared" si="14"/>
        <v>93</v>
      </c>
      <c r="D271" t="str">
        <f>VLOOKUP(A271,怪物模型!A$15:Z$70,8,0)</f>
        <v>10,15,17,14</v>
      </c>
      <c r="E271">
        <f>VLOOKUP(A271,怪物模型!A$15:G$70,3,0)</f>
        <v>1.5</v>
      </c>
      <c r="F271">
        <f>VLOOKUP(A271,怪物模型!A$15:G$77,4,0)</f>
        <v>0.6</v>
      </c>
      <c r="G271">
        <v>1</v>
      </c>
      <c r="H271">
        <f>VLOOKUP(A271,怪物模型!A$15:G$77,5,0)</f>
        <v>13</v>
      </c>
      <c r="I271">
        <f>VLOOKUP(A271,怪物模型!A$15:G$77,6,0)</f>
        <v>0</v>
      </c>
      <c r="J271">
        <f>VLOOKUP(A271,怪物模型!A$15:G$77,7,0)</f>
        <v>30</v>
      </c>
      <c r="K271">
        <f>ROUND(VLOOKUP(C271,猎人难度!A$1:C$135,3,0)/VLOOKUP(B271,怪物抗性与玩家穿透!A$2:Q$74,17,0)*F271,0)</f>
        <v>1254531</v>
      </c>
      <c r="L271">
        <f>IF(A271="卡雷",42,IF(A271="法力风暴",ROUND(K271*0.1,0),VLOOKUP(A271,怪物模型!$A$15:$I$70,9,0)*(1+(B271-30)/100)))</f>
        <v>6795</v>
      </c>
      <c r="M271">
        <f>ROUND(VLOOKUP(C271,猎人难度!A$1:C$135,2,0)*0.91*E271,0)</f>
        <v>124031</v>
      </c>
      <c r="N271">
        <f t="shared" si="12"/>
        <v>148837</v>
      </c>
      <c r="O271">
        <f>VLOOKUP(B271,怪物抗性与玩家穿透!A$2:Q$74,4,0)</f>
        <v>18000</v>
      </c>
      <c r="P271">
        <f>VLOOKUP(B271,怪物抗性与玩家穿透!A$2:Q$74,5,0)</f>
        <v>5400</v>
      </c>
      <c r="Q271">
        <f t="shared" si="13"/>
        <v>5400</v>
      </c>
      <c r="R271">
        <f>ROUND(VLOOKUP(B271,[3]battleParameter.xml!$A$6:$E$107,5,0)*(I271/100)/(1-I271/100),0)</f>
        <v>0</v>
      </c>
      <c r="S271">
        <f>ROUND(VLOOKUP(B271,[3]battleParameter.xml!$A$6:$G$107,7,0)*(J271/100)/(1-J271/100),0)</f>
        <v>8529</v>
      </c>
      <c r="T271">
        <f>ROUND(VLOOKUP(B271,[3]battleParameter.xml!$A$6:$Z$107,8,0)*(MIN(H271/100+0.2,0.99))/(1-MIN(H271/100+0.2,0.99)),0)</f>
        <v>2450</v>
      </c>
      <c r="U271">
        <v>0</v>
      </c>
      <c r="V271">
        <v>0</v>
      </c>
    </row>
    <row r="272" spans="1:22">
      <c r="A272" t="str">
        <f>[2]monster.xml!$D617</f>
        <v>驯兽师瓦纳</v>
      </c>
      <c r="B272">
        <f>[2]monster.xml!$C617</f>
        <v>81</v>
      </c>
      <c r="C272">
        <f t="shared" si="14"/>
        <v>94</v>
      </c>
      <c r="D272">
        <f>VLOOKUP(A272,怪物模型!A$15:Z$70,8,0)</f>
        <v>2</v>
      </c>
      <c r="E272">
        <f>VLOOKUP(A272,怪物模型!A$15:G$70,3,0)</f>
        <v>0.6</v>
      </c>
      <c r="F272">
        <f>VLOOKUP(A272,怪物模型!A$15:G$77,4,0)</f>
        <v>0.6</v>
      </c>
      <c r="G272">
        <v>1</v>
      </c>
      <c r="H272">
        <f>VLOOKUP(A272,怪物模型!A$15:G$77,5,0)</f>
        <v>13</v>
      </c>
      <c r="I272">
        <f>VLOOKUP(A272,怪物模型!A$15:G$77,6,0)</f>
        <v>0</v>
      </c>
      <c r="J272">
        <f>VLOOKUP(A272,怪物模型!A$15:G$77,7,0)</f>
        <v>0</v>
      </c>
      <c r="K272">
        <f>ROUND(VLOOKUP(C272,猎人难度!A$1:C$135,3,0)/VLOOKUP(B272,怪物抗性与玩家穿透!A$2:Q$74,17,0)*F272,0)</f>
        <v>1328699</v>
      </c>
      <c r="L272">
        <f>IF(A272="卡雷",42,IF(A272="法力风暴",ROUND(K272*0.1,0),VLOOKUP(A272,怪物模型!$A$15:$I$70,9,0)*(1+(B272-30)/100)))</f>
        <v>1208</v>
      </c>
      <c r="M272">
        <f>ROUND(VLOOKUP(C272,猎人难度!A$1:C$135,2,0)*0.91*E272,0)</f>
        <v>53623</v>
      </c>
      <c r="N272">
        <f t="shared" si="12"/>
        <v>64348</v>
      </c>
      <c r="O272">
        <f>VLOOKUP(B272,怪物抗性与玩家穿透!A$2:Q$74,4,0)</f>
        <v>18000</v>
      </c>
      <c r="P272">
        <f>VLOOKUP(B272,怪物抗性与玩家穿透!A$2:Q$74,5,0)</f>
        <v>5400</v>
      </c>
      <c r="Q272">
        <f t="shared" si="13"/>
        <v>5400</v>
      </c>
      <c r="R272">
        <f>ROUND(VLOOKUP(B272,[3]battleParameter.xml!$A$6:$E$107,5,0)*(I272/100)/(1-I272/100),0)</f>
        <v>0</v>
      </c>
      <c r="S272">
        <f>ROUND(VLOOKUP(B272,[3]battleParameter.xml!$A$6:$G$107,7,0)*(J272/100)/(1-J272/100),0)</f>
        <v>0</v>
      </c>
      <c r="T272">
        <f>ROUND(VLOOKUP(B272,[3]battleParameter.xml!$A$6:$Z$107,8,0)*(MIN(H272/100+0.2,0.99))/(1-MIN(H272/100+0.2,0.99)),0)</f>
        <v>2450</v>
      </c>
      <c r="U272">
        <v>0</v>
      </c>
      <c r="V272">
        <v>0</v>
      </c>
    </row>
    <row r="273" spans="1:22">
      <c r="A273" t="str">
        <f>[2]monster.xml!$D618</f>
        <v>多兰</v>
      </c>
      <c r="B273">
        <f>[2]monster.xml!$C618</f>
        <v>81</v>
      </c>
      <c r="C273">
        <f t="shared" si="14"/>
        <v>94</v>
      </c>
      <c r="D273">
        <f>VLOOKUP(A273,怪物模型!A$15:Z$70,8,0)</f>
        <v>9</v>
      </c>
      <c r="E273">
        <f>VLOOKUP(A273,怪物模型!A$15:G$70,3,0)</f>
        <v>0.35</v>
      </c>
      <c r="F273">
        <f>VLOOKUP(A273,怪物模型!A$15:G$77,4,0)</f>
        <v>0.28000000000000003</v>
      </c>
      <c r="G273">
        <v>1</v>
      </c>
      <c r="H273">
        <f>VLOOKUP(A273,怪物模型!A$15:G$77,5,0)</f>
        <v>13</v>
      </c>
      <c r="I273">
        <f>VLOOKUP(A273,怪物模型!A$15:G$77,6,0)</f>
        <v>0</v>
      </c>
      <c r="J273">
        <f>VLOOKUP(A273,怪物模型!A$15:G$77,7,0)</f>
        <v>0</v>
      </c>
      <c r="K273">
        <f>ROUND(VLOOKUP(C273,猎人难度!A$1:C$135,3,0)/VLOOKUP(B273,怪物抗性与玩家穿透!A$2:Q$74,17,0)*F273,0)</f>
        <v>620060</v>
      </c>
      <c r="L273">
        <f>IF(A273="卡雷",42,IF(A273="法力风暴",ROUND(K273*0.1,0),VLOOKUP(A273,怪物模型!$A$15:$I$70,9,0)*(1+(B273-30)/100)))</f>
        <v>1510</v>
      </c>
      <c r="M273">
        <f>ROUND(VLOOKUP(C273,猎人难度!A$1:C$135,2,0)*0.91*E273,0)</f>
        <v>31280</v>
      </c>
      <c r="N273">
        <f t="shared" si="12"/>
        <v>37536</v>
      </c>
      <c r="O273">
        <f>VLOOKUP(B273,怪物抗性与玩家穿透!A$2:Q$74,4,0)</f>
        <v>18000</v>
      </c>
      <c r="P273">
        <f>VLOOKUP(B273,怪物抗性与玩家穿透!A$2:Q$74,5,0)</f>
        <v>5400</v>
      </c>
      <c r="Q273">
        <f t="shared" si="13"/>
        <v>5400</v>
      </c>
      <c r="R273">
        <f>ROUND(VLOOKUP(B273,[3]battleParameter.xml!$A$6:$E$107,5,0)*(I273/100)/(1-I273/100),0)</f>
        <v>0</v>
      </c>
      <c r="S273">
        <f>ROUND(VLOOKUP(B273,[3]battleParameter.xml!$A$6:$G$107,7,0)*(J273/100)/(1-J273/100),0)</f>
        <v>0</v>
      </c>
      <c r="T273">
        <f>ROUND(VLOOKUP(B273,[3]battleParameter.xml!$A$6:$Z$107,8,0)*(MIN(H273/100+0.2,0.99))/(1-MIN(H273/100+0.2,0.99)),0)</f>
        <v>2450</v>
      </c>
      <c r="U273">
        <v>0</v>
      </c>
      <c r="V273">
        <v>0</v>
      </c>
    </row>
    <row r="274" spans="1:22">
      <c r="A274" t="str">
        <f>[2]monster.xml!$D619</f>
        <v>约翰</v>
      </c>
      <c r="B274">
        <f>[2]monster.xml!$C619</f>
        <v>81</v>
      </c>
      <c r="C274">
        <f t="shared" si="14"/>
        <v>94</v>
      </c>
      <c r="D274">
        <f>VLOOKUP(A274,怪物模型!A$15:Z$70,8,0)</f>
        <v>10</v>
      </c>
      <c r="E274">
        <f>VLOOKUP(A274,怪物模型!A$15:G$70,3,0)</f>
        <v>0.35</v>
      </c>
      <c r="F274">
        <f>VLOOKUP(A274,怪物模型!A$15:G$77,4,0)</f>
        <v>0.28000000000000003</v>
      </c>
      <c r="G274">
        <v>1</v>
      </c>
      <c r="H274">
        <f>VLOOKUP(A274,怪物模型!A$15:G$77,5,0)</f>
        <v>13</v>
      </c>
      <c r="I274">
        <f>VLOOKUP(A274,怪物模型!A$15:G$77,6,0)</f>
        <v>0</v>
      </c>
      <c r="J274">
        <f>VLOOKUP(A274,怪物模型!A$15:G$77,7,0)</f>
        <v>0</v>
      </c>
      <c r="K274">
        <f>ROUND(VLOOKUP(C274,猎人难度!A$1:C$135,3,0)/VLOOKUP(B274,怪物抗性与玩家穿透!A$2:Q$74,17,0)*F274,0)</f>
        <v>620060</v>
      </c>
      <c r="L274">
        <f>IF(A274="卡雷",42,IF(A274="法力风暴",ROUND(K274*0.1,0),VLOOKUP(A274,怪物模型!$A$15:$I$70,9,0)*(1+(B274-30)/100)))</f>
        <v>1510</v>
      </c>
      <c r="M274">
        <f>ROUND(VLOOKUP(C274,猎人难度!A$1:C$135,2,0)*0.91*E274,0)</f>
        <v>31280</v>
      </c>
      <c r="N274">
        <f t="shared" si="12"/>
        <v>37536</v>
      </c>
      <c r="O274">
        <f>VLOOKUP(B274,怪物抗性与玩家穿透!A$2:Q$74,4,0)</f>
        <v>18000</v>
      </c>
      <c r="P274">
        <f>VLOOKUP(B274,怪物抗性与玩家穿透!A$2:Q$74,5,0)</f>
        <v>5400</v>
      </c>
      <c r="Q274">
        <f t="shared" si="13"/>
        <v>5400</v>
      </c>
      <c r="R274">
        <f>ROUND(VLOOKUP(B274,[3]battleParameter.xml!$A$6:$E$107,5,0)*(I274/100)/(1-I274/100),0)</f>
        <v>0</v>
      </c>
      <c r="S274">
        <f>ROUND(VLOOKUP(B274,[3]battleParameter.xml!$A$6:$G$107,7,0)*(J274/100)/(1-J274/100),0)</f>
        <v>0</v>
      </c>
      <c r="T274">
        <f>ROUND(VLOOKUP(B274,[3]battleParameter.xml!$A$6:$Z$107,8,0)*(MIN(H274/100+0.2,0.99))/(1-MIN(H274/100+0.2,0.99)),0)</f>
        <v>2450</v>
      </c>
      <c r="U274">
        <v>0</v>
      </c>
      <c r="V274">
        <v>0</v>
      </c>
    </row>
    <row r="275" spans="1:22">
      <c r="A275" t="str">
        <f>[2]monster.xml!$D620</f>
        <v>炎之安苏</v>
      </c>
      <c r="B275">
        <f>[2]monster.xml!$C620</f>
        <v>81</v>
      </c>
      <c r="C275">
        <f t="shared" si="14"/>
        <v>95</v>
      </c>
      <c r="D275">
        <f>VLOOKUP(A275,怪物模型!A$15:Z$70,8,0)</f>
        <v>21</v>
      </c>
      <c r="E275">
        <f>VLOOKUP(A275,怪物模型!A$15:G$70,3,0)</f>
        <v>1</v>
      </c>
      <c r="F275">
        <f>VLOOKUP(A275,怪物模型!A$15:G$77,4,0)</f>
        <v>0.95</v>
      </c>
      <c r="G275">
        <v>1</v>
      </c>
      <c r="H275">
        <f>VLOOKUP(A275,怪物模型!A$15:G$77,5,0)</f>
        <v>13</v>
      </c>
      <c r="I275">
        <f>VLOOKUP(A275,怪物模型!A$15:G$77,6,0)</f>
        <v>0</v>
      </c>
      <c r="J275">
        <f>VLOOKUP(A275,怪物模型!A$15:G$77,7,0)</f>
        <v>0</v>
      </c>
      <c r="K275">
        <f>ROUND(VLOOKUP(C275,猎人难度!A$1:C$135,3,0)/VLOOKUP(B275,怪物抗性与玩家穿透!A$2:Q$74,17,0)*F275,0)</f>
        <v>2228150</v>
      </c>
      <c r="L275">
        <f>IF(A275="卡雷",42,IF(A275="法力风暴",ROUND(K275*0.1,0),VLOOKUP(A275,怪物模型!$A$15:$I$70,9,0)*(1+(B275-30)/100)))</f>
        <v>1510</v>
      </c>
      <c r="M275">
        <f>ROUND(VLOOKUP(C275,猎人难度!A$1:C$135,2,0)*0.91*E275,0)</f>
        <v>96596</v>
      </c>
      <c r="N275">
        <f t="shared" si="12"/>
        <v>115915</v>
      </c>
      <c r="O275">
        <f>VLOOKUP(B275,怪物抗性与玩家穿透!A$2:Q$74,4,0)</f>
        <v>18000</v>
      </c>
      <c r="P275">
        <f>VLOOKUP(B275,怪物抗性与玩家穿透!A$2:Q$74,5,0)</f>
        <v>5400</v>
      </c>
      <c r="Q275">
        <f t="shared" si="13"/>
        <v>5400</v>
      </c>
      <c r="R275">
        <f>ROUND(VLOOKUP(B275,[3]battleParameter.xml!$A$6:$E$107,5,0)*(I275/100)/(1-I275/100),0)</f>
        <v>0</v>
      </c>
      <c r="S275">
        <f>ROUND(VLOOKUP(B275,[3]battleParameter.xml!$A$6:$G$107,7,0)*(J275/100)/(1-J275/100),0)</f>
        <v>0</v>
      </c>
      <c r="T275">
        <f>ROUND(VLOOKUP(B275,[3]battleParameter.xml!$A$6:$Z$107,8,0)*(MIN(H275/100+0.2,0.99))/(1-MIN(H275/100+0.2,0.99)),0)</f>
        <v>2450</v>
      </c>
      <c r="U275">
        <v>0</v>
      </c>
      <c r="V275">
        <v>0</v>
      </c>
    </row>
    <row r="276" spans="1:22">
      <c r="A276" t="str">
        <f>[2]monster.xml!$D621</f>
        <v>迅捷的维恩</v>
      </c>
      <c r="B276">
        <f>[2]monster.xml!$C621</f>
        <v>82</v>
      </c>
      <c r="C276">
        <f t="shared" si="14"/>
        <v>96</v>
      </c>
      <c r="D276">
        <f>VLOOKUP(A276,怪物模型!A$15:Z$70,8,0)</f>
        <v>14</v>
      </c>
      <c r="E276">
        <f>VLOOKUP(A276,怪物模型!A$15:G$70,3,0)</f>
        <v>1</v>
      </c>
      <c r="F276">
        <f>VLOOKUP(A276,怪物模型!A$15:G$77,4,0)</f>
        <v>1</v>
      </c>
      <c r="G276">
        <v>1</v>
      </c>
      <c r="H276">
        <f>VLOOKUP(A276,怪物模型!A$15:G$77,5,0)</f>
        <v>0</v>
      </c>
      <c r="I276">
        <f>VLOOKUP(A276,怪物模型!A$15:G$77,6,0)</f>
        <v>0</v>
      </c>
      <c r="J276">
        <f>VLOOKUP(A276,怪物模型!A$15:G$77,7,0)</f>
        <v>0</v>
      </c>
      <c r="K276">
        <f>ROUND(VLOOKUP(C276,猎人难度!A$1:C$135,3,0)/VLOOKUP(B276,怪物抗性与玩家穿透!A$2:Q$74,17,0)*F276,0)</f>
        <v>2550809</v>
      </c>
      <c r="L276">
        <f>IF(A276="卡雷",42,IF(A276="法力风暴",ROUND(K276*0.1,0),VLOOKUP(A276,怪物模型!$A$15:$I$70,9,0)*(1+(B276-30)/100)))</f>
        <v>1520</v>
      </c>
      <c r="M276">
        <f>ROUND(VLOOKUP(C276,猎人难度!A$1:C$135,2,0)*0.91*E276,0)</f>
        <v>107144</v>
      </c>
      <c r="N276">
        <f t="shared" si="12"/>
        <v>128573</v>
      </c>
      <c r="O276">
        <f>VLOOKUP(B276,怪物抗性与玩家穿透!A$2:Q$74,4,0)</f>
        <v>18500</v>
      </c>
      <c r="P276">
        <f>VLOOKUP(B276,怪物抗性与玩家穿透!A$2:Q$74,5,0)</f>
        <v>5550</v>
      </c>
      <c r="Q276">
        <f t="shared" si="13"/>
        <v>5550</v>
      </c>
      <c r="R276">
        <f>ROUND(VLOOKUP(B276,[3]battleParameter.xml!$A$6:$E$107,5,0)*(I276/100)/(1-I276/100),0)</f>
        <v>0</v>
      </c>
      <c r="S276">
        <f>ROUND(VLOOKUP(B276,[3]battleParameter.xml!$A$6:$G$107,7,0)*(J276/100)/(1-J276/100),0)</f>
        <v>0</v>
      </c>
      <c r="T276">
        <f>ROUND(VLOOKUP(B276,[3]battleParameter.xml!$A$6:$Z$107,8,0)*(MIN(H276/100+0.2,0.99))/(1-MIN(H276/100+0.2,0.99)),0)</f>
        <v>1274</v>
      </c>
      <c r="U276">
        <v>0</v>
      </c>
      <c r="V276">
        <v>0</v>
      </c>
    </row>
    <row r="277" spans="1:22">
      <c r="A277" t="str">
        <f>[2]monster.xml!$D622</f>
        <v>暮光预言者</v>
      </c>
      <c r="B277">
        <f>[2]monster.xml!$C622</f>
        <v>82</v>
      </c>
      <c r="C277">
        <f t="shared" si="14"/>
        <v>97</v>
      </c>
      <c r="D277">
        <f>VLOOKUP(A277,怪物模型!A$15:Z$70,8,0)</f>
        <v>13</v>
      </c>
      <c r="E277">
        <f>VLOOKUP(A277,怪物模型!A$15:G$70,3,0)</f>
        <v>0.7</v>
      </c>
      <c r="F277">
        <f>VLOOKUP(A277,怪物模型!A$15:G$77,4,0)</f>
        <v>1</v>
      </c>
      <c r="G277">
        <v>1</v>
      </c>
      <c r="H277">
        <f>VLOOKUP(A277,怪物模型!A$15:G$77,5,0)</f>
        <v>0</v>
      </c>
      <c r="I277">
        <f>VLOOKUP(A277,怪物模型!A$15:G$77,6,0)</f>
        <v>0</v>
      </c>
      <c r="J277">
        <f>VLOOKUP(A277,怪物模型!A$15:G$77,7,0)</f>
        <v>0</v>
      </c>
      <c r="K277">
        <f>ROUND(VLOOKUP(C277,猎人难度!A$1:C$135,3,0)/VLOOKUP(B277,怪物抗性与玩家穿透!A$2:Q$74,17,0)*F277,0)</f>
        <v>2715792</v>
      </c>
      <c r="L277">
        <f>IF(A277="卡雷",42,IF(A277="法力风暴",ROUND(K277*0.1,0),VLOOKUP(A277,怪物模型!$A$15:$I$70,9,0)*(1+(B277-30)/100)))</f>
        <v>1216</v>
      </c>
      <c r="M277">
        <f>ROUND(VLOOKUP(C277,猎人难度!A$1:C$135,2,0)*0.91*E277,0)</f>
        <v>81224</v>
      </c>
      <c r="N277">
        <f t="shared" si="12"/>
        <v>97469</v>
      </c>
      <c r="O277">
        <f>VLOOKUP(B277,怪物抗性与玩家穿透!A$2:Q$74,4,0)</f>
        <v>18500</v>
      </c>
      <c r="P277">
        <f>VLOOKUP(B277,怪物抗性与玩家穿透!A$2:Q$74,5,0)</f>
        <v>5550</v>
      </c>
      <c r="Q277">
        <f t="shared" si="13"/>
        <v>5550</v>
      </c>
      <c r="R277">
        <f>ROUND(VLOOKUP(B277,[3]battleParameter.xml!$A$6:$E$107,5,0)*(I277/100)/(1-I277/100),0)</f>
        <v>0</v>
      </c>
      <c r="S277">
        <f>ROUND(VLOOKUP(B277,[3]battleParameter.xml!$A$6:$G$107,7,0)*(J277/100)/(1-J277/100),0)</f>
        <v>0</v>
      </c>
      <c r="T277">
        <f>ROUND(VLOOKUP(B277,[3]battleParameter.xml!$A$6:$Z$107,8,0)*(MIN(H277/100+0.2,0.99))/(1-MIN(H277/100+0.2,0.99)),0)</f>
        <v>1274</v>
      </c>
      <c r="U277">
        <v>0</v>
      </c>
      <c r="V277">
        <v>0</v>
      </c>
    </row>
    <row r="278" spans="1:22">
      <c r="A278" t="str">
        <f>[2]monster.xml!$D623</f>
        <v>卡雷</v>
      </c>
      <c r="B278">
        <f>[2]monster.xml!$C623</f>
        <v>83</v>
      </c>
      <c r="C278">
        <f t="shared" si="14"/>
        <v>98</v>
      </c>
      <c r="D278">
        <f>VLOOKUP(A278,怪物模型!A$15:Z$70,8,0)</f>
        <v>25</v>
      </c>
      <c r="E278">
        <f>VLOOKUP(A278,怪物模型!A$15:G$70,3,0)</f>
        <v>1.25</v>
      </c>
      <c r="F278">
        <f>VLOOKUP(A278,怪物模型!A$15:G$77,4,0)</f>
        <v>1</v>
      </c>
      <c r="G278">
        <v>1</v>
      </c>
      <c r="H278">
        <f>VLOOKUP(A278,怪物模型!A$15:G$77,5,0)</f>
        <v>13</v>
      </c>
      <c r="I278">
        <f>VLOOKUP(A278,怪物模型!A$15:G$77,6,0)</f>
        <v>0</v>
      </c>
      <c r="J278">
        <f>VLOOKUP(A278,怪物模型!A$15:G$77,7,0)</f>
        <v>0</v>
      </c>
      <c r="K278">
        <f>ROUND(VLOOKUP(C278,猎人难度!A$1:C$135,3,0)/VLOOKUP(B278,怪物抗性与玩家穿透!A$2:Q$74,17,0)*F278,0)</f>
        <v>2914660</v>
      </c>
      <c r="L278">
        <f>IF(A278="卡雷",42,IF(A278="法力风暴",ROUND(K278*0.1,0),VLOOKUP(A278,怪物模型!$A$15:$I$70,9,0)*(1+(B278-30)/100)))</f>
        <v>42</v>
      </c>
      <c r="M278">
        <f>ROUND(VLOOKUP(C278,猎人难度!A$1:C$135,2,0)*0.91*E278,0)</f>
        <v>157077</v>
      </c>
      <c r="N278">
        <f t="shared" si="12"/>
        <v>188492</v>
      </c>
      <c r="O278">
        <f>VLOOKUP(B278,怪物抗性与玩家穿透!A$2:Q$74,4,0)</f>
        <v>19000</v>
      </c>
      <c r="P278">
        <f>VLOOKUP(B278,怪物抗性与玩家穿透!A$2:Q$74,5,0)</f>
        <v>5700</v>
      </c>
      <c r="Q278">
        <f t="shared" si="13"/>
        <v>5700</v>
      </c>
      <c r="R278">
        <f>ROUND(VLOOKUP(B278,[3]battleParameter.xml!$A$6:$E$107,5,0)*(I278/100)/(1-I278/100),0)</f>
        <v>0</v>
      </c>
      <c r="S278">
        <f>ROUND(VLOOKUP(B278,[3]battleParameter.xml!$A$6:$G$107,7,0)*(J278/100)/(1-J278/100),0)</f>
        <v>0</v>
      </c>
      <c r="T278">
        <f>ROUND(VLOOKUP(B278,[3]battleParameter.xml!$A$6:$Z$107,8,0)*(MIN(H278/100+0.2,0.99))/(1-MIN(H278/100+0.2,0.99)),0)</f>
        <v>2572</v>
      </c>
      <c r="U278">
        <v>0</v>
      </c>
      <c r="V278">
        <v>0</v>
      </c>
    </row>
    <row r="279" spans="1:22">
      <c r="A279" t="str">
        <f>[2]monster.xml!$D624</f>
        <v>日光弗雷尔</v>
      </c>
      <c r="B279">
        <f>[2]monster.xml!$C624</f>
        <v>84</v>
      </c>
      <c r="C279">
        <f t="shared" si="14"/>
        <v>99</v>
      </c>
      <c r="D279">
        <f>VLOOKUP(A279,怪物模型!A$15:Z$70,8,0)</f>
        <v>28</v>
      </c>
      <c r="E279">
        <f>VLOOKUP(A279,怪物模型!A$15:G$70,3,0)</f>
        <v>0.9</v>
      </c>
      <c r="F279">
        <f>VLOOKUP(A279,怪物模型!A$15:G$77,4,0)</f>
        <v>0.9</v>
      </c>
      <c r="G279">
        <v>1</v>
      </c>
      <c r="H279">
        <f>VLOOKUP(A279,怪物模型!A$15:G$77,5,0)</f>
        <v>13</v>
      </c>
      <c r="I279">
        <f>VLOOKUP(A279,怪物模型!A$15:G$77,6,0)</f>
        <v>0</v>
      </c>
      <c r="J279">
        <f>VLOOKUP(A279,怪物模型!A$15:G$77,7,0)</f>
        <v>0</v>
      </c>
      <c r="K279">
        <f>ROUND(VLOOKUP(C279,猎人难度!A$1:C$135,3,0)/VLOOKUP(B279,怪物抗性与玩家穿透!A$2:Q$74,17,0)*F279,0)</f>
        <v>2876288</v>
      </c>
      <c r="L279">
        <f>IF(A279="卡雷",42,IF(A279="法力风暴",ROUND(K279*0.1,0),VLOOKUP(A279,怪物模型!$A$15:$I$70,9,0)*(1+(B279-30)/100)))</f>
        <v>1540</v>
      </c>
      <c r="M279">
        <f>ROUND(VLOOKUP(C279,猎人难度!A$1:C$135,2,0)*0.91*E279,0)</f>
        <v>125778</v>
      </c>
      <c r="N279">
        <f t="shared" si="12"/>
        <v>150934</v>
      </c>
      <c r="O279">
        <f>VLOOKUP(B279,怪物抗性与玩家穿透!A$2:Q$74,4,0)</f>
        <v>19500</v>
      </c>
      <c r="P279">
        <f>VLOOKUP(B279,怪物抗性与玩家穿透!A$2:Q$74,5,0)</f>
        <v>5850</v>
      </c>
      <c r="Q279">
        <f t="shared" si="13"/>
        <v>5850</v>
      </c>
      <c r="R279">
        <f>ROUND(VLOOKUP(B279,[3]battleParameter.xml!$A$6:$E$107,5,0)*(I279/100)/(1-I279/100),0)</f>
        <v>0</v>
      </c>
      <c r="S279">
        <f>ROUND(VLOOKUP(B279,[3]battleParameter.xml!$A$6:$G$107,7,0)*(J279/100)/(1-J279/100),0)</f>
        <v>0</v>
      </c>
      <c r="T279">
        <f>ROUND(VLOOKUP(B279,[3]battleParameter.xml!$A$6:$Z$107,8,0)*(MIN(H279/100+0.2,0.99))/(1-MIN(H279/100+0.2,0.99)),0)</f>
        <v>2634</v>
      </c>
      <c r="U279">
        <v>0</v>
      </c>
      <c r="V279">
        <v>0</v>
      </c>
    </row>
    <row r="280" spans="1:22">
      <c r="A280" t="str">
        <f>[2]monster.xml!$D625</f>
        <v>咒术大师</v>
      </c>
      <c r="B280">
        <f>[2]monster.xml!$C625</f>
        <v>85</v>
      </c>
      <c r="C280">
        <f t="shared" si="14"/>
        <v>100</v>
      </c>
      <c r="D280" t="str">
        <f>VLOOKUP(A280,怪物模型!A$15:Z$70,8,0)</f>
        <v>22,27</v>
      </c>
      <c r="E280">
        <f>VLOOKUP(A280,怪物模型!A$15:G$70,3,0)</f>
        <v>0.45</v>
      </c>
      <c r="F280">
        <f>VLOOKUP(A280,怪物模型!A$15:G$77,4,0)</f>
        <v>0.7</v>
      </c>
      <c r="G280">
        <v>1</v>
      </c>
      <c r="H280">
        <f>VLOOKUP(A280,怪物模型!A$15:G$77,5,0)</f>
        <v>13</v>
      </c>
      <c r="I280">
        <f>VLOOKUP(A280,怪物模型!A$15:G$77,6,0)</f>
        <v>0</v>
      </c>
      <c r="J280">
        <f>VLOOKUP(A280,怪物模型!A$15:G$77,7,0)</f>
        <v>0</v>
      </c>
      <c r="K280">
        <f>ROUND(VLOOKUP(C280,猎人难度!A$1:C$135,3,0)/VLOOKUP(B280,怪物抗性与玩家穿透!A$2:Q$74,17,0)*F280,0)</f>
        <v>1664429</v>
      </c>
      <c r="L280">
        <f>IF(A280="卡雷",42,IF(A280="法力风暴",ROUND(K280*0.1,0),VLOOKUP(A280,怪物模型!$A$15:$I$70,9,0)*(1+(B280-30)/100)))</f>
        <v>7750</v>
      </c>
      <c r="M280">
        <f>ROUND(VLOOKUP(C280,猎人难度!A$1:C$135,2,0)*0.91*E280,0)</f>
        <v>61737</v>
      </c>
      <c r="N280">
        <f t="shared" si="12"/>
        <v>74084</v>
      </c>
      <c r="O280">
        <f>VLOOKUP(B280,怪物抗性与玩家穿透!A$2:Q$74,4,0)</f>
        <v>20000</v>
      </c>
      <c r="P280">
        <f>VLOOKUP(B280,怪物抗性与玩家穿透!A$2:Q$74,5,0)</f>
        <v>6000</v>
      </c>
      <c r="Q280">
        <f t="shared" si="13"/>
        <v>6000</v>
      </c>
      <c r="R280">
        <f>ROUND(VLOOKUP(B280,[3]battleParameter.xml!$A$6:$E$107,5,0)*(I280/100)/(1-I280/100),0)</f>
        <v>0</v>
      </c>
      <c r="S280">
        <f>ROUND(VLOOKUP(B280,[3]battleParameter.xml!$A$6:$G$107,7,0)*(J280/100)/(1-J280/100),0)</f>
        <v>0</v>
      </c>
      <c r="T280">
        <f>ROUND(VLOOKUP(B280,[3]battleParameter.xml!$A$6:$Z$107,8,0)*(MIN(H280/100+0.2,0.99))/(1-MIN(H280/100+0.2,0.99)),0)</f>
        <v>2697</v>
      </c>
      <c r="U280">
        <v>0</v>
      </c>
      <c r="V280">
        <v>0</v>
      </c>
    </row>
    <row r="281" spans="1:22">
      <c r="A281" t="str">
        <f>[2]monster.xml!$D626</f>
        <v>拨弄的赛亚</v>
      </c>
      <c r="B281">
        <f>[2]monster.xml!$C626</f>
        <v>85</v>
      </c>
      <c r="C281">
        <f t="shared" si="14"/>
        <v>101</v>
      </c>
      <c r="D281" t="str">
        <f>VLOOKUP(A281,怪物模型!A$15:Z$70,8,0)</f>
        <v>17,18,8</v>
      </c>
      <c r="E281">
        <f>VLOOKUP(A281,怪物模型!A$15:G$70,3,0)</f>
        <v>1.2</v>
      </c>
      <c r="F281">
        <f>VLOOKUP(A281,怪物模型!A$15:G$77,4,0)</f>
        <v>1</v>
      </c>
      <c r="G281">
        <v>1</v>
      </c>
      <c r="H281">
        <f>VLOOKUP(A281,怪物模型!A$15:G$77,5,0)</f>
        <v>13</v>
      </c>
      <c r="I281">
        <f>VLOOKUP(A281,怪物模型!A$15:G$77,6,0)</f>
        <v>0</v>
      </c>
      <c r="J281">
        <f>VLOOKUP(A281,怪物模型!A$15:G$77,7,0)</f>
        <v>0</v>
      </c>
      <c r="K281">
        <f>ROUND(VLOOKUP(C281,猎人难度!A$1:C$135,3,0)/VLOOKUP(B281,怪物抗性与玩家穿透!A$2:Q$74,17,0)*F281,0)</f>
        <v>2552728</v>
      </c>
      <c r="L281">
        <f>IF(A281="卡雷",42,IF(A281="法力风暴",ROUND(K281*0.1,0),VLOOKUP(A281,怪物模型!$A$15:$I$70,9,0)*(1+(B281-30)/100)))</f>
        <v>4650</v>
      </c>
      <c r="M281">
        <f>ROUND(VLOOKUP(C281,猎人难度!A$1:C$135,2,0)*0.91*E281,0)</f>
        <v>184171</v>
      </c>
      <c r="N281">
        <f t="shared" si="12"/>
        <v>221005</v>
      </c>
      <c r="O281">
        <f>VLOOKUP(B281,怪物抗性与玩家穿透!A$2:Q$74,4,0)</f>
        <v>20000</v>
      </c>
      <c r="P281">
        <f>VLOOKUP(B281,怪物抗性与玩家穿透!A$2:Q$74,5,0)</f>
        <v>6000</v>
      </c>
      <c r="Q281">
        <f t="shared" si="13"/>
        <v>6000</v>
      </c>
      <c r="R281">
        <f>ROUND(VLOOKUP(B281,[3]battleParameter.xml!$A$6:$E$107,5,0)*(I281/100)/(1-I281/100),0)</f>
        <v>0</v>
      </c>
      <c r="S281">
        <f>ROUND(VLOOKUP(B281,[3]battleParameter.xml!$A$6:$G$107,7,0)*(J281/100)/(1-J281/100),0)</f>
        <v>0</v>
      </c>
      <c r="T281">
        <f>ROUND(VLOOKUP(B281,[3]battleParameter.xml!$A$6:$Z$107,8,0)*(MIN(H281/100+0.2,0.99))/(1-MIN(H281/100+0.2,0.99)),0)</f>
        <v>2697</v>
      </c>
      <c r="U281">
        <v>0</v>
      </c>
      <c r="V281">
        <v>0</v>
      </c>
    </row>
    <row r="282" spans="1:22">
      <c r="A282" t="str">
        <f>[2]monster.xml!$D627</f>
        <v>法力风暴</v>
      </c>
      <c r="B282">
        <f>[2]monster.xml!$C627</f>
        <v>86</v>
      </c>
      <c r="C282">
        <f t="shared" si="14"/>
        <v>102</v>
      </c>
      <c r="D282" t="str">
        <f>VLOOKUP(A282,怪物模型!A$15:Z$70,8,0)</f>
        <v>25,30</v>
      </c>
      <c r="E282">
        <f>VLOOKUP(A282,怪物模型!A$15:G$70,3,0)</f>
        <v>1.5</v>
      </c>
      <c r="F282">
        <f>VLOOKUP(A282,怪物模型!A$15:G$77,4,0)</f>
        <v>0.68</v>
      </c>
      <c r="G282">
        <v>1</v>
      </c>
      <c r="H282">
        <f>VLOOKUP(A282,怪物模型!A$15:G$77,5,0)</f>
        <v>13</v>
      </c>
      <c r="I282">
        <f>VLOOKUP(A282,怪物模型!A$15:G$77,6,0)</f>
        <v>0</v>
      </c>
      <c r="J282">
        <f>VLOOKUP(A282,怪物模型!A$15:G$77,7,0)</f>
        <v>0</v>
      </c>
      <c r="K282">
        <f>ROUND(VLOOKUP(C282,猎人难度!A$1:C$135,3,0)/VLOOKUP(B282,怪物抗性与玩家穿透!A$2:Q$74,17,0)*F282,0)</f>
        <v>1883197</v>
      </c>
      <c r="L282">
        <f>IF(A282="卡雷",42,IF(A282="法力风暴",ROUND(K282*0.1,0),VLOOKUP(A282,怪物模型!$A$15:$I$70,9,0)*(1+(B282-30)/100)))</f>
        <v>188320</v>
      </c>
      <c r="M282">
        <f>ROUND(VLOOKUP(C282,猎人难度!A$1:C$135,2,0)*0.91*E282,0)</f>
        <v>267350</v>
      </c>
      <c r="N282">
        <f t="shared" si="12"/>
        <v>320820</v>
      </c>
      <c r="O282">
        <f>VLOOKUP(B282,怪物抗性与玩家穿透!A$2:Q$74,4,0)</f>
        <v>21000</v>
      </c>
      <c r="P282">
        <f>VLOOKUP(B282,怪物抗性与玩家穿透!A$2:Q$74,5,0)</f>
        <v>6400</v>
      </c>
      <c r="Q282">
        <f t="shared" si="13"/>
        <v>6400</v>
      </c>
      <c r="R282">
        <f>ROUND(VLOOKUP(B282,[3]battleParameter.xml!$A$6:$E$107,5,0)*(I282/100)/(1-I282/100),0)</f>
        <v>0</v>
      </c>
      <c r="S282">
        <f>ROUND(VLOOKUP(B282,[3]battleParameter.xml!$A$6:$G$107,7,0)*(J282/100)/(1-J282/100),0)</f>
        <v>0</v>
      </c>
      <c r="T282">
        <f>ROUND(VLOOKUP(B282,[3]battleParameter.xml!$A$6:$Z$107,8,0)*(MIN(H282/100+0.2,0.99))/(1-MIN(H282/100+0.2,0.99)),0)</f>
        <v>2760</v>
      </c>
      <c r="U282">
        <v>0</v>
      </c>
      <c r="V282">
        <v>0</v>
      </c>
    </row>
    <row r="283" spans="1:22">
      <c r="A283" t="str">
        <f>[2]monster.xml!$D628</f>
        <v>火舞者</v>
      </c>
      <c r="B283">
        <f>[2]monster.xml!$C628</f>
        <v>86</v>
      </c>
      <c r="C283">
        <f t="shared" si="14"/>
        <v>103</v>
      </c>
      <c r="D283">
        <f>VLOOKUP(A283,怪物模型!A$15:Z$70,8,0)</f>
        <v>29</v>
      </c>
      <c r="E283">
        <f>VLOOKUP(A283,怪物模型!A$15:G$70,3,0)</f>
        <v>1</v>
      </c>
      <c r="F283">
        <f>VLOOKUP(A283,怪物模型!A$15:G$77,4,0)</f>
        <v>0.95</v>
      </c>
      <c r="G283">
        <v>1</v>
      </c>
      <c r="H283">
        <f>VLOOKUP(A283,怪物模型!A$15:G$77,5,0)</f>
        <v>13</v>
      </c>
      <c r="I283">
        <f>VLOOKUP(A283,怪物模型!A$15:G$77,6,0)</f>
        <v>0</v>
      </c>
      <c r="J283">
        <f>VLOOKUP(A283,怪物模型!A$15:G$77,7,0)</f>
        <v>0</v>
      </c>
      <c r="K283">
        <f>ROUND(VLOOKUP(C283,猎人难度!A$1:C$135,3,0)/VLOOKUP(B283,怪物抗性与玩家穿透!A$2:Q$74,17,0)*F283,0)</f>
        <v>2786300</v>
      </c>
      <c r="L283">
        <f>IF(A283="卡雷",42,IF(A283="法力风暴",ROUND(K283*0.1,0),VLOOKUP(A283,怪物模型!$A$15:$I$70,9,0)*(1+(B283-30)/100)))</f>
        <v>1560</v>
      </c>
      <c r="M283">
        <f>ROUND(VLOOKUP(C283,猎人难度!A$1:C$135,2,0)*0.91*E283,0)</f>
        <v>193359</v>
      </c>
      <c r="N283">
        <f t="shared" si="12"/>
        <v>232031</v>
      </c>
      <c r="O283">
        <f>VLOOKUP(B283,怪物抗性与玩家穿透!A$2:Q$74,4,0)</f>
        <v>21000</v>
      </c>
      <c r="P283">
        <f>VLOOKUP(B283,怪物抗性与玩家穿透!A$2:Q$74,5,0)</f>
        <v>6400</v>
      </c>
      <c r="Q283">
        <f t="shared" si="13"/>
        <v>6400</v>
      </c>
      <c r="R283">
        <f>ROUND(VLOOKUP(B283,[3]battleParameter.xml!$A$6:$E$107,5,0)*(I283/100)/(1-I283/100),0)</f>
        <v>0</v>
      </c>
      <c r="S283">
        <f>ROUND(VLOOKUP(B283,[3]battleParameter.xml!$A$6:$G$107,7,0)*(J283/100)/(1-J283/100),0)</f>
        <v>0</v>
      </c>
      <c r="T283">
        <f>ROUND(VLOOKUP(B283,[3]battleParameter.xml!$A$6:$Z$107,8,0)*(MIN(H283/100+0.2,0.99))/(1-MIN(H283/100+0.2,0.99)),0)</f>
        <v>2760</v>
      </c>
      <c r="U283">
        <v>0</v>
      </c>
      <c r="V283">
        <v>0</v>
      </c>
    </row>
    <row r="284" spans="1:22">
      <c r="A284" t="str">
        <f>[2]monster.xml!$D629</f>
        <v>血誓审判者</v>
      </c>
      <c r="B284">
        <f>[2]monster.xml!$C629</f>
        <v>86</v>
      </c>
      <c r="C284">
        <f t="shared" si="14"/>
        <v>104</v>
      </c>
      <c r="D284">
        <f>VLOOKUP(A284,怪物模型!A$15:Z$70,8,0)</f>
        <v>5</v>
      </c>
      <c r="E284">
        <f>VLOOKUP(A284,怪物模型!A$15:G$70,3,0)</f>
        <v>0.28000000000000003</v>
      </c>
      <c r="F284">
        <f>VLOOKUP(A284,怪物模型!A$15:G$77,4,0)</f>
        <v>0.45</v>
      </c>
      <c r="G284">
        <v>1</v>
      </c>
      <c r="H284">
        <f>VLOOKUP(A284,怪物模型!A$15:G$77,5,0)</f>
        <v>13</v>
      </c>
      <c r="I284">
        <f>VLOOKUP(A284,怪物模型!A$15:G$77,6,0)</f>
        <v>0</v>
      </c>
      <c r="J284">
        <f>VLOOKUP(A284,怪物模型!A$15:G$77,7,0)</f>
        <v>0</v>
      </c>
      <c r="K284">
        <f>ROUND(VLOOKUP(C284,猎人难度!A$1:C$135,3,0)/VLOOKUP(B284,怪物抗性与玩家穿透!A$2:Q$74,17,0)*F284,0)</f>
        <v>1397765</v>
      </c>
      <c r="L284">
        <f>IF(A284="卡雷",42,IF(A284="法力风暴",ROUND(K284*0.1,0),VLOOKUP(A284,怪物模型!$A$15:$I$70,9,0)*(1+(B284-30)/100)))</f>
        <v>1560</v>
      </c>
      <c r="M284">
        <f>ROUND(VLOOKUP(C284,猎人难度!A$1:C$135,2,0)*0.91*E284,0)</f>
        <v>58734</v>
      </c>
      <c r="N284">
        <f t="shared" si="12"/>
        <v>70481</v>
      </c>
      <c r="O284">
        <f>VLOOKUP(B284,怪物抗性与玩家穿透!A$2:Q$74,4,0)</f>
        <v>21000</v>
      </c>
      <c r="P284">
        <f>VLOOKUP(B284,怪物抗性与玩家穿透!A$2:Q$74,5,0)</f>
        <v>6400</v>
      </c>
      <c r="Q284">
        <f t="shared" si="13"/>
        <v>6400</v>
      </c>
      <c r="R284">
        <f>ROUND(VLOOKUP(B284,[3]battleParameter.xml!$A$6:$E$107,5,0)*(I284/100)/(1-I284/100),0)</f>
        <v>0</v>
      </c>
      <c r="S284">
        <f>ROUND(VLOOKUP(B284,[3]battleParameter.xml!$A$6:$G$107,7,0)*(J284/100)/(1-J284/100),0)</f>
        <v>0</v>
      </c>
      <c r="T284">
        <f>ROUND(VLOOKUP(B284,[3]battleParameter.xml!$A$6:$Z$107,8,0)*(MIN(H284/100+0.2,0.99))/(1-MIN(H284/100+0.2,0.99)),0)</f>
        <v>2760</v>
      </c>
      <c r="U284">
        <v>0</v>
      </c>
      <c r="V284">
        <v>0</v>
      </c>
    </row>
    <row r="285" spans="1:22">
      <c r="A285" t="str">
        <f>[2]monster.xml!$D630</f>
        <v>血誓预言者</v>
      </c>
      <c r="B285">
        <f>[2]monster.xml!$C630</f>
        <v>86</v>
      </c>
      <c r="C285">
        <f t="shared" si="14"/>
        <v>104</v>
      </c>
      <c r="D285">
        <f>VLOOKUP(A285,怪物模型!A$15:Z$70,8,0)</f>
        <v>2</v>
      </c>
      <c r="E285">
        <f>VLOOKUP(A285,怪物模型!A$15:G$70,3,0)</f>
        <v>0.3</v>
      </c>
      <c r="F285">
        <f>VLOOKUP(A285,怪物模型!A$15:G$77,4,0)</f>
        <v>0.42</v>
      </c>
      <c r="G285">
        <v>1</v>
      </c>
      <c r="H285">
        <f>VLOOKUP(A285,怪物模型!A$15:G$77,5,0)</f>
        <v>13</v>
      </c>
      <c r="I285">
        <f>VLOOKUP(A285,怪物模型!A$15:G$77,6,0)</f>
        <v>0</v>
      </c>
      <c r="J285">
        <f>VLOOKUP(A285,怪物模型!A$15:G$77,7,0)</f>
        <v>0</v>
      </c>
      <c r="K285">
        <f>ROUND(VLOOKUP(C285,猎人难度!A$1:C$135,3,0)/VLOOKUP(B285,怪物抗性与玩家穿透!A$2:Q$74,17,0)*F285,0)</f>
        <v>1304580</v>
      </c>
      <c r="L285">
        <f>IF(A285="卡雷",42,IF(A285="法力风暴",ROUND(K285*0.1,0),VLOOKUP(A285,怪物模型!$A$15:$I$70,9,0)*(1+(B285-30)/100)))</f>
        <v>1248</v>
      </c>
      <c r="M285">
        <f>ROUND(VLOOKUP(C285,猎人难度!A$1:C$135,2,0)*0.91*E285,0)</f>
        <v>62930</v>
      </c>
      <c r="N285">
        <f t="shared" si="12"/>
        <v>75516</v>
      </c>
      <c r="O285">
        <f>VLOOKUP(B285,怪物抗性与玩家穿透!A$2:Q$74,4,0)</f>
        <v>21000</v>
      </c>
      <c r="P285">
        <f>VLOOKUP(B285,怪物抗性与玩家穿透!A$2:Q$74,5,0)</f>
        <v>6400</v>
      </c>
      <c r="Q285">
        <f t="shared" si="13"/>
        <v>6400</v>
      </c>
      <c r="R285">
        <f>ROUND(VLOOKUP(B285,[3]battleParameter.xml!$A$6:$E$107,5,0)*(I285/100)/(1-I285/100),0)</f>
        <v>0</v>
      </c>
      <c r="S285">
        <f>ROUND(VLOOKUP(B285,[3]battleParameter.xml!$A$6:$G$107,7,0)*(J285/100)/(1-J285/100),0)</f>
        <v>0</v>
      </c>
      <c r="T285">
        <f>ROUND(VLOOKUP(B285,[3]battleParameter.xml!$A$6:$Z$107,8,0)*(MIN(H285/100+0.2,0.99))/(1-MIN(H285/100+0.2,0.99)),0)</f>
        <v>2760</v>
      </c>
      <c r="U285">
        <v>0</v>
      </c>
      <c r="V285">
        <v>0</v>
      </c>
    </row>
    <row r="286" spans="1:22">
      <c r="A286" t="str">
        <f>[2]monster.xml!$D631</f>
        <v>血誓召唤者</v>
      </c>
      <c r="B286">
        <f>[2]monster.xml!$C631</f>
        <v>86</v>
      </c>
      <c r="C286">
        <f t="shared" si="14"/>
        <v>104</v>
      </c>
      <c r="D286">
        <f>VLOOKUP(A286,怪物模型!A$15:Z$70,8,0)</f>
        <v>26</v>
      </c>
      <c r="E286">
        <f>VLOOKUP(A286,怪物模型!A$15:G$70,3,0)</f>
        <v>0.36</v>
      </c>
      <c r="F286">
        <f>VLOOKUP(A286,怪物模型!A$15:G$77,4,0)</f>
        <v>0.44</v>
      </c>
      <c r="G286">
        <v>1</v>
      </c>
      <c r="H286">
        <f>VLOOKUP(A286,怪物模型!A$15:G$77,5,0)</f>
        <v>13</v>
      </c>
      <c r="I286">
        <f>VLOOKUP(A286,怪物模型!A$15:G$77,6,0)</f>
        <v>0</v>
      </c>
      <c r="J286">
        <f>VLOOKUP(A286,怪物模型!A$15:G$77,7,0)</f>
        <v>0</v>
      </c>
      <c r="K286">
        <f>ROUND(VLOOKUP(C286,猎人难度!A$1:C$135,3,0)/VLOOKUP(B286,怪物抗性与玩家穿透!A$2:Q$74,17,0)*F286,0)</f>
        <v>1366703</v>
      </c>
      <c r="L286">
        <f>IF(A286="卡雷",42,IF(A286="法力风暴",ROUND(K286*0.1,0),VLOOKUP(A286,怪物模型!$A$15:$I$70,9,0)*(1+(B286-30)/100)))</f>
        <v>1560</v>
      </c>
      <c r="M286">
        <f>ROUND(VLOOKUP(C286,猎人难度!A$1:C$135,2,0)*0.91*E286,0)</f>
        <v>75516</v>
      </c>
      <c r="N286">
        <f t="shared" si="12"/>
        <v>90619</v>
      </c>
      <c r="O286">
        <f>VLOOKUP(B286,怪物抗性与玩家穿透!A$2:Q$74,4,0)</f>
        <v>21000</v>
      </c>
      <c r="P286">
        <f>VLOOKUP(B286,怪物抗性与玩家穿透!A$2:Q$74,5,0)</f>
        <v>6400</v>
      </c>
      <c r="Q286">
        <f t="shared" si="13"/>
        <v>6400</v>
      </c>
      <c r="R286">
        <f>ROUND(VLOOKUP(B286,[3]battleParameter.xml!$A$6:$E$107,5,0)*(I286/100)/(1-I286/100),0)</f>
        <v>0</v>
      </c>
      <c r="S286">
        <f>ROUND(VLOOKUP(B286,[3]battleParameter.xml!$A$6:$G$107,7,0)*(J286/100)/(1-J286/100),0)</f>
        <v>0</v>
      </c>
      <c r="T286">
        <f>ROUND(VLOOKUP(B286,[3]battleParameter.xml!$A$6:$Z$107,8,0)*(MIN(H286/100+0.2,0.99))/(1-MIN(H286/100+0.2,0.99)),0)</f>
        <v>2760</v>
      </c>
      <c r="U286">
        <v>0</v>
      </c>
      <c r="V286">
        <v>0</v>
      </c>
    </row>
    <row r="287" spans="1:22">
      <c r="A287" t="str">
        <f>[2]monster.xml!$D632</f>
        <v>血誓领主</v>
      </c>
      <c r="B287">
        <f>[2]monster.xml!$C632</f>
        <v>86</v>
      </c>
      <c r="C287">
        <f t="shared" si="14"/>
        <v>104</v>
      </c>
      <c r="D287">
        <f>VLOOKUP(A287,怪物模型!A$15:Z$70,8,0)</f>
        <v>14</v>
      </c>
      <c r="E287">
        <f>VLOOKUP(A287,怪物模型!A$15:G$70,3,0)</f>
        <v>0.36</v>
      </c>
      <c r="F287">
        <f>VLOOKUP(A287,怪物模型!A$15:G$77,4,0)</f>
        <v>0.43</v>
      </c>
      <c r="G287">
        <v>1</v>
      </c>
      <c r="H287">
        <f>VLOOKUP(A287,怪物模型!A$15:G$77,5,0)</f>
        <v>13</v>
      </c>
      <c r="I287">
        <f>VLOOKUP(A287,怪物模型!A$15:G$77,6,0)</f>
        <v>0</v>
      </c>
      <c r="J287">
        <f>VLOOKUP(A287,怪物模型!A$15:G$77,7,0)</f>
        <v>0</v>
      </c>
      <c r="K287">
        <f>ROUND(VLOOKUP(C287,猎人难度!A$1:C$135,3,0)/VLOOKUP(B287,怪物抗性与玩家穿透!A$2:Q$74,17,0)*F287,0)</f>
        <v>1335642</v>
      </c>
      <c r="L287">
        <f>IF(A287="卡雷",42,IF(A287="法力风暴",ROUND(K287*0.1,0),VLOOKUP(A287,怪物模型!$A$15:$I$70,9,0)*(1+(B287-30)/100)))</f>
        <v>1560</v>
      </c>
      <c r="M287">
        <f>ROUND(VLOOKUP(C287,猎人难度!A$1:C$135,2,0)*0.91*E287,0)</f>
        <v>75516</v>
      </c>
      <c r="N287">
        <f t="shared" si="12"/>
        <v>90619</v>
      </c>
      <c r="O287">
        <f>VLOOKUP(B287,怪物抗性与玩家穿透!A$2:Q$74,4,0)</f>
        <v>21000</v>
      </c>
      <c r="P287">
        <f>VLOOKUP(B287,怪物抗性与玩家穿透!A$2:Q$74,5,0)</f>
        <v>6400</v>
      </c>
      <c r="Q287">
        <f t="shared" si="13"/>
        <v>6400</v>
      </c>
      <c r="R287">
        <f>ROUND(VLOOKUP(B287,[3]battleParameter.xml!$A$6:$E$107,5,0)*(I287/100)/(1-I287/100),0)</f>
        <v>0</v>
      </c>
      <c r="S287">
        <f>ROUND(VLOOKUP(B287,[3]battleParameter.xml!$A$6:$G$107,7,0)*(J287/100)/(1-J287/100),0)</f>
        <v>0</v>
      </c>
      <c r="T287">
        <f>ROUND(VLOOKUP(B287,[3]battleParameter.xml!$A$6:$Z$107,8,0)*(MIN(H287/100+0.2,0.99))/(1-MIN(H287/100+0.2,0.99)),0)</f>
        <v>2760</v>
      </c>
      <c r="U287">
        <v>0</v>
      </c>
      <c r="V287">
        <v>0</v>
      </c>
    </row>
    <row r="288" spans="1:22">
      <c r="A288" t="str">
        <f>[2]monster.xml!$D633</f>
        <v>舞钢者拜伦</v>
      </c>
      <c r="B288">
        <f>[2]monster.xml!$C633</f>
        <v>87</v>
      </c>
      <c r="C288">
        <f t="shared" si="14"/>
        <v>105</v>
      </c>
      <c r="D288">
        <f>VLOOKUP(A288,怪物模型!A$15:Z$70,8,0)</f>
        <v>8</v>
      </c>
      <c r="E288">
        <f>VLOOKUP(A288,怪物模型!A$15:G$70,3,0)</f>
        <v>0.8</v>
      </c>
      <c r="F288">
        <f>VLOOKUP(A288,怪物模型!A$15:G$77,4,0)</f>
        <v>1</v>
      </c>
      <c r="G288">
        <v>1</v>
      </c>
      <c r="H288">
        <f>VLOOKUP(A288,怪物模型!A$15:G$77,5,0)</f>
        <v>13</v>
      </c>
      <c r="I288">
        <f>VLOOKUP(A288,怪物模型!A$15:G$77,6,0)</f>
        <v>0</v>
      </c>
      <c r="J288">
        <f>VLOOKUP(A288,怪物模型!A$15:G$77,7,0)</f>
        <v>0</v>
      </c>
      <c r="K288">
        <f>ROUND(VLOOKUP(C288,猎人难度!A$1:C$135,3,0)/VLOOKUP(B288,怪物抗性与玩家穿透!A$2:Q$74,17,0)*F288,0)</f>
        <v>3316050</v>
      </c>
      <c r="L288">
        <f>IF(A288="卡雷",42,IF(A288="法力风暴",ROUND(K288*0.1,0),VLOOKUP(A288,怪物模型!$A$15:$I$70,9,0)*(1+(B288-30)/100)))</f>
        <v>1569.9999999999998</v>
      </c>
      <c r="M288">
        <f>ROUND(VLOOKUP(C288,猎人难度!A$1:C$135,2,0)*0.91*E288,0)</f>
        <v>187064</v>
      </c>
      <c r="N288">
        <f t="shared" si="12"/>
        <v>224477</v>
      </c>
      <c r="O288">
        <f>VLOOKUP(B288,怪物抗性与玩家穿透!A$2:Q$74,4,0)</f>
        <v>22000</v>
      </c>
      <c r="P288">
        <f>VLOOKUP(B288,怪物抗性与玩家穿透!A$2:Q$74,5,0)</f>
        <v>6800</v>
      </c>
      <c r="Q288">
        <f t="shared" si="13"/>
        <v>6800</v>
      </c>
      <c r="R288">
        <f>ROUND(VLOOKUP(B288,[3]battleParameter.xml!$A$6:$E$107,5,0)*(I288/100)/(1-I288/100),0)</f>
        <v>0</v>
      </c>
      <c r="S288">
        <f>ROUND(VLOOKUP(B288,[3]battleParameter.xml!$A$6:$G$107,7,0)*(J288/100)/(1-J288/100),0)</f>
        <v>0</v>
      </c>
      <c r="T288">
        <f>ROUND(VLOOKUP(B288,[3]battleParameter.xml!$A$6:$Z$107,8,0)*(MIN(H288/100+0.2,0.99))/(1-MIN(H288/100+0.2,0.99)),0)</f>
        <v>2824</v>
      </c>
      <c r="U288">
        <v>0</v>
      </c>
      <c r="V288">
        <v>0</v>
      </c>
    </row>
    <row r="289" spans="1:22">
      <c r="A289" t="str">
        <f>[2]monster.xml!$D634</f>
        <v>风暴之王</v>
      </c>
      <c r="B289">
        <f>[2]monster.xml!$C634</f>
        <v>87</v>
      </c>
      <c r="C289">
        <f t="shared" si="14"/>
        <v>106</v>
      </c>
      <c r="D289">
        <f>VLOOKUP(A289,怪物模型!A$15:Z$70,8,0)</f>
        <v>6</v>
      </c>
      <c r="E289">
        <f>VLOOKUP(A289,怪物模型!A$15:G$70,3,0)</f>
        <v>0.8</v>
      </c>
      <c r="F289">
        <f>VLOOKUP(A289,怪物模型!A$15:G$77,4,0)</f>
        <v>0.92</v>
      </c>
      <c r="G289">
        <v>1</v>
      </c>
      <c r="H289">
        <f>VLOOKUP(A289,怪物模型!A$15:G$77,5,0)</f>
        <v>13</v>
      </c>
      <c r="I289">
        <f>VLOOKUP(A289,怪物模型!A$15:G$77,6,0)</f>
        <v>0</v>
      </c>
      <c r="J289">
        <f>VLOOKUP(A289,怪物模型!A$15:G$77,7,0)</f>
        <v>0</v>
      </c>
      <c r="K289">
        <f>ROUND(VLOOKUP(C289,猎人难度!A$1:C$135,3,0)/VLOOKUP(B289,怪物抗性与玩家穿透!A$2:Q$74,17,0)*F289,0)</f>
        <v>3247897</v>
      </c>
      <c r="L289">
        <f>IF(A289="卡雷",42,IF(A289="法力风暴",ROUND(K289*0.1,0),VLOOKUP(A289,怪物模型!$A$15:$I$70,9,0)*(1+(B289-30)/100)))</f>
        <v>1569.9999999999998</v>
      </c>
      <c r="M289">
        <f>ROUND(VLOOKUP(C289,猎人难度!A$1:C$135,2,0)*0.91*E289,0)</f>
        <v>203174</v>
      </c>
      <c r="N289">
        <f t="shared" si="12"/>
        <v>243809</v>
      </c>
      <c r="O289">
        <f>VLOOKUP(B289,怪物抗性与玩家穿透!A$2:Q$74,4,0)</f>
        <v>22000</v>
      </c>
      <c r="P289">
        <f>VLOOKUP(B289,怪物抗性与玩家穿透!A$2:Q$74,5,0)</f>
        <v>6800</v>
      </c>
      <c r="Q289">
        <f t="shared" si="13"/>
        <v>6800</v>
      </c>
      <c r="R289">
        <f>ROUND(VLOOKUP(B289,[3]battleParameter.xml!$A$6:$E$107,5,0)*(I289/100)/(1-I289/100),0)</f>
        <v>0</v>
      </c>
      <c r="S289">
        <f>ROUND(VLOOKUP(B289,[3]battleParameter.xml!$A$6:$G$107,7,0)*(J289/100)/(1-J289/100),0)</f>
        <v>0</v>
      </c>
      <c r="T289">
        <f>ROUND(VLOOKUP(B289,[3]battleParameter.xml!$A$6:$Z$107,8,0)*(MIN(H289/100+0.2,0.99))/(1-MIN(H289/100+0.2,0.99)),0)</f>
        <v>2824</v>
      </c>
      <c r="U289">
        <v>0</v>
      </c>
      <c r="V289">
        <v>0</v>
      </c>
    </row>
    <row r="290" spans="1:22">
      <c r="A290" t="str">
        <f>[2]monster.xml!$D635</f>
        <v>雷伊战争使者</v>
      </c>
      <c r="B290">
        <f>[2]monster.xml!$C635</f>
        <v>88</v>
      </c>
      <c r="C290">
        <f t="shared" si="14"/>
        <v>107</v>
      </c>
      <c r="D290">
        <f>VLOOKUP(A290,怪物模型!A$15:Z$70,8,0)</f>
        <v>7</v>
      </c>
      <c r="E290">
        <f>VLOOKUP(A290,怪物模型!A$15:G$70,3,0)</f>
        <v>1</v>
      </c>
      <c r="F290">
        <f>VLOOKUP(A290,怪物模型!A$15:G$77,4,0)</f>
        <v>1</v>
      </c>
      <c r="G290">
        <v>1</v>
      </c>
      <c r="H290">
        <f>VLOOKUP(A290,怪物模型!A$15:G$77,5,0)</f>
        <v>13</v>
      </c>
      <c r="I290">
        <f>VLOOKUP(A290,怪物模型!A$15:G$77,6,0)</f>
        <v>0</v>
      </c>
      <c r="J290">
        <f>VLOOKUP(A290,怪物模型!A$15:G$77,7,0)</f>
        <v>0</v>
      </c>
      <c r="K290">
        <f>ROUND(VLOOKUP(C290,猎人难度!A$1:C$135,3,0)/VLOOKUP(B290,怪物抗性与玩家穿透!A$2:Q$74,17,0)*F290,0)</f>
        <v>3723963</v>
      </c>
      <c r="L290">
        <f>IF(A290="卡雷",42,IF(A290="法力风暴",ROUND(K290*0.1,0),VLOOKUP(A290,怪物模型!$A$15:$I$70,9,0)*(1+(B290-30)/100)))</f>
        <v>1580</v>
      </c>
      <c r="M290">
        <f>ROUND(VLOOKUP(C290,猎人难度!A$1:C$135,2,0)*0.91*E290,0)</f>
        <v>275839</v>
      </c>
      <c r="N290">
        <f t="shared" si="12"/>
        <v>331007</v>
      </c>
      <c r="O290">
        <f>VLOOKUP(B290,怪物抗性与玩家穿透!A$2:Q$74,4,0)</f>
        <v>23000</v>
      </c>
      <c r="P290">
        <f>VLOOKUP(B290,怪物抗性与玩家穿透!A$2:Q$74,5,0)</f>
        <v>7200</v>
      </c>
      <c r="Q290">
        <f t="shared" si="13"/>
        <v>7200</v>
      </c>
      <c r="R290">
        <f>ROUND(VLOOKUP(B290,[3]battleParameter.xml!$A$6:$E$107,5,0)*(I290/100)/(1-I290/100),0)</f>
        <v>0</v>
      </c>
      <c r="S290">
        <f>ROUND(VLOOKUP(B290,[3]battleParameter.xml!$A$6:$G$107,7,0)*(J290/100)/(1-J290/100),0)</f>
        <v>0</v>
      </c>
      <c r="T290">
        <f>ROUND(VLOOKUP(B290,[3]battleParameter.xml!$A$6:$Z$107,8,0)*(MIN(H290/100+0.2,0.99))/(1-MIN(H290/100+0.2,0.99)),0)</f>
        <v>2889</v>
      </c>
      <c r="U290">
        <v>0</v>
      </c>
      <c r="V290">
        <v>0</v>
      </c>
    </row>
    <row r="291" spans="1:22">
      <c r="A291" t="str">
        <f>[2]monster.xml!$D636</f>
        <v>暴君泰伦</v>
      </c>
      <c r="B291">
        <f>[2]monster.xml!$C636</f>
        <v>89</v>
      </c>
      <c r="C291">
        <f t="shared" si="14"/>
        <v>108</v>
      </c>
      <c r="D291" t="str">
        <f>VLOOKUP(A291,怪物模型!A$15:Z$70,8,0)</f>
        <v>10,9</v>
      </c>
      <c r="E291">
        <f>VLOOKUP(A291,怪物模型!A$15:G$70,3,0)</f>
        <v>1.2</v>
      </c>
      <c r="F291">
        <f>VLOOKUP(A291,怪物模型!A$15:G$77,4,0)</f>
        <v>1.1499999999999999</v>
      </c>
      <c r="G291">
        <v>1</v>
      </c>
      <c r="H291">
        <f>VLOOKUP(A291,怪物模型!A$15:G$77,5,0)</f>
        <v>15</v>
      </c>
      <c r="I291">
        <f>VLOOKUP(A291,怪物模型!A$15:G$77,6,0)</f>
        <v>0</v>
      </c>
      <c r="J291">
        <f>VLOOKUP(A291,怪物模型!A$15:G$77,7,0)</f>
        <v>15</v>
      </c>
      <c r="K291">
        <f>ROUND(VLOOKUP(C291,猎人难度!A$1:C$135,3,0)/VLOOKUP(B291,怪物抗性与玩家穿透!A$2:Q$74,17,0)*F291,0)</f>
        <v>4620604</v>
      </c>
      <c r="L291">
        <f>IF(A291="卡雷",42,IF(A291="法力风暴",ROUND(K291*0.1,0),VLOOKUP(A291,怪物模型!$A$15:$I$70,9,0)*(1+(B291-30)/100)))</f>
        <v>4770</v>
      </c>
      <c r="M291">
        <f>ROUND(VLOOKUP(C291,猎人难度!A$1:C$135,2,0)*0.91*E291,0)</f>
        <v>369551</v>
      </c>
      <c r="N291">
        <f t="shared" si="12"/>
        <v>443461</v>
      </c>
      <c r="O291">
        <f>VLOOKUP(B291,怪物抗性与玩家穿透!A$2:Q$74,4,0)</f>
        <v>24000</v>
      </c>
      <c r="P291">
        <f>VLOOKUP(B291,怪物抗性与玩家穿透!A$2:Q$74,5,0)</f>
        <v>7600</v>
      </c>
      <c r="Q291">
        <f t="shared" si="13"/>
        <v>7600</v>
      </c>
      <c r="R291">
        <f>ROUND(VLOOKUP(B291,[3]battleParameter.xml!$A$6:$E$107,5,0)*(I291/100)/(1-I291/100),0)</f>
        <v>0</v>
      </c>
      <c r="S291">
        <f>ROUND(VLOOKUP(B291,[3]battleParameter.xml!$A$6:$G$107,7,0)*(J291/100)/(1-J291/100),0)</f>
        <v>4235</v>
      </c>
      <c r="T291">
        <f>ROUND(VLOOKUP(B291,[3]battleParameter.xml!$A$6:$Z$107,8,0)*(MIN(H291/100+0.2,0.99))/(1-MIN(H291/100+0.2,0.99)),0)</f>
        <v>3230</v>
      </c>
      <c r="U291">
        <v>0</v>
      </c>
      <c r="V291">
        <v>0</v>
      </c>
    </row>
    <row r="292" spans="1:22">
      <c r="A292" t="str">
        <f>[2]monster.xml!$D637</f>
        <v>咒术大师</v>
      </c>
      <c r="B292">
        <f>[2]monster.xml!$C637</f>
        <v>90</v>
      </c>
      <c r="C292">
        <f t="shared" si="14"/>
        <v>109</v>
      </c>
      <c r="D292" t="str">
        <f>VLOOKUP(A292,怪物模型!A$15:Z$70,8,0)</f>
        <v>22,27</v>
      </c>
      <c r="E292">
        <f>VLOOKUP(A292,怪物模型!A$15:G$70,3,0)</f>
        <v>0.45</v>
      </c>
      <c r="F292">
        <f>VLOOKUP(A292,怪物模型!A$15:G$77,4,0)</f>
        <v>0.7</v>
      </c>
      <c r="G292">
        <v>1</v>
      </c>
      <c r="H292">
        <f>VLOOKUP(A292,怪物模型!A$15:G$77,5,0)</f>
        <v>13</v>
      </c>
      <c r="I292">
        <f>VLOOKUP(A292,怪物模型!A$15:G$77,6,0)</f>
        <v>0</v>
      </c>
      <c r="J292">
        <f>VLOOKUP(A292,怪物模型!A$15:G$77,7,0)</f>
        <v>0</v>
      </c>
      <c r="K292">
        <f>ROUND(VLOOKUP(C292,猎人难度!A$1:C$135,3,0)/VLOOKUP(B292,怪物抗性与玩家穿透!A$2:Q$74,17,0)*F292,0)</f>
        <v>2043814</v>
      </c>
      <c r="L292">
        <f>IF(A292="卡雷",42,IF(A292="法力风暴",ROUND(K292*0.1,0),VLOOKUP(A292,怪物模型!$A$15:$I$70,9,0)*(1+(B292-30)/100)))</f>
        <v>8000</v>
      </c>
      <c r="M292">
        <f>ROUND(VLOOKUP(C292,猎人难度!A$1:C$135,2,0)*0.91*E292,0)</f>
        <v>83797</v>
      </c>
      <c r="N292">
        <f t="shared" si="12"/>
        <v>100556</v>
      </c>
      <c r="O292">
        <f>VLOOKUP(B292,怪物抗性与玩家穿透!A$2:Q$74,4,0)</f>
        <v>25000</v>
      </c>
      <c r="P292">
        <f>VLOOKUP(B292,怪物抗性与玩家穿透!A$2:Q$74,5,0)</f>
        <v>8000</v>
      </c>
      <c r="Q292">
        <f t="shared" si="13"/>
        <v>8000</v>
      </c>
      <c r="R292">
        <f>ROUND(VLOOKUP(B292,[3]battleParameter.xml!$A$6:$E$107,5,0)*(I292/100)/(1-I292/100),0)</f>
        <v>0</v>
      </c>
      <c r="S292">
        <f>ROUND(VLOOKUP(B292,[3]battleParameter.xml!$A$6:$G$107,7,0)*(J292/100)/(1-J292/100),0)</f>
        <v>0</v>
      </c>
      <c r="T292">
        <f>ROUND(VLOOKUP(B292,[3]battleParameter.xml!$A$6:$Z$107,8,0)*(MIN(H292/100+0.2,0.99))/(1-MIN(H292/100+0.2,0.99)),0)</f>
        <v>3021</v>
      </c>
      <c r="U292">
        <v>0</v>
      </c>
      <c r="V292">
        <v>0</v>
      </c>
    </row>
    <row r="293" spans="1:22">
      <c r="A293" t="str">
        <f>[2]monster.xml!$D638</f>
        <v>拨弄的赛亚</v>
      </c>
      <c r="B293">
        <f>[2]monster.xml!$C638</f>
        <v>90</v>
      </c>
      <c r="C293">
        <f t="shared" si="14"/>
        <v>110</v>
      </c>
      <c r="D293" t="str">
        <f>VLOOKUP(A293,怪物模型!A$15:Z$70,8,0)</f>
        <v>17,18,8</v>
      </c>
      <c r="E293">
        <f>VLOOKUP(A293,怪物模型!A$15:G$70,3,0)</f>
        <v>1.2</v>
      </c>
      <c r="F293">
        <f>VLOOKUP(A293,怪物模型!A$15:G$77,4,0)</f>
        <v>1</v>
      </c>
      <c r="G293">
        <v>1</v>
      </c>
      <c r="H293">
        <f>VLOOKUP(A293,怪物模型!A$15:G$77,5,0)</f>
        <v>13</v>
      </c>
      <c r="I293">
        <f>VLOOKUP(A293,怪物模型!A$15:G$77,6,0)</f>
        <v>0</v>
      </c>
      <c r="J293">
        <f>VLOOKUP(A293,怪物模型!A$15:G$77,7,0)</f>
        <v>0</v>
      </c>
      <c r="K293">
        <f>ROUND(VLOOKUP(C293,猎人难度!A$1:C$135,3,0)/VLOOKUP(B293,怪物抗性与玩家穿透!A$2:Q$74,17,0)*F293,0)</f>
        <v>3133714</v>
      </c>
      <c r="L293">
        <f>IF(A293="卡雷",42,IF(A293="法力风暴",ROUND(K293*0.1,0),VLOOKUP(A293,怪物模型!$A$15:$I$70,9,0)*(1+(B293-30)/100)))</f>
        <v>4800</v>
      </c>
      <c r="M293">
        <f>ROUND(VLOOKUP(C293,猎人难度!A$1:C$135,2,0)*0.91*E293,0)</f>
        <v>251658</v>
      </c>
      <c r="N293">
        <f t="shared" si="12"/>
        <v>301990</v>
      </c>
      <c r="O293">
        <f>VLOOKUP(B293,怪物抗性与玩家穿透!A$2:Q$74,4,0)</f>
        <v>25000</v>
      </c>
      <c r="P293">
        <f>VLOOKUP(B293,怪物抗性与玩家穿透!A$2:Q$74,5,0)</f>
        <v>8000</v>
      </c>
      <c r="Q293">
        <f t="shared" si="13"/>
        <v>8000</v>
      </c>
      <c r="R293">
        <f>ROUND(VLOOKUP(B293,[3]battleParameter.xml!$A$6:$E$107,5,0)*(I293/100)/(1-I293/100),0)</f>
        <v>0</v>
      </c>
      <c r="S293">
        <f>ROUND(VLOOKUP(B293,[3]battleParameter.xml!$A$6:$G$107,7,0)*(J293/100)/(1-J293/100),0)</f>
        <v>0</v>
      </c>
      <c r="T293">
        <f>ROUND(VLOOKUP(B293,[3]battleParameter.xml!$A$6:$Z$107,8,0)*(MIN(H293/100+0.2,0.99))/(1-MIN(H293/100+0.2,0.99)),0)</f>
        <v>3021</v>
      </c>
      <c r="U293">
        <v>0</v>
      </c>
      <c r="V293">
        <v>0</v>
      </c>
    </row>
    <row r="294" spans="1:22">
      <c r="A294" t="str">
        <f>[2]monster.xml!$D639</f>
        <v>法力风暴</v>
      </c>
      <c r="B294">
        <f>[2]monster.xml!$C639</f>
        <v>91</v>
      </c>
      <c r="C294">
        <f t="shared" si="14"/>
        <v>111</v>
      </c>
      <c r="D294" t="str">
        <f>VLOOKUP(A294,怪物模型!A$15:Z$70,8,0)</f>
        <v>25,30</v>
      </c>
      <c r="E294">
        <f>VLOOKUP(A294,怪物模型!A$15:G$70,3,0)</f>
        <v>1.5</v>
      </c>
      <c r="F294">
        <f>VLOOKUP(A294,怪物模型!A$15:G$77,4,0)</f>
        <v>0.68</v>
      </c>
      <c r="G294">
        <v>1</v>
      </c>
      <c r="H294">
        <f>VLOOKUP(A294,怪物模型!A$15:G$77,5,0)</f>
        <v>13</v>
      </c>
      <c r="I294">
        <f>VLOOKUP(A294,怪物模型!A$15:G$77,6,0)</f>
        <v>0</v>
      </c>
      <c r="J294">
        <f>VLOOKUP(A294,怪物模型!A$15:G$77,7,0)</f>
        <v>0</v>
      </c>
      <c r="K294">
        <f>ROUND(VLOOKUP(C294,猎人难度!A$1:C$135,3,0)/VLOOKUP(B294,怪物抗性与玩家穿透!A$2:Q$74,17,0)*F294,0)</f>
        <v>2330928</v>
      </c>
      <c r="L294">
        <f>IF(A294="卡雷",42,IF(A294="法力风暴",ROUND(K294*0.1,0),VLOOKUP(A294,怪物模型!$A$15:$I$70,9,0)*(1+(B294-30)/100)))</f>
        <v>233093</v>
      </c>
      <c r="M294">
        <f>ROUND(VLOOKUP(C294,猎人难度!A$1:C$135,2,0)*0.91*E294,0)</f>
        <v>368588</v>
      </c>
      <c r="N294">
        <f t="shared" si="12"/>
        <v>442306</v>
      </c>
      <c r="O294">
        <f>VLOOKUP(B294,怪物抗性与玩家穿透!A$2:Q$74,4,0)</f>
        <v>26000</v>
      </c>
      <c r="P294">
        <f>VLOOKUP(B294,怪物抗性与玩家穿透!A$2:Q$74,5,0)</f>
        <v>8400</v>
      </c>
      <c r="Q294">
        <f t="shared" si="13"/>
        <v>8400</v>
      </c>
      <c r="R294">
        <f>ROUND(VLOOKUP(B294,[3]battleParameter.xml!$A$6:$E$107,5,0)*(I294/100)/(1-I294/100),0)</f>
        <v>0</v>
      </c>
      <c r="S294">
        <f>ROUND(VLOOKUP(B294,[3]battleParameter.xml!$A$6:$G$107,7,0)*(J294/100)/(1-J294/100),0)</f>
        <v>0</v>
      </c>
      <c r="T294">
        <f>ROUND(VLOOKUP(B294,[3]battleParameter.xml!$A$6:$Z$107,8,0)*(MIN(H294/100+0.2,0.99))/(1-MIN(H294/100+0.2,0.99)),0)</f>
        <v>3088</v>
      </c>
      <c r="U294">
        <v>0</v>
      </c>
      <c r="V294">
        <v>0</v>
      </c>
    </row>
    <row r="295" spans="1:22">
      <c r="A295" t="str">
        <f>[2]monster.xml!$D640</f>
        <v>火舞者</v>
      </c>
      <c r="B295">
        <f>[2]monster.xml!$C640</f>
        <v>91</v>
      </c>
      <c r="C295">
        <f t="shared" si="14"/>
        <v>112</v>
      </c>
      <c r="D295">
        <f>VLOOKUP(A295,怪物模型!A$15:Z$70,8,0)</f>
        <v>29</v>
      </c>
      <c r="E295">
        <f>VLOOKUP(A295,怪物模型!A$15:G$70,3,0)</f>
        <v>1</v>
      </c>
      <c r="F295">
        <f>VLOOKUP(A295,怪物模型!A$15:G$77,4,0)</f>
        <v>0.95</v>
      </c>
      <c r="G295">
        <v>1</v>
      </c>
      <c r="H295">
        <f>VLOOKUP(A295,怪物模型!A$15:G$77,5,0)</f>
        <v>13</v>
      </c>
      <c r="I295">
        <f>VLOOKUP(A295,怪物模型!A$15:G$77,6,0)</f>
        <v>0</v>
      </c>
      <c r="J295">
        <f>VLOOKUP(A295,怪物模型!A$15:G$77,7,0)</f>
        <v>0</v>
      </c>
      <c r="K295">
        <f>ROUND(VLOOKUP(C295,猎人难度!A$1:C$135,3,0)/VLOOKUP(B295,怪物抗性与玩家穿透!A$2:Q$74,17,0)*F295,0)</f>
        <v>3448117</v>
      </c>
      <c r="L295">
        <f>IF(A295="卡雷",42,IF(A295="法力风暴",ROUND(K295*0.1,0),VLOOKUP(A295,怪物模型!$A$15:$I$70,9,0)*(1+(B295-30)/100)))</f>
        <v>1609.9999999999998</v>
      </c>
      <c r="M295">
        <f>ROUND(VLOOKUP(C295,猎人难度!A$1:C$135,2,0)*0.91*E295,0)</f>
        <v>267499</v>
      </c>
      <c r="N295">
        <f t="shared" si="12"/>
        <v>320999</v>
      </c>
      <c r="O295">
        <f>VLOOKUP(B295,怪物抗性与玩家穿透!A$2:Q$74,4,0)</f>
        <v>26000</v>
      </c>
      <c r="P295">
        <f>VLOOKUP(B295,怪物抗性与玩家穿透!A$2:Q$74,5,0)</f>
        <v>8400</v>
      </c>
      <c r="Q295">
        <f t="shared" si="13"/>
        <v>8400</v>
      </c>
      <c r="R295">
        <f>ROUND(VLOOKUP(B295,[3]battleParameter.xml!$A$6:$E$107,5,0)*(I295/100)/(1-I295/100),0)</f>
        <v>0</v>
      </c>
      <c r="S295">
        <f>ROUND(VLOOKUP(B295,[3]battleParameter.xml!$A$6:$G$107,7,0)*(J295/100)/(1-J295/100),0)</f>
        <v>0</v>
      </c>
      <c r="T295">
        <f>ROUND(VLOOKUP(B295,[3]battleParameter.xml!$A$6:$Z$107,8,0)*(MIN(H295/100+0.2,0.99))/(1-MIN(H295/100+0.2,0.99)),0)</f>
        <v>3088</v>
      </c>
      <c r="U295">
        <v>0</v>
      </c>
      <c r="V295">
        <v>0</v>
      </c>
    </row>
    <row r="296" spans="1:22">
      <c r="A296" t="str">
        <f>[2]monster.xml!$D641</f>
        <v>血誓审判者</v>
      </c>
      <c r="B296">
        <f>[2]monster.xml!$C641</f>
        <v>91</v>
      </c>
      <c r="C296">
        <f t="shared" si="14"/>
        <v>113</v>
      </c>
      <c r="D296">
        <f>VLOOKUP(A296,怪物模型!A$15:Z$70,8,0)</f>
        <v>5</v>
      </c>
      <c r="E296">
        <f>VLOOKUP(A296,怪物模型!A$15:G$70,3,0)</f>
        <v>0.28000000000000003</v>
      </c>
      <c r="F296">
        <f>VLOOKUP(A296,怪物模型!A$15:G$77,4,0)</f>
        <v>0.45</v>
      </c>
      <c r="G296">
        <v>1</v>
      </c>
      <c r="H296">
        <f>VLOOKUP(A296,怪物模型!A$15:G$77,5,0)</f>
        <v>13</v>
      </c>
      <c r="I296">
        <f>VLOOKUP(A296,怪物模型!A$15:G$77,6,0)</f>
        <v>0</v>
      </c>
      <c r="J296">
        <f>VLOOKUP(A296,怪物模型!A$15:G$77,7,0)</f>
        <v>0</v>
      </c>
      <c r="K296">
        <f>ROUND(VLOOKUP(C296,猎人难度!A$1:C$135,3,0)/VLOOKUP(B296,怪物抗性与玩家穿透!A$2:Q$74,17,0)*F296,0)</f>
        <v>1729455</v>
      </c>
      <c r="L296">
        <f>IF(A296="卡雷",42,IF(A296="法力风暴",ROUND(K296*0.1,0),VLOOKUP(A296,怪物模型!$A$15:$I$70,9,0)*(1+(B296-30)/100)))</f>
        <v>1609.9999999999998</v>
      </c>
      <c r="M296">
        <f>ROUND(VLOOKUP(C296,猎人难度!A$1:C$135,2,0)*0.91*E296,0)</f>
        <v>81536</v>
      </c>
      <c r="N296">
        <f t="shared" si="12"/>
        <v>97843</v>
      </c>
      <c r="O296">
        <f>VLOOKUP(B296,怪物抗性与玩家穿透!A$2:Q$74,4,0)</f>
        <v>26000</v>
      </c>
      <c r="P296">
        <f>VLOOKUP(B296,怪物抗性与玩家穿透!A$2:Q$74,5,0)</f>
        <v>8400</v>
      </c>
      <c r="Q296">
        <f t="shared" si="13"/>
        <v>8400</v>
      </c>
      <c r="R296">
        <f>ROUND(VLOOKUP(B296,[3]battleParameter.xml!$A$6:$E$107,5,0)*(I296/100)/(1-I296/100),0)</f>
        <v>0</v>
      </c>
      <c r="S296">
        <f>ROUND(VLOOKUP(B296,[3]battleParameter.xml!$A$6:$G$107,7,0)*(J296/100)/(1-J296/100),0)</f>
        <v>0</v>
      </c>
      <c r="T296">
        <f>ROUND(VLOOKUP(B296,[3]battleParameter.xml!$A$6:$Z$107,8,0)*(MIN(H296/100+0.2,0.99))/(1-MIN(H296/100+0.2,0.99)),0)</f>
        <v>3088</v>
      </c>
      <c r="U296">
        <v>0</v>
      </c>
      <c r="V296">
        <v>0</v>
      </c>
    </row>
    <row r="297" spans="1:22">
      <c r="A297" t="str">
        <f>[2]monster.xml!$D642</f>
        <v>血誓预言者</v>
      </c>
      <c r="B297">
        <f>[2]monster.xml!$C642</f>
        <v>91</v>
      </c>
      <c r="C297">
        <f t="shared" si="14"/>
        <v>113</v>
      </c>
      <c r="D297">
        <f>VLOOKUP(A297,怪物模型!A$15:Z$70,8,0)</f>
        <v>2</v>
      </c>
      <c r="E297">
        <f>VLOOKUP(A297,怪物模型!A$15:G$70,3,0)</f>
        <v>0.3</v>
      </c>
      <c r="F297">
        <f>VLOOKUP(A297,怪物模型!A$15:G$77,4,0)</f>
        <v>0.42</v>
      </c>
      <c r="G297">
        <v>1</v>
      </c>
      <c r="H297">
        <f>VLOOKUP(A297,怪物模型!A$15:G$77,5,0)</f>
        <v>13</v>
      </c>
      <c r="I297">
        <f>VLOOKUP(A297,怪物模型!A$15:G$77,6,0)</f>
        <v>0</v>
      </c>
      <c r="J297">
        <f>VLOOKUP(A297,怪物模型!A$15:G$77,7,0)</f>
        <v>0</v>
      </c>
      <c r="K297">
        <f>ROUND(VLOOKUP(C297,猎人难度!A$1:C$135,3,0)/VLOOKUP(B297,怪物抗性与玩家穿透!A$2:Q$74,17,0)*F297,0)</f>
        <v>1614158</v>
      </c>
      <c r="L297">
        <f>IF(A297="卡雷",42,IF(A297="法力风暴",ROUND(K297*0.1,0),VLOOKUP(A297,怪物模型!$A$15:$I$70,9,0)*(1+(B297-30)/100)))</f>
        <v>1288</v>
      </c>
      <c r="M297">
        <f>ROUND(VLOOKUP(C297,猎人难度!A$1:C$135,2,0)*0.91*E297,0)</f>
        <v>87360</v>
      </c>
      <c r="N297">
        <f t="shared" si="12"/>
        <v>104832</v>
      </c>
      <c r="O297">
        <f>VLOOKUP(B297,怪物抗性与玩家穿透!A$2:Q$74,4,0)</f>
        <v>26000</v>
      </c>
      <c r="P297">
        <f>VLOOKUP(B297,怪物抗性与玩家穿透!A$2:Q$74,5,0)</f>
        <v>8400</v>
      </c>
      <c r="Q297">
        <f t="shared" si="13"/>
        <v>8400</v>
      </c>
      <c r="R297">
        <f>ROUND(VLOOKUP(B297,[3]battleParameter.xml!$A$6:$E$107,5,0)*(I297/100)/(1-I297/100),0)</f>
        <v>0</v>
      </c>
      <c r="S297">
        <f>ROUND(VLOOKUP(B297,[3]battleParameter.xml!$A$6:$G$107,7,0)*(J297/100)/(1-J297/100),0)</f>
        <v>0</v>
      </c>
      <c r="T297">
        <f>ROUND(VLOOKUP(B297,[3]battleParameter.xml!$A$6:$Z$107,8,0)*(MIN(H297/100+0.2,0.99))/(1-MIN(H297/100+0.2,0.99)),0)</f>
        <v>3088</v>
      </c>
      <c r="U297">
        <v>0</v>
      </c>
      <c r="V297">
        <v>0</v>
      </c>
    </row>
    <row r="298" spans="1:22">
      <c r="A298" t="str">
        <f>[2]monster.xml!$D643</f>
        <v>血誓召唤者</v>
      </c>
      <c r="B298">
        <f>[2]monster.xml!$C643</f>
        <v>91</v>
      </c>
      <c r="C298">
        <f t="shared" si="14"/>
        <v>113</v>
      </c>
      <c r="D298">
        <f>VLOOKUP(A298,怪物模型!A$15:Z$70,8,0)</f>
        <v>26</v>
      </c>
      <c r="E298">
        <f>VLOOKUP(A298,怪物模型!A$15:G$70,3,0)</f>
        <v>0.36</v>
      </c>
      <c r="F298">
        <f>VLOOKUP(A298,怪物模型!A$15:G$77,4,0)</f>
        <v>0.44</v>
      </c>
      <c r="G298">
        <v>1</v>
      </c>
      <c r="H298">
        <f>VLOOKUP(A298,怪物模型!A$15:G$77,5,0)</f>
        <v>13</v>
      </c>
      <c r="I298">
        <f>VLOOKUP(A298,怪物模型!A$15:G$77,6,0)</f>
        <v>0</v>
      </c>
      <c r="J298">
        <f>VLOOKUP(A298,怪物模型!A$15:G$77,7,0)</f>
        <v>0</v>
      </c>
      <c r="K298">
        <f>ROUND(VLOOKUP(C298,猎人难度!A$1:C$135,3,0)/VLOOKUP(B298,怪物抗性与玩家穿透!A$2:Q$74,17,0)*F298,0)</f>
        <v>1691023</v>
      </c>
      <c r="L298">
        <f>IF(A298="卡雷",42,IF(A298="法力风暴",ROUND(K298*0.1,0),VLOOKUP(A298,怪物模型!$A$15:$I$70,9,0)*(1+(B298-30)/100)))</f>
        <v>1609.9999999999998</v>
      </c>
      <c r="M298">
        <f>ROUND(VLOOKUP(C298,猎人难度!A$1:C$135,2,0)*0.91*E298,0)</f>
        <v>104832</v>
      </c>
      <c r="N298">
        <f t="shared" si="12"/>
        <v>125798</v>
      </c>
      <c r="O298">
        <f>VLOOKUP(B298,怪物抗性与玩家穿透!A$2:Q$74,4,0)</f>
        <v>26000</v>
      </c>
      <c r="P298">
        <f>VLOOKUP(B298,怪物抗性与玩家穿透!A$2:Q$74,5,0)</f>
        <v>8400</v>
      </c>
      <c r="Q298">
        <f t="shared" si="13"/>
        <v>8400</v>
      </c>
      <c r="R298">
        <f>ROUND(VLOOKUP(B298,[3]battleParameter.xml!$A$6:$E$107,5,0)*(I298/100)/(1-I298/100),0)</f>
        <v>0</v>
      </c>
      <c r="S298">
        <f>ROUND(VLOOKUP(B298,[3]battleParameter.xml!$A$6:$G$107,7,0)*(J298/100)/(1-J298/100),0)</f>
        <v>0</v>
      </c>
      <c r="T298">
        <f>ROUND(VLOOKUP(B298,[3]battleParameter.xml!$A$6:$Z$107,8,0)*(MIN(H298/100+0.2,0.99))/(1-MIN(H298/100+0.2,0.99)),0)</f>
        <v>3088</v>
      </c>
      <c r="U298">
        <v>0</v>
      </c>
      <c r="V298">
        <v>0</v>
      </c>
    </row>
    <row r="299" spans="1:22">
      <c r="A299" t="str">
        <f>[2]monster.xml!$D644</f>
        <v>血誓领主</v>
      </c>
      <c r="B299">
        <f>[2]monster.xml!$C644</f>
        <v>91</v>
      </c>
      <c r="C299">
        <f t="shared" si="14"/>
        <v>113</v>
      </c>
      <c r="D299">
        <f>VLOOKUP(A299,怪物模型!A$15:Z$70,8,0)</f>
        <v>14</v>
      </c>
      <c r="E299">
        <f>VLOOKUP(A299,怪物模型!A$15:G$70,3,0)</f>
        <v>0.36</v>
      </c>
      <c r="F299">
        <f>VLOOKUP(A299,怪物模型!A$15:G$77,4,0)</f>
        <v>0.43</v>
      </c>
      <c r="G299">
        <v>1</v>
      </c>
      <c r="H299">
        <f>VLOOKUP(A299,怪物模型!A$15:G$77,5,0)</f>
        <v>13</v>
      </c>
      <c r="I299">
        <f>VLOOKUP(A299,怪物模型!A$15:G$77,6,0)</f>
        <v>0</v>
      </c>
      <c r="J299">
        <f>VLOOKUP(A299,怪物模型!A$15:G$77,7,0)</f>
        <v>0</v>
      </c>
      <c r="K299">
        <f>ROUND(VLOOKUP(C299,猎人难度!A$1:C$135,3,0)/VLOOKUP(B299,怪物抗性与玩家穿透!A$2:Q$74,17,0)*F299,0)</f>
        <v>1652590</v>
      </c>
      <c r="L299">
        <f>IF(A299="卡雷",42,IF(A299="法力风暴",ROUND(K299*0.1,0),VLOOKUP(A299,怪物模型!$A$15:$I$70,9,0)*(1+(B299-30)/100)))</f>
        <v>1609.9999999999998</v>
      </c>
      <c r="M299">
        <f>ROUND(VLOOKUP(C299,猎人难度!A$1:C$135,2,0)*0.91*E299,0)</f>
        <v>104832</v>
      </c>
      <c r="N299">
        <f t="shared" si="12"/>
        <v>125798</v>
      </c>
      <c r="O299">
        <f>VLOOKUP(B299,怪物抗性与玩家穿透!A$2:Q$74,4,0)</f>
        <v>26000</v>
      </c>
      <c r="P299">
        <f>VLOOKUP(B299,怪物抗性与玩家穿透!A$2:Q$74,5,0)</f>
        <v>8400</v>
      </c>
      <c r="Q299">
        <f t="shared" si="13"/>
        <v>8400</v>
      </c>
      <c r="R299">
        <f>ROUND(VLOOKUP(B299,[3]battleParameter.xml!$A$6:$E$107,5,0)*(I299/100)/(1-I299/100),0)</f>
        <v>0</v>
      </c>
      <c r="S299">
        <f>ROUND(VLOOKUP(B299,[3]battleParameter.xml!$A$6:$G$107,7,0)*(J299/100)/(1-J299/100),0)</f>
        <v>0</v>
      </c>
      <c r="T299">
        <f>ROUND(VLOOKUP(B299,[3]battleParameter.xml!$A$6:$Z$107,8,0)*(MIN(H299/100+0.2,0.99))/(1-MIN(H299/100+0.2,0.99)),0)</f>
        <v>3088</v>
      </c>
      <c r="U299">
        <v>0</v>
      </c>
      <c r="V299">
        <v>0</v>
      </c>
    </row>
    <row r="300" spans="1:22">
      <c r="A300" t="str">
        <f>[2]monster.xml!$D645</f>
        <v>舞钢者拜伦</v>
      </c>
      <c r="B300">
        <f>[2]monster.xml!$C645</f>
        <v>92</v>
      </c>
      <c r="C300">
        <f t="shared" si="14"/>
        <v>114</v>
      </c>
      <c r="D300">
        <f>VLOOKUP(A300,怪物模型!A$15:Z$70,8,0)</f>
        <v>8</v>
      </c>
      <c r="E300">
        <f>VLOOKUP(A300,怪物模型!A$15:G$70,3,0)</f>
        <v>0.8</v>
      </c>
      <c r="F300">
        <f>VLOOKUP(A300,怪物模型!A$15:G$77,4,0)</f>
        <v>1</v>
      </c>
      <c r="G300">
        <v>1</v>
      </c>
      <c r="H300">
        <f>VLOOKUP(A300,怪物模型!A$15:G$77,5,0)</f>
        <v>13</v>
      </c>
      <c r="I300">
        <f>VLOOKUP(A300,怪物模型!A$15:G$77,6,0)</f>
        <v>0</v>
      </c>
      <c r="J300">
        <f>VLOOKUP(A300,怪物模型!A$15:G$77,7,0)</f>
        <v>0</v>
      </c>
      <c r="K300">
        <f>ROUND(VLOOKUP(C300,猎人难度!A$1:C$135,3,0)/VLOOKUP(B300,怪物抗性与玩家穿透!A$2:Q$74,17,0)*F300,0)</f>
        <v>4133911</v>
      </c>
      <c r="L300">
        <f>IF(A300="卡雷",42,IF(A300="法力风暴",ROUND(K300*0.1,0),VLOOKUP(A300,怪物模型!$A$15:$I$70,9,0)*(1+(B300-30)/100)))</f>
        <v>1620</v>
      </c>
      <c r="M300">
        <f>ROUND(VLOOKUP(C300,猎人难度!A$1:C$135,2,0)*0.91*E300,0)</f>
        <v>260882</v>
      </c>
      <c r="N300">
        <f t="shared" si="12"/>
        <v>313058</v>
      </c>
      <c r="O300">
        <f>VLOOKUP(B300,怪物抗性与玩家穿透!A$2:Q$74,4,0)</f>
        <v>27000</v>
      </c>
      <c r="P300">
        <f>VLOOKUP(B300,怪物抗性与玩家穿透!A$2:Q$74,5,0)</f>
        <v>8800</v>
      </c>
      <c r="Q300">
        <f t="shared" si="13"/>
        <v>8800</v>
      </c>
      <c r="R300">
        <f>ROUND(VLOOKUP(B300,[3]battleParameter.xml!$A$6:$E$107,5,0)*(I300/100)/(1-I300/100),0)</f>
        <v>0</v>
      </c>
      <c r="S300">
        <f>ROUND(VLOOKUP(B300,[3]battleParameter.xml!$A$6:$G$107,7,0)*(J300/100)/(1-J300/100),0)</f>
        <v>0</v>
      </c>
      <c r="T300">
        <f>ROUND(VLOOKUP(B300,[3]battleParameter.xml!$A$6:$Z$107,8,0)*(MIN(H300/100+0.2,0.99))/(1-MIN(H300/100+0.2,0.99)),0)</f>
        <v>3156</v>
      </c>
      <c r="U300">
        <v>0</v>
      </c>
      <c r="V300">
        <v>0</v>
      </c>
    </row>
    <row r="301" spans="1:22">
      <c r="A301" t="str">
        <f>[2]monster.xml!$D646</f>
        <v>风暴之王</v>
      </c>
      <c r="B301">
        <f>[2]monster.xml!$C646</f>
        <v>92</v>
      </c>
      <c r="C301">
        <f t="shared" si="14"/>
        <v>115</v>
      </c>
      <c r="D301">
        <f>VLOOKUP(A301,怪物模型!A$15:Z$70,8,0)</f>
        <v>6</v>
      </c>
      <c r="E301">
        <f>VLOOKUP(A301,怪物模型!A$15:G$70,3,0)</f>
        <v>0.8</v>
      </c>
      <c r="F301">
        <f>VLOOKUP(A301,怪物模型!A$15:G$77,4,0)</f>
        <v>0.92</v>
      </c>
      <c r="G301">
        <v>1</v>
      </c>
      <c r="H301">
        <f>VLOOKUP(A301,怪物模型!A$15:G$77,5,0)</f>
        <v>13</v>
      </c>
      <c r="I301">
        <f>VLOOKUP(A301,怪物模型!A$15:G$77,6,0)</f>
        <v>0</v>
      </c>
      <c r="J301">
        <f>VLOOKUP(A301,怪物模型!A$15:G$77,7,0)</f>
        <v>0</v>
      </c>
      <c r="K301">
        <f>ROUND(VLOOKUP(C301,猎人难度!A$1:C$135,3,0)/VLOOKUP(B301,怪物抗性与玩家穿透!A$2:Q$74,17,0)*F301,0)</f>
        <v>4048291</v>
      </c>
      <c r="L301">
        <f>IF(A301="卡雷",42,IF(A301="法力风暴",ROUND(K301*0.1,0),VLOOKUP(A301,怪物模型!$A$15:$I$70,9,0)*(1+(B301-30)/100)))</f>
        <v>1620</v>
      </c>
      <c r="M301">
        <f>ROUND(VLOOKUP(C301,猎人难度!A$1:C$135,2,0)*0.91*E301,0)</f>
        <v>284097</v>
      </c>
      <c r="N301">
        <f t="shared" si="12"/>
        <v>340916</v>
      </c>
      <c r="O301">
        <f>VLOOKUP(B301,怪物抗性与玩家穿透!A$2:Q$74,4,0)</f>
        <v>27000</v>
      </c>
      <c r="P301">
        <f>VLOOKUP(B301,怪物抗性与玩家穿透!A$2:Q$74,5,0)</f>
        <v>8800</v>
      </c>
      <c r="Q301">
        <f t="shared" si="13"/>
        <v>8800</v>
      </c>
      <c r="R301">
        <f>ROUND(VLOOKUP(B301,[3]battleParameter.xml!$A$6:$E$107,5,0)*(I301/100)/(1-I301/100),0)</f>
        <v>0</v>
      </c>
      <c r="S301">
        <f>ROUND(VLOOKUP(B301,[3]battleParameter.xml!$A$6:$G$107,7,0)*(J301/100)/(1-J301/100),0)</f>
        <v>0</v>
      </c>
      <c r="T301">
        <f>ROUND(VLOOKUP(B301,[3]battleParameter.xml!$A$6:$Z$107,8,0)*(MIN(H301/100+0.2,0.99))/(1-MIN(H301/100+0.2,0.99)),0)</f>
        <v>3156</v>
      </c>
      <c r="U301">
        <v>0</v>
      </c>
      <c r="V301">
        <v>0</v>
      </c>
    </row>
    <row r="302" spans="1:22">
      <c r="A302" t="str">
        <f>[2]monster.xml!$D647</f>
        <v>雷伊战争使者</v>
      </c>
      <c r="B302">
        <f>[2]monster.xml!$C647</f>
        <v>93</v>
      </c>
      <c r="C302">
        <f t="shared" si="14"/>
        <v>116</v>
      </c>
      <c r="D302">
        <f>VLOOKUP(A302,怪物模型!A$15:Z$70,8,0)</f>
        <v>7</v>
      </c>
      <c r="E302">
        <f>VLOOKUP(A302,怪物模型!A$15:G$70,3,0)</f>
        <v>1</v>
      </c>
      <c r="F302">
        <f>VLOOKUP(A302,怪物模型!A$15:G$77,4,0)</f>
        <v>1</v>
      </c>
      <c r="G302">
        <v>1</v>
      </c>
      <c r="H302">
        <f>VLOOKUP(A302,怪物模型!A$15:G$77,5,0)</f>
        <v>13</v>
      </c>
      <c r="I302">
        <f>VLOOKUP(A302,怪物模型!A$15:G$77,6,0)</f>
        <v>0</v>
      </c>
      <c r="J302">
        <f>VLOOKUP(A302,怪物模型!A$15:G$77,7,0)</f>
        <v>0</v>
      </c>
      <c r="K302">
        <f>ROUND(VLOOKUP(C302,猎人难度!A$1:C$135,3,0)/VLOOKUP(B302,怪物抗性与玩家穿透!A$2:Q$74,17,0)*F302,0)</f>
        <v>4673474</v>
      </c>
      <c r="L302">
        <f>IF(A302="卡雷",42,IF(A302="法力风暴",ROUND(K302*0.1,0),VLOOKUP(A302,怪物模型!$A$15:$I$70,9,0)*(1+(B302-30)/100)))</f>
        <v>1630</v>
      </c>
      <c r="M302">
        <f>ROUND(VLOOKUP(C302,猎人难度!A$1:C$135,2,0)*0.91*E302,0)</f>
        <v>386722</v>
      </c>
      <c r="N302">
        <f t="shared" si="12"/>
        <v>464066</v>
      </c>
      <c r="O302">
        <f>VLOOKUP(B302,怪物抗性与玩家穿透!A$2:Q$74,4,0)</f>
        <v>28000</v>
      </c>
      <c r="P302">
        <f>VLOOKUP(B302,怪物抗性与玩家穿透!A$2:Q$74,5,0)</f>
        <v>9200</v>
      </c>
      <c r="Q302">
        <f t="shared" si="13"/>
        <v>9200</v>
      </c>
      <c r="R302">
        <f>ROUND(VLOOKUP(B302,[3]battleParameter.xml!$A$6:$E$107,5,0)*(I302/100)/(1-I302/100),0)</f>
        <v>0</v>
      </c>
      <c r="S302">
        <f>ROUND(VLOOKUP(B302,[3]battleParameter.xml!$A$6:$G$107,7,0)*(J302/100)/(1-J302/100),0)</f>
        <v>0</v>
      </c>
      <c r="T302">
        <f>ROUND(VLOOKUP(B302,[3]battleParameter.xml!$A$6:$Z$107,8,0)*(MIN(H302/100+0.2,0.99))/(1-MIN(H302/100+0.2,0.99)),0)</f>
        <v>3225</v>
      </c>
      <c r="U302">
        <v>0</v>
      </c>
      <c r="V302">
        <v>0</v>
      </c>
    </row>
    <row r="303" spans="1:22">
      <c r="A303" t="str">
        <f>[2]monster.xml!$D648</f>
        <v>暴君泰伦</v>
      </c>
      <c r="B303">
        <f>[2]monster.xml!$C648</f>
        <v>94</v>
      </c>
      <c r="C303">
        <f t="shared" si="14"/>
        <v>117</v>
      </c>
      <c r="D303" t="str">
        <f>VLOOKUP(A303,怪物模型!A$15:Z$70,8,0)</f>
        <v>10,9</v>
      </c>
      <c r="E303">
        <f>VLOOKUP(A303,怪物模型!A$15:G$70,3,0)</f>
        <v>1.2</v>
      </c>
      <c r="F303">
        <f>VLOOKUP(A303,怪物模型!A$15:G$77,4,0)</f>
        <v>1.1499999999999999</v>
      </c>
      <c r="G303">
        <v>1</v>
      </c>
      <c r="H303">
        <f>VLOOKUP(A303,怪物模型!A$15:G$77,5,0)</f>
        <v>15</v>
      </c>
      <c r="I303">
        <f>VLOOKUP(A303,怪物模型!A$15:G$77,6,0)</f>
        <v>0</v>
      </c>
      <c r="J303">
        <f>VLOOKUP(A303,怪物模型!A$15:G$77,7,0)</f>
        <v>15</v>
      </c>
      <c r="K303">
        <f>ROUND(VLOOKUP(C303,猎人难度!A$1:C$135,3,0)/VLOOKUP(B303,怪物抗性与玩家穿透!A$2:Q$74,17,0)*F303,0)</f>
        <v>5834074</v>
      </c>
      <c r="L303">
        <f>IF(A303="卡雷",42,IF(A303="法力风暴",ROUND(K303*0.1,0),VLOOKUP(A303,怪物模型!$A$15:$I$70,9,0)*(1+(B303-30)/100)))</f>
        <v>4920</v>
      </c>
      <c r="M303">
        <f>ROUND(VLOOKUP(C303,猎人难度!A$1:C$135,2,0)*0.91*E303,0)</f>
        <v>519927</v>
      </c>
      <c r="N303">
        <f t="shared" si="12"/>
        <v>623912</v>
      </c>
      <c r="O303">
        <f>VLOOKUP(B303,怪物抗性与玩家穿透!A$2:Q$74,4,0)</f>
        <v>29000</v>
      </c>
      <c r="P303">
        <f>VLOOKUP(B303,怪物抗性与玩家穿透!A$2:Q$74,5,0)</f>
        <v>9600</v>
      </c>
      <c r="Q303">
        <f t="shared" si="13"/>
        <v>9600</v>
      </c>
      <c r="R303">
        <f>ROUND(VLOOKUP(B303,[3]battleParameter.xml!$A$6:$E$107,5,0)*(I303/100)/(1-I303/100),0)</f>
        <v>0</v>
      </c>
      <c r="S303">
        <f>ROUND(VLOOKUP(B303,[3]battleParameter.xml!$A$6:$G$107,7,0)*(J303/100)/(1-J303/100),0)</f>
        <v>4721</v>
      </c>
      <c r="T303">
        <f>ROUND(VLOOKUP(B303,[3]battleParameter.xml!$A$6:$Z$107,8,0)*(MIN(H303/100+0.2,0.99))/(1-MIN(H303/100+0.2,0.99)),0)</f>
        <v>3601</v>
      </c>
      <c r="U303">
        <v>0</v>
      </c>
      <c r="V303">
        <v>0</v>
      </c>
    </row>
    <row r="304" spans="1:22">
      <c r="A304" t="str">
        <f>[2]monster.xml!$D649</f>
        <v>咒术大师</v>
      </c>
      <c r="B304">
        <f>[2]monster.xml!$C649</f>
        <v>95</v>
      </c>
      <c r="C304">
        <f t="shared" si="14"/>
        <v>118</v>
      </c>
      <c r="D304" t="str">
        <f>VLOOKUP(A304,怪物模型!A$15:Z$70,8,0)</f>
        <v>22,27</v>
      </c>
      <c r="E304">
        <f>VLOOKUP(A304,怪物模型!A$15:G$70,3,0)</f>
        <v>0.45</v>
      </c>
      <c r="F304">
        <f>VLOOKUP(A304,怪物模型!A$15:G$77,4,0)</f>
        <v>0.7</v>
      </c>
      <c r="G304">
        <v>1</v>
      </c>
      <c r="H304">
        <f>VLOOKUP(A304,怪物模型!A$15:G$77,5,0)</f>
        <v>13</v>
      </c>
      <c r="I304">
        <f>VLOOKUP(A304,怪物模型!A$15:G$77,6,0)</f>
        <v>0</v>
      </c>
      <c r="J304">
        <f>VLOOKUP(A304,怪物模型!A$15:G$77,7,0)</f>
        <v>0</v>
      </c>
      <c r="K304">
        <f>ROUND(VLOOKUP(C304,猎人难度!A$1:C$135,3,0)/VLOOKUP(B304,怪物抗性与玩家穿透!A$2:Q$74,17,0)*F304,0)</f>
        <v>2573176</v>
      </c>
      <c r="L304">
        <f>IF(A304="卡雷",42,IF(A304="法力风暴",ROUND(K304*0.1,0),VLOOKUP(A304,怪物模型!$A$15:$I$70,9,0)*(1+(B304-30)/100)))</f>
        <v>8250</v>
      </c>
      <c r="M304">
        <f>ROUND(VLOOKUP(C304,猎人难度!A$1:C$135,2,0)*0.91*E304,0)</f>
        <v>113583</v>
      </c>
      <c r="N304">
        <f t="shared" si="12"/>
        <v>136300</v>
      </c>
      <c r="O304">
        <f>VLOOKUP(B304,怪物抗性与玩家穿透!A$2:Q$74,4,0)</f>
        <v>30000</v>
      </c>
      <c r="P304">
        <f>VLOOKUP(B304,怪物抗性与玩家穿透!A$2:Q$74,5,0)</f>
        <v>10000</v>
      </c>
      <c r="Q304">
        <f t="shared" si="13"/>
        <v>10000</v>
      </c>
      <c r="R304">
        <f>ROUND(VLOOKUP(B304,[3]battleParameter.xml!$A$6:$E$107,5,0)*(I304/100)/(1-I304/100),0)</f>
        <v>0</v>
      </c>
      <c r="S304">
        <f>ROUND(VLOOKUP(B304,[3]battleParameter.xml!$A$6:$G$107,7,0)*(J304/100)/(1-J304/100),0)</f>
        <v>0</v>
      </c>
      <c r="T304">
        <f>ROUND(VLOOKUP(B304,[3]battleParameter.xml!$A$6:$Z$107,8,0)*(MIN(H304/100+0.2,0.99))/(1-MIN(H304/100+0.2,0.99)),0)</f>
        <v>3364</v>
      </c>
      <c r="U304">
        <v>0</v>
      </c>
      <c r="V304">
        <v>0</v>
      </c>
    </row>
    <row r="305" spans="1:22">
      <c r="A305" t="str">
        <f>[2]monster.xml!$D650</f>
        <v>拨弄的赛亚</v>
      </c>
      <c r="B305">
        <f>[2]monster.xml!$C650</f>
        <v>95</v>
      </c>
      <c r="C305">
        <f t="shared" si="14"/>
        <v>119</v>
      </c>
      <c r="D305" t="str">
        <f>VLOOKUP(A305,怪物模型!A$15:Z$70,8,0)</f>
        <v>17,18,8</v>
      </c>
      <c r="E305">
        <f>VLOOKUP(A305,怪物模型!A$15:G$70,3,0)</f>
        <v>1.2</v>
      </c>
      <c r="F305">
        <f>VLOOKUP(A305,怪物模型!A$15:G$77,4,0)</f>
        <v>1</v>
      </c>
      <c r="G305">
        <v>1</v>
      </c>
      <c r="H305">
        <f>VLOOKUP(A305,怪物模型!A$15:G$77,5,0)</f>
        <v>13</v>
      </c>
      <c r="I305">
        <f>VLOOKUP(A305,怪物模型!A$15:G$77,6,0)</f>
        <v>0</v>
      </c>
      <c r="J305">
        <f>VLOOKUP(A305,怪物模型!A$15:G$77,7,0)</f>
        <v>0</v>
      </c>
      <c r="K305">
        <f>ROUND(VLOOKUP(C305,猎人难度!A$1:C$135,3,0)/VLOOKUP(B305,怪物抗性与玩家穿透!A$2:Q$74,17,0)*F305,0)</f>
        <v>3941084</v>
      </c>
      <c r="L305">
        <f>IF(A305="卡雷",42,IF(A305="法力风暴",ROUND(K305*0.1,0),VLOOKUP(A305,怪物模型!$A$15:$I$70,9,0)*(1+(B305-30)/100)))</f>
        <v>4950</v>
      </c>
      <c r="M305">
        <f>ROUND(VLOOKUP(C305,猎人难度!A$1:C$135,2,0)*0.91*E305,0)</f>
        <v>343284</v>
      </c>
      <c r="N305">
        <f t="shared" si="12"/>
        <v>411941</v>
      </c>
      <c r="O305">
        <f>VLOOKUP(B305,怪物抗性与玩家穿透!A$2:Q$74,4,0)</f>
        <v>30000</v>
      </c>
      <c r="P305">
        <f>VLOOKUP(B305,怪物抗性与玩家穿透!A$2:Q$74,5,0)</f>
        <v>10000</v>
      </c>
      <c r="Q305">
        <f t="shared" si="13"/>
        <v>10000</v>
      </c>
      <c r="R305">
        <f>ROUND(VLOOKUP(B305,[3]battleParameter.xml!$A$6:$E$107,5,0)*(I305/100)/(1-I305/100),0)</f>
        <v>0</v>
      </c>
      <c r="S305">
        <f>ROUND(VLOOKUP(B305,[3]battleParameter.xml!$A$6:$G$107,7,0)*(J305/100)/(1-J305/100),0)</f>
        <v>0</v>
      </c>
      <c r="T305">
        <f>ROUND(VLOOKUP(B305,[3]battleParameter.xml!$A$6:$Z$107,8,0)*(MIN(H305/100+0.2,0.99))/(1-MIN(H305/100+0.2,0.99)),0)</f>
        <v>3364</v>
      </c>
      <c r="U305">
        <v>0</v>
      </c>
      <c r="V305">
        <v>0</v>
      </c>
    </row>
    <row r="306" spans="1:22">
      <c r="A306" t="str">
        <f>[2]monster.xml!$D651</f>
        <v>法力风暴</v>
      </c>
      <c r="B306">
        <f>[2]monster.xml!$C651</f>
        <v>96</v>
      </c>
      <c r="C306">
        <f t="shared" si="14"/>
        <v>120</v>
      </c>
      <c r="D306" t="str">
        <f>VLOOKUP(A306,怪物模型!A$15:Z$70,8,0)</f>
        <v>25,30</v>
      </c>
      <c r="E306">
        <f>VLOOKUP(A306,怪物模型!A$15:G$70,3,0)</f>
        <v>1.5</v>
      </c>
      <c r="F306">
        <f>VLOOKUP(A306,怪物模型!A$15:G$77,4,0)</f>
        <v>0.68</v>
      </c>
      <c r="G306">
        <v>1</v>
      </c>
      <c r="H306">
        <f>VLOOKUP(A306,怪物模型!A$15:G$77,5,0)</f>
        <v>13</v>
      </c>
      <c r="I306">
        <f>VLOOKUP(A306,怪物模型!A$15:G$77,6,0)</f>
        <v>0</v>
      </c>
      <c r="J306">
        <f>VLOOKUP(A306,怪物模型!A$15:G$77,7,0)</f>
        <v>0</v>
      </c>
      <c r="K306">
        <f>ROUND(VLOOKUP(C306,猎人难度!A$1:C$135,3,0)/VLOOKUP(B306,怪物抗性与玩家穿透!A$2:Q$74,17,0)*F306,0)</f>
        <v>2942163</v>
      </c>
      <c r="L306">
        <f>IF(A306="卡雷",42,IF(A306="法力风暴",ROUND(K306*0.1,0),VLOOKUP(A306,怪物模型!$A$15:$I$70,9,0)*(1+(B306-30)/100)))</f>
        <v>294216</v>
      </c>
      <c r="M306">
        <f>ROUND(VLOOKUP(C306,猎人难度!A$1:C$135,2,0)*0.91*E306,0)</f>
        <v>507059</v>
      </c>
      <c r="N306">
        <f t="shared" si="12"/>
        <v>608471</v>
      </c>
      <c r="O306">
        <f>VLOOKUP(B306,怪物抗性与玩家穿透!A$2:Q$74,4,0)</f>
        <v>31000</v>
      </c>
      <c r="P306">
        <f>VLOOKUP(B306,怪物抗性与玩家穿透!A$2:Q$74,5,0)</f>
        <v>10400</v>
      </c>
      <c r="Q306">
        <f t="shared" si="13"/>
        <v>10400</v>
      </c>
      <c r="R306">
        <f>ROUND(VLOOKUP(B306,[3]battleParameter.xml!$A$6:$E$107,5,0)*(I306/100)/(1-I306/100),0)</f>
        <v>0</v>
      </c>
      <c r="S306">
        <f>ROUND(VLOOKUP(B306,[3]battleParameter.xml!$A$6:$G$107,7,0)*(J306/100)/(1-J306/100),0)</f>
        <v>0</v>
      </c>
      <c r="T306">
        <f>ROUND(VLOOKUP(B306,[3]battleParameter.xml!$A$6:$Z$107,8,0)*(MIN(H306/100+0.2,0.99))/(1-MIN(H306/100+0.2,0.99)),0)</f>
        <v>3434</v>
      </c>
      <c r="U306">
        <v>0</v>
      </c>
      <c r="V306">
        <v>0</v>
      </c>
    </row>
    <row r="307" spans="1:22">
      <c r="A307" t="str">
        <f>[2]monster.xml!$D652</f>
        <v>火舞者</v>
      </c>
      <c r="B307">
        <f>[2]monster.xml!$C652</f>
        <v>96</v>
      </c>
      <c r="C307">
        <f t="shared" si="14"/>
        <v>121</v>
      </c>
      <c r="D307">
        <f>VLOOKUP(A307,怪物模型!A$15:Z$70,8,0)</f>
        <v>29</v>
      </c>
      <c r="E307">
        <f>VLOOKUP(A307,怪物模型!A$15:G$70,3,0)</f>
        <v>1</v>
      </c>
      <c r="F307">
        <f>VLOOKUP(A307,怪物模型!A$15:G$77,4,0)</f>
        <v>0.95</v>
      </c>
      <c r="G307">
        <v>1</v>
      </c>
      <c r="H307">
        <f>VLOOKUP(A307,怪物模型!A$15:G$77,5,0)</f>
        <v>13</v>
      </c>
      <c r="I307">
        <f>VLOOKUP(A307,怪物模型!A$15:G$77,6,0)</f>
        <v>0</v>
      </c>
      <c r="J307">
        <f>VLOOKUP(A307,怪物模型!A$15:G$77,7,0)</f>
        <v>0</v>
      </c>
      <c r="K307">
        <f>ROUND(VLOOKUP(C307,猎人难度!A$1:C$135,3,0)/VLOOKUP(B307,怪物抗性与玩家穿透!A$2:Q$74,17,0)*F307,0)</f>
        <v>4349214</v>
      </c>
      <c r="L307">
        <f>IF(A307="卡雷",42,IF(A307="法力风暴",ROUND(K307*0.1,0),VLOOKUP(A307,怪物模型!$A$15:$I$70,9,0)*(1+(B307-30)/100)))</f>
        <v>1660.0000000000002</v>
      </c>
      <c r="M307">
        <f>ROUND(VLOOKUP(C307,猎人难度!A$1:C$135,2,0)*0.91*E307,0)</f>
        <v>369160</v>
      </c>
      <c r="N307">
        <f t="shared" si="12"/>
        <v>442992</v>
      </c>
      <c r="O307">
        <f>VLOOKUP(B307,怪物抗性与玩家穿透!A$2:Q$74,4,0)</f>
        <v>31000</v>
      </c>
      <c r="P307">
        <f>VLOOKUP(B307,怪物抗性与玩家穿透!A$2:Q$74,5,0)</f>
        <v>10400</v>
      </c>
      <c r="Q307">
        <f t="shared" si="13"/>
        <v>10400</v>
      </c>
      <c r="R307">
        <f>ROUND(VLOOKUP(B307,[3]battleParameter.xml!$A$6:$E$107,5,0)*(I307/100)/(1-I307/100),0)</f>
        <v>0</v>
      </c>
      <c r="S307">
        <f>ROUND(VLOOKUP(B307,[3]battleParameter.xml!$A$6:$G$107,7,0)*(J307/100)/(1-J307/100),0)</f>
        <v>0</v>
      </c>
      <c r="T307">
        <f>ROUND(VLOOKUP(B307,[3]battleParameter.xml!$A$6:$Z$107,8,0)*(MIN(H307/100+0.2,0.99))/(1-MIN(H307/100+0.2,0.99)),0)</f>
        <v>3434</v>
      </c>
      <c r="U307">
        <v>0</v>
      </c>
      <c r="V307">
        <v>0</v>
      </c>
    </row>
    <row r="308" spans="1:22">
      <c r="A308" t="str">
        <f>[2]monster.xml!$D653</f>
        <v>血誓审判者</v>
      </c>
      <c r="B308">
        <f>[2]monster.xml!$C653</f>
        <v>96</v>
      </c>
      <c r="C308">
        <f t="shared" si="14"/>
        <v>122</v>
      </c>
      <c r="D308">
        <f>VLOOKUP(A308,怪物模型!A$15:Z$70,8,0)</f>
        <v>5</v>
      </c>
      <c r="E308">
        <f>VLOOKUP(A308,怪物模型!A$15:G$70,3,0)</f>
        <v>0.28000000000000003</v>
      </c>
      <c r="F308">
        <f>VLOOKUP(A308,怪物模型!A$15:G$77,4,0)</f>
        <v>0.45</v>
      </c>
      <c r="G308">
        <v>1</v>
      </c>
      <c r="H308">
        <f>VLOOKUP(A308,怪物模型!A$15:G$77,5,0)</f>
        <v>13</v>
      </c>
      <c r="I308">
        <f>VLOOKUP(A308,怪物模型!A$15:G$77,6,0)</f>
        <v>0</v>
      </c>
      <c r="J308">
        <f>VLOOKUP(A308,怪物模型!A$15:G$77,7,0)</f>
        <v>0</v>
      </c>
      <c r="K308">
        <f>ROUND(VLOOKUP(C308,猎人难度!A$1:C$135,3,0)/VLOOKUP(B308,怪物抗性与玩家穿透!A$2:Q$74,17,0)*F308,0)</f>
        <v>2179862</v>
      </c>
      <c r="L308">
        <f>IF(A308="卡雷",42,IF(A308="法力风暴",ROUND(K308*0.1,0),VLOOKUP(A308,怪物模型!$A$15:$I$70,9,0)*(1+(B308-30)/100)))</f>
        <v>1660.0000000000002</v>
      </c>
      <c r="M308">
        <f>ROUND(VLOOKUP(C308,猎人难度!A$1:C$135,2,0)*0.91*E308,0)</f>
        <v>112881</v>
      </c>
      <c r="N308">
        <f t="shared" si="12"/>
        <v>135457</v>
      </c>
      <c r="O308">
        <f>VLOOKUP(B308,怪物抗性与玩家穿透!A$2:Q$74,4,0)</f>
        <v>31000</v>
      </c>
      <c r="P308">
        <f>VLOOKUP(B308,怪物抗性与玩家穿透!A$2:Q$74,5,0)</f>
        <v>10400</v>
      </c>
      <c r="Q308">
        <f t="shared" si="13"/>
        <v>10400</v>
      </c>
      <c r="R308">
        <f>ROUND(VLOOKUP(B308,[3]battleParameter.xml!$A$6:$E$107,5,0)*(I308/100)/(1-I308/100),0)</f>
        <v>0</v>
      </c>
      <c r="S308">
        <f>ROUND(VLOOKUP(B308,[3]battleParameter.xml!$A$6:$G$107,7,0)*(J308/100)/(1-J308/100),0)</f>
        <v>0</v>
      </c>
      <c r="T308">
        <f>ROUND(VLOOKUP(B308,[3]battleParameter.xml!$A$6:$Z$107,8,0)*(MIN(H308/100+0.2,0.99))/(1-MIN(H308/100+0.2,0.99)),0)</f>
        <v>3434</v>
      </c>
      <c r="U308">
        <v>0</v>
      </c>
      <c r="V308">
        <v>0</v>
      </c>
    </row>
    <row r="309" spans="1:22">
      <c r="A309" t="str">
        <f>[2]monster.xml!$D654</f>
        <v>血誓预言者</v>
      </c>
      <c r="B309">
        <f>[2]monster.xml!$C654</f>
        <v>96</v>
      </c>
      <c r="C309">
        <f t="shared" si="14"/>
        <v>122</v>
      </c>
      <c r="D309">
        <f>VLOOKUP(A309,怪物模型!A$15:Z$70,8,0)</f>
        <v>2</v>
      </c>
      <c r="E309">
        <f>VLOOKUP(A309,怪物模型!A$15:G$70,3,0)</f>
        <v>0.3</v>
      </c>
      <c r="F309">
        <f>VLOOKUP(A309,怪物模型!A$15:G$77,4,0)</f>
        <v>0.42</v>
      </c>
      <c r="G309">
        <v>1</v>
      </c>
      <c r="H309">
        <f>VLOOKUP(A309,怪物模型!A$15:G$77,5,0)</f>
        <v>13</v>
      </c>
      <c r="I309">
        <f>VLOOKUP(A309,怪物模型!A$15:G$77,6,0)</f>
        <v>0</v>
      </c>
      <c r="J309">
        <f>VLOOKUP(A309,怪物模型!A$15:G$77,7,0)</f>
        <v>0</v>
      </c>
      <c r="K309">
        <f>ROUND(VLOOKUP(C309,猎人难度!A$1:C$135,3,0)/VLOOKUP(B309,怪物抗性与玩家穿透!A$2:Q$74,17,0)*F309,0)</f>
        <v>2034538</v>
      </c>
      <c r="L309">
        <f>IF(A309="卡雷",42,IF(A309="法力风暴",ROUND(K309*0.1,0),VLOOKUP(A309,怪物模型!$A$15:$I$70,9,0)*(1+(B309-30)/100)))</f>
        <v>1328</v>
      </c>
      <c r="M309">
        <f>ROUND(VLOOKUP(C309,猎人难度!A$1:C$135,2,0)*0.91*E309,0)</f>
        <v>120944</v>
      </c>
      <c r="N309">
        <f t="shared" si="12"/>
        <v>145133</v>
      </c>
      <c r="O309">
        <f>VLOOKUP(B309,怪物抗性与玩家穿透!A$2:Q$74,4,0)</f>
        <v>31000</v>
      </c>
      <c r="P309">
        <f>VLOOKUP(B309,怪物抗性与玩家穿透!A$2:Q$74,5,0)</f>
        <v>10400</v>
      </c>
      <c r="Q309">
        <f t="shared" si="13"/>
        <v>10400</v>
      </c>
      <c r="R309">
        <f>ROUND(VLOOKUP(B309,[3]battleParameter.xml!$A$6:$E$107,5,0)*(I309/100)/(1-I309/100),0)</f>
        <v>0</v>
      </c>
      <c r="S309">
        <f>ROUND(VLOOKUP(B309,[3]battleParameter.xml!$A$6:$G$107,7,0)*(J309/100)/(1-J309/100),0)</f>
        <v>0</v>
      </c>
      <c r="T309">
        <f>ROUND(VLOOKUP(B309,[3]battleParameter.xml!$A$6:$Z$107,8,0)*(MIN(H309/100+0.2,0.99))/(1-MIN(H309/100+0.2,0.99)),0)</f>
        <v>3434</v>
      </c>
      <c r="U309">
        <v>0</v>
      </c>
      <c r="V309">
        <v>0</v>
      </c>
    </row>
    <row r="310" spans="1:22">
      <c r="A310" t="str">
        <f>[2]monster.xml!$D655</f>
        <v>血誓召唤者</v>
      </c>
      <c r="B310">
        <f>[2]monster.xml!$C655</f>
        <v>96</v>
      </c>
      <c r="C310">
        <f t="shared" si="14"/>
        <v>122</v>
      </c>
      <c r="D310">
        <f>VLOOKUP(A310,怪物模型!A$15:Z$70,8,0)</f>
        <v>26</v>
      </c>
      <c r="E310">
        <f>VLOOKUP(A310,怪物模型!A$15:G$70,3,0)</f>
        <v>0.36</v>
      </c>
      <c r="F310">
        <f>VLOOKUP(A310,怪物模型!A$15:G$77,4,0)</f>
        <v>0.44</v>
      </c>
      <c r="G310">
        <v>1</v>
      </c>
      <c r="H310">
        <f>VLOOKUP(A310,怪物模型!A$15:G$77,5,0)</f>
        <v>13</v>
      </c>
      <c r="I310">
        <f>VLOOKUP(A310,怪物模型!A$15:G$77,6,0)</f>
        <v>0</v>
      </c>
      <c r="J310">
        <f>VLOOKUP(A310,怪物模型!A$15:G$77,7,0)</f>
        <v>0</v>
      </c>
      <c r="K310">
        <f>ROUND(VLOOKUP(C310,猎人难度!A$1:C$135,3,0)/VLOOKUP(B310,怪物抗性与玩家穿透!A$2:Q$74,17,0)*F310,0)</f>
        <v>2131421</v>
      </c>
      <c r="L310">
        <f>IF(A310="卡雷",42,IF(A310="法力风暴",ROUND(K310*0.1,0),VLOOKUP(A310,怪物模型!$A$15:$I$70,9,0)*(1+(B310-30)/100)))</f>
        <v>1660.0000000000002</v>
      </c>
      <c r="M310">
        <f>ROUND(VLOOKUP(C310,猎人难度!A$1:C$135,2,0)*0.91*E310,0)</f>
        <v>145132</v>
      </c>
      <c r="N310">
        <f t="shared" si="12"/>
        <v>174158</v>
      </c>
      <c r="O310">
        <f>VLOOKUP(B310,怪物抗性与玩家穿透!A$2:Q$74,4,0)</f>
        <v>31000</v>
      </c>
      <c r="P310">
        <f>VLOOKUP(B310,怪物抗性与玩家穿透!A$2:Q$74,5,0)</f>
        <v>10400</v>
      </c>
      <c r="Q310">
        <f t="shared" si="13"/>
        <v>10400</v>
      </c>
      <c r="R310">
        <f>ROUND(VLOOKUP(B310,[3]battleParameter.xml!$A$6:$E$107,5,0)*(I310/100)/(1-I310/100),0)</f>
        <v>0</v>
      </c>
      <c r="S310">
        <f>ROUND(VLOOKUP(B310,[3]battleParameter.xml!$A$6:$G$107,7,0)*(J310/100)/(1-J310/100),0)</f>
        <v>0</v>
      </c>
      <c r="T310">
        <f>ROUND(VLOOKUP(B310,[3]battleParameter.xml!$A$6:$Z$107,8,0)*(MIN(H310/100+0.2,0.99))/(1-MIN(H310/100+0.2,0.99)),0)</f>
        <v>3434</v>
      </c>
      <c r="U310">
        <v>0</v>
      </c>
      <c r="V310">
        <v>0</v>
      </c>
    </row>
    <row r="311" spans="1:22">
      <c r="A311" t="str">
        <f>[2]monster.xml!$D656</f>
        <v>血誓领主</v>
      </c>
      <c r="B311">
        <f>[2]monster.xml!$C656</f>
        <v>96</v>
      </c>
      <c r="C311">
        <f t="shared" si="14"/>
        <v>122</v>
      </c>
      <c r="D311">
        <f>VLOOKUP(A311,怪物模型!A$15:Z$70,8,0)</f>
        <v>14</v>
      </c>
      <c r="E311">
        <f>VLOOKUP(A311,怪物模型!A$15:G$70,3,0)</f>
        <v>0.36</v>
      </c>
      <c r="F311">
        <f>VLOOKUP(A311,怪物模型!A$15:G$77,4,0)</f>
        <v>0.43</v>
      </c>
      <c r="G311">
        <v>1</v>
      </c>
      <c r="H311">
        <f>VLOOKUP(A311,怪物模型!A$15:G$77,5,0)</f>
        <v>13</v>
      </c>
      <c r="I311">
        <f>VLOOKUP(A311,怪物模型!A$15:G$77,6,0)</f>
        <v>0</v>
      </c>
      <c r="J311">
        <f>VLOOKUP(A311,怪物模型!A$15:G$77,7,0)</f>
        <v>0</v>
      </c>
      <c r="K311">
        <f>ROUND(VLOOKUP(C311,猎人难度!A$1:C$135,3,0)/VLOOKUP(B311,怪物抗性与玩家穿透!A$2:Q$74,17,0)*F311,0)</f>
        <v>2082980</v>
      </c>
      <c r="L311">
        <f>IF(A311="卡雷",42,IF(A311="法力风暴",ROUND(K311*0.1,0),VLOOKUP(A311,怪物模型!$A$15:$I$70,9,0)*(1+(B311-30)/100)))</f>
        <v>1660.0000000000002</v>
      </c>
      <c r="M311">
        <f>ROUND(VLOOKUP(C311,猎人难度!A$1:C$135,2,0)*0.91*E311,0)</f>
        <v>145132</v>
      </c>
      <c r="N311">
        <f t="shared" si="12"/>
        <v>174158</v>
      </c>
      <c r="O311">
        <f>VLOOKUP(B311,怪物抗性与玩家穿透!A$2:Q$74,4,0)</f>
        <v>31000</v>
      </c>
      <c r="P311">
        <f>VLOOKUP(B311,怪物抗性与玩家穿透!A$2:Q$74,5,0)</f>
        <v>10400</v>
      </c>
      <c r="Q311">
        <f t="shared" si="13"/>
        <v>10400</v>
      </c>
      <c r="R311">
        <f>ROUND(VLOOKUP(B311,[3]battleParameter.xml!$A$6:$E$107,5,0)*(I311/100)/(1-I311/100),0)</f>
        <v>0</v>
      </c>
      <c r="S311">
        <f>ROUND(VLOOKUP(B311,[3]battleParameter.xml!$A$6:$G$107,7,0)*(J311/100)/(1-J311/100),0)</f>
        <v>0</v>
      </c>
      <c r="T311">
        <f>ROUND(VLOOKUP(B311,[3]battleParameter.xml!$A$6:$Z$107,8,0)*(MIN(H311/100+0.2,0.99))/(1-MIN(H311/100+0.2,0.99)),0)</f>
        <v>3434</v>
      </c>
      <c r="U311">
        <v>0</v>
      </c>
      <c r="V311">
        <v>0</v>
      </c>
    </row>
    <row r="312" spans="1:22">
      <c r="A312" t="str">
        <f>[2]monster.xml!$D657</f>
        <v>舞钢者拜伦</v>
      </c>
      <c r="B312">
        <f>[2]monster.xml!$C657</f>
        <v>97</v>
      </c>
      <c r="C312">
        <f t="shared" si="14"/>
        <v>123</v>
      </c>
      <c r="D312">
        <f>VLOOKUP(A312,怪物模型!A$15:Z$70,8,0)</f>
        <v>8</v>
      </c>
      <c r="E312">
        <f>VLOOKUP(A312,怪物模型!A$15:G$70,3,0)</f>
        <v>0.8</v>
      </c>
      <c r="F312">
        <f>VLOOKUP(A312,怪物模型!A$15:G$77,4,0)</f>
        <v>1</v>
      </c>
      <c r="G312">
        <v>1</v>
      </c>
      <c r="H312">
        <f>VLOOKUP(A312,怪物模型!A$15:G$77,5,0)</f>
        <v>13</v>
      </c>
      <c r="I312">
        <f>VLOOKUP(A312,怪物模型!A$15:G$77,6,0)</f>
        <v>0</v>
      </c>
      <c r="J312">
        <f>VLOOKUP(A312,怪物模型!A$15:G$77,7,0)</f>
        <v>0</v>
      </c>
      <c r="K312">
        <f>ROUND(VLOOKUP(C312,猎人难度!A$1:C$135,3,0)/VLOOKUP(B312,怪物抗性与玩家穿透!A$2:Q$74,17,0)*F312,0)</f>
        <v>5229442</v>
      </c>
      <c r="L312">
        <f>IF(A312="卡雷",42,IF(A312="法力风暴",ROUND(K312*0.1,0),VLOOKUP(A312,怪物模型!$A$15:$I$70,9,0)*(1+(B312-30)/100)))</f>
        <v>1670</v>
      </c>
      <c r="M312">
        <f>ROUND(VLOOKUP(C312,猎人难度!A$1:C$135,2,0)*0.91*E312,0)</f>
        <v>362700</v>
      </c>
      <c r="N312">
        <f t="shared" si="12"/>
        <v>435240</v>
      </c>
      <c r="O312">
        <f>VLOOKUP(B312,怪物抗性与玩家穿透!A$2:Q$74,4,0)</f>
        <v>32000</v>
      </c>
      <c r="P312">
        <f>VLOOKUP(B312,怪物抗性与玩家穿透!A$2:Q$74,5,0)</f>
        <v>10800</v>
      </c>
      <c r="Q312">
        <f t="shared" si="13"/>
        <v>10800</v>
      </c>
      <c r="R312">
        <f>ROUND(VLOOKUP(B312,[3]battleParameter.xml!$A$6:$E$107,5,0)*(I312/100)/(1-I312/100),0)</f>
        <v>0</v>
      </c>
      <c r="S312">
        <f>ROUND(VLOOKUP(B312,[3]battleParameter.xml!$A$6:$G$107,7,0)*(J312/100)/(1-J312/100),0)</f>
        <v>0</v>
      </c>
      <c r="T312">
        <f>ROUND(VLOOKUP(B312,[3]battleParameter.xml!$A$6:$Z$107,8,0)*(MIN(H312/100+0.2,0.99))/(1-MIN(H312/100+0.2,0.99)),0)</f>
        <v>3506</v>
      </c>
      <c r="U312">
        <v>0</v>
      </c>
      <c r="V312">
        <v>0</v>
      </c>
    </row>
    <row r="313" spans="1:22">
      <c r="A313" t="str">
        <f>[2]monster.xml!$D658</f>
        <v>风暴之王</v>
      </c>
      <c r="B313">
        <f>[2]monster.xml!$C658</f>
        <v>97</v>
      </c>
      <c r="C313">
        <f t="shared" si="14"/>
        <v>124</v>
      </c>
      <c r="D313">
        <f>VLOOKUP(A313,怪物模型!A$15:Z$70,8,0)</f>
        <v>6</v>
      </c>
      <c r="E313">
        <f>VLOOKUP(A313,怪物模型!A$15:G$70,3,0)</f>
        <v>0.8</v>
      </c>
      <c r="F313">
        <f>VLOOKUP(A313,怪物模型!A$15:G$77,4,0)</f>
        <v>0.92</v>
      </c>
      <c r="G313">
        <v>1</v>
      </c>
      <c r="H313">
        <f>VLOOKUP(A313,怪物模型!A$15:G$77,5,0)</f>
        <v>13</v>
      </c>
      <c r="I313">
        <f>VLOOKUP(A313,怪物模型!A$15:G$77,6,0)</f>
        <v>0</v>
      </c>
      <c r="J313">
        <f>VLOOKUP(A313,怪物模型!A$15:G$77,7,0)</f>
        <v>0</v>
      </c>
      <c r="K313">
        <f>ROUND(VLOOKUP(C313,猎人难度!A$1:C$135,3,0)/VLOOKUP(B313,怪物抗性与玩家穿透!A$2:Q$74,17,0)*F313,0)</f>
        <v>5117865</v>
      </c>
      <c r="L313">
        <f>IF(A313="卡雷",42,IF(A313="法力风暴",ROUND(K313*0.1,0),VLOOKUP(A313,怪物模型!$A$15:$I$70,9,0)*(1+(B313-30)/100)))</f>
        <v>1670</v>
      </c>
      <c r="M313">
        <f>ROUND(VLOOKUP(C313,猎人难度!A$1:C$135,2,0)*0.91*E313,0)</f>
        <v>395913</v>
      </c>
      <c r="N313">
        <f t="shared" si="12"/>
        <v>475096</v>
      </c>
      <c r="O313">
        <f>VLOOKUP(B313,怪物抗性与玩家穿透!A$2:Q$74,4,0)</f>
        <v>32000</v>
      </c>
      <c r="P313">
        <f>VLOOKUP(B313,怪物抗性与玩家穿透!A$2:Q$74,5,0)</f>
        <v>10800</v>
      </c>
      <c r="Q313">
        <f t="shared" si="13"/>
        <v>10800</v>
      </c>
      <c r="R313">
        <f>ROUND(VLOOKUP(B313,[3]battleParameter.xml!$A$6:$E$107,5,0)*(I313/100)/(1-I313/100),0)</f>
        <v>0</v>
      </c>
      <c r="S313">
        <f>ROUND(VLOOKUP(B313,[3]battleParameter.xml!$A$6:$G$107,7,0)*(J313/100)/(1-J313/100),0)</f>
        <v>0</v>
      </c>
      <c r="T313">
        <f>ROUND(VLOOKUP(B313,[3]battleParameter.xml!$A$6:$Z$107,8,0)*(MIN(H313/100+0.2,0.99))/(1-MIN(H313/100+0.2,0.99)),0)</f>
        <v>3506</v>
      </c>
      <c r="U313">
        <v>0</v>
      </c>
      <c r="V313">
        <v>0</v>
      </c>
    </row>
    <row r="314" spans="1:22">
      <c r="A314" t="str">
        <f>[2]monster.xml!$D659</f>
        <v>雷伊战争使者</v>
      </c>
      <c r="B314">
        <f>[2]monster.xml!$C659</f>
        <v>98</v>
      </c>
      <c r="C314">
        <f t="shared" si="14"/>
        <v>125</v>
      </c>
      <c r="D314">
        <f>VLOOKUP(A314,怪物模型!A$15:Z$70,8,0)</f>
        <v>7</v>
      </c>
      <c r="E314">
        <f>VLOOKUP(A314,怪物模型!A$15:G$70,3,0)</f>
        <v>1</v>
      </c>
      <c r="F314">
        <f>VLOOKUP(A314,怪物模型!A$15:G$77,4,0)</f>
        <v>1</v>
      </c>
      <c r="G314">
        <v>1</v>
      </c>
      <c r="H314">
        <f>VLOOKUP(A314,怪物模型!A$15:G$77,5,0)</f>
        <v>13</v>
      </c>
      <c r="I314">
        <f>VLOOKUP(A314,怪物模型!A$15:G$77,6,0)</f>
        <v>0</v>
      </c>
      <c r="J314">
        <f>VLOOKUP(A314,怪物模型!A$15:G$77,7,0)</f>
        <v>0</v>
      </c>
      <c r="K314">
        <f>ROUND(VLOOKUP(C314,猎人难度!A$1:C$135,3,0)/VLOOKUP(B314,怪物抗性与玩家穿透!A$2:Q$74,17,0)*F314,0)</f>
        <v>5928751</v>
      </c>
      <c r="L314">
        <f>IF(A314="卡雷",42,IF(A314="法力风暴",ROUND(K314*0.1,0),VLOOKUP(A314,怪物模型!$A$15:$I$70,9,0)*(1+(B314-30)/100)))</f>
        <v>1680.0000000000002</v>
      </c>
      <c r="M314">
        <f>ROUND(VLOOKUP(C314,猎人难度!A$1:C$135,2,0)*0.91*E314,0)</f>
        <v>540210</v>
      </c>
      <c r="N314">
        <f t="shared" si="12"/>
        <v>648252</v>
      </c>
      <c r="O314">
        <f>VLOOKUP(B314,怪物抗性与玩家穿透!A$2:Q$74,4,0)</f>
        <v>33000</v>
      </c>
      <c r="P314">
        <f>VLOOKUP(B314,怪物抗性与玩家穿透!A$2:Q$74,5,0)</f>
        <v>11200</v>
      </c>
      <c r="Q314">
        <f t="shared" si="13"/>
        <v>11200</v>
      </c>
      <c r="R314">
        <f>ROUND(VLOOKUP(B314,[3]battleParameter.xml!$A$6:$E$107,5,0)*(I314/100)/(1-I314/100),0)</f>
        <v>0</v>
      </c>
      <c r="S314">
        <f>ROUND(VLOOKUP(B314,[3]battleParameter.xml!$A$6:$G$107,7,0)*(J314/100)/(1-J314/100),0)</f>
        <v>0</v>
      </c>
      <c r="T314">
        <f>ROUND(VLOOKUP(B314,[3]battleParameter.xml!$A$6:$Z$107,8,0)*(MIN(H314/100+0.2,0.99))/(1-MIN(H314/100+0.2,0.99)),0)</f>
        <v>3578</v>
      </c>
      <c r="U314">
        <v>0</v>
      </c>
      <c r="V314">
        <v>0</v>
      </c>
    </row>
    <row r="315" spans="1:22">
      <c r="A315" t="str">
        <f>[2]monster.xml!$D660</f>
        <v>暴君泰伦</v>
      </c>
      <c r="B315">
        <f>[2]monster.xml!$C660</f>
        <v>99</v>
      </c>
      <c r="C315">
        <f t="shared" si="14"/>
        <v>126</v>
      </c>
      <c r="D315" t="str">
        <f>VLOOKUP(A315,怪物模型!A$15:Z$70,8,0)</f>
        <v>10,9</v>
      </c>
      <c r="E315">
        <f>VLOOKUP(A315,怪物模型!A$15:G$70,3,0)</f>
        <v>1.2</v>
      </c>
      <c r="F315">
        <f>VLOOKUP(A315,怪物模型!A$15:G$77,4,0)</f>
        <v>1.1499999999999999</v>
      </c>
      <c r="G315">
        <v>1</v>
      </c>
      <c r="H315">
        <f>VLOOKUP(A315,怪物模型!A$15:G$77,5,0)</f>
        <v>15</v>
      </c>
      <c r="I315">
        <f>VLOOKUP(A315,怪物模型!A$15:G$77,6,0)</f>
        <v>0</v>
      </c>
      <c r="J315">
        <f>VLOOKUP(A315,怪物模型!A$15:G$77,7,0)</f>
        <v>15</v>
      </c>
      <c r="K315">
        <f>ROUND(VLOOKUP(C315,猎人难度!A$1:C$135,3,0)/VLOOKUP(B315,怪物抗性与玩家穿透!A$2:Q$74,17,0)*F315,0)</f>
        <v>7422079</v>
      </c>
      <c r="L315">
        <f>IF(A315="卡雷",42,IF(A315="法力风暴",ROUND(K315*0.1,0),VLOOKUP(A315,怪物模型!$A$15:$I$70,9,0)*(1+(B315-30)/100)))</f>
        <v>5070</v>
      </c>
      <c r="M315">
        <f>ROUND(VLOOKUP(C315,猎人难度!A$1:C$135,2,0)*0.91*E315,0)</f>
        <v>728585</v>
      </c>
      <c r="N315">
        <f t="shared" si="12"/>
        <v>874302</v>
      </c>
      <c r="O315">
        <f>VLOOKUP(B315,怪物抗性与玩家穿透!A$2:Q$74,4,0)</f>
        <v>34000</v>
      </c>
      <c r="P315">
        <f>VLOOKUP(B315,怪物抗性与玩家穿透!A$2:Q$74,5,0)</f>
        <v>11600</v>
      </c>
      <c r="Q315">
        <f t="shared" si="13"/>
        <v>11600</v>
      </c>
      <c r="R315">
        <f>ROUND(VLOOKUP(B315,[3]battleParameter.xml!$A$6:$E$107,5,0)*(I315/100)/(1-I315/100),0)</f>
        <v>0</v>
      </c>
      <c r="S315">
        <f>ROUND(VLOOKUP(B315,[3]battleParameter.xml!$A$6:$G$107,7,0)*(J315/100)/(1-J315/100),0)</f>
        <v>5233</v>
      </c>
      <c r="T315">
        <f>ROUND(VLOOKUP(B315,[3]battleParameter.xml!$A$6:$Z$107,8,0)*(MIN(H315/100+0.2,0.99))/(1-MIN(H315/100+0.2,0.99)),0)</f>
        <v>3992</v>
      </c>
      <c r="U315">
        <v>0</v>
      </c>
      <c r="V315">
        <v>0</v>
      </c>
    </row>
    <row r="316" spans="1:22">
      <c r="A316" t="str">
        <f>[2]monster.xml!$D661</f>
        <v>咒术大师</v>
      </c>
      <c r="B316">
        <f>[2]monster.xml!$C661</f>
        <v>100</v>
      </c>
      <c r="C316">
        <f t="shared" si="14"/>
        <v>127</v>
      </c>
      <c r="D316" t="str">
        <f>VLOOKUP(A316,怪物模型!A$15:Z$70,8,0)</f>
        <v>22,27</v>
      </c>
      <c r="E316">
        <f>VLOOKUP(A316,怪物模型!A$15:G$70,3,0)</f>
        <v>0.45</v>
      </c>
      <c r="F316">
        <f>VLOOKUP(A316,怪物模型!A$15:G$77,4,0)</f>
        <v>0.7</v>
      </c>
      <c r="G316">
        <v>1</v>
      </c>
      <c r="H316">
        <f>VLOOKUP(A316,怪物模型!A$15:G$77,5,0)</f>
        <v>13</v>
      </c>
      <c r="I316">
        <f>VLOOKUP(A316,怪物模型!A$15:G$77,6,0)</f>
        <v>0</v>
      </c>
      <c r="J316">
        <f>VLOOKUP(A316,怪物模型!A$15:G$77,7,0)</f>
        <v>0</v>
      </c>
      <c r="K316">
        <f>ROUND(VLOOKUP(C316,猎人难度!A$1:C$135,3,0)/VLOOKUP(B316,怪物抗性与玩家穿透!A$2:Q$74,17,0)*F316,0)</f>
        <v>3279033</v>
      </c>
      <c r="L316">
        <f>IF(A316="卡雷",42,IF(A316="法力风暴",ROUND(K316*0.1,0),VLOOKUP(A316,怪物模型!$A$15:$I$70,9,0)*(1+(B316-30)/100)))</f>
        <v>8500</v>
      </c>
      <c r="M316">
        <f>ROUND(VLOOKUP(C316,猎人难度!A$1:C$135,2,0)*0.91*E316,0)</f>
        <v>156463</v>
      </c>
      <c r="N316">
        <f t="shared" si="12"/>
        <v>187756</v>
      </c>
      <c r="O316">
        <f>VLOOKUP(B316,怪物抗性与玩家穿透!A$2:Q$74,4,0)</f>
        <v>35000</v>
      </c>
      <c r="P316">
        <f>VLOOKUP(B316,怪物抗性与玩家穿透!A$2:Q$74,5,0)</f>
        <v>12000</v>
      </c>
      <c r="Q316">
        <f t="shared" si="13"/>
        <v>12000</v>
      </c>
      <c r="R316">
        <f>ROUND(VLOOKUP(B316,[3]battleParameter.xml!$A$6:$E$107,5,0)*(I316/100)/(1-I316/100),0)</f>
        <v>0</v>
      </c>
      <c r="S316">
        <f>ROUND(VLOOKUP(B316,[3]battleParameter.xml!$A$6:$G$107,7,0)*(J316/100)/(1-J316/100),0)</f>
        <v>0</v>
      </c>
      <c r="T316">
        <f>ROUND(VLOOKUP(B316,[3]battleParameter.xml!$A$6:$Z$107,8,0)*(MIN(H316/100+0.2,0.99))/(1-MIN(H316/100+0.2,0.99)),0)</f>
        <v>3725</v>
      </c>
      <c r="U316">
        <v>0</v>
      </c>
      <c r="V316">
        <v>0</v>
      </c>
    </row>
    <row r="317" spans="1:22">
      <c r="A317" t="str">
        <f>[2]monster.xml!$D662</f>
        <v>拨弄的赛亚</v>
      </c>
      <c r="B317">
        <f>[2]monster.xml!$C662</f>
        <v>100</v>
      </c>
      <c r="C317">
        <f t="shared" si="14"/>
        <v>128</v>
      </c>
      <c r="D317" t="str">
        <f>VLOOKUP(A317,怪物模型!A$15:Z$70,8,0)</f>
        <v>17,18,8</v>
      </c>
      <c r="E317">
        <f>VLOOKUP(A317,怪物模型!A$15:G$70,3,0)</f>
        <v>1.2</v>
      </c>
      <c r="F317">
        <f>VLOOKUP(A317,怪物模型!A$15:G$77,4,0)</f>
        <v>1</v>
      </c>
      <c r="G317">
        <v>1</v>
      </c>
      <c r="H317">
        <f>VLOOKUP(A317,怪物模型!A$15:G$77,5,0)</f>
        <v>13</v>
      </c>
      <c r="I317">
        <f>VLOOKUP(A317,怪物模型!A$15:G$77,6,0)</f>
        <v>0</v>
      </c>
      <c r="J317">
        <f>VLOOKUP(A317,怪物模型!A$15:G$77,7,0)</f>
        <v>0</v>
      </c>
      <c r="K317">
        <f>ROUND(VLOOKUP(C317,猎人难度!A$1:C$135,3,0)/VLOOKUP(B317,怪物抗性与玩家穿透!A$2:Q$74,17,0)*F317,0)</f>
        <v>5022058</v>
      </c>
      <c r="L317">
        <f>IF(A317="卡雷",42,IF(A317="法力风暴",ROUND(K317*0.1,0),VLOOKUP(A317,怪物模型!$A$15:$I$70,9,0)*(1+(B317-30)/100)))</f>
        <v>5100</v>
      </c>
      <c r="M317">
        <f>ROUND(VLOOKUP(C317,猎人难度!A$1:C$135,2,0)*0.91*E317,0)</f>
        <v>475719</v>
      </c>
      <c r="N317">
        <f t="shared" si="12"/>
        <v>570863</v>
      </c>
      <c r="O317">
        <f>VLOOKUP(B317,怪物抗性与玩家穿透!A$2:Q$74,4,0)</f>
        <v>35000</v>
      </c>
      <c r="P317">
        <f>VLOOKUP(B317,怪物抗性与玩家穿透!A$2:Q$74,5,0)</f>
        <v>12000</v>
      </c>
      <c r="Q317">
        <f t="shared" si="13"/>
        <v>12000</v>
      </c>
      <c r="R317">
        <f>ROUND(VLOOKUP(B317,[3]battleParameter.xml!$A$6:$E$107,5,0)*(I317/100)/(1-I317/100),0)</f>
        <v>0</v>
      </c>
      <c r="S317">
        <f>ROUND(VLOOKUP(B317,[3]battleParameter.xml!$A$6:$G$107,7,0)*(J317/100)/(1-J317/100),0)</f>
        <v>0</v>
      </c>
      <c r="T317">
        <f>ROUND(VLOOKUP(B317,[3]battleParameter.xml!$A$6:$Z$107,8,0)*(MIN(H317/100+0.2,0.99))/(1-MIN(H317/100+0.2,0.99)),0)</f>
        <v>3725</v>
      </c>
      <c r="U317">
        <v>0</v>
      </c>
      <c r="V317">
        <v>0</v>
      </c>
    </row>
    <row r="318" spans="1:22">
      <c r="A318" t="str">
        <f>[2]monster.xml!$D663</f>
        <v>法力风暴</v>
      </c>
      <c r="B318">
        <f>[2]monster.xml!$C663</f>
        <v>101</v>
      </c>
      <c r="C318">
        <f t="shared" si="14"/>
        <v>129</v>
      </c>
      <c r="D318" t="str">
        <f>VLOOKUP(A318,怪物模型!A$15:Z$70,8,0)</f>
        <v>25,30</v>
      </c>
      <c r="E318">
        <f>VLOOKUP(A318,怪物模型!A$15:G$70,3,0)</f>
        <v>1.5</v>
      </c>
      <c r="F318">
        <f>VLOOKUP(A318,怪物模型!A$15:G$77,4,0)</f>
        <v>0.68</v>
      </c>
      <c r="G318">
        <v>1</v>
      </c>
      <c r="H318">
        <f>VLOOKUP(A318,怪物模型!A$15:G$77,5,0)</f>
        <v>13</v>
      </c>
      <c r="I318">
        <f>VLOOKUP(A318,怪物模型!A$15:G$77,6,0)</f>
        <v>0</v>
      </c>
      <c r="J318">
        <f>VLOOKUP(A318,怪物模型!A$15:G$77,7,0)</f>
        <v>0</v>
      </c>
      <c r="K318">
        <f>ROUND(VLOOKUP(C318,猎人难度!A$1:C$135,3,0)/VLOOKUP(B318,怪物抗性与玩家穿透!A$2:Q$74,17,0)*F318,0)</f>
        <v>3735986</v>
      </c>
      <c r="L318">
        <f>IF(A318="卡雷",42,IF(A318="法力风暴",ROUND(K318*0.1,0),VLOOKUP(A318,怪物模型!$A$15:$I$70,9,0)*(1+(B318-30)/100)))</f>
        <v>373599</v>
      </c>
      <c r="M318">
        <f>ROUND(VLOOKUP(C318,猎人难度!A$1:C$135,2,0)*0.91*E318,0)</f>
        <v>708307</v>
      </c>
      <c r="N318">
        <f t="shared" si="12"/>
        <v>849968</v>
      </c>
      <c r="O318">
        <f>VLOOKUP(B318,怪物抗性与玩家穿透!A$2:Q$74,4,0)</f>
        <v>36000</v>
      </c>
      <c r="P318">
        <f>VLOOKUP(B318,怪物抗性与玩家穿透!A$2:Q$74,5,0)</f>
        <v>12400</v>
      </c>
      <c r="Q318">
        <f t="shared" si="13"/>
        <v>12400</v>
      </c>
      <c r="R318">
        <f>ROUND(VLOOKUP(B318,[3]battleParameter.xml!$A$6:$E$107,5,0)*(I318/100)/(1-I318/100),0)</f>
        <v>0</v>
      </c>
      <c r="S318">
        <f>ROUND(VLOOKUP(B318,[3]battleParameter.xml!$A$6:$G$107,7,0)*(J318/100)/(1-J318/100),0)</f>
        <v>0</v>
      </c>
      <c r="T318">
        <f>ROUND(VLOOKUP(B318,[3]battleParameter.xml!$A$6:$Z$107,8,0)*(MIN(H318/100+0.2,0.99))/(1-MIN(H318/100+0.2,0.99)),0)</f>
        <v>3800</v>
      </c>
      <c r="U318">
        <v>0</v>
      </c>
      <c r="V318">
        <v>0</v>
      </c>
    </row>
    <row r="319" spans="1:22">
      <c r="A319" t="str">
        <f>[2]monster.xml!$D664</f>
        <v>火舞者</v>
      </c>
      <c r="B319">
        <f>[2]monster.xml!$C664</f>
        <v>101</v>
      </c>
      <c r="C319">
        <f t="shared" si="14"/>
        <v>130</v>
      </c>
      <c r="D319">
        <f>VLOOKUP(A319,怪物模型!A$15:Z$70,8,0)</f>
        <v>29</v>
      </c>
      <c r="E319">
        <f>VLOOKUP(A319,怪物模型!A$15:G$70,3,0)</f>
        <v>1</v>
      </c>
      <c r="F319">
        <f>VLOOKUP(A319,怪物模型!A$15:G$77,4,0)</f>
        <v>0.95</v>
      </c>
      <c r="G319">
        <v>1</v>
      </c>
      <c r="H319">
        <f>VLOOKUP(A319,怪物模型!A$15:G$77,5,0)</f>
        <v>13</v>
      </c>
      <c r="I319">
        <f>VLOOKUP(A319,怪物模型!A$15:G$77,6,0)</f>
        <v>0</v>
      </c>
      <c r="J319">
        <f>VLOOKUP(A319,怪物模型!A$15:G$77,7,0)</f>
        <v>0</v>
      </c>
      <c r="K319">
        <f>ROUND(VLOOKUP(C319,猎人难度!A$1:C$135,3,0)/VLOOKUP(B319,怪物抗性与玩家穿透!A$2:Q$74,17,0)*F319,0)</f>
        <v>5522588</v>
      </c>
      <c r="L319">
        <f>IF(A319="卡雷",42,IF(A319="法力风暴",ROUND(K319*0.1,0),VLOOKUP(A319,怪物模型!$A$15:$I$70,9,0)*(1+(B319-30)/100)))</f>
        <v>1710</v>
      </c>
      <c r="M319">
        <f>ROUND(VLOOKUP(C319,猎人难度!A$1:C$135,2,0)*0.91*E319,0)</f>
        <v>517172</v>
      </c>
      <c r="N319">
        <f t="shared" si="12"/>
        <v>620606</v>
      </c>
      <c r="O319">
        <f>VLOOKUP(B319,怪物抗性与玩家穿透!A$2:Q$74,4,0)</f>
        <v>36000</v>
      </c>
      <c r="P319">
        <f>VLOOKUP(B319,怪物抗性与玩家穿透!A$2:Q$74,5,0)</f>
        <v>12400</v>
      </c>
      <c r="Q319">
        <f t="shared" si="13"/>
        <v>12400</v>
      </c>
      <c r="R319">
        <f>ROUND(VLOOKUP(B319,[3]battleParameter.xml!$A$6:$E$107,5,0)*(I319/100)/(1-I319/100),0)</f>
        <v>0</v>
      </c>
      <c r="S319">
        <f>ROUND(VLOOKUP(B319,[3]battleParameter.xml!$A$6:$G$107,7,0)*(J319/100)/(1-J319/100),0)</f>
        <v>0</v>
      </c>
      <c r="T319">
        <f>ROUND(VLOOKUP(B319,[3]battleParameter.xml!$A$6:$Z$107,8,0)*(MIN(H319/100+0.2,0.99))/(1-MIN(H319/100+0.2,0.99)),0)</f>
        <v>3800</v>
      </c>
      <c r="U319">
        <v>0</v>
      </c>
      <c r="V319">
        <v>0</v>
      </c>
    </row>
    <row r="320" spans="1:22">
      <c r="A320" t="str">
        <f>[2]monster.xml!$D665</f>
        <v>血誓审判者</v>
      </c>
      <c r="B320">
        <f>[2]monster.xml!$C665</f>
        <v>101</v>
      </c>
      <c r="C320">
        <f t="shared" si="14"/>
        <v>131</v>
      </c>
      <c r="D320">
        <f>VLOOKUP(A320,怪物模型!A$15:Z$70,8,0)</f>
        <v>5</v>
      </c>
      <c r="E320">
        <f>VLOOKUP(A320,怪物模型!A$15:G$70,3,0)</f>
        <v>0.28000000000000003</v>
      </c>
      <c r="F320">
        <f>VLOOKUP(A320,怪物模型!A$15:G$77,4,0)</f>
        <v>0.45</v>
      </c>
      <c r="G320">
        <v>1</v>
      </c>
      <c r="H320">
        <f>VLOOKUP(A320,怪物模型!A$15:G$77,5,0)</f>
        <v>13</v>
      </c>
      <c r="I320">
        <f>VLOOKUP(A320,怪物模型!A$15:G$77,6,0)</f>
        <v>0</v>
      </c>
      <c r="J320">
        <f>VLOOKUP(A320,怪物模型!A$15:G$77,7,0)</f>
        <v>0</v>
      </c>
      <c r="K320">
        <f>ROUND(VLOOKUP(C320,猎人难度!A$1:C$135,3,0)/VLOOKUP(B320,怪物抗性与玩家穿透!A$2:Q$74,17,0)*F320,0)</f>
        <v>2767924</v>
      </c>
      <c r="L320">
        <f>IF(A320="卡雷",42,IF(A320="法力风暴",ROUND(K320*0.1,0),VLOOKUP(A320,怪物模型!$A$15:$I$70,9,0)*(1+(B320-30)/100)))</f>
        <v>1710</v>
      </c>
      <c r="M320">
        <f>ROUND(VLOOKUP(C320,猎人难度!A$1:C$135,2,0)*0.91*E320,0)</f>
        <v>158598</v>
      </c>
      <c r="N320">
        <f t="shared" si="12"/>
        <v>190318</v>
      </c>
      <c r="O320">
        <f>VLOOKUP(B320,怪物抗性与玩家穿透!A$2:Q$74,4,0)</f>
        <v>36000</v>
      </c>
      <c r="P320">
        <f>VLOOKUP(B320,怪物抗性与玩家穿透!A$2:Q$74,5,0)</f>
        <v>12400</v>
      </c>
      <c r="Q320">
        <f t="shared" si="13"/>
        <v>12400</v>
      </c>
      <c r="R320">
        <f>ROUND(VLOOKUP(B320,[3]battleParameter.xml!$A$6:$E$107,5,0)*(I320/100)/(1-I320/100),0)</f>
        <v>0</v>
      </c>
      <c r="S320">
        <f>ROUND(VLOOKUP(B320,[3]battleParameter.xml!$A$6:$G$107,7,0)*(J320/100)/(1-J320/100),0)</f>
        <v>0</v>
      </c>
      <c r="T320">
        <f>ROUND(VLOOKUP(B320,[3]battleParameter.xml!$A$6:$Z$107,8,0)*(MIN(H320/100+0.2,0.99))/(1-MIN(H320/100+0.2,0.99)),0)</f>
        <v>3800</v>
      </c>
      <c r="U320">
        <v>0</v>
      </c>
      <c r="V320">
        <v>0</v>
      </c>
    </row>
    <row r="321" spans="1:22">
      <c r="A321" t="str">
        <f>[2]monster.xml!$D666</f>
        <v>血誓预言者</v>
      </c>
      <c r="B321">
        <f>[2]monster.xml!$C666</f>
        <v>101</v>
      </c>
      <c r="C321">
        <f t="shared" si="14"/>
        <v>131</v>
      </c>
      <c r="D321">
        <f>VLOOKUP(A321,怪物模型!A$15:Z$70,8,0)</f>
        <v>2</v>
      </c>
      <c r="E321">
        <f>VLOOKUP(A321,怪物模型!A$15:G$70,3,0)</f>
        <v>0.3</v>
      </c>
      <c r="F321">
        <f>VLOOKUP(A321,怪物模型!A$15:G$77,4,0)</f>
        <v>0.42</v>
      </c>
      <c r="G321">
        <v>1</v>
      </c>
      <c r="H321">
        <f>VLOOKUP(A321,怪物模型!A$15:G$77,5,0)</f>
        <v>13</v>
      </c>
      <c r="I321">
        <f>VLOOKUP(A321,怪物模型!A$15:G$77,6,0)</f>
        <v>0</v>
      </c>
      <c r="J321">
        <f>VLOOKUP(A321,怪物模型!A$15:G$77,7,0)</f>
        <v>0</v>
      </c>
      <c r="K321">
        <f>ROUND(VLOOKUP(C321,猎人难度!A$1:C$135,3,0)/VLOOKUP(B321,怪物抗性与玩家穿透!A$2:Q$74,17,0)*F321,0)</f>
        <v>2583396</v>
      </c>
      <c r="L321">
        <f>IF(A321="卡雷",42,IF(A321="法力风暴",ROUND(K321*0.1,0),VLOOKUP(A321,怪物模型!$A$15:$I$70,9,0)*(1+(B321-30)/100)))</f>
        <v>1368</v>
      </c>
      <c r="M321">
        <f>ROUND(VLOOKUP(C321,猎人难度!A$1:C$135,2,0)*0.91*E321,0)</f>
        <v>169927</v>
      </c>
      <c r="N321">
        <f t="shared" si="12"/>
        <v>203912</v>
      </c>
      <c r="O321">
        <f>VLOOKUP(B321,怪物抗性与玩家穿透!A$2:Q$74,4,0)</f>
        <v>36000</v>
      </c>
      <c r="P321">
        <f>VLOOKUP(B321,怪物抗性与玩家穿透!A$2:Q$74,5,0)</f>
        <v>12400</v>
      </c>
      <c r="Q321">
        <f t="shared" si="13"/>
        <v>12400</v>
      </c>
      <c r="R321">
        <f>ROUND(VLOOKUP(B321,[3]battleParameter.xml!$A$6:$E$107,5,0)*(I321/100)/(1-I321/100),0)</f>
        <v>0</v>
      </c>
      <c r="S321">
        <f>ROUND(VLOOKUP(B321,[3]battleParameter.xml!$A$6:$G$107,7,0)*(J321/100)/(1-J321/100),0)</f>
        <v>0</v>
      </c>
      <c r="T321">
        <f>ROUND(VLOOKUP(B321,[3]battleParameter.xml!$A$6:$Z$107,8,0)*(MIN(H321/100+0.2,0.99))/(1-MIN(H321/100+0.2,0.99)),0)</f>
        <v>3800</v>
      </c>
      <c r="U321">
        <v>0</v>
      </c>
      <c r="V321">
        <v>0</v>
      </c>
    </row>
    <row r="322" spans="1:22">
      <c r="A322" t="str">
        <f>[2]monster.xml!$D667</f>
        <v>血誓召唤者</v>
      </c>
      <c r="B322">
        <f>[2]monster.xml!$C667</f>
        <v>101</v>
      </c>
      <c r="C322">
        <f t="shared" si="14"/>
        <v>131</v>
      </c>
      <c r="D322">
        <f>VLOOKUP(A322,怪物模型!A$15:Z$70,8,0)</f>
        <v>26</v>
      </c>
      <c r="E322">
        <f>VLOOKUP(A322,怪物模型!A$15:G$70,3,0)</f>
        <v>0.36</v>
      </c>
      <c r="F322">
        <f>VLOOKUP(A322,怪物模型!A$15:G$77,4,0)</f>
        <v>0.44</v>
      </c>
      <c r="G322">
        <v>1</v>
      </c>
      <c r="H322">
        <f>VLOOKUP(A322,怪物模型!A$15:G$77,5,0)</f>
        <v>13</v>
      </c>
      <c r="I322">
        <f>VLOOKUP(A322,怪物模型!A$15:G$77,6,0)</f>
        <v>0</v>
      </c>
      <c r="J322">
        <f>VLOOKUP(A322,怪物模型!A$15:G$77,7,0)</f>
        <v>0</v>
      </c>
      <c r="K322">
        <f>ROUND(VLOOKUP(C322,猎人难度!A$1:C$135,3,0)/VLOOKUP(B322,怪物抗性与玩家穿透!A$2:Q$74,17,0)*F322,0)</f>
        <v>2706415</v>
      </c>
      <c r="L322">
        <f>IF(A322="卡雷",42,IF(A322="法力风暴",ROUND(K322*0.1,0),VLOOKUP(A322,怪物模型!$A$15:$I$70,9,0)*(1+(B322-30)/100)))</f>
        <v>1710</v>
      </c>
      <c r="M322">
        <f>ROUND(VLOOKUP(C322,猎人难度!A$1:C$135,2,0)*0.91*E322,0)</f>
        <v>203912</v>
      </c>
      <c r="N322">
        <f t="shared" si="12"/>
        <v>244694</v>
      </c>
      <c r="O322">
        <f>VLOOKUP(B322,怪物抗性与玩家穿透!A$2:Q$74,4,0)</f>
        <v>36000</v>
      </c>
      <c r="P322">
        <f>VLOOKUP(B322,怪物抗性与玩家穿透!A$2:Q$74,5,0)</f>
        <v>12400</v>
      </c>
      <c r="Q322">
        <f t="shared" si="13"/>
        <v>12400</v>
      </c>
      <c r="R322">
        <f>ROUND(VLOOKUP(B322,[3]battleParameter.xml!$A$6:$E$107,5,0)*(I322/100)/(1-I322/100),0)</f>
        <v>0</v>
      </c>
      <c r="S322">
        <f>ROUND(VLOOKUP(B322,[3]battleParameter.xml!$A$6:$G$107,7,0)*(J322/100)/(1-J322/100),0)</f>
        <v>0</v>
      </c>
      <c r="T322">
        <f>ROUND(VLOOKUP(B322,[3]battleParameter.xml!$A$6:$Z$107,8,0)*(MIN(H322/100+0.2,0.99))/(1-MIN(H322/100+0.2,0.99)),0)</f>
        <v>3800</v>
      </c>
      <c r="U322">
        <v>0</v>
      </c>
      <c r="V322">
        <v>0</v>
      </c>
    </row>
    <row r="323" spans="1:22">
      <c r="A323" t="str">
        <f>[2]monster.xml!$D668</f>
        <v>血誓领主</v>
      </c>
      <c r="B323">
        <f>[2]monster.xml!$C668</f>
        <v>101</v>
      </c>
      <c r="C323">
        <f t="shared" si="14"/>
        <v>131</v>
      </c>
      <c r="D323">
        <f>VLOOKUP(A323,怪物模型!A$15:Z$70,8,0)</f>
        <v>14</v>
      </c>
      <c r="E323">
        <f>VLOOKUP(A323,怪物模型!A$15:G$70,3,0)</f>
        <v>0.36</v>
      </c>
      <c r="F323">
        <f>VLOOKUP(A323,怪物模型!A$15:G$77,4,0)</f>
        <v>0.43</v>
      </c>
      <c r="G323">
        <v>1</v>
      </c>
      <c r="H323">
        <f>VLOOKUP(A323,怪物模型!A$15:G$77,5,0)</f>
        <v>13</v>
      </c>
      <c r="I323">
        <f>VLOOKUP(A323,怪物模型!A$15:G$77,6,0)</f>
        <v>0</v>
      </c>
      <c r="J323">
        <f>VLOOKUP(A323,怪物模型!A$15:G$77,7,0)</f>
        <v>0</v>
      </c>
      <c r="K323">
        <f>ROUND(VLOOKUP(C323,猎人难度!A$1:C$135,3,0)/VLOOKUP(B323,怪物抗性与玩家穿透!A$2:Q$74,17,0)*F323,0)</f>
        <v>2644905</v>
      </c>
      <c r="L323">
        <f>IF(A323="卡雷",42,IF(A323="法力风暴",ROUND(K323*0.1,0),VLOOKUP(A323,怪物模型!$A$15:$I$70,9,0)*(1+(B323-30)/100)))</f>
        <v>1710</v>
      </c>
      <c r="M323">
        <f>ROUND(VLOOKUP(C323,猎人难度!A$1:C$135,2,0)*0.91*E323,0)</f>
        <v>203912</v>
      </c>
      <c r="N323">
        <f t="shared" ref="N323:N386" si="15">ROUND(M323*1.2,0)</f>
        <v>244694</v>
      </c>
      <c r="O323">
        <f>VLOOKUP(B323,怪物抗性与玩家穿透!A$2:Q$74,4,0)</f>
        <v>36000</v>
      </c>
      <c r="P323">
        <f>VLOOKUP(B323,怪物抗性与玩家穿透!A$2:Q$74,5,0)</f>
        <v>12400</v>
      </c>
      <c r="Q323">
        <f t="shared" ref="Q323:Q386" si="16">P323</f>
        <v>12400</v>
      </c>
      <c r="R323">
        <f>ROUND(VLOOKUP(B323,[3]battleParameter.xml!$A$6:$E$107,5,0)*(I323/100)/(1-I323/100),0)</f>
        <v>0</v>
      </c>
      <c r="S323">
        <f>ROUND(VLOOKUP(B323,[3]battleParameter.xml!$A$6:$G$107,7,0)*(J323/100)/(1-J323/100),0)</f>
        <v>0</v>
      </c>
      <c r="T323">
        <f>ROUND(VLOOKUP(B323,[3]battleParameter.xml!$A$6:$Z$107,8,0)*(MIN(H323/100+0.2,0.99))/(1-MIN(H323/100+0.2,0.99)),0)</f>
        <v>3800</v>
      </c>
      <c r="U323">
        <v>0</v>
      </c>
      <c r="V323">
        <v>0</v>
      </c>
    </row>
    <row r="324" spans="1:22">
      <c r="A324" t="str">
        <f>[2]monster.xml!$D669</f>
        <v>舞钢者拜伦</v>
      </c>
      <c r="B324">
        <f>[2]monster.xml!$C669</f>
        <v>102</v>
      </c>
      <c r="C324">
        <f t="shared" ref="C324:C387" si="17">IF(OR(A324="塔克",A324="多兰",A324="约翰",A324="血誓预言者",A324="血誓召唤者",A324="血誓领主"),C323,C323+1)</f>
        <v>132</v>
      </c>
      <c r="D324">
        <f>VLOOKUP(A324,怪物模型!A$15:Z$70,8,0)</f>
        <v>8</v>
      </c>
      <c r="E324">
        <f>VLOOKUP(A324,怪物模型!A$15:G$70,3,0)</f>
        <v>0.8</v>
      </c>
      <c r="F324">
        <f>VLOOKUP(A324,怪物模型!A$15:G$77,4,0)</f>
        <v>1</v>
      </c>
      <c r="G324">
        <v>1</v>
      </c>
      <c r="H324">
        <f>VLOOKUP(A324,怪物模型!A$15:G$77,5,0)</f>
        <v>13</v>
      </c>
      <c r="I324">
        <f>VLOOKUP(A324,怪物模型!A$15:G$77,6,0)</f>
        <v>0</v>
      </c>
      <c r="J324">
        <f>VLOOKUP(A324,怪物模型!A$15:G$77,7,0)</f>
        <v>0</v>
      </c>
      <c r="K324">
        <f>ROUND(VLOOKUP(C324,猎人难度!A$1:C$135,3,0)/VLOOKUP(B324,怪物抗性与玩家穿透!A$2:Q$74,17,0)*F324,0)</f>
        <v>6651749</v>
      </c>
      <c r="L324">
        <f>IF(A324="卡雷",42,IF(A324="法力风暴",ROUND(K324*0.1,0),VLOOKUP(A324,怪物模型!$A$15:$I$70,9,0)*(1+(B324-30)/100)))</f>
        <v>1720</v>
      </c>
      <c r="M324">
        <f>ROUND(VLOOKUP(C324,猎人难度!A$1:C$135,2,0)*0.91*E324,0)</f>
        <v>511569</v>
      </c>
      <c r="N324">
        <f t="shared" si="15"/>
        <v>613883</v>
      </c>
      <c r="O324">
        <f>VLOOKUP(B324,怪物抗性与玩家穿透!A$2:Q$74,4,0)</f>
        <v>37000</v>
      </c>
      <c r="P324">
        <f>VLOOKUP(B324,怪物抗性与玩家穿透!A$2:Q$74,5,0)</f>
        <v>12800</v>
      </c>
      <c r="Q324">
        <f t="shared" si="16"/>
        <v>12800</v>
      </c>
      <c r="R324">
        <f>ROUND(VLOOKUP(B324,[3]battleParameter.xml!$A$6:$E$107,5,0)*(I324/100)/(1-I324/100),0)</f>
        <v>0</v>
      </c>
      <c r="S324">
        <f>ROUND(VLOOKUP(B324,[3]battleParameter.xml!$A$6:$G$107,7,0)*(J324/100)/(1-J324/100),0)</f>
        <v>0</v>
      </c>
      <c r="T324">
        <f>ROUND(VLOOKUP(B324,[3]battleParameter.xml!$A$6:$Z$107,8,0)*(MIN(H324/100+0.2,0.99))/(1-MIN(H324/100+0.2,0.99)),0)</f>
        <v>3875</v>
      </c>
      <c r="U324">
        <v>0</v>
      </c>
      <c r="V324">
        <v>0</v>
      </c>
    </row>
    <row r="325" spans="1:22">
      <c r="A325" t="str">
        <f>[2]monster.xml!$D670</f>
        <v>风暴之王</v>
      </c>
      <c r="B325">
        <f>[2]monster.xml!$C670</f>
        <v>102</v>
      </c>
      <c r="C325">
        <f t="shared" si="17"/>
        <v>133</v>
      </c>
      <c r="D325">
        <f>VLOOKUP(A325,怪物模型!A$15:Z$70,8,0)</f>
        <v>6</v>
      </c>
      <c r="E325">
        <f>VLOOKUP(A325,怪物模型!A$15:G$70,3,0)</f>
        <v>0.8</v>
      </c>
      <c r="F325">
        <f>VLOOKUP(A325,怪物模型!A$15:G$77,4,0)</f>
        <v>0.92</v>
      </c>
      <c r="G325">
        <v>1</v>
      </c>
      <c r="H325">
        <f>VLOOKUP(A325,怪物模型!A$15:G$77,5,0)</f>
        <v>13</v>
      </c>
      <c r="I325">
        <f>VLOOKUP(A325,怪物模型!A$15:G$77,6,0)</f>
        <v>0</v>
      </c>
      <c r="J325">
        <f>VLOOKUP(A325,怪物模型!A$15:G$77,7,0)</f>
        <v>0</v>
      </c>
      <c r="K325">
        <f>ROUND(VLOOKUP(C325,猎人难度!A$1:C$135,3,0)/VLOOKUP(B325,怪物抗性与玩家穿透!A$2:Q$74,17,0)*F325,0)</f>
        <v>6509735</v>
      </c>
      <c r="L325">
        <f>IF(A325="卡雷",42,IF(A325="法力风暴",ROUND(K325*0.1,0),VLOOKUP(A325,怪物模型!$A$15:$I$70,9,0)*(1+(B325-30)/100)))</f>
        <v>1720</v>
      </c>
      <c r="M325">
        <f>ROUND(VLOOKUP(C325,猎人难度!A$1:C$135,2,0)*0.91*E325,0)</f>
        <v>559606</v>
      </c>
      <c r="N325">
        <f t="shared" si="15"/>
        <v>671527</v>
      </c>
      <c r="O325">
        <f>VLOOKUP(B325,怪物抗性与玩家穿透!A$2:Q$74,4,0)</f>
        <v>37000</v>
      </c>
      <c r="P325">
        <f>VLOOKUP(B325,怪物抗性与玩家穿透!A$2:Q$74,5,0)</f>
        <v>12800</v>
      </c>
      <c r="Q325">
        <f t="shared" si="16"/>
        <v>12800</v>
      </c>
      <c r="R325">
        <f>ROUND(VLOOKUP(B325,[3]battleParameter.xml!$A$6:$E$107,5,0)*(I325/100)/(1-I325/100),0)</f>
        <v>0</v>
      </c>
      <c r="S325">
        <f>ROUND(VLOOKUP(B325,[3]battleParameter.xml!$A$6:$G$107,7,0)*(J325/100)/(1-J325/100),0)</f>
        <v>0</v>
      </c>
      <c r="T325">
        <f>ROUND(VLOOKUP(B325,[3]battleParameter.xml!$A$6:$Z$107,8,0)*(MIN(H325/100+0.2,0.99))/(1-MIN(H325/100+0.2,0.99)),0)</f>
        <v>3875</v>
      </c>
      <c r="U325">
        <v>0</v>
      </c>
      <c r="V325">
        <v>0</v>
      </c>
    </row>
    <row r="326" spans="1:22">
      <c r="A326" t="str">
        <f>[2]monster.xml!$D671</f>
        <v>雷伊战争使者</v>
      </c>
      <c r="B326">
        <f>[2]monster.xml!$C671</f>
        <v>102</v>
      </c>
      <c r="C326">
        <f t="shared" si="17"/>
        <v>134</v>
      </c>
      <c r="D326">
        <f>VLOOKUP(A326,怪物模型!A$15:Z$70,8,0)</f>
        <v>7</v>
      </c>
      <c r="E326">
        <f>VLOOKUP(A326,怪物模型!A$15:G$70,3,0)</f>
        <v>1</v>
      </c>
      <c r="F326">
        <f>VLOOKUP(A326,怪物模型!A$15:G$77,4,0)</f>
        <v>1</v>
      </c>
      <c r="G326">
        <v>1</v>
      </c>
      <c r="H326">
        <f>VLOOKUP(A326,怪物模型!A$15:G$77,5,0)</f>
        <v>13</v>
      </c>
      <c r="I326">
        <f>VLOOKUP(A326,怪物模型!A$15:G$77,6,0)</f>
        <v>0</v>
      </c>
      <c r="J326">
        <f>VLOOKUP(A326,怪物模型!A$15:G$77,7,0)</f>
        <v>0</v>
      </c>
      <c r="K326">
        <f>ROUND(VLOOKUP(C326,猎人难度!A$1:C$135,3,0)/VLOOKUP(B326,怪物抗性与玩家穿透!A$2:Q$74,17,0)*F326,0)</f>
        <v>7526881</v>
      </c>
      <c r="L326">
        <f>IF(A326="卡雷",42,IF(A326="法力风暴",ROUND(K326*0.1,0),VLOOKUP(A326,怪物模型!$A$15:$I$70,9,0)*(1+(B326-30)/100)))</f>
        <v>1720</v>
      </c>
      <c r="M326">
        <f>ROUND(VLOOKUP(C326,猎人难度!A$1:C$135,2,0)*0.91*E326,0)</f>
        <v>765194</v>
      </c>
      <c r="N326">
        <f t="shared" si="15"/>
        <v>918233</v>
      </c>
      <c r="O326">
        <f>VLOOKUP(B326,怪物抗性与玩家穿透!A$2:Q$74,4,0)</f>
        <v>37000</v>
      </c>
      <c r="P326">
        <f>VLOOKUP(B326,怪物抗性与玩家穿透!A$2:Q$74,5,0)</f>
        <v>12800</v>
      </c>
      <c r="Q326">
        <f t="shared" si="16"/>
        <v>12800</v>
      </c>
      <c r="R326">
        <f>ROUND(VLOOKUP(B326,[3]battleParameter.xml!$A$6:$E$107,5,0)*(I326/100)/(1-I326/100),0)</f>
        <v>0</v>
      </c>
      <c r="S326">
        <f>ROUND(VLOOKUP(B326,[3]battleParameter.xml!$A$6:$G$107,7,0)*(J326/100)/(1-J326/100),0)</f>
        <v>0</v>
      </c>
      <c r="T326">
        <f>ROUND(VLOOKUP(B326,[3]battleParameter.xml!$A$6:$Z$107,8,0)*(MIN(H326/100+0.2,0.99))/(1-MIN(H326/100+0.2,0.99)),0)</f>
        <v>3875</v>
      </c>
      <c r="U326">
        <v>0</v>
      </c>
      <c r="V326">
        <v>0</v>
      </c>
    </row>
    <row r="327" spans="1:22">
      <c r="A327" t="str">
        <f>[2]monster.xml!$D672</f>
        <v>暴君泰伦</v>
      </c>
      <c r="B327">
        <f>[2]monster.xml!$C672</f>
        <v>102</v>
      </c>
      <c r="C327">
        <f t="shared" si="17"/>
        <v>135</v>
      </c>
      <c r="D327" t="str">
        <f>VLOOKUP(A327,怪物模型!A$15:Z$70,8,0)</f>
        <v>10,9</v>
      </c>
      <c r="E327">
        <f>VLOOKUP(A327,怪物模型!A$15:G$70,3,0)</f>
        <v>1.2</v>
      </c>
      <c r="F327">
        <f>VLOOKUP(A327,怪物模型!A$15:G$77,4,0)</f>
        <v>1.1499999999999999</v>
      </c>
      <c r="G327">
        <v>1</v>
      </c>
      <c r="H327">
        <f>VLOOKUP(A327,怪物模型!A$15:G$77,5,0)</f>
        <v>15</v>
      </c>
      <c r="I327">
        <f>VLOOKUP(A327,怪物模型!A$15:G$77,6,0)</f>
        <v>0</v>
      </c>
      <c r="J327">
        <f>VLOOKUP(A327,怪物模型!A$15:G$77,7,0)</f>
        <v>15</v>
      </c>
      <c r="K327">
        <f>ROUND(VLOOKUP(C327,猎人难度!A$1:C$135,3,0)/VLOOKUP(B327,怪物抗性与玩家穿透!A$2:Q$74,17,0)*F327,0)</f>
        <v>9399375</v>
      </c>
      <c r="L327">
        <f>IF(A327="卡雷",42,IF(A327="法力风暴",ROUND(K327*0.1,0),VLOOKUP(A327,怪物模型!$A$15:$I$70,9,0)*(1+(B327-30)/100)))</f>
        <v>5160</v>
      </c>
      <c r="M327">
        <f>ROUND(VLOOKUP(C327,猎人难度!A$1:C$135,2,0)*0.91*E327,0)</f>
        <v>1034962</v>
      </c>
      <c r="N327">
        <f t="shared" si="15"/>
        <v>1241954</v>
      </c>
      <c r="O327">
        <f>VLOOKUP(B327,怪物抗性与玩家穿透!A$2:Q$74,4,0)</f>
        <v>37000</v>
      </c>
      <c r="P327">
        <f>VLOOKUP(B327,怪物抗性与玩家穿透!A$2:Q$74,5,0)</f>
        <v>12800</v>
      </c>
      <c r="Q327">
        <f t="shared" si="16"/>
        <v>12800</v>
      </c>
      <c r="R327">
        <f>ROUND(VLOOKUP(B327,[3]battleParameter.xml!$A$6:$E$107,5,0)*(I327/100)/(1-I327/100),0)</f>
        <v>0</v>
      </c>
      <c r="S327">
        <f>ROUND(VLOOKUP(B327,[3]battleParameter.xml!$A$6:$G$107,7,0)*(J327/100)/(1-J327/100),0)</f>
        <v>5554</v>
      </c>
      <c r="T327">
        <f>ROUND(VLOOKUP(B327,[3]battleParameter.xml!$A$6:$Z$107,8,0)*(MIN(H327/100+0.2,0.99))/(1-MIN(H327/100+0.2,0.99)),0)</f>
        <v>4236</v>
      </c>
      <c r="U327">
        <v>0</v>
      </c>
      <c r="V327">
        <v>0</v>
      </c>
    </row>
    <row r="328" spans="1:22">
      <c r="A328" t="str">
        <f>[2]monster.xml!$D673</f>
        <v>法师幻象</v>
      </c>
      <c r="B328">
        <f>[2]monster.xml!$C673</f>
        <v>30</v>
      </c>
      <c r="C328">
        <v>1</v>
      </c>
      <c r="D328">
        <f>VLOOKUP(A328,怪物模型!A$15:Z$70,8,0)</f>
        <v>21</v>
      </c>
      <c r="E328">
        <f>VLOOKUP(A328,怪物模型!A$15:G$70,3,0)</f>
        <v>1</v>
      </c>
      <c r="F328">
        <f>VLOOKUP(A328,怪物模型!A$15:G$77,4,0)</f>
        <v>1</v>
      </c>
      <c r="G328">
        <v>1</v>
      </c>
      <c r="H328">
        <f>VLOOKUP(A328,怪物模型!A$15:G$77,5,0)</f>
        <v>13</v>
      </c>
      <c r="I328">
        <f>VLOOKUP(A328,怪物模型!A$15:G$77,6,0)</f>
        <v>0</v>
      </c>
      <c r="J328">
        <f>VLOOKUP(A328,怪物模型!A$15:G$77,7,0)</f>
        <v>0</v>
      </c>
      <c r="K328">
        <f>ROUND(VLOOKUP(C328,法师难度!A$1:C$135,3,0)/VLOOKUP(B328,怪物抗性与玩家穿透!A$2:Q$74,17,0)*F328,0)</f>
        <v>40899</v>
      </c>
      <c r="L328">
        <f>IF(A328="卡雷",42,IF(A328="法力风暴",ROUND(K328*0.1,0),VLOOKUP(A328,怪物模型!$A$15:$I$70,9,0)*(1+(B328-30)/100)))</f>
        <v>3000</v>
      </c>
      <c r="M328">
        <f>ROUND(VLOOKUP(C328,法师难度!A$1:C$135,2,0)*0.91*E328,0)</f>
        <v>1123</v>
      </c>
      <c r="N328">
        <f t="shared" si="15"/>
        <v>1348</v>
      </c>
      <c r="O328">
        <f>VLOOKUP(B328,怪物抗性与玩家穿透!A$2:Q$74,4,0)</f>
        <v>20</v>
      </c>
      <c r="P328">
        <f>VLOOKUP(B328,怪物抗性与玩家穿透!A$2:Q$74,5,0)</f>
        <v>0</v>
      </c>
      <c r="Q328">
        <f t="shared" si="16"/>
        <v>0</v>
      </c>
      <c r="R328">
        <f>ROUND(VLOOKUP(B328,[3]battleParameter.xml!$A$6:$E$107,5,0)*(I328/100)/(1-I328/100),0)</f>
        <v>0</v>
      </c>
      <c r="S328">
        <f>ROUND(VLOOKUP(B328,[3]battleParameter.xml!$A$6:$G$107,7,0)*(J328/100)/(1-J328/100),0)</f>
        <v>0</v>
      </c>
      <c r="T328">
        <f>ROUND(VLOOKUP(B328,[3]battleParameter.xml!$A$6:$Z$107,8,0)*(MIN(H328/100+0.2,0.99))/(1-MIN(H328/100+0.2,0.99)),0)</f>
        <v>346</v>
      </c>
      <c r="U328">
        <v>0</v>
      </c>
      <c r="V328">
        <v>0</v>
      </c>
    </row>
    <row r="329" spans="1:22">
      <c r="A329" t="str">
        <f>[2]monster.xml!$D674</f>
        <v>法力风暴</v>
      </c>
      <c r="B329">
        <f>[2]monster.xml!$C674</f>
        <v>30</v>
      </c>
      <c r="C329">
        <f t="shared" si="17"/>
        <v>2</v>
      </c>
      <c r="D329" t="str">
        <f>VLOOKUP(A329,怪物模型!A$15:Z$70,8,0)</f>
        <v>25,30</v>
      </c>
      <c r="E329">
        <f>VLOOKUP(A329,怪物模型!A$15:G$70,3,0)</f>
        <v>1.5</v>
      </c>
      <c r="F329">
        <f>VLOOKUP(A329,怪物模型!A$15:G$77,4,0)</f>
        <v>0.68</v>
      </c>
      <c r="G329">
        <v>1</v>
      </c>
      <c r="H329">
        <f>VLOOKUP(A329,怪物模型!A$15:G$77,5,0)</f>
        <v>13</v>
      </c>
      <c r="I329">
        <f>VLOOKUP(A329,怪物模型!A$15:G$77,6,0)</f>
        <v>0</v>
      </c>
      <c r="J329">
        <f>VLOOKUP(A329,怪物模型!A$15:G$77,7,0)</f>
        <v>0</v>
      </c>
      <c r="K329">
        <f>ROUND(VLOOKUP(C329,法师难度!A$1:C$135,3,0)/VLOOKUP(B329,怪物抗性与玩家穿透!A$2:Q$74,17,0)*F329,0)</f>
        <v>34706</v>
      </c>
      <c r="L329">
        <f>IF(A329="卡雷",42,IF(A329="法力风暴",ROUND(K329*0.1,0),VLOOKUP(A329,怪物模型!$A$15:$I$70,9,0)*(1+(B329-30)/100)))</f>
        <v>3471</v>
      </c>
      <c r="M329">
        <f>ROUND(VLOOKUP(C329,法师难度!A$1:C$135,2,0)*0.91*E329,0)</f>
        <v>1675</v>
      </c>
      <c r="N329">
        <f t="shared" si="15"/>
        <v>2010</v>
      </c>
      <c r="O329">
        <f>VLOOKUP(B329,怪物抗性与玩家穿透!A$2:Q$74,4,0)</f>
        <v>20</v>
      </c>
      <c r="P329">
        <f>VLOOKUP(B329,怪物抗性与玩家穿透!A$2:Q$74,5,0)</f>
        <v>0</v>
      </c>
      <c r="Q329">
        <f t="shared" si="16"/>
        <v>0</v>
      </c>
      <c r="R329">
        <f>ROUND(VLOOKUP(B329,[3]battleParameter.xml!$A$6:$E$107,5,0)*(I329/100)/(1-I329/100),0)</f>
        <v>0</v>
      </c>
      <c r="S329">
        <f>ROUND(VLOOKUP(B329,[3]battleParameter.xml!$A$6:$G$107,7,0)*(J329/100)/(1-J329/100),0)</f>
        <v>0</v>
      </c>
      <c r="T329">
        <f>ROUND(VLOOKUP(B329,[3]battleParameter.xml!$A$6:$Z$107,8,0)*(MIN(H329/100+0.2,0.99))/(1-MIN(H329/100+0.2,0.99)),0)</f>
        <v>346</v>
      </c>
      <c r="U329">
        <v>0</v>
      </c>
      <c r="V329">
        <v>0</v>
      </c>
    </row>
    <row r="330" spans="1:22">
      <c r="A330" t="str">
        <f>[2]monster.xml!$D675</f>
        <v>角斗士里奥</v>
      </c>
      <c r="B330">
        <f>[2]monster.xml!$C675</f>
        <v>31</v>
      </c>
      <c r="C330">
        <f t="shared" si="17"/>
        <v>3</v>
      </c>
      <c r="D330">
        <f>VLOOKUP(A330,怪物模型!A$15:Z$70,8,0)</f>
        <v>5</v>
      </c>
      <c r="E330">
        <f>VLOOKUP(A330,怪物模型!A$15:G$70,3,0)</f>
        <v>1</v>
      </c>
      <c r="F330">
        <f>VLOOKUP(A330,怪物模型!A$15:G$77,4,0)</f>
        <v>1</v>
      </c>
      <c r="G330">
        <v>1</v>
      </c>
      <c r="H330">
        <f>VLOOKUP(A330,怪物模型!A$15:G$77,5,0)</f>
        <v>13</v>
      </c>
      <c r="I330">
        <f>VLOOKUP(A330,怪物模型!A$15:G$77,6,0)</f>
        <v>0</v>
      </c>
      <c r="J330">
        <f>VLOOKUP(A330,怪物模型!A$15:G$77,7,0)</f>
        <v>0</v>
      </c>
      <c r="K330">
        <f>ROUND(VLOOKUP(C330,法师难度!A$1:C$135,3,0)/VLOOKUP(B330,怪物抗性与玩家穿透!A$2:Q$74,17,0)*F330,0)</f>
        <v>68029</v>
      </c>
      <c r="L330">
        <f>IF(A330="卡雷",42,IF(A330="法力风暴",ROUND(K330*0.1,0),VLOOKUP(A330,怪物模型!$A$15:$I$70,9,0)*(1+(B330-30)/100)))</f>
        <v>1010</v>
      </c>
      <c r="M330">
        <f>ROUND(VLOOKUP(C330,法师难度!A$1:C$135,2,0)*0.91*E330,0)</f>
        <v>1107</v>
      </c>
      <c r="N330">
        <f t="shared" si="15"/>
        <v>1328</v>
      </c>
      <c r="O330">
        <f>VLOOKUP(B330,怪物抗性与玩家穿透!A$2:Q$74,4,0)</f>
        <v>50</v>
      </c>
      <c r="P330">
        <f>VLOOKUP(B330,怪物抗性与玩家穿透!A$2:Q$74,5,0)</f>
        <v>0</v>
      </c>
      <c r="Q330">
        <f t="shared" si="16"/>
        <v>0</v>
      </c>
      <c r="R330">
        <f>ROUND(VLOOKUP(B330,[3]battleParameter.xml!$A$6:$E$107,5,0)*(I330/100)/(1-I330/100),0)</f>
        <v>0</v>
      </c>
      <c r="S330">
        <f>ROUND(VLOOKUP(B330,[3]battleParameter.xml!$A$6:$G$107,7,0)*(J330/100)/(1-J330/100),0)</f>
        <v>0</v>
      </c>
      <c r="T330">
        <f>ROUND(VLOOKUP(B330,[3]battleParameter.xml!$A$6:$Z$107,8,0)*(MIN(H330/100+0.2,0.99))/(1-MIN(H330/100+0.2,0.99)),0)</f>
        <v>369</v>
      </c>
      <c r="U330">
        <v>0</v>
      </c>
      <c r="V330">
        <v>0</v>
      </c>
    </row>
    <row r="331" spans="1:22">
      <c r="A331" t="str">
        <f>[2]monster.xml!$D676</f>
        <v>荒野游侠</v>
      </c>
      <c r="B331">
        <f>[2]monster.xml!$C676</f>
        <v>31</v>
      </c>
      <c r="C331">
        <f t="shared" si="17"/>
        <v>4</v>
      </c>
      <c r="D331">
        <f>VLOOKUP(A331,怪物模型!A$15:Z$70,8,0)</f>
        <v>16</v>
      </c>
      <c r="E331">
        <f>VLOOKUP(A331,怪物模型!A$15:G$70,3,0)</f>
        <v>1</v>
      </c>
      <c r="F331">
        <f>VLOOKUP(A331,怪物模型!A$15:G$77,4,0)</f>
        <v>0.8</v>
      </c>
      <c r="G331">
        <v>1</v>
      </c>
      <c r="H331">
        <f>VLOOKUP(A331,怪物模型!A$15:G$77,5,0)</f>
        <v>35</v>
      </c>
      <c r="I331">
        <f>VLOOKUP(A331,怪物模型!A$15:G$77,6,0)</f>
        <v>0</v>
      </c>
      <c r="J331">
        <f>VLOOKUP(A331,怪物模型!A$15:G$77,7,0)</f>
        <v>0</v>
      </c>
      <c r="K331">
        <f>ROUND(VLOOKUP(C331,法师难度!A$1:C$135,3,0)/VLOOKUP(B331,怪物抗性与玩家穿透!A$2:Q$74,17,0)*F331,0)</f>
        <v>61732</v>
      </c>
      <c r="L331">
        <f>IF(A331="卡雷",42,IF(A331="法力风暴",ROUND(K331*0.1,0),VLOOKUP(A331,怪物模型!$A$15:$I$70,9,0)*(1+(B331-30)/100)))</f>
        <v>2020</v>
      </c>
      <c r="M331">
        <f>ROUND(VLOOKUP(C331,法师难度!A$1:C$135,2,0)*0.91*E331,0)</f>
        <v>1100</v>
      </c>
      <c r="N331">
        <f t="shared" si="15"/>
        <v>1320</v>
      </c>
      <c r="O331">
        <f>VLOOKUP(B331,怪物抗性与玩家穿透!A$2:Q$74,4,0)</f>
        <v>50</v>
      </c>
      <c r="P331">
        <f>VLOOKUP(B331,怪物抗性与玩家穿透!A$2:Q$74,5,0)</f>
        <v>0</v>
      </c>
      <c r="Q331">
        <f t="shared" si="16"/>
        <v>0</v>
      </c>
      <c r="R331">
        <f>ROUND(VLOOKUP(B331,[3]battleParameter.xml!$A$6:$E$107,5,0)*(I331/100)/(1-I331/100),0)</f>
        <v>0</v>
      </c>
      <c r="S331">
        <f>ROUND(VLOOKUP(B331,[3]battleParameter.xml!$A$6:$G$107,7,0)*(J331/100)/(1-J331/100),0)</f>
        <v>0</v>
      </c>
      <c r="T331">
        <f>ROUND(VLOOKUP(B331,[3]battleParameter.xml!$A$6:$Z$107,8,0)*(MIN(H331/100+0.2,0.99))/(1-MIN(H331/100+0.2,0.99)),0)</f>
        <v>917</v>
      </c>
      <c r="U331">
        <v>0</v>
      </c>
      <c r="V331">
        <v>0</v>
      </c>
    </row>
    <row r="332" spans="1:22">
      <c r="A332" t="str">
        <f>[2]monster.xml!$D677</f>
        <v>憾地者</v>
      </c>
      <c r="B332">
        <f>[2]monster.xml!$C677</f>
        <v>31</v>
      </c>
      <c r="C332">
        <f t="shared" si="17"/>
        <v>5</v>
      </c>
      <c r="D332">
        <f>VLOOKUP(A332,怪物模型!A$15:Z$70,8,0)</f>
        <v>4</v>
      </c>
      <c r="E332">
        <f>VLOOKUP(A332,怪物模型!A$15:G$70,3,0)</f>
        <v>0.85</v>
      </c>
      <c r="F332">
        <f>VLOOKUP(A332,怪物模型!A$15:G$77,4,0)</f>
        <v>1</v>
      </c>
      <c r="G332">
        <v>1</v>
      </c>
      <c r="H332">
        <f>VLOOKUP(A332,怪物模型!A$15:G$77,5,0)</f>
        <v>13</v>
      </c>
      <c r="I332">
        <f>VLOOKUP(A332,怪物模型!A$15:G$77,6,0)</f>
        <v>0</v>
      </c>
      <c r="J332">
        <f>VLOOKUP(A332,怪物模型!A$15:G$77,7,0)</f>
        <v>0</v>
      </c>
      <c r="K332">
        <f>ROUND(VLOOKUP(C332,法师难度!A$1:C$135,3,0)/VLOOKUP(B332,怪物抗性与玩家穿透!A$2:Q$74,17,0)*F332,0)</f>
        <v>87529</v>
      </c>
      <c r="L332">
        <f>IF(A332="卡雷",42,IF(A332="法力风暴",ROUND(K332*0.1,0),VLOOKUP(A332,怪物模型!$A$15:$I$70,9,0)*(1+(B332-30)/100)))</f>
        <v>1010</v>
      </c>
      <c r="M332">
        <f>ROUND(VLOOKUP(C332,法师难度!A$1:C$135,2,0)*0.91*E332,0)</f>
        <v>930</v>
      </c>
      <c r="N332">
        <f t="shared" si="15"/>
        <v>1116</v>
      </c>
      <c r="O332">
        <f>VLOOKUP(B332,怪物抗性与玩家穿透!A$2:Q$74,4,0)</f>
        <v>50</v>
      </c>
      <c r="P332">
        <f>VLOOKUP(B332,怪物抗性与玩家穿透!A$2:Q$74,5,0)</f>
        <v>0</v>
      </c>
      <c r="Q332">
        <f t="shared" si="16"/>
        <v>0</v>
      </c>
      <c r="R332">
        <f>ROUND(VLOOKUP(B332,[3]battleParameter.xml!$A$6:$E$107,5,0)*(I332/100)/(1-I332/100),0)</f>
        <v>0</v>
      </c>
      <c r="S332">
        <f>ROUND(VLOOKUP(B332,[3]battleParameter.xml!$A$6:$G$107,7,0)*(J332/100)/(1-J332/100),0)</f>
        <v>0</v>
      </c>
      <c r="T332">
        <f>ROUND(VLOOKUP(B332,[3]battleParameter.xml!$A$6:$Z$107,8,0)*(MIN(H332/100+0.2,0.99))/(1-MIN(H332/100+0.2,0.99)),0)</f>
        <v>369</v>
      </c>
      <c r="U332">
        <v>0</v>
      </c>
      <c r="V332">
        <v>0</v>
      </c>
    </row>
    <row r="333" spans="1:22">
      <c r="A333" t="str">
        <f>[2]monster.xml!$D678</f>
        <v>拉兹</v>
      </c>
      <c r="B333">
        <f>[2]monster.xml!$C678</f>
        <v>32</v>
      </c>
      <c r="C333">
        <f t="shared" si="17"/>
        <v>6</v>
      </c>
      <c r="D333">
        <f>VLOOKUP(A333,怪物模型!A$15:Z$70,8,0)</f>
        <v>10</v>
      </c>
      <c r="E333">
        <f>VLOOKUP(A333,怪物模型!A$15:G$70,3,0)</f>
        <v>1.2</v>
      </c>
      <c r="F333">
        <f>VLOOKUP(A333,怪物模型!A$15:G$77,4,0)</f>
        <v>1</v>
      </c>
      <c r="G333">
        <v>1</v>
      </c>
      <c r="H333">
        <f>VLOOKUP(A333,怪物模型!A$15:G$77,5,0)</f>
        <v>13</v>
      </c>
      <c r="I333">
        <f>VLOOKUP(A333,怪物模型!A$15:G$77,6,0)</f>
        <v>0</v>
      </c>
      <c r="J333">
        <f>VLOOKUP(A333,怪物模型!A$15:G$77,7,0)</f>
        <v>20</v>
      </c>
      <c r="K333">
        <f>ROUND(VLOOKUP(C333,法师难度!A$1:C$135,3,0)/VLOOKUP(B333,怪物抗性与玩家穿透!A$2:Q$74,17,0)*F333,0)</f>
        <v>102322</v>
      </c>
      <c r="L333">
        <f>IF(A333="卡雷",42,IF(A333="法力风暴",ROUND(K333*0.1,0),VLOOKUP(A333,怪物模型!$A$15:$I$70,9,0)*(1+(B333-30)/100)))</f>
        <v>2040</v>
      </c>
      <c r="M333">
        <f>ROUND(VLOOKUP(C333,法师难度!A$1:C$135,2,0)*0.91*E333,0)</f>
        <v>1302</v>
      </c>
      <c r="N333">
        <f t="shared" si="15"/>
        <v>1562</v>
      </c>
      <c r="O333">
        <f>VLOOKUP(B333,怪物抗性与玩家穿透!A$2:Q$74,4,0)</f>
        <v>80</v>
      </c>
      <c r="P333">
        <f>VLOOKUP(B333,怪物抗性与玩家穿透!A$2:Q$74,5,0)</f>
        <v>10</v>
      </c>
      <c r="Q333">
        <f t="shared" si="16"/>
        <v>10</v>
      </c>
      <c r="R333">
        <f>ROUND(VLOOKUP(B333,[3]battleParameter.xml!$A$6:$E$107,5,0)*(I333/100)/(1-I333/100),0)</f>
        <v>0</v>
      </c>
      <c r="S333">
        <f>ROUND(VLOOKUP(B333,[3]battleParameter.xml!$A$6:$G$107,7,0)*(J333/100)/(1-J333/100),0)</f>
        <v>798</v>
      </c>
      <c r="T333">
        <f>ROUND(VLOOKUP(B333,[3]battleParameter.xml!$A$6:$Z$107,8,0)*(MIN(H333/100+0.2,0.99))/(1-MIN(H333/100+0.2,0.99)),0)</f>
        <v>393</v>
      </c>
      <c r="U333">
        <v>0</v>
      </c>
      <c r="V333">
        <v>0</v>
      </c>
    </row>
    <row r="334" spans="1:22">
      <c r="A334" t="str">
        <f>[2]monster.xml!$D679</f>
        <v>塔克</v>
      </c>
      <c r="B334">
        <f>[2]monster.xml!$C679</f>
        <v>32</v>
      </c>
      <c r="C334">
        <f t="shared" si="17"/>
        <v>6</v>
      </c>
      <c r="D334">
        <f>VLOOKUP(A334,怪物模型!A$15:Z$70,8,0)</f>
        <v>3</v>
      </c>
      <c r="E334">
        <f>VLOOKUP(A334,怪物模型!A$15:G$70,3,0)</f>
        <v>0.35</v>
      </c>
      <c r="F334">
        <f>VLOOKUP(A334,怪物模型!A$15:G$77,4,0)</f>
        <v>0.6</v>
      </c>
      <c r="G334">
        <v>1</v>
      </c>
      <c r="H334">
        <f>VLOOKUP(A334,怪物模型!A$15:G$77,5,0)</f>
        <v>13</v>
      </c>
      <c r="I334">
        <f>VLOOKUP(A334,怪物模型!A$15:G$77,6,0)</f>
        <v>0</v>
      </c>
      <c r="J334">
        <f>VLOOKUP(A334,怪物模型!A$15:G$77,7,0)</f>
        <v>0</v>
      </c>
      <c r="K334">
        <f>ROUND(VLOOKUP(C334,法师难度!A$1:C$135,3,0)/VLOOKUP(B334,怪物抗性与玩家穿透!A$2:Q$74,17,0)*F334,0)</f>
        <v>61393</v>
      </c>
      <c r="L334">
        <f>IF(A334="卡雷",42,IF(A334="法力风暴",ROUND(K334*0.1,0),VLOOKUP(A334,怪物模型!$A$15:$I$70,9,0)*(1+(B334-30)/100)))</f>
        <v>1020</v>
      </c>
      <c r="M334">
        <f>ROUND(VLOOKUP(C334,法师难度!A$1:C$135,2,0)*0.91*E334,0)</f>
        <v>380</v>
      </c>
      <c r="N334">
        <f t="shared" si="15"/>
        <v>456</v>
      </c>
      <c r="O334">
        <f>VLOOKUP(B334,怪物抗性与玩家穿透!A$2:Q$74,4,0)</f>
        <v>80</v>
      </c>
      <c r="P334">
        <f>VLOOKUP(B334,怪物抗性与玩家穿透!A$2:Q$74,5,0)</f>
        <v>10</v>
      </c>
      <c r="Q334">
        <f t="shared" si="16"/>
        <v>10</v>
      </c>
      <c r="R334">
        <f>ROUND(VLOOKUP(B334,[3]battleParameter.xml!$A$6:$E$107,5,0)*(I334/100)/(1-I334/100),0)</f>
        <v>0</v>
      </c>
      <c r="S334">
        <f>ROUND(VLOOKUP(B334,[3]battleParameter.xml!$A$6:$G$107,7,0)*(J334/100)/(1-J334/100),0)</f>
        <v>0</v>
      </c>
      <c r="T334">
        <f>ROUND(VLOOKUP(B334,[3]battleParameter.xml!$A$6:$Z$107,8,0)*(MIN(H334/100+0.2,0.99))/(1-MIN(H334/100+0.2,0.99)),0)</f>
        <v>393</v>
      </c>
      <c r="U334">
        <v>0</v>
      </c>
      <c r="V334">
        <v>0</v>
      </c>
    </row>
    <row r="335" spans="1:22">
      <c r="A335" t="str">
        <f>[2]monster.xml!$D680</f>
        <v>迪皮斯</v>
      </c>
      <c r="B335">
        <f>[2]monster.xml!$C680</f>
        <v>32</v>
      </c>
      <c r="C335">
        <f t="shared" si="17"/>
        <v>7</v>
      </c>
      <c r="D335" t="str">
        <f>VLOOKUP(A335,怪物模型!A$15:Z$70,8,0)</f>
        <v>17,14</v>
      </c>
      <c r="E335">
        <f>VLOOKUP(A335,怪物模型!A$15:G$70,3,0)</f>
        <v>0.6</v>
      </c>
      <c r="F335">
        <f>VLOOKUP(A335,怪物模型!A$15:G$77,4,0)</f>
        <v>0.4</v>
      </c>
      <c r="G335">
        <v>1</v>
      </c>
      <c r="H335">
        <f>VLOOKUP(A335,怪物模型!A$15:G$77,5,0)</f>
        <v>13</v>
      </c>
      <c r="I335">
        <f>VLOOKUP(A335,怪物模型!A$15:G$77,6,0)</f>
        <v>0</v>
      </c>
      <c r="J335">
        <f>VLOOKUP(A335,怪物模型!A$15:G$77,7,0)</f>
        <v>0</v>
      </c>
      <c r="K335">
        <f>ROUND(VLOOKUP(C335,法师难度!A$1:C$135,3,0)/VLOOKUP(B335,怪物抗性与玩家穿透!A$2:Q$74,17,0)*F335,0)</f>
        <v>45824</v>
      </c>
      <c r="L335">
        <f>IF(A335="卡雷",42,IF(A335="法力风暴",ROUND(K335*0.1,0),VLOOKUP(A335,怪物模型!$A$15:$I$70,9,0)*(1+(B335-30)/100)))</f>
        <v>1020</v>
      </c>
      <c r="M335">
        <f>ROUND(VLOOKUP(C335,法师难度!A$1:C$135,2,0)*0.91*E335,0)</f>
        <v>645</v>
      </c>
      <c r="N335">
        <f t="shared" si="15"/>
        <v>774</v>
      </c>
      <c r="O335">
        <f>VLOOKUP(B335,怪物抗性与玩家穿透!A$2:Q$74,4,0)</f>
        <v>80</v>
      </c>
      <c r="P335">
        <f>VLOOKUP(B335,怪物抗性与玩家穿透!A$2:Q$74,5,0)</f>
        <v>10</v>
      </c>
      <c r="Q335">
        <f t="shared" si="16"/>
        <v>10</v>
      </c>
      <c r="R335">
        <f>ROUND(VLOOKUP(B335,[3]battleParameter.xml!$A$6:$E$107,5,0)*(I335/100)/(1-I335/100),0)</f>
        <v>0</v>
      </c>
      <c r="S335">
        <f>ROUND(VLOOKUP(B335,[3]battleParameter.xml!$A$6:$G$107,7,0)*(J335/100)/(1-J335/100),0)</f>
        <v>0</v>
      </c>
      <c r="T335">
        <f>ROUND(VLOOKUP(B335,[3]battleParameter.xml!$A$6:$Z$107,8,0)*(MIN(H335/100+0.2,0.99))/(1-MIN(H335/100+0.2,0.99)),0)</f>
        <v>393</v>
      </c>
      <c r="U335">
        <v>0</v>
      </c>
      <c r="V335">
        <v>0</v>
      </c>
    </row>
    <row r="336" spans="1:22">
      <c r="A336" t="str">
        <f>[2]monster.xml!$D681</f>
        <v>狂野安东尼</v>
      </c>
      <c r="B336">
        <f>[2]monster.xml!$C681</f>
        <v>33</v>
      </c>
      <c r="C336">
        <f t="shared" si="17"/>
        <v>8</v>
      </c>
      <c r="D336">
        <f>VLOOKUP(A336,怪物模型!A$15:Z$70,8,0)</f>
        <v>7</v>
      </c>
      <c r="E336">
        <f>VLOOKUP(A336,怪物模型!A$15:G$70,3,0)</f>
        <v>1</v>
      </c>
      <c r="F336">
        <f>VLOOKUP(A336,怪物模型!A$15:G$77,4,0)</f>
        <v>1</v>
      </c>
      <c r="G336">
        <v>1</v>
      </c>
      <c r="H336">
        <f>VLOOKUP(A336,怪物模型!A$15:G$77,5,0)</f>
        <v>13</v>
      </c>
      <c r="I336">
        <f>VLOOKUP(A336,怪物模型!A$15:G$77,6,0)</f>
        <v>0</v>
      </c>
      <c r="J336">
        <f>VLOOKUP(A336,怪物模型!A$15:G$77,7,0)</f>
        <v>0</v>
      </c>
      <c r="K336">
        <f>ROUND(VLOOKUP(C336,法师难度!A$1:C$135,3,0)/VLOOKUP(B336,怪物抗性与玩家穿透!A$2:Q$74,17,0)*F336,0)</f>
        <v>126937</v>
      </c>
      <c r="L336">
        <f>IF(A336="卡雷",42,IF(A336="法力风暴",ROUND(K336*0.1,0),VLOOKUP(A336,怪物模型!$A$15:$I$70,9,0)*(1+(B336-30)/100)))</f>
        <v>1030</v>
      </c>
      <c r="M336">
        <f>ROUND(VLOOKUP(C336,法师难度!A$1:C$135,2,0)*0.91*E336,0)</f>
        <v>1067</v>
      </c>
      <c r="N336">
        <f t="shared" si="15"/>
        <v>1280</v>
      </c>
      <c r="O336">
        <f>VLOOKUP(B336,怪物抗性与玩家穿透!A$2:Q$74,4,0)</f>
        <v>110</v>
      </c>
      <c r="P336">
        <f>VLOOKUP(B336,怪物抗性与玩家穿透!A$2:Q$74,5,0)</f>
        <v>20</v>
      </c>
      <c r="Q336">
        <f t="shared" si="16"/>
        <v>20</v>
      </c>
      <c r="R336">
        <f>ROUND(VLOOKUP(B336,[3]battleParameter.xml!$A$6:$E$107,5,0)*(I336/100)/(1-I336/100),0)</f>
        <v>0</v>
      </c>
      <c r="S336">
        <f>ROUND(VLOOKUP(B336,[3]battleParameter.xml!$A$6:$G$107,7,0)*(J336/100)/(1-J336/100),0)</f>
        <v>0</v>
      </c>
      <c r="T336">
        <f>ROUND(VLOOKUP(B336,[3]battleParameter.xml!$A$6:$Z$107,8,0)*(MIN(H336/100+0.2,0.99))/(1-MIN(H336/100+0.2,0.99)),0)</f>
        <v>417</v>
      </c>
      <c r="U336">
        <v>0</v>
      </c>
      <c r="V336">
        <v>0</v>
      </c>
    </row>
    <row r="337" spans="1:22">
      <c r="A337" t="str">
        <f>[2]monster.xml!$D682</f>
        <v>巡林者瑞克</v>
      </c>
      <c r="B337">
        <f>[2]monster.xml!$C682</f>
        <v>34</v>
      </c>
      <c r="C337">
        <f t="shared" si="17"/>
        <v>9</v>
      </c>
      <c r="D337">
        <f>VLOOKUP(A337,怪物模型!A$15:Z$70,8,0)</f>
        <v>15</v>
      </c>
      <c r="E337">
        <f>VLOOKUP(A337,怪物模型!A$15:G$70,3,0)</f>
        <v>1</v>
      </c>
      <c r="F337">
        <f>VLOOKUP(A337,怪物模型!A$15:G$77,4,0)</f>
        <v>1</v>
      </c>
      <c r="G337">
        <v>1</v>
      </c>
      <c r="H337">
        <f>VLOOKUP(A337,怪物模型!A$15:G$77,5,0)</f>
        <v>13</v>
      </c>
      <c r="I337">
        <f>VLOOKUP(A337,怪物模型!A$15:G$77,6,0)</f>
        <v>0</v>
      </c>
      <c r="J337">
        <f>VLOOKUP(A337,怪物模型!A$15:G$77,7,0)</f>
        <v>0</v>
      </c>
      <c r="K337">
        <f>ROUND(VLOOKUP(C337,法师难度!A$1:C$135,3,0)/VLOOKUP(B337,怪物抗性与玩家穿透!A$2:Q$74,17,0)*F337,0)</f>
        <v>146235</v>
      </c>
      <c r="L337">
        <f>IF(A337="卡雷",42,IF(A337="法力风暴",ROUND(K337*0.1,0),VLOOKUP(A337,怪物模型!$A$15:$I$70,9,0)*(1+(B337-30)/100)))</f>
        <v>1040</v>
      </c>
      <c r="M337">
        <f>ROUND(VLOOKUP(C337,法师难度!A$1:C$135,2,0)*0.91*E337,0)</f>
        <v>1056</v>
      </c>
      <c r="N337">
        <f t="shared" si="15"/>
        <v>1267</v>
      </c>
      <c r="O337">
        <f>VLOOKUP(B337,怪物抗性与玩家穿透!A$2:Q$74,4,0)</f>
        <v>140</v>
      </c>
      <c r="P337">
        <f>VLOOKUP(B337,怪物抗性与玩家穿透!A$2:Q$74,5,0)</f>
        <v>30</v>
      </c>
      <c r="Q337">
        <f t="shared" si="16"/>
        <v>30</v>
      </c>
      <c r="R337">
        <f>ROUND(VLOOKUP(B337,[3]battleParameter.xml!$A$6:$E$107,5,0)*(I337/100)/(1-I337/100),0)</f>
        <v>0</v>
      </c>
      <c r="S337">
        <f>ROUND(VLOOKUP(B337,[3]battleParameter.xml!$A$6:$G$107,7,0)*(J337/100)/(1-J337/100),0)</f>
        <v>0</v>
      </c>
      <c r="T337">
        <f>ROUND(VLOOKUP(B337,[3]battleParameter.xml!$A$6:$Z$107,8,0)*(MIN(H337/100+0.2,0.99))/(1-MIN(H337/100+0.2,0.99)),0)</f>
        <v>442</v>
      </c>
      <c r="U337">
        <v>0</v>
      </c>
      <c r="V337">
        <v>0</v>
      </c>
    </row>
    <row r="338" spans="1:22">
      <c r="A338" t="str">
        <f>[2]monster.xml!$D683</f>
        <v>法师幻象</v>
      </c>
      <c r="B338">
        <f>[2]monster.xml!$C683</f>
        <v>35</v>
      </c>
      <c r="C338">
        <f t="shared" si="17"/>
        <v>10</v>
      </c>
      <c r="D338">
        <f>VLOOKUP(A338,怪物模型!A$15:Z$70,8,0)</f>
        <v>21</v>
      </c>
      <c r="E338">
        <f>VLOOKUP(A338,怪物模型!A$15:G$70,3,0)</f>
        <v>1</v>
      </c>
      <c r="F338">
        <f>VLOOKUP(A338,怪物模型!A$15:G$77,4,0)</f>
        <v>1</v>
      </c>
      <c r="G338">
        <v>1</v>
      </c>
      <c r="H338">
        <f>VLOOKUP(A338,怪物模型!A$15:G$77,5,0)</f>
        <v>13</v>
      </c>
      <c r="I338">
        <f>VLOOKUP(A338,怪物模型!A$15:G$77,6,0)</f>
        <v>0</v>
      </c>
      <c r="J338">
        <f>VLOOKUP(A338,怪物模型!A$15:G$77,7,0)</f>
        <v>0</v>
      </c>
      <c r="K338">
        <f>ROUND(VLOOKUP(C338,法师难度!A$1:C$135,3,0)/VLOOKUP(B338,怪物抗性与玩家穿透!A$2:Q$74,17,0)*F338,0)</f>
        <v>81404</v>
      </c>
      <c r="L338">
        <f>IF(A338="卡雷",42,IF(A338="法力风暴",ROUND(K338*0.1,0),VLOOKUP(A338,怪物模型!$A$15:$I$70,9,0)*(1+(B338-30)/100)))</f>
        <v>3150</v>
      </c>
      <c r="M338">
        <f>ROUND(VLOOKUP(C338,法师难度!A$1:C$135,2,0)*0.91*E338,0)</f>
        <v>1650</v>
      </c>
      <c r="N338">
        <f t="shared" si="15"/>
        <v>1980</v>
      </c>
      <c r="O338">
        <f>VLOOKUP(B338,怪物抗性与玩家穿透!A$2:Q$74,4,0)</f>
        <v>170</v>
      </c>
      <c r="P338">
        <f>VLOOKUP(B338,怪物抗性与玩家穿透!A$2:Q$74,5,0)</f>
        <v>40</v>
      </c>
      <c r="Q338">
        <f t="shared" si="16"/>
        <v>40</v>
      </c>
      <c r="R338">
        <f>ROUND(VLOOKUP(B338,[3]battleParameter.xml!$A$6:$E$107,5,0)*(I338/100)/(1-I338/100),0)</f>
        <v>0</v>
      </c>
      <c r="S338">
        <f>ROUND(VLOOKUP(B338,[3]battleParameter.xml!$A$6:$G$107,7,0)*(J338/100)/(1-J338/100),0)</f>
        <v>0</v>
      </c>
      <c r="T338">
        <f>ROUND(VLOOKUP(B338,[3]battleParameter.xml!$A$6:$Z$107,8,0)*(MIN(H338/100+0.2,0.99))/(1-MIN(H338/100+0.2,0.99)),0)</f>
        <v>468</v>
      </c>
      <c r="U338">
        <v>0</v>
      </c>
      <c r="V338">
        <v>0</v>
      </c>
    </row>
    <row r="339" spans="1:22">
      <c r="A339" t="str">
        <f>[2]monster.xml!$D684</f>
        <v>法力风暴</v>
      </c>
      <c r="B339">
        <f>[2]monster.xml!$C684</f>
        <v>35</v>
      </c>
      <c r="C339">
        <f t="shared" si="17"/>
        <v>11</v>
      </c>
      <c r="D339" t="str">
        <f>VLOOKUP(A339,怪物模型!A$15:Z$70,8,0)</f>
        <v>25,30</v>
      </c>
      <c r="E339">
        <f>VLOOKUP(A339,怪物模型!A$15:G$70,3,0)</f>
        <v>1.5</v>
      </c>
      <c r="F339">
        <f>VLOOKUP(A339,怪物模型!A$15:G$77,4,0)</f>
        <v>0.68</v>
      </c>
      <c r="G339">
        <v>1</v>
      </c>
      <c r="H339">
        <f>VLOOKUP(A339,怪物模型!A$15:G$77,5,0)</f>
        <v>13</v>
      </c>
      <c r="I339">
        <f>VLOOKUP(A339,怪物模型!A$15:G$77,6,0)</f>
        <v>0</v>
      </c>
      <c r="J339">
        <f>VLOOKUP(A339,怪物模型!A$15:G$77,7,0)</f>
        <v>0</v>
      </c>
      <c r="K339">
        <f>ROUND(VLOOKUP(C339,法师难度!A$1:C$135,3,0)/VLOOKUP(B339,怪物抗性与玩家穿透!A$2:Q$74,17,0)*F339,0)</f>
        <v>66079</v>
      </c>
      <c r="L339">
        <f>IF(A339="卡雷",42,IF(A339="法力风暴",ROUND(K339*0.1,0),VLOOKUP(A339,怪物模型!$A$15:$I$70,9,0)*(1+(B339-30)/100)))</f>
        <v>6608</v>
      </c>
      <c r="M339">
        <f>ROUND(VLOOKUP(C339,法师难度!A$1:C$135,2,0)*0.91*E339,0)</f>
        <v>2499</v>
      </c>
      <c r="N339">
        <f t="shared" si="15"/>
        <v>2999</v>
      </c>
      <c r="O339">
        <f>VLOOKUP(B339,怪物抗性与玩家穿透!A$2:Q$74,4,0)</f>
        <v>170</v>
      </c>
      <c r="P339">
        <f>VLOOKUP(B339,怪物抗性与玩家穿透!A$2:Q$74,5,0)</f>
        <v>40</v>
      </c>
      <c r="Q339">
        <f t="shared" si="16"/>
        <v>40</v>
      </c>
      <c r="R339">
        <f>ROUND(VLOOKUP(B339,[3]battleParameter.xml!$A$6:$E$107,5,0)*(I339/100)/(1-I339/100),0)</f>
        <v>0</v>
      </c>
      <c r="S339">
        <f>ROUND(VLOOKUP(B339,[3]battleParameter.xml!$A$6:$G$107,7,0)*(J339/100)/(1-J339/100),0)</f>
        <v>0</v>
      </c>
      <c r="T339">
        <f>ROUND(VLOOKUP(B339,[3]battleParameter.xml!$A$6:$Z$107,8,0)*(MIN(H339/100+0.2,0.99))/(1-MIN(H339/100+0.2,0.99)),0)</f>
        <v>468</v>
      </c>
      <c r="U339">
        <v>0</v>
      </c>
      <c r="V339">
        <v>0</v>
      </c>
    </row>
    <row r="340" spans="1:22">
      <c r="A340" t="str">
        <f>[2]monster.xml!$D685</f>
        <v>角斗士里奥</v>
      </c>
      <c r="B340">
        <f>[2]monster.xml!$C685</f>
        <v>36</v>
      </c>
      <c r="C340">
        <f t="shared" si="17"/>
        <v>12</v>
      </c>
      <c r="D340">
        <f>VLOOKUP(A340,怪物模型!A$15:Z$70,8,0)</f>
        <v>5</v>
      </c>
      <c r="E340">
        <f>VLOOKUP(A340,怪物模型!A$15:G$70,3,0)</f>
        <v>1</v>
      </c>
      <c r="F340">
        <f>VLOOKUP(A340,怪物模型!A$15:G$77,4,0)</f>
        <v>1</v>
      </c>
      <c r="G340">
        <v>1</v>
      </c>
      <c r="H340">
        <f>VLOOKUP(A340,怪物模型!A$15:G$77,5,0)</f>
        <v>13</v>
      </c>
      <c r="I340">
        <f>VLOOKUP(A340,怪物模型!A$15:G$77,6,0)</f>
        <v>0</v>
      </c>
      <c r="J340">
        <f>VLOOKUP(A340,怪物模型!A$15:G$77,7,0)</f>
        <v>0</v>
      </c>
      <c r="K340">
        <f>ROUND(VLOOKUP(C340,法师难度!A$1:C$135,3,0)/VLOOKUP(B340,怪物抗性与玩家穿透!A$2:Q$74,17,0)*F340,0)</f>
        <v>122193</v>
      </c>
      <c r="L340">
        <f>IF(A340="卡雷",42,IF(A340="法力风暴",ROUND(K340*0.1,0),VLOOKUP(A340,怪物模型!$A$15:$I$70,9,0)*(1+(B340-30)/100)))</f>
        <v>1060</v>
      </c>
      <c r="M340">
        <f>ROUND(VLOOKUP(C340,法师难度!A$1:C$135,2,0)*0.91*E340,0)</f>
        <v>1687</v>
      </c>
      <c r="N340">
        <f t="shared" si="15"/>
        <v>2024</v>
      </c>
      <c r="O340">
        <f>VLOOKUP(B340,怪物抗性与玩家穿透!A$2:Q$74,4,0)</f>
        <v>200</v>
      </c>
      <c r="P340">
        <f>VLOOKUP(B340,怪物抗性与玩家穿透!A$2:Q$74,5,0)</f>
        <v>50</v>
      </c>
      <c r="Q340">
        <f t="shared" si="16"/>
        <v>50</v>
      </c>
      <c r="R340">
        <f>ROUND(VLOOKUP(B340,[3]battleParameter.xml!$A$6:$E$107,5,0)*(I340/100)/(1-I340/100),0)</f>
        <v>0</v>
      </c>
      <c r="S340">
        <f>ROUND(VLOOKUP(B340,[3]battleParameter.xml!$A$6:$G$107,7,0)*(J340/100)/(1-J340/100),0)</f>
        <v>0</v>
      </c>
      <c r="T340">
        <f>ROUND(VLOOKUP(B340,[3]battleParameter.xml!$A$6:$Z$107,8,0)*(MIN(H340/100+0.2,0.99))/(1-MIN(H340/100+0.2,0.99)),0)</f>
        <v>494</v>
      </c>
      <c r="U340">
        <v>0</v>
      </c>
      <c r="V340">
        <v>0</v>
      </c>
    </row>
    <row r="341" spans="1:22">
      <c r="A341" t="str">
        <f>[2]monster.xml!$D686</f>
        <v>荒野游侠</v>
      </c>
      <c r="B341">
        <f>[2]monster.xml!$C686</f>
        <v>36</v>
      </c>
      <c r="C341">
        <f t="shared" si="17"/>
        <v>13</v>
      </c>
      <c r="D341">
        <f>VLOOKUP(A341,怪物模型!A$15:Z$70,8,0)</f>
        <v>16</v>
      </c>
      <c r="E341">
        <f>VLOOKUP(A341,怪物模型!A$15:G$70,3,0)</f>
        <v>1</v>
      </c>
      <c r="F341">
        <f>VLOOKUP(A341,怪物模型!A$15:G$77,4,0)</f>
        <v>0.8</v>
      </c>
      <c r="G341">
        <v>1</v>
      </c>
      <c r="H341">
        <f>VLOOKUP(A341,怪物模型!A$15:G$77,5,0)</f>
        <v>35</v>
      </c>
      <c r="I341">
        <f>VLOOKUP(A341,怪物模型!A$15:G$77,6,0)</f>
        <v>0</v>
      </c>
      <c r="J341">
        <f>VLOOKUP(A341,怪物模型!A$15:G$77,7,0)</f>
        <v>0</v>
      </c>
      <c r="K341">
        <f>ROUND(VLOOKUP(C341,法师难度!A$1:C$135,3,0)/VLOOKUP(B341,怪物抗性与玩家穿透!A$2:Q$74,17,0)*F341,0)</f>
        <v>109188</v>
      </c>
      <c r="L341">
        <f>IF(A341="卡雷",42,IF(A341="法力风暴",ROUND(K341*0.1,0),VLOOKUP(A341,怪物模型!$A$15:$I$70,9,0)*(1+(B341-30)/100)))</f>
        <v>2120</v>
      </c>
      <c r="M341">
        <f>ROUND(VLOOKUP(C341,法师难度!A$1:C$135,2,0)*0.91*E341,0)</f>
        <v>1703</v>
      </c>
      <c r="N341">
        <f t="shared" si="15"/>
        <v>2044</v>
      </c>
      <c r="O341">
        <f>VLOOKUP(B341,怪物抗性与玩家穿透!A$2:Q$74,4,0)</f>
        <v>200</v>
      </c>
      <c r="P341">
        <f>VLOOKUP(B341,怪物抗性与玩家穿透!A$2:Q$74,5,0)</f>
        <v>50</v>
      </c>
      <c r="Q341">
        <f t="shared" si="16"/>
        <v>50</v>
      </c>
      <c r="R341">
        <f>ROUND(VLOOKUP(B341,[3]battleParameter.xml!$A$6:$E$107,5,0)*(I341/100)/(1-I341/100),0)</f>
        <v>0</v>
      </c>
      <c r="S341">
        <f>ROUND(VLOOKUP(B341,[3]battleParameter.xml!$A$6:$G$107,7,0)*(J341/100)/(1-J341/100),0)</f>
        <v>0</v>
      </c>
      <c r="T341">
        <f>ROUND(VLOOKUP(B341,[3]battleParameter.xml!$A$6:$Z$107,8,0)*(MIN(H341/100+0.2,0.99))/(1-MIN(H341/100+0.2,0.99)),0)</f>
        <v>1226</v>
      </c>
      <c r="U341">
        <v>0</v>
      </c>
      <c r="V341">
        <v>0</v>
      </c>
    </row>
    <row r="342" spans="1:22">
      <c r="A342" t="str">
        <f>[2]monster.xml!$D687</f>
        <v>憾地者</v>
      </c>
      <c r="B342">
        <f>[2]monster.xml!$C687</f>
        <v>36</v>
      </c>
      <c r="C342">
        <f t="shared" si="17"/>
        <v>14</v>
      </c>
      <c r="D342">
        <f>VLOOKUP(A342,怪物模型!A$15:Z$70,8,0)</f>
        <v>4</v>
      </c>
      <c r="E342">
        <f>VLOOKUP(A342,怪物模型!A$15:G$70,3,0)</f>
        <v>0.85</v>
      </c>
      <c r="F342">
        <f>VLOOKUP(A342,怪物模型!A$15:G$77,4,0)</f>
        <v>1</v>
      </c>
      <c r="G342">
        <v>1</v>
      </c>
      <c r="H342">
        <f>VLOOKUP(A342,怪物模型!A$15:G$77,5,0)</f>
        <v>13</v>
      </c>
      <c r="I342">
        <f>VLOOKUP(A342,怪物模型!A$15:G$77,6,0)</f>
        <v>0</v>
      </c>
      <c r="J342">
        <f>VLOOKUP(A342,怪物模型!A$15:G$77,7,0)</f>
        <v>0</v>
      </c>
      <c r="K342">
        <f>ROUND(VLOOKUP(C342,法师难度!A$1:C$135,3,0)/VLOOKUP(B342,怪物抗性与玩家穿透!A$2:Q$74,17,0)*F342,0)</f>
        <v>152448</v>
      </c>
      <c r="L342">
        <f>IF(A342="卡雷",42,IF(A342="法力风暴",ROUND(K342*0.1,0),VLOOKUP(A342,怪物模型!$A$15:$I$70,9,0)*(1+(B342-30)/100)))</f>
        <v>1060</v>
      </c>
      <c r="M342">
        <f>ROUND(VLOOKUP(C342,法师难度!A$1:C$135,2,0)*0.91*E342,0)</f>
        <v>1460</v>
      </c>
      <c r="N342">
        <f t="shared" si="15"/>
        <v>1752</v>
      </c>
      <c r="O342">
        <f>VLOOKUP(B342,怪物抗性与玩家穿透!A$2:Q$74,4,0)</f>
        <v>200</v>
      </c>
      <c r="P342">
        <f>VLOOKUP(B342,怪物抗性与玩家穿透!A$2:Q$74,5,0)</f>
        <v>50</v>
      </c>
      <c r="Q342">
        <f t="shared" si="16"/>
        <v>50</v>
      </c>
      <c r="R342">
        <f>ROUND(VLOOKUP(B342,[3]battleParameter.xml!$A$6:$E$107,5,0)*(I342/100)/(1-I342/100),0)</f>
        <v>0</v>
      </c>
      <c r="S342">
        <f>ROUND(VLOOKUP(B342,[3]battleParameter.xml!$A$6:$G$107,7,0)*(J342/100)/(1-J342/100),0)</f>
        <v>0</v>
      </c>
      <c r="T342">
        <f>ROUND(VLOOKUP(B342,[3]battleParameter.xml!$A$6:$Z$107,8,0)*(MIN(H342/100+0.2,0.99))/(1-MIN(H342/100+0.2,0.99)),0)</f>
        <v>494</v>
      </c>
      <c r="U342">
        <v>0</v>
      </c>
      <c r="V342">
        <v>0</v>
      </c>
    </row>
    <row r="343" spans="1:22">
      <c r="A343" t="str">
        <f>[2]monster.xml!$D688</f>
        <v>拉兹</v>
      </c>
      <c r="B343">
        <f>[2]monster.xml!$C688</f>
        <v>37</v>
      </c>
      <c r="C343">
        <f t="shared" si="17"/>
        <v>15</v>
      </c>
      <c r="D343">
        <f>VLOOKUP(A343,怪物模型!A$15:Z$70,8,0)</f>
        <v>10</v>
      </c>
      <c r="E343">
        <f>VLOOKUP(A343,怪物模型!A$15:G$70,3,0)</f>
        <v>1.2</v>
      </c>
      <c r="F343">
        <f>VLOOKUP(A343,怪物模型!A$15:G$77,4,0)</f>
        <v>1</v>
      </c>
      <c r="G343">
        <v>1</v>
      </c>
      <c r="H343">
        <f>VLOOKUP(A343,怪物模型!A$15:G$77,5,0)</f>
        <v>13</v>
      </c>
      <c r="I343">
        <f>VLOOKUP(A343,怪物模型!A$15:G$77,6,0)</f>
        <v>0</v>
      </c>
      <c r="J343">
        <f>VLOOKUP(A343,怪物模型!A$15:G$77,7,0)</f>
        <v>20</v>
      </c>
      <c r="K343">
        <f>ROUND(VLOOKUP(C343,法师难度!A$1:C$135,3,0)/VLOOKUP(B343,怪物抗性与玩家穿透!A$2:Q$74,17,0)*F343,0)</f>
        <v>175577</v>
      </c>
      <c r="L343">
        <f>IF(A343="卡雷",42,IF(A343="法力风暴",ROUND(K343*0.1,0),VLOOKUP(A343,怪物模型!$A$15:$I$70,9,0)*(1+(B343-30)/100)))</f>
        <v>2140</v>
      </c>
      <c r="M343">
        <f>ROUND(VLOOKUP(C343,法师难度!A$1:C$135,2,0)*0.91*E343,0)</f>
        <v>2087</v>
      </c>
      <c r="N343">
        <f t="shared" si="15"/>
        <v>2504</v>
      </c>
      <c r="O343">
        <f>VLOOKUP(B343,怪物抗性与玩家穿透!A$2:Q$74,4,0)</f>
        <v>230</v>
      </c>
      <c r="P343">
        <f>VLOOKUP(B343,怪物抗性与玩家穿透!A$2:Q$74,5,0)</f>
        <v>60</v>
      </c>
      <c r="Q343">
        <f t="shared" si="16"/>
        <v>60</v>
      </c>
      <c r="R343">
        <f>ROUND(VLOOKUP(B343,[3]battleParameter.xml!$A$6:$E$107,5,0)*(I343/100)/(1-I343/100),0)</f>
        <v>0</v>
      </c>
      <c r="S343">
        <f>ROUND(VLOOKUP(B343,[3]battleParameter.xml!$A$6:$G$107,7,0)*(J343/100)/(1-J343/100),0)</f>
        <v>1059</v>
      </c>
      <c r="T343">
        <f>ROUND(VLOOKUP(B343,[3]battleParameter.xml!$A$6:$Z$107,8,0)*(MIN(H343/100+0.2,0.99))/(1-MIN(H343/100+0.2,0.99)),0)</f>
        <v>522</v>
      </c>
      <c r="U343">
        <v>0</v>
      </c>
      <c r="V343">
        <v>0</v>
      </c>
    </row>
    <row r="344" spans="1:22">
      <c r="A344" t="str">
        <f>[2]monster.xml!$D689</f>
        <v>塔克</v>
      </c>
      <c r="B344">
        <f>[2]monster.xml!$C689</f>
        <v>37</v>
      </c>
      <c r="C344">
        <f t="shared" si="17"/>
        <v>15</v>
      </c>
      <c r="D344">
        <f>VLOOKUP(A344,怪物模型!A$15:Z$70,8,0)</f>
        <v>3</v>
      </c>
      <c r="E344">
        <f>VLOOKUP(A344,怪物模型!A$15:G$70,3,0)</f>
        <v>0.35</v>
      </c>
      <c r="F344">
        <f>VLOOKUP(A344,怪物模型!A$15:G$77,4,0)</f>
        <v>0.6</v>
      </c>
      <c r="G344">
        <v>1</v>
      </c>
      <c r="H344">
        <f>VLOOKUP(A344,怪物模型!A$15:G$77,5,0)</f>
        <v>13</v>
      </c>
      <c r="I344">
        <f>VLOOKUP(A344,怪物模型!A$15:G$77,6,0)</f>
        <v>0</v>
      </c>
      <c r="J344">
        <f>VLOOKUP(A344,怪物模型!A$15:G$77,7,0)</f>
        <v>0</v>
      </c>
      <c r="K344">
        <f>ROUND(VLOOKUP(C344,法师难度!A$1:C$135,3,0)/VLOOKUP(B344,怪物抗性与玩家穿透!A$2:Q$74,17,0)*F344,0)</f>
        <v>105346</v>
      </c>
      <c r="L344">
        <f>IF(A344="卡雷",42,IF(A344="法力风暴",ROUND(K344*0.1,0),VLOOKUP(A344,怪物模型!$A$15:$I$70,9,0)*(1+(B344-30)/100)))</f>
        <v>1070</v>
      </c>
      <c r="M344">
        <f>ROUND(VLOOKUP(C344,法师难度!A$1:C$135,2,0)*0.91*E344,0)</f>
        <v>609</v>
      </c>
      <c r="N344">
        <f t="shared" si="15"/>
        <v>731</v>
      </c>
      <c r="O344">
        <f>VLOOKUP(B344,怪物抗性与玩家穿透!A$2:Q$74,4,0)</f>
        <v>230</v>
      </c>
      <c r="P344">
        <f>VLOOKUP(B344,怪物抗性与玩家穿透!A$2:Q$74,5,0)</f>
        <v>60</v>
      </c>
      <c r="Q344">
        <f t="shared" si="16"/>
        <v>60</v>
      </c>
      <c r="R344">
        <f>ROUND(VLOOKUP(B344,[3]battleParameter.xml!$A$6:$E$107,5,0)*(I344/100)/(1-I344/100),0)</f>
        <v>0</v>
      </c>
      <c r="S344">
        <f>ROUND(VLOOKUP(B344,[3]battleParameter.xml!$A$6:$G$107,7,0)*(J344/100)/(1-J344/100),0)</f>
        <v>0</v>
      </c>
      <c r="T344">
        <f>ROUND(VLOOKUP(B344,[3]battleParameter.xml!$A$6:$Z$107,8,0)*(MIN(H344/100+0.2,0.99))/(1-MIN(H344/100+0.2,0.99)),0)</f>
        <v>522</v>
      </c>
      <c r="U344">
        <v>0</v>
      </c>
      <c r="V344">
        <v>0</v>
      </c>
    </row>
    <row r="345" spans="1:22">
      <c r="A345" t="str">
        <f>[2]monster.xml!$D690</f>
        <v>迪皮斯</v>
      </c>
      <c r="B345">
        <f>[2]monster.xml!$C690</f>
        <v>37</v>
      </c>
      <c r="C345">
        <f t="shared" si="17"/>
        <v>16</v>
      </c>
      <c r="D345" t="str">
        <f>VLOOKUP(A345,怪物模型!A$15:Z$70,8,0)</f>
        <v>17,14</v>
      </c>
      <c r="E345">
        <f>VLOOKUP(A345,怪物模型!A$15:G$70,3,0)</f>
        <v>0.6</v>
      </c>
      <c r="F345">
        <f>VLOOKUP(A345,怪物模型!A$15:G$77,4,0)</f>
        <v>0.4</v>
      </c>
      <c r="G345">
        <v>1</v>
      </c>
      <c r="H345">
        <f>VLOOKUP(A345,怪物模型!A$15:G$77,5,0)</f>
        <v>13</v>
      </c>
      <c r="I345">
        <f>VLOOKUP(A345,怪物模型!A$15:G$77,6,0)</f>
        <v>0</v>
      </c>
      <c r="J345">
        <f>VLOOKUP(A345,怪物模型!A$15:G$77,7,0)</f>
        <v>0</v>
      </c>
      <c r="K345">
        <f>ROUND(VLOOKUP(C345,法师难度!A$1:C$135,3,0)/VLOOKUP(B345,怪物抗性与玩家穿透!A$2:Q$74,17,0)*F345,0)</f>
        <v>77875</v>
      </c>
      <c r="L345">
        <f>IF(A345="卡雷",42,IF(A345="法力风暴",ROUND(K345*0.1,0),VLOOKUP(A345,怪物模型!$A$15:$I$70,9,0)*(1+(B345-30)/100)))</f>
        <v>1070</v>
      </c>
      <c r="M345">
        <f>ROUND(VLOOKUP(C345,法师难度!A$1:C$135,2,0)*0.91*E345,0)</f>
        <v>1056</v>
      </c>
      <c r="N345">
        <f t="shared" si="15"/>
        <v>1267</v>
      </c>
      <c r="O345">
        <f>VLOOKUP(B345,怪物抗性与玩家穿透!A$2:Q$74,4,0)</f>
        <v>230</v>
      </c>
      <c r="P345">
        <f>VLOOKUP(B345,怪物抗性与玩家穿透!A$2:Q$74,5,0)</f>
        <v>60</v>
      </c>
      <c r="Q345">
        <f t="shared" si="16"/>
        <v>60</v>
      </c>
      <c r="R345">
        <f>ROUND(VLOOKUP(B345,[3]battleParameter.xml!$A$6:$E$107,5,0)*(I345/100)/(1-I345/100),0)</f>
        <v>0</v>
      </c>
      <c r="S345">
        <f>ROUND(VLOOKUP(B345,[3]battleParameter.xml!$A$6:$G$107,7,0)*(J345/100)/(1-J345/100),0)</f>
        <v>0</v>
      </c>
      <c r="T345">
        <f>ROUND(VLOOKUP(B345,[3]battleParameter.xml!$A$6:$Z$107,8,0)*(MIN(H345/100+0.2,0.99))/(1-MIN(H345/100+0.2,0.99)),0)</f>
        <v>522</v>
      </c>
      <c r="U345">
        <v>0</v>
      </c>
      <c r="V345">
        <v>0</v>
      </c>
    </row>
    <row r="346" spans="1:22">
      <c r="A346" t="str">
        <f>[2]monster.xml!$D691</f>
        <v>狂野安东尼</v>
      </c>
      <c r="B346">
        <f>[2]monster.xml!$C691</f>
        <v>38</v>
      </c>
      <c r="C346">
        <f t="shared" si="17"/>
        <v>17</v>
      </c>
      <c r="D346">
        <f>VLOOKUP(A346,怪物模型!A$15:Z$70,8,0)</f>
        <v>7</v>
      </c>
      <c r="E346">
        <f>VLOOKUP(A346,怪物模型!A$15:G$70,3,0)</f>
        <v>1</v>
      </c>
      <c r="F346">
        <f>VLOOKUP(A346,怪物模型!A$15:G$77,4,0)</f>
        <v>1</v>
      </c>
      <c r="G346">
        <v>1</v>
      </c>
      <c r="H346">
        <f>VLOOKUP(A346,怪物模型!A$15:G$77,5,0)</f>
        <v>13</v>
      </c>
      <c r="I346">
        <f>VLOOKUP(A346,怪物模型!A$15:G$77,6,0)</f>
        <v>0</v>
      </c>
      <c r="J346">
        <f>VLOOKUP(A346,怪物模型!A$15:G$77,7,0)</f>
        <v>0</v>
      </c>
      <c r="K346">
        <f>ROUND(VLOOKUP(C346,法师难度!A$1:C$135,3,0)/VLOOKUP(B346,怪物抗性与玩家穿透!A$2:Q$74,17,0)*F346,0)</f>
        <v>214696</v>
      </c>
      <c r="L346">
        <f>IF(A346="卡雷",42,IF(A346="法力风暴",ROUND(K346*0.1,0),VLOOKUP(A346,怪物模型!$A$15:$I$70,9,0)*(1+(B346-30)/100)))</f>
        <v>1080</v>
      </c>
      <c r="M346">
        <f>ROUND(VLOOKUP(C346,法师难度!A$1:C$135,2,0)*0.91*E346,0)</f>
        <v>1781</v>
      </c>
      <c r="N346">
        <f t="shared" si="15"/>
        <v>2137</v>
      </c>
      <c r="O346">
        <f>VLOOKUP(B346,怪物抗性与玩家穿透!A$2:Q$74,4,0)</f>
        <v>260</v>
      </c>
      <c r="P346">
        <f>VLOOKUP(B346,怪物抗性与玩家穿透!A$2:Q$74,5,0)</f>
        <v>70</v>
      </c>
      <c r="Q346">
        <f t="shared" si="16"/>
        <v>70</v>
      </c>
      <c r="R346">
        <f>ROUND(VLOOKUP(B346,[3]battleParameter.xml!$A$6:$E$107,5,0)*(I346/100)/(1-I346/100),0)</f>
        <v>0</v>
      </c>
      <c r="S346">
        <f>ROUND(VLOOKUP(B346,[3]battleParameter.xml!$A$6:$G$107,7,0)*(J346/100)/(1-J346/100),0)</f>
        <v>0</v>
      </c>
      <c r="T346">
        <f>ROUND(VLOOKUP(B346,[3]battleParameter.xml!$A$6:$Z$107,8,0)*(MIN(H346/100+0.2,0.99))/(1-MIN(H346/100+0.2,0.99)),0)</f>
        <v>549</v>
      </c>
      <c r="U346">
        <v>0</v>
      </c>
      <c r="V346">
        <v>0</v>
      </c>
    </row>
    <row r="347" spans="1:22">
      <c r="A347" t="str">
        <f>[2]monster.xml!$D692</f>
        <v>巡林者瑞克</v>
      </c>
      <c r="B347">
        <f>[2]monster.xml!$C692</f>
        <v>39</v>
      </c>
      <c r="C347">
        <f t="shared" si="17"/>
        <v>18</v>
      </c>
      <c r="D347">
        <f>VLOOKUP(A347,怪物模型!A$15:Z$70,8,0)</f>
        <v>15</v>
      </c>
      <c r="E347">
        <f>VLOOKUP(A347,怪物模型!A$15:G$70,3,0)</f>
        <v>1</v>
      </c>
      <c r="F347">
        <f>VLOOKUP(A347,怪物模型!A$15:G$77,4,0)</f>
        <v>1</v>
      </c>
      <c r="G347">
        <v>1</v>
      </c>
      <c r="H347">
        <f>VLOOKUP(A347,怪物模型!A$15:G$77,5,0)</f>
        <v>13</v>
      </c>
      <c r="I347">
        <f>VLOOKUP(A347,怪物模型!A$15:G$77,6,0)</f>
        <v>0</v>
      </c>
      <c r="J347">
        <f>VLOOKUP(A347,怪物模型!A$15:G$77,7,0)</f>
        <v>0</v>
      </c>
      <c r="K347">
        <f>ROUND(VLOOKUP(C347,法师难度!A$1:C$135,3,0)/VLOOKUP(B347,怪物抗性与玩家穿透!A$2:Q$74,17,0)*F347,0)</f>
        <v>245210</v>
      </c>
      <c r="L347">
        <f>IF(A347="卡雷",42,IF(A347="法力风暴",ROUND(K347*0.1,0),VLOOKUP(A347,怪物模型!$A$15:$I$70,9,0)*(1+(B347-30)/100)))</f>
        <v>1090</v>
      </c>
      <c r="M347">
        <f>ROUND(VLOOKUP(C347,法师难度!A$1:C$135,2,0)*0.91*E347,0)</f>
        <v>1809</v>
      </c>
      <c r="N347">
        <f t="shared" si="15"/>
        <v>2171</v>
      </c>
      <c r="O347">
        <f>VLOOKUP(B347,怪物抗性与玩家穿透!A$2:Q$74,4,0)</f>
        <v>290</v>
      </c>
      <c r="P347">
        <f>VLOOKUP(B347,怪物抗性与玩家穿透!A$2:Q$74,5,0)</f>
        <v>80</v>
      </c>
      <c r="Q347">
        <f t="shared" si="16"/>
        <v>80</v>
      </c>
      <c r="R347">
        <f>ROUND(VLOOKUP(B347,[3]battleParameter.xml!$A$6:$E$107,5,0)*(I347/100)/(1-I347/100),0)</f>
        <v>0</v>
      </c>
      <c r="S347">
        <f>ROUND(VLOOKUP(B347,[3]battleParameter.xml!$A$6:$G$107,7,0)*(J347/100)/(1-J347/100),0)</f>
        <v>0</v>
      </c>
      <c r="T347">
        <f>ROUND(VLOOKUP(B347,[3]battleParameter.xml!$A$6:$Z$107,8,0)*(MIN(H347/100+0.2,0.99))/(1-MIN(H347/100+0.2,0.99)),0)</f>
        <v>578</v>
      </c>
      <c r="U347">
        <v>0</v>
      </c>
      <c r="V347">
        <v>0</v>
      </c>
    </row>
    <row r="348" spans="1:22">
      <c r="A348" t="str">
        <f>[2]monster.xml!$D693</f>
        <v>法师幻象</v>
      </c>
      <c r="B348">
        <f>[2]monster.xml!$C693</f>
        <v>40</v>
      </c>
      <c r="C348">
        <f t="shared" si="17"/>
        <v>19</v>
      </c>
      <c r="D348">
        <f>VLOOKUP(A348,怪物模型!A$15:Z$70,8,0)</f>
        <v>21</v>
      </c>
      <c r="E348">
        <f>VLOOKUP(A348,怪物模型!A$15:G$70,3,0)</f>
        <v>1</v>
      </c>
      <c r="F348">
        <f>VLOOKUP(A348,怪物模型!A$15:G$77,4,0)</f>
        <v>1</v>
      </c>
      <c r="G348">
        <v>1</v>
      </c>
      <c r="H348">
        <f>VLOOKUP(A348,怪物模型!A$15:G$77,5,0)</f>
        <v>13</v>
      </c>
      <c r="I348">
        <f>VLOOKUP(A348,怪物模型!A$15:G$77,6,0)</f>
        <v>0</v>
      </c>
      <c r="J348">
        <f>VLOOKUP(A348,怪物模型!A$15:G$77,7,0)</f>
        <v>0</v>
      </c>
      <c r="K348">
        <f>ROUND(VLOOKUP(C348,法师难度!A$1:C$135,3,0)/VLOOKUP(B348,怪物抗性与玩家穿透!A$2:Q$74,17,0)*F348,0)</f>
        <v>141254</v>
      </c>
      <c r="L348">
        <f>IF(A348="卡雷",42,IF(A348="法力风暴",ROUND(K348*0.1,0),VLOOKUP(A348,怪物模型!$A$15:$I$70,9,0)*(1+(B348-30)/100)))</f>
        <v>3300.0000000000005</v>
      </c>
      <c r="M348">
        <f>ROUND(VLOOKUP(C348,法师难度!A$1:C$135,2,0)*0.91*E348,0)</f>
        <v>2563</v>
      </c>
      <c r="N348">
        <f t="shared" si="15"/>
        <v>3076</v>
      </c>
      <c r="O348">
        <f>VLOOKUP(B348,怪物抗性与玩家穿透!A$2:Q$74,4,0)</f>
        <v>320</v>
      </c>
      <c r="P348">
        <f>VLOOKUP(B348,怪物抗性与玩家穿透!A$2:Q$74,5,0)</f>
        <v>90</v>
      </c>
      <c r="Q348">
        <f t="shared" si="16"/>
        <v>90</v>
      </c>
      <c r="R348">
        <f>ROUND(VLOOKUP(B348,[3]battleParameter.xml!$A$6:$E$107,5,0)*(I348/100)/(1-I348/100),0)</f>
        <v>0</v>
      </c>
      <c r="S348">
        <f>ROUND(VLOOKUP(B348,[3]battleParameter.xml!$A$6:$G$107,7,0)*(J348/100)/(1-J348/100),0)</f>
        <v>0</v>
      </c>
      <c r="T348">
        <f>ROUND(VLOOKUP(B348,[3]battleParameter.xml!$A$6:$Z$107,8,0)*(MIN(H348/100+0.2,0.99))/(1-MIN(H348/100+0.2,0.99)),0)</f>
        <v>607</v>
      </c>
      <c r="U348">
        <v>0</v>
      </c>
      <c r="V348">
        <v>0</v>
      </c>
    </row>
    <row r="349" spans="1:22">
      <c r="A349" t="str">
        <f>[2]monster.xml!$D694</f>
        <v>法力风暴</v>
      </c>
      <c r="B349">
        <f>[2]monster.xml!$C694</f>
        <v>40</v>
      </c>
      <c r="C349">
        <f t="shared" si="17"/>
        <v>20</v>
      </c>
      <c r="D349" t="str">
        <f>VLOOKUP(A349,怪物模型!A$15:Z$70,8,0)</f>
        <v>25,30</v>
      </c>
      <c r="E349">
        <f>VLOOKUP(A349,怪物模型!A$15:G$70,3,0)</f>
        <v>1.5</v>
      </c>
      <c r="F349">
        <f>VLOOKUP(A349,怪物模型!A$15:G$77,4,0)</f>
        <v>0.68</v>
      </c>
      <c r="G349">
        <v>1</v>
      </c>
      <c r="H349">
        <f>VLOOKUP(A349,怪物模型!A$15:G$77,5,0)</f>
        <v>13</v>
      </c>
      <c r="I349">
        <f>VLOOKUP(A349,怪物模型!A$15:G$77,6,0)</f>
        <v>0</v>
      </c>
      <c r="J349">
        <f>VLOOKUP(A349,怪物模型!A$15:G$77,7,0)</f>
        <v>0</v>
      </c>
      <c r="K349">
        <f>ROUND(VLOOKUP(C349,法师难度!A$1:C$135,3,0)/VLOOKUP(B349,怪物抗性与玩家穿透!A$2:Q$74,17,0)*F349,0)</f>
        <v>111170</v>
      </c>
      <c r="L349">
        <f>IF(A349="卡雷",42,IF(A349="法力风暴",ROUND(K349*0.1,0),VLOOKUP(A349,怪物模型!$A$15:$I$70,9,0)*(1+(B349-30)/100)))</f>
        <v>11117</v>
      </c>
      <c r="M349">
        <f>ROUND(VLOOKUP(C349,法师难度!A$1:C$135,2,0)*0.91*E349,0)</f>
        <v>3946</v>
      </c>
      <c r="N349">
        <f t="shared" si="15"/>
        <v>4735</v>
      </c>
      <c r="O349">
        <f>VLOOKUP(B349,怪物抗性与玩家穿透!A$2:Q$74,4,0)</f>
        <v>320</v>
      </c>
      <c r="P349">
        <f>VLOOKUP(B349,怪物抗性与玩家穿透!A$2:Q$74,5,0)</f>
        <v>90</v>
      </c>
      <c r="Q349">
        <f t="shared" si="16"/>
        <v>90</v>
      </c>
      <c r="R349">
        <f>ROUND(VLOOKUP(B349,[3]battleParameter.xml!$A$6:$E$107,5,0)*(I349/100)/(1-I349/100),0)</f>
        <v>0</v>
      </c>
      <c r="S349">
        <f>ROUND(VLOOKUP(B349,[3]battleParameter.xml!$A$6:$G$107,7,0)*(J349/100)/(1-J349/100),0)</f>
        <v>0</v>
      </c>
      <c r="T349">
        <f>ROUND(VLOOKUP(B349,[3]battleParameter.xml!$A$6:$Z$107,8,0)*(MIN(H349/100+0.2,0.99))/(1-MIN(H349/100+0.2,0.99)),0)</f>
        <v>607</v>
      </c>
      <c r="U349">
        <v>0</v>
      </c>
      <c r="V349">
        <v>0</v>
      </c>
    </row>
    <row r="350" spans="1:22">
      <c r="A350" t="str">
        <f>[2]monster.xml!$D695</f>
        <v>角斗士里奥</v>
      </c>
      <c r="B350">
        <f>[2]monster.xml!$C695</f>
        <v>41</v>
      </c>
      <c r="C350">
        <f t="shared" si="17"/>
        <v>21</v>
      </c>
      <c r="D350">
        <f>VLOOKUP(A350,怪物模型!A$15:Z$70,8,0)</f>
        <v>5</v>
      </c>
      <c r="E350">
        <f>VLOOKUP(A350,怪物模型!A$15:G$70,3,0)</f>
        <v>1</v>
      </c>
      <c r="F350">
        <f>VLOOKUP(A350,怪物模型!A$15:G$77,4,0)</f>
        <v>1</v>
      </c>
      <c r="G350">
        <v>1</v>
      </c>
      <c r="H350">
        <f>VLOOKUP(A350,怪物模型!A$15:G$77,5,0)</f>
        <v>13</v>
      </c>
      <c r="I350">
        <f>VLOOKUP(A350,怪物模型!A$15:G$77,6,0)</f>
        <v>0</v>
      </c>
      <c r="J350">
        <f>VLOOKUP(A350,怪物模型!A$15:G$77,7,0)</f>
        <v>0</v>
      </c>
      <c r="K350">
        <f>ROUND(VLOOKUP(C350,法师难度!A$1:C$135,3,0)/VLOOKUP(B350,怪物抗性与玩家穿透!A$2:Q$74,17,0)*F350,0)</f>
        <v>197907</v>
      </c>
      <c r="L350">
        <f>IF(A350="卡雷",42,IF(A350="法力风暴",ROUND(K350*0.1,0),VLOOKUP(A350,怪物模型!$A$15:$I$70,9,0)*(1+(B350-30)/100)))</f>
        <v>1110</v>
      </c>
      <c r="M350">
        <f>ROUND(VLOOKUP(C350,法师难度!A$1:C$135,2,0)*0.91*E350,0)</f>
        <v>2725</v>
      </c>
      <c r="N350">
        <f t="shared" si="15"/>
        <v>3270</v>
      </c>
      <c r="O350">
        <f>VLOOKUP(B350,怪物抗性与玩家穿透!A$2:Q$74,4,0)</f>
        <v>350</v>
      </c>
      <c r="P350">
        <f>VLOOKUP(B350,怪物抗性与玩家穿透!A$2:Q$74,5,0)</f>
        <v>100</v>
      </c>
      <c r="Q350">
        <f t="shared" si="16"/>
        <v>100</v>
      </c>
      <c r="R350">
        <f>ROUND(VLOOKUP(B350,[3]battleParameter.xml!$A$6:$E$107,5,0)*(I350/100)/(1-I350/100),0)</f>
        <v>0</v>
      </c>
      <c r="S350">
        <f>ROUND(VLOOKUP(B350,[3]battleParameter.xml!$A$6:$G$107,7,0)*(J350/100)/(1-J350/100),0)</f>
        <v>0</v>
      </c>
      <c r="T350">
        <f>ROUND(VLOOKUP(B350,[3]battleParameter.xml!$A$6:$Z$107,8,0)*(MIN(H350/100+0.2,0.99))/(1-MIN(H350/100+0.2,0.99)),0)</f>
        <v>638</v>
      </c>
      <c r="U350">
        <v>0</v>
      </c>
      <c r="V350">
        <v>0</v>
      </c>
    </row>
    <row r="351" spans="1:22">
      <c r="A351" t="str">
        <f>[2]monster.xml!$D696</f>
        <v>荒野游侠</v>
      </c>
      <c r="B351">
        <f>[2]monster.xml!$C696</f>
        <v>41</v>
      </c>
      <c r="C351">
        <f t="shared" si="17"/>
        <v>22</v>
      </c>
      <c r="D351">
        <f>VLOOKUP(A351,怪物模型!A$15:Z$70,8,0)</f>
        <v>16</v>
      </c>
      <c r="E351">
        <f>VLOOKUP(A351,怪物模型!A$15:G$70,3,0)</f>
        <v>1</v>
      </c>
      <c r="F351">
        <f>VLOOKUP(A351,怪物模型!A$15:G$77,4,0)</f>
        <v>0.8</v>
      </c>
      <c r="G351">
        <v>1</v>
      </c>
      <c r="H351">
        <f>VLOOKUP(A351,怪物模型!A$15:G$77,5,0)</f>
        <v>35</v>
      </c>
      <c r="I351">
        <f>VLOOKUP(A351,怪物模型!A$15:G$77,6,0)</f>
        <v>0</v>
      </c>
      <c r="J351">
        <f>VLOOKUP(A351,怪物模型!A$15:G$77,7,0)</f>
        <v>0</v>
      </c>
      <c r="K351">
        <f>ROUND(VLOOKUP(C351,法师难度!A$1:C$135,3,0)/VLOOKUP(B351,怪物抗性与玩家穿透!A$2:Q$74,17,0)*F351,0)</f>
        <v>174602</v>
      </c>
      <c r="L351">
        <f>IF(A351="卡雷",42,IF(A351="法力风暴",ROUND(K351*0.1,0),VLOOKUP(A351,怪物模型!$A$15:$I$70,9,0)*(1+(B351-30)/100)))</f>
        <v>2220</v>
      </c>
      <c r="M351">
        <f>ROUND(VLOOKUP(C351,法师难度!A$1:C$135,2,0)*0.91*E351,0)</f>
        <v>2791</v>
      </c>
      <c r="N351">
        <f t="shared" si="15"/>
        <v>3349</v>
      </c>
      <c r="O351">
        <f>VLOOKUP(B351,怪物抗性与玩家穿透!A$2:Q$74,4,0)</f>
        <v>350</v>
      </c>
      <c r="P351">
        <f>VLOOKUP(B351,怪物抗性与玩家穿透!A$2:Q$74,5,0)</f>
        <v>100</v>
      </c>
      <c r="Q351">
        <f t="shared" si="16"/>
        <v>100</v>
      </c>
      <c r="R351">
        <f>ROUND(VLOOKUP(B351,[3]battleParameter.xml!$A$6:$E$107,5,0)*(I351/100)/(1-I351/100),0)</f>
        <v>0</v>
      </c>
      <c r="S351">
        <f>ROUND(VLOOKUP(B351,[3]battleParameter.xml!$A$6:$G$107,7,0)*(J351/100)/(1-J351/100),0)</f>
        <v>0</v>
      </c>
      <c r="T351">
        <f>ROUND(VLOOKUP(B351,[3]battleParameter.xml!$A$6:$Z$107,8,0)*(MIN(H351/100+0.2,0.99))/(1-MIN(H351/100+0.2,0.99)),0)</f>
        <v>1583</v>
      </c>
      <c r="U351">
        <v>0</v>
      </c>
      <c r="V351">
        <v>0</v>
      </c>
    </row>
    <row r="352" spans="1:22">
      <c r="A352" t="str">
        <f>[2]monster.xml!$D697</f>
        <v>憾地者</v>
      </c>
      <c r="B352">
        <f>[2]monster.xml!$C697</f>
        <v>41</v>
      </c>
      <c r="C352">
        <f t="shared" si="17"/>
        <v>23</v>
      </c>
      <c r="D352">
        <f>VLOOKUP(A352,怪物模型!A$15:Z$70,8,0)</f>
        <v>4</v>
      </c>
      <c r="E352">
        <f>VLOOKUP(A352,怪物模型!A$15:G$70,3,0)</f>
        <v>0.85</v>
      </c>
      <c r="F352">
        <f>VLOOKUP(A352,怪物模型!A$15:G$77,4,0)</f>
        <v>1</v>
      </c>
      <c r="G352">
        <v>1</v>
      </c>
      <c r="H352">
        <f>VLOOKUP(A352,怪物模型!A$15:G$77,5,0)</f>
        <v>13</v>
      </c>
      <c r="I352">
        <f>VLOOKUP(A352,怪物模型!A$15:G$77,6,0)</f>
        <v>0</v>
      </c>
      <c r="J352">
        <f>VLOOKUP(A352,怪物模型!A$15:G$77,7,0)</f>
        <v>0</v>
      </c>
      <c r="K352">
        <f>ROUND(VLOOKUP(C352,法师难度!A$1:C$135,3,0)/VLOOKUP(B352,怪物抗性与玩家穿透!A$2:Q$74,17,0)*F352,0)</f>
        <v>240689</v>
      </c>
      <c r="L352">
        <f>IF(A352="卡雷",42,IF(A352="法力风暴",ROUND(K352*0.1,0),VLOOKUP(A352,怪物模型!$A$15:$I$70,9,0)*(1+(B352-30)/100)))</f>
        <v>1110</v>
      </c>
      <c r="M352">
        <f>ROUND(VLOOKUP(C352,法师难度!A$1:C$135,2,0)*0.91*E352,0)</f>
        <v>2430</v>
      </c>
      <c r="N352">
        <f t="shared" si="15"/>
        <v>2916</v>
      </c>
      <c r="O352">
        <f>VLOOKUP(B352,怪物抗性与玩家穿透!A$2:Q$74,4,0)</f>
        <v>350</v>
      </c>
      <c r="P352">
        <f>VLOOKUP(B352,怪物抗性与玩家穿透!A$2:Q$74,5,0)</f>
        <v>100</v>
      </c>
      <c r="Q352">
        <f t="shared" si="16"/>
        <v>100</v>
      </c>
      <c r="R352">
        <f>ROUND(VLOOKUP(B352,[3]battleParameter.xml!$A$6:$E$107,5,0)*(I352/100)/(1-I352/100),0)</f>
        <v>0</v>
      </c>
      <c r="S352">
        <f>ROUND(VLOOKUP(B352,[3]battleParameter.xml!$A$6:$G$107,7,0)*(J352/100)/(1-J352/100),0)</f>
        <v>0</v>
      </c>
      <c r="T352">
        <f>ROUND(VLOOKUP(B352,[3]battleParameter.xml!$A$6:$Z$107,8,0)*(MIN(H352/100+0.2,0.99))/(1-MIN(H352/100+0.2,0.99)),0)</f>
        <v>638</v>
      </c>
      <c r="U352">
        <v>0</v>
      </c>
      <c r="V352">
        <v>0</v>
      </c>
    </row>
    <row r="353" spans="1:22">
      <c r="A353" t="str">
        <f>[2]monster.xml!$D698</f>
        <v>拉兹</v>
      </c>
      <c r="B353">
        <f>[2]monster.xml!$C698</f>
        <v>42</v>
      </c>
      <c r="C353">
        <f t="shared" si="17"/>
        <v>24</v>
      </c>
      <c r="D353">
        <f>VLOOKUP(A353,怪物模型!A$15:Z$70,8,0)</f>
        <v>10</v>
      </c>
      <c r="E353">
        <f>VLOOKUP(A353,怪物模型!A$15:G$70,3,0)</f>
        <v>1.2</v>
      </c>
      <c r="F353">
        <f>VLOOKUP(A353,怪物模型!A$15:G$77,4,0)</f>
        <v>1</v>
      </c>
      <c r="G353">
        <v>1</v>
      </c>
      <c r="H353">
        <f>VLOOKUP(A353,怪物模型!A$15:G$77,5,0)</f>
        <v>13</v>
      </c>
      <c r="I353">
        <f>VLOOKUP(A353,怪物模型!A$15:G$77,6,0)</f>
        <v>0</v>
      </c>
      <c r="J353">
        <f>VLOOKUP(A353,怪物模型!A$15:G$77,7,0)</f>
        <v>20</v>
      </c>
      <c r="K353">
        <f>ROUND(VLOOKUP(C353,法师难度!A$1:C$135,3,0)/VLOOKUP(B353,怪物抗性与玩家穿透!A$2:Q$74,17,0)*F353,0)</f>
        <v>273307</v>
      </c>
      <c r="L353">
        <f>IF(A353="卡雷",42,IF(A353="法力风暴",ROUND(K353*0.1,0),VLOOKUP(A353,怪物模型!$A$15:$I$70,9,0)*(1+(B353-30)/100)))</f>
        <v>2240</v>
      </c>
      <c r="M353">
        <f>ROUND(VLOOKUP(C353,法师难度!A$1:C$135,2,0)*0.91*E353,0)</f>
        <v>3542</v>
      </c>
      <c r="N353">
        <f t="shared" si="15"/>
        <v>4250</v>
      </c>
      <c r="O353">
        <f>VLOOKUP(B353,怪物抗性与玩家穿透!A$2:Q$74,4,0)</f>
        <v>380</v>
      </c>
      <c r="P353">
        <f>VLOOKUP(B353,怪物抗性与玩家穿透!A$2:Q$74,5,0)</f>
        <v>110</v>
      </c>
      <c r="Q353">
        <f t="shared" si="16"/>
        <v>110</v>
      </c>
      <c r="R353">
        <f>ROUND(VLOOKUP(B353,[3]battleParameter.xml!$A$6:$E$107,5,0)*(I353/100)/(1-I353/100),0)</f>
        <v>0</v>
      </c>
      <c r="S353">
        <f>ROUND(VLOOKUP(B353,[3]battleParameter.xml!$A$6:$G$107,7,0)*(J353/100)/(1-J353/100),0)</f>
        <v>1358</v>
      </c>
      <c r="T353">
        <f>ROUND(VLOOKUP(B353,[3]battleParameter.xml!$A$6:$Z$107,8,0)*(MIN(H353/100+0.2,0.99))/(1-MIN(H353/100+0.2,0.99)),0)</f>
        <v>668</v>
      </c>
      <c r="U353">
        <v>0</v>
      </c>
      <c r="V353">
        <v>0</v>
      </c>
    </row>
    <row r="354" spans="1:22">
      <c r="A354" t="str">
        <f>[2]monster.xml!$D699</f>
        <v>塔克</v>
      </c>
      <c r="B354">
        <f>[2]monster.xml!$C699</f>
        <v>42</v>
      </c>
      <c r="C354">
        <f t="shared" si="17"/>
        <v>24</v>
      </c>
      <c r="D354">
        <f>VLOOKUP(A354,怪物模型!A$15:Z$70,8,0)</f>
        <v>3</v>
      </c>
      <c r="E354">
        <f>VLOOKUP(A354,怪物模型!A$15:G$70,3,0)</f>
        <v>0.35</v>
      </c>
      <c r="F354">
        <f>VLOOKUP(A354,怪物模型!A$15:G$77,4,0)</f>
        <v>0.6</v>
      </c>
      <c r="G354">
        <v>1</v>
      </c>
      <c r="H354">
        <f>VLOOKUP(A354,怪物模型!A$15:G$77,5,0)</f>
        <v>13</v>
      </c>
      <c r="I354">
        <f>VLOOKUP(A354,怪物模型!A$15:G$77,6,0)</f>
        <v>0</v>
      </c>
      <c r="J354">
        <f>VLOOKUP(A354,怪物模型!A$15:G$77,7,0)</f>
        <v>0</v>
      </c>
      <c r="K354">
        <f>ROUND(VLOOKUP(C354,法师难度!A$1:C$135,3,0)/VLOOKUP(B354,怪物抗性与玩家穿透!A$2:Q$74,17,0)*F354,0)</f>
        <v>163984</v>
      </c>
      <c r="L354">
        <f>IF(A354="卡雷",42,IF(A354="法力风暴",ROUND(K354*0.1,0),VLOOKUP(A354,怪物模型!$A$15:$I$70,9,0)*(1+(B354-30)/100)))</f>
        <v>1120</v>
      </c>
      <c r="M354">
        <f>ROUND(VLOOKUP(C354,法师难度!A$1:C$135,2,0)*0.91*E354,0)</f>
        <v>1033</v>
      </c>
      <c r="N354">
        <f t="shared" si="15"/>
        <v>1240</v>
      </c>
      <c r="O354">
        <f>VLOOKUP(B354,怪物抗性与玩家穿透!A$2:Q$74,4,0)</f>
        <v>380</v>
      </c>
      <c r="P354">
        <f>VLOOKUP(B354,怪物抗性与玩家穿透!A$2:Q$74,5,0)</f>
        <v>110</v>
      </c>
      <c r="Q354">
        <f t="shared" si="16"/>
        <v>110</v>
      </c>
      <c r="R354">
        <f>ROUND(VLOOKUP(B354,[3]battleParameter.xml!$A$6:$E$107,5,0)*(I354/100)/(1-I354/100),0)</f>
        <v>0</v>
      </c>
      <c r="S354">
        <f>ROUND(VLOOKUP(B354,[3]battleParameter.xml!$A$6:$G$107,7,0)*(J354/100)/(1-J354/100),0)</f>
        <v>0</v>
      </c>
      <c r="T354">
        <f>ROUND(VLOOKUP(B354,[3]battleParameter.xml!$A$6:$Z$107,8,0)*(MIN(H354/100+0.2,0.99))/(1-MIN(H354/100+0.2,0.99)),0)</f>
        <v>668</v>
      </c>
      <c r="U354">
        <v>0</v>
      </c>
      <c r="V354">
        <v>0</v>
      </c>
    </row>
    <row r="355" spans="1:22">
      <c r="A355" t="str">
        <f>[2]monster.xml!$D700</f>
        <v>迪皮斯</v>
      </c>
      <c r="B355">
        <f>[2]monster.xml!$C700</f>
        <v>42</v>
      </c>
      <c r="C355">
        <f t="shared" si="17"/>
        <v>25</v>
      </c>
      <c r="D355" t="str">
        <f>VLOOKUP(A355,怪物模型!A$15:Z$70,8,0)</f>
        <v>17,14</v>
      </c>
      <c r="E355">
        <f>VLOOKUP(A355,怪物模型!A$15:G$70,3,0)</f>
        <v>0.6</v>
      </c>
      <c r="F355">
        <f>VLOOKUP(A355,怪物模型!A$15:G$77,4,0)</f>
        <v>0.4</v>
      </c>
      <c r="G355">
        <v>1</v>
      </c>
      <c r="H355">
        <f>VLOOKUP(A355,怪物模型!A$15:G$77,5,0)</f>
        <v>13</v>
      </c>
      <c r="I355">
        <f>VLOOKUP(A355,怪物模型!A$15:G$77,6,0)</f>
        <v>0</v>
      </c>
      <c r="J355">
        <f>VLOOKUP(A355,怪物模型!A$15:G$77,7,0)</f>
        <v>0</v>
      </c>
      <c r="K355">
        <f>ROUND(VLOOKUP(C355,法师难度!A$1:C$135,3,0)/VLOOKUP(B355,怪物抗性与玩家穿透!A$2:Q$74,17,0)*F355,0)</f>
        <v>120180</v>
      </c>
      <c r="L355">
        <f>IF(A355="卡雷",42,IF(A355="法力风暴",ROUND(K355*0.1,0),VLOOKUP(A355,怪物模型!$A$15:$I$70,9,0)*(1+(B355-30)/100)))</f>
        <v>1120</v>
      </c>
      <c r="M355">
        <f>ROUND(VLOOKUP(C355,法师难度!A$1:C$135,2,0)*0.91*E355,0)</f>
        <v>1824</v>
      </c>
      <c r="N355">
        <f t="shared" si="15"/>
        <v>2189</v>
      </c>
      <c r="O355">
        <f>VLOOKUP(B355,怪物抗性与玩家穿透!A$2:Q$74,4,0)</f>
        <v>380</v>
      </c>
      <c r="P355">
        <f>VLOOKUP(B355,怪物抗性与玩家穿透!A$2:Q$74,5,0)</f>
        <v>110</v>
      </c>
      <c r="Q355">
        <f t="shared" si="16"/>
        <v>110</v>
      </c>
      <c r="R355">
        <f>ROUND(VLOOKUP(B355,[3]battleParameter.xml!$A$6:$E$107,5,0)*(I355/100)/(1-I355/100),0)</f>
        <v>0</v>
      </c>
      <c r="S355">
        <f>ROUND(VLOOKUP(B355,[3]battleParameter.xml!$A$6:$G$107,7,0)*(J355/100)/(1-J355/100),0)</f>
        <v>0</v>
      </c>
      <c r="T355">
        <f>ROUND(VLOOKUP(B355,[3]battleParameter.xml!$A$6:$Z$107,8,0)*(MIN(H355/100+0.2,0.99))/(1-MIN(H355/100+0.2,0.99)),0)</f>
        <v>668</v>
      </c>
      <c r="U355">
        <v>0</v>
      </c>
      <c r="V355">
        <v>0</v>
      </c>
    </row>
    <row r="356" spans="1:22">
      <c r="A356" t="str">
        <f>[2]monster.xml!$D701</f>
        <v>狂野安东尼</v>
      </c>
      <c r="B356">
        <f>[2]monster.xml!$C701</f>
        <v>43</v>
      </c>
      <c r="C356">
        <f t="shared" si="17"/>
        <v>26</v>
      </c>
      <c r="D356">
        <f>VLOOKUP(A356,怪物模型!A$15:Z$70,8,0)</f>
        <v>7</v>
      </c>
      <c r="E356">
        <f>VLOOKUP(A356,怪物模型!A$15:G$70,3,0)</f>
        <v>1</v>
      </c>
      <c r="F356">
        <f>VLOOKUP(A356,怪物模型!A$15:G$77,4,0)</f>
        <v>1</v>
      </c>
      <c r="G356">
        <v>1</v>
      </c>
      <c r="H356">
        <f>VLOOKUP(A356,怪物模型!A$15:G$77,5,0)</f>
        <v>13</v>
      </c>
      <c r="I356">
        <f>VLOOKUP(A356,怪物模型!A$15:G$77,6,0)</f>
        <v>0</v>
      </c>
      <c r="J356">
        <f>VLOOKUP(A356,怪物模型!A$15:G$77,7,0)</f>
        <v>0</v>
      </c>
      <c r="K356">
        <f>ROUND(VLOOKUP(C356,法师难度!A$1:C$135,3,0)/VLOOKUP(B356,怪物抗性与玩家穿透!A$2:Q$74,17,0)*F356,0)</f>
        <v>329301</v>
      </c>
      <c r="L356">
        <f>IF(A356="卡雷",42,IF(A356="法力风暴",ROUND(K356*0.1,0),VLOOKUP(A356,怪物模型!$A$15:$I$70,9,0)*(1+(B356-30)/100)))</f>
        <v>1130</v>
      </c>
      <c r="M356">
        <f>ROUND(VLOOKUP(C356,法师难度!A$1:C$135,2,0)*0.91*E356,0)</f>
        <v>3130</v>
      </c>
      <c r="N356">
        <f t="shared" si="15"/>
        <v>3756</v>
      </c>
      <c r="O356">
        <f>VLOOKUP(B356,怪物抗性与玩家穿透!A$2:Q$74,4,0)</f>
        <v>410</v>
      </c>
      <c r="P356">
        <f>VLOOKUP(B356,怪物抗性与玩家穿透!A$2:Q$74,5,0)</f>
        <v>120</v>
      </c>
      <c r="Q356">
        <f t="shared" si="16"/>
        <v>120</v>
      </c>
      <c r="R356">
        <f>ROUND(VLOOKUP(B356,[3]battleParameter.xml!$A$6:$E$107,5,0)*(I356/100)/(1-I356/100),0)</f>
        <v>0</v>
      </c>
      <c r="S356">
        <f>ROUND(VLOOKUP(B356,[3]battleParameter.xml!$A$6:$G$107,7,0)*(J356/100)/(1-J356/100),0)</f>
        <v>0</v>
      </c>
      <c r="T356">
        <f>ROUND(VLOOKUP(B356,[3]battleParameter.xml!$A$6:$Z$107,8,0)*(MIN(H356/100+0.2,0.99))/(1-MIN(H356/100+0.2,0.99)),0)</f>
        <v>700</v>
      </c>
      <c r="U356">
        <v>0</v>
      </c>
      <c r="V356">
        <v>0</v>
      </c>
    </row>
    <row r="357" spans="1:22">
      <c r="A357" t="str">
        <f>[2]monster.xml!$D702</f>
        <v>巡林者瑞克</v>
      </c>
      <c r="B357">
        <f>[2]monster.xml!$C702</f>
        <v>44</v>
      </c>
      <c r="C357">
        <f t="shared" si="17"/>
        <v>27</v>
      </c>
      <c r="D357">
        <f>VLOOKUP(A357,怪物模型!A$15:Z$70,8,0)</f>
        <v>15</v>
      </c>
      <c r="E357">
        <f>VLOOKUP(A357,怪物模型!A$15:G$70,3,0)</f>
        <v>1</v>
      </c>
      <c r="F357">
        <f>VLOOKUP(A357,怪物模型!A$15:G$77,4,0)</f>
        <v>1</v>
      </c>
      <c r="G357">
        <v>1</v>
      </c>
      <c r="H357">
        <f>VLOOKUP(A357,怪物模型!A$15:G$77,5,0)</f>
        <v>13</v>
      </c>
      <c r="I357">
        <f>VLOOKUP(A357,怪物模型!A$15:G$77,6,0)</f>
        <v>0</v>
      </c>
      <c r="J357">
        <f>VLOOKUP(A357,怪物模型!A$15:G$77,7,0)</f>
        <v>0</v>
      </c>
      <c r="K357">
        <f>ROUND(VLOOKUP(C357,法师难度!A$1:C$135,3,0)/VLOOKUP(B357,怪物抗性与玩家穿透!A$2:Q$74,17,0)*F357,0)</f>
        <v>372622</v>
      </c>
      <c r="L357">
        <f>IF(A357="卡雷",42,IF(A357="法力风暴",ROUND(K357*0.1,0),VLOOKUP(A357,怪物模型!$A$15:$I$70,9,0)*(1+(B357-30)/100)))</f>
        <v>1140.0000000000002</v>
      </c>
      <c r="M357">
        <f>ROUND(VLOOKUP(C357,法师难度!A$1:C$135,2,0)*0.91*E357,0)</f>
        <v>3255</v>
      </c>
      <c r="N357">
        <f t="shared" si="15"/>
        <v>3906</v>
      </c>
      <c r="O357">
        <f>VLOOKUP(B357,怪物抗性与玩家穿透!A$2:Q$74,4,0)</f>
        <v>440</v>
      </c>
      <c r="P357">
        <f>VLOOKUP(B357,怪物抗性与玩家穿透!A$2:Q$74,5,0)</f>
        <v>130</v>
      </c>
      <c r="Q357">
        <f t="shared" si="16"/>
        <v>130</v>
      </c>
      <c r="R357">
        <f>ROUND(VLOOKUP(B357,[3]battleParameter.xml!$A$6:$E$107,5,0)*(I357/100)/(1-I357/100),0)</f>
        <v>0</v>
      </c>
      <c r="S357">
        <f>ROUND(VLOOKUP(B357,[3]battleParameter.xml!$A$6:$G$107,7,0)*(J357/100)/(1-J357/100),0)</f>
        <v>0</v>
      </c>
      <c r="T357">
        <f>ROUND(VLOOKUP(B357,[3]battleParameter.xml!$A$6:$Z$107,8,0)*(MIN(H357/100+0.2,0.99))/(1-MIN(H357/100+0.2,0.99)),0)</f>
        <v>732</v>
      </c>
      <c r="U357">
        <v>0</v>
      </c>
      <c r="V357">
        <v>0</v>
      </c>
    </row>
    <row r="358" spans="1:22">
      <c r="A358" t="str">
        <f>[2]monster.xml!$D703</f>
        <v>法师幻象</v>
      </c>
      <c r="B358">
        <f>[2]monster.xml!$C703</f>
        <v>45</v>
      </c>
      <c r="C358">
        <f t="shared" si="17"/>
        <v>28</v>
      </c>
      <c r="D358">
        <f>VLOOKUP(A358,怪物模型!A$15:Z$70,8,0)</f>
        <v>21</v>
      </c>
      <c r="E358">
        <f>VLOOKUP(A358,怪物模型!A$15:G$70,3,0)</f>
        <v>1</v>
      </c>
      <c r="F358">
        <f>VLOOKUP(A358,怪物模型!A$15:G$77,4,0)</f>
        <v>1</v>
      </c>
      <c r="G358">
        <v>1</v>
      </c>
      <c r="H358">
        <f>VLOOKUP(A358,怪物模型!A$15:G$77,5,0)</f>
        <v>13</v>
      </c>
      <c r="I358">
        <f>VLOOKUP(A358,怪物模型!A$15:G$77,6,0)</f>
        <v>0</v>
      </c>
      <c r="J358">
        <f>VLOOKUP(A358,怪物模型!A$15:G$77,7,0)</f>
        <v>0</v>
      </c>
      <c r="K358">
        <f>ROUND(VLOOKUP(C358,法师难度!A$1:C$135,3,0)/VLOOKUP(B358,怪物抗性与玩家穿透!A$2:Q$74,17,0)*F358,0)</f>
        <v>215104</v>
      </c>
      <c r="L358">
        <f>IF(A358="卡雷",42,IF(A358="法力风暴",ROUND(K358*0.1,0),VLOOKUP(A358,怪物模型!$A$15:$I$70,9,0)*(1+(B358-30)/100)))</f>
        <v>3449.9999999999995</v>
      </c>
      <c r="M358">
        <f>ROUND(VLOOKUP(C358,法师难度!A$1:C$135,2,0)*0.91*E358,0)</f>
        <v>3089</v>
      </c>
      <c r="N358">
        <f t="shared" si="15"/>
        <v>3707</v>
      </c>
      <c r="O358">
        <f>VLOOKUP(B358,怪物抗性与玩家穿透!A$2:Q$74,4,0)</f>
        <v>470</v>
      </c>
      <c r="P358">
        <f>VLOOKUP(B358,怪物抗性与玩家穿透!A$2:Q$74,5,0)</f>
        <v>140</v>
      </c>
      <c r="Q358">
        <f t="shared" si="16"/>
        <v>140</v>
      </c>
      <c r="R358">
        <f>ROUND(VLOOKUP(B358,[3]battleParameter.xml!$A$6:$E$107,5,0)*(I358/100)/(1-I358/100),0)</f>
        <v>0</v>
      </c>
      <c r="S358">
        <f>ROUND(VLOOKUP(B358,[3]battleParameter.xml!$A$6:$G$107,7,0)*(J358/100)/(1-J358/100),0)</f>
        <v>0</v>
      </c>
      <c r="T358">
        <f>ROUND(VLOOKUP(B358,[3]battleParameter.xml!$A$6:$Z$107,8,0)*(MIN(H358/100+0.2,0.99))/(1-MIN(H358/100+0.2,0.99)),0)</f>
        <v>766</v>
      </c>
      <c r="U358">
        <v>0</v>
      </c>
      <c r="V358">
        <v>0</v>
      </c>
    </row>
    <row r="359" spans="1:22">
      <c r="A359" t="str">
        <f>[2]monster.xml!$D704</f>
        <v>法力风暴</v>
      </c>
      <c r="B359">
        <f>[2]monster.xml!$C704</f>
        <v>45</v>
      </c>
      <c r="C359">
        <f t="shared" si="17"/>
        <v>29</v>
      </c>
      <c r="D359" t="str">
        <f>VLOOKUP(A359,怪物模型!A$15:Z$70,8,0)</f>
        <v>25,30</v>
      </c>
      <c r="E359">
        <f>VLOOKUP(A359,怪物模型!A$15:G$70,3,0)</f>
        <v>1.5</v>
      </c>
      <c r="F359">
        <f>VLOOKUP(A359,怪物模型!A$15:G$77,4,0)</f>
        <v>0.68</v>
      </c>
      <c r="G359">
        <v>1</v>
      </c>
      <c r="H359">
        <f>VLOOKUP(A359,怪物模型!A$15:G$77,5,0)</f>
        <v>13</v>
      </c>
      <c r="I359">
        <f>VLOOKUP(A359,怪物模型!A$15:G$77,6,0)</f>
        <v>0</v>
      </c>
      <c r="J359">
        <f>VLOOKUP(A359,怪物模型!A$15:G$77,7,0)</f>
        <v>0</v>
      </c>
      <c r="K359">
        <f>ROUND(VLOOKUP(C359,法师难度!A$1:C$135,3,0)/VLOOKUP(B359,怪物抗性与玩家穿透!A$2:Q$74,17,0)*F359,0)</f>
        <v>165751</v>
      </c>
      <c r="L359">
        <f>IF(A359="卡雷",42,IF(A359="法力风暴",ROUND(K359*0.1,0),VLOOKUP(A359,怪物模型!$A$15:$I$70,9,0)*(1+(B359-30)/100)))</f>
        <v>16575</v>
      </c>
      <c r="M359">
        <f>ROUND(VLOOKUP(C359,法师难度!A$1:C$135,2,0)*0.91*E359,0)</f>
        <v>4812</v>
      </c>
      <c r="N359">
        <f t="shared" si="15"/>
        <v>5774</v>
      </c>
      <c r="O359">
        <f>VLOOKUP(B359,怪物抗性与玩家穿透!A$2:Q$74,4,0)</f>
        <v>470</v>
      </c>
      <c r="P359">
        <f>VLOOKUP(B359,怪物抗性与玩家穿透!A$2:Q$74,5,0)</f>
        <v>140</v>
      </c>
      <c r="Q359">
        <f t="shared" si="16"/>
        <v>140</v>
      </c>
      <c r="R359">
        <f>ROUND(VLOOKUP(B359,[3]battleParameter.xml!$A$6:$E$107,5,0)*(I359/100)/(1-I359/100),0)</f>
        <v>0</v>
      </c>
      <c r="S359">
        <f>ROUND(VLOOKUP(B359,[3]battleParameter.xml!$A$6:$G$107,7,0)*(J359/100)/(1-J359/100),0)</f>
        <v>0</v>
      </c>
      <c r="T359">
        <f>ROUND(VLOOKUP(B359,[3]battleParameter.xml!$A$6:$Z$107,8,0)*(MIN(H359/100+0.2,0.99))/(1-MIN(H359/100+0.2,0.99)),0)</f>
        <v>766</v>
      </c>
      <c r="U359">
        <v>0</v>
      </c>
      <c r="V359">
        <v>0</v>
      </c>
    </row>
    <row r="360" spans="1:22">
      <c r="A360" t="str">
        <f>[2]monster.xml!$D705</f>
        <v>角斗士里奥</v>
      </c>
      <c r="B360">
        <f>[2]monster.xml!$C705</f>
        <v>46</v>
      </c>
      <c r="C360">
        <f t="shared" si="17"/>
        <v>30</v>
      </c>
      <c r="D360">
        <f>VLOOKUP(A360,怪物模型!A$15:Z$70,8,0)</f>
        <v>5</v>
      </c>
      <c r="E360">
        <f>VLOOKUP(A360,怪物模型!A$15:G$70,3,0)</f>
        <v>1</v>
      </c>
      <c r="F360">
        <f>VLOOKUP(A360,怪物模型!A$15:G$77,4,0)</f>
        <v>1</v>
      </c>
      <c r="G360">
        <v>1</v>
      </c>
      <c r="H360">
        <f>VLOOKUP(A360,怪物模型!A$15:G$77,5,0)</f>
        <v>13</v>
      </c>
      <c r="I360">
        <f>VLOOKUP(A360,怪物模型!A$15:G$77,6,0)</f>
        <v>0</v>
      </c>
      <c r="J360">
        <f>VLOOKUP(A360,怪物模型!A$15:G$77,7,0)</f>
        <v>0</v>
      </c>
      <c r="K360">
        <f>ROUND(VLOOKUP(C360,法师难度!A$1:C$135,3,0)/VLOOKUP(B360,怪物抗性与玩家穿透!A$2:Q$74,17,0)*F360,0)</f>
        <v>287372</v>
      </c>
      <c r="L360">
        <f>IF(A360="卡雷",42,IF(A360="法力风暴",ROUND(K360*0.1,0),VLOOKUP(A360,怪物模型!$A$15:$I$70,9,0)*(1+(B360-30)/100)))</f>
        <v>1160</v>
      </c>
      <c r="M360">
        <f>ROUND(VLOOKUP(C360,法师难度!A$1:C$135,2,0)*0.91*E360,0)</f>
        <v>3373</v>
      </c>
      <c r="N360">
        <f t="shared" si="15"/>
        <v>4048</v>
      </c>
      <c r="O360">
        <f>VLOOKUP(B360,怪物抗性与玩家穿透!A$2:Q$74,4,0)</f>
        <v>500</v>
      </c>
      <c r="P360">
        <f>VLOOKUP(B360,怪物抗性与玩家穿透!A$2:Q$74,5,0)</f>
        <v>150</v>
      </c>
      <c r="Q360">
        <f t="shared" si="16"/>
        <v>150</v>
      </c>
      <c r="R360">
        <f>ROUND(VLOOKUP(B360,[3]battleParameter.xml!$A$6:$E$107,5,0)*(I360/100)/(1-I360/100),0)</f>
        <v>0</v>
      </c>
      <c r="S360">
        <f>ROUND(VLOOKUP(B360,[3]battleParameter.xml!$A$6:$G$107,7,0)*(J360/100)/(1-J360/100),0)</f>
        <v>0</v>
      </c>
      <c r="T360">
        <f>ROUND(VLOOKUP(B360,[3]battleParameter.xml!$A$6:$Z$107,8,0)*(MIN(H360/100+0.2,0.99))/(1-MIN(H360/100+0.2,0.99)),0)</f>
        <v>799</v>
      </c>
      <c r="U360">
        <v>0</v>
      </c>
      <c r="V360">
        <v>0</v>
      </c>
    </row>
    <row r="361" spans="1:22">
      <c r="A361" t="str">
        <f>[2]monster.xml!$D706</f>
        <v>荒野游侠</v>
      </c>
      <c r="B361">
        <f>[2]monster.xml!$C706</f>
        <v>46</v>
      </c>
      <c r="C361">
        <f t="shared" si="17"/>
        <v>31</v>
      </c>
      <c r="D361">
        <f>VLOOKUP(A361,怪物模型!A$15:Z$70,8,0)</f>
        <v>16</v>
      </c>
      <c r="E361">
        <f>VLOOKUP(A361,怪物模型!A$15:G$70,3,0)</f>
        <v>1</v>
      </c>
      <c r="F361">
        <f>VLOOKUP(A361,怪物模型!A$15:G$77,4,0)</f>
        <v>0.8</v>
      </c>
      <c r="G361">
        <v>1</v>
      </c>
      <c r="H361">
        <f>VLOOKUP(A361,怪物模型!A$15:G$77,5,0)</f>
        <v>35</v>
      </c>
      <c r="I361">
        <f>VLOOKUP(A361,怪物模型!A$15:G$77,6,0)</f>
        <v>0</v>
      </c>
      <c r="J361">
        <f>VLOOKUP(A361,怪物模型!A$15:G$77,7,0)</f>
        <v>0</v>
      </c>
      <c r="K361">
        <f>ROUND(VLOOKUP(C361,法师难度!A$1:C$135,3,0)/VLOOKUP(B361,怪物抗性与玩家穿透!A$2:Q$74,17,0)*F361,0)</f>
        <v>251042</v>
      </c>
      <c r="L361">
        <f>IF(A361="卡雷",42,IF(A361="法力风暴",ROUND(K361*0.1,0),VLOOKUP(A361,怪物模型!$A$15:$I$70,9,0)*(1+(B361-30)/100)))</f>
        <v>2320</v>
      </c>
      <c r="M361">
        <f>ROUND(VLOOKUP(C361,法师难度!A$1:C$135,2,0)*0.91*E361,0)</f>
        <v>3489</v>
      </c>
      <c r="N361">
        <f t="shared" si="15"/>
        <v>4187</v>
      </c>
      <c r="O361">
        <f>VLOOKUP(B361,怪物抗性与玩家穿透!A$2:Q$74,4,0)</f>
        <v>500</v>
      </c>
      <c r="P361">
        <f>VLOOKUP(B361,怪物抗性与玩家穿透!A$2:Q$74,5,0)</f>
        <v>150</v>
      </c>
      <c r="Q361">
        <f t="shared" si="16"/>
        <v>150</v>
      </c>
      <c r="R361">
        <f>ROUND(VLOOKUP(B361,[3]battleParameter.xml!$A$6:$E$107,5,0)*(I361/100)/(1-I361/100),0)</f>
        <v>0</v>
      </c>
      <c r="S361">
        <f>ROUND(VLOOKUP(B361,[3]battleParameter.xml!$A$6:$G$107,7,0)*(J361/100)/(1-J361/100),0)</f>
        <v>0</v>
      </c>
      <c r="T361">
        <f>ROUND(VLOOKUP(B361,[3]battleParameter.xml!$A$6:$Z$107,8,0)*(MIN(H361/100+0.2,0.99))/(1-MIN(H361/100+0.2,0.99)),0)</f>
        <v>1984</v>
      </c>
      <c r="U361">
        <v>0</v>
      </c>
      <c r="V361">
        <v>0</v>
      </c>
    </row>
    <row r="362" spans="1:22">
      <c r="A362" t="str">
        <f>[2]monster.xml!$D707</f>
        <v>憾地者</v>
      </c>
      <c r="B362">
        <f>[2]monster.xml!$C707</f>
        <v>46</v>
      </c>
      <c r="C362">
        <f t="shared" si="17"/>
        <v>32</v>
      </c>
      <c r="D362">
        <f>VLOOKUP(A362,怪物模型!A$15:Z$70,8,0)</f>
        <v>4</v>
      </c>
      <c r="E362">
        <f>VLOOKUP(A362,怪物模型!A$15:G$70,3,0)</f>
        <v>0.85</v>
      </c>
      <c r="F362">
        <f>VLOOKUP(A362,怪物模型!A$15:G$77,4,0)</f>
        <v>1</v>
      </c>
      <c r="G362">
        <v>1</v>
      </c>
      <c r="H362">
        <f>VLOOKUP(A362,怪物模型!A$15:G$77,5,0)</f>
        <v>13</v>
      </c>
      <c r="I362">
        <f>VLOOKUP(A362,怪物模型!A$15:G$77,6,0)</f>
        <v>0</v>
      </c>
      <c r="J362">
        <f>VLOOKUP(A362,怪物模型!A$15:G$77,7,0)</f>
        <v>0</v>
      </c>
      <c r="K362">
        <f>ROUND(VLOOKUP(C362,法师难度!A$1:C$135,3,0)/VLOOKUP(B362,怪物抗性与玩家穿透!A$2:Q$74,17,0)*F362,0)</f>
        <v>342663</v>
      </c>
      <c r="L362">
        <f>IF(A362="卡雷",42,IF(A362="法力风暴",ROUND(K362*0.1,0),VLOOKUP(A362,怪物模型!$A$15:$I$70,9,0)*(1+(B362-30)/100)))</f>
        <v>1160</v>
      </c>
      <c r="M362">
        <f>ROUND(VLOOKUP(C362,法师难度!A$1:C$135,2,0)*0.91*E362,0)</f>
        <v>3066</v>
      </c>
      <c r="N362">
        <f t="shared" si="15"/>
        <v>3679</v>
      </c>
      <c r="O362">
        <f>VLOOKUP(B362,怪物抗性与玩家穿透!A$2:Q$74,4,0)</f>
        <v>500</v>
      </c>
      <c r="P362">
        <f>VLOOKUP(B362,怪物抗性与玩家穿透!A$2:Q$74,5,0)</f>
        <v>150</v>
      </c>
      <c r="Q362">
        <f t="shared" si="16"/>
        <v>150</v>
      </c>
      <c r="R362">
        <f>ROUND(VLOOKUP(B362,[3]battleParameter.xml!$A$6:$E$107,5,0)*(I362/100)/(1-I362/100),0)</f>
        <v>0</v>
      </c>
      <c r="S362">
        <f>ROUND(VLOOKUP(B362,[3]battleParameter.xml!$A$6:$G$107,7,0)*(J362/100)/(1-J362/100),0)</f>
        <v>0</v>
      </c>
      <c r="T362">
        <f>ROUND(VLOOKUP(B362,[3]battleParameter.xml!$A$6:$Z$107,8,0)*(MIN(H362/100+0.2,0.99))/(1-MIN(H362/100+0.2,0.99)),0)</f>
        <v>799</v>
      </c>
      <c r="U362">
        <v>0</v>
      </c>
      <c r="V362">
        <v>0</v>
      </c>
    </row>
    <row r="363" spans="1:22">
      <c r="A363" t="str">
        <f>[2]monster.xml!$D708</f>
        <v>拉兹</v>
      </c>
      <c r="B363">
        <f>[2]monster.xml!$C708</f>
        <v>47</v>
      </c>
      <c r="C363">
        <f t="shared" si="17"/>
        <v>33</v>
      </c>
      <c r="D363">
        <f>VLOOKUP(A363,怪物模型!A$15:Z$70,8,0)</f>
        <v>10</v>
      </c>
      <c r="E363">
        <f>VLOOKUP(A363,怪物模型!A$15:G$70,3,0)</f>
        <v>1.2</v>
      </c>
      <c r="F363">
        <f>VLOOKUP(A363,怪物模型!A$15:G$77,4,0)</f>
        <v>1</v>
      </c>
      <c r="G363">
        <v>1</v>
      </c>
      <c r="H363">
        <f>VLOOKUP(A363,怪物模型!A$15:G$77,5,0)</f>
        <v>13</v>
      </c>
      <c r="I363">
        <f>VLOOKUP(A363,怪物模型!A$15:G$77,6,0)</f>
        <v>0</v>
      </c>
      <c r="J363">
        <f>VLOOKUP(A363,怪物模型!A$15:G$77,7,0)</f>
        <v>20</v>
      </c>
      <c r="K363">
        <f>ROUND(VLOOKUP(C363,法师难度!A$1:C$135,3,0)/VLOOKUP(B363,怪物抗性与玩家穿透!A$2:Q$74,17,0)*F363,0)</f>
        <v>353442</v>
      </c>
      <c r="L363">
        <f>IF(A363="卡雷",42,IF(A363="法力风暴",ROUND(K363*0.1,0),VLOOKUP(A363,怪物模型!$A$15:$I$70,9,0)*(1+(B363-30)/100)))</f>
        <v>2340</v>
      </c>
      <c r="M363">
        <f>ROUND(VLOOKUP(C363,法师难度!A$1:C$135,2,0)*0.91*E363,0)</f>
        <v>4527</v>
      </c>
      <c r="N363">
        <f t="shared" si="15"/>
        <v>5432</v>
      </c>
      <c r="O363">
        <f>VLOOKUP(B363,怪物抗性与玩家穿透!A$2:Q$74,4,0)</f>
        <v>1000</v>
      </c>
      <c r="P363">
        <f>VLOOKUP(B363,怪物抗性与玩家穿透!A$2:Q$74,5,0)</f>
        <v>300</v>
      </c>
      <c r="Q363">
        <f t="shared" si="16"/>
        <v>300</v>
      </c>
      <c r="R363">
        <f>ROUND(VLOOKUP(B363,[3]battleParameter.xml!$A$6:$E$107,5,0)*(I363/100)/(1-I363/100),0)</f>
        <v>0</v>
      </c>
      <c r="S363">
        <f>ROUND(VLOOKUP(B363,[3]battleParameter.xml!$A$6:$G$107,7,0)*(J363/100)/(1-J363/100),0)</f>
        <v>1694</v>
      </c>
      <c r="T363">
        <f>ROUND(VLOOKUP(B363,[3]battleParameter.xml!$A$6:$Z$107,8,0)*(MIN(H363/100+0.2,0.99))/(1-MIN(H363/100+0.2,0.99)),0)</f>
        <v>834</v>
      </c>
      <c r="U363">
        <v>0</v>
      </c>
      <c r="V363">
        <v>0</v>
      </c>
    </row>
    <row r="364" spans="1:22">
      <c r="A364" t="str">
        <f>[2]monster.xml!$D709</f>
        <v>塔克</v>
      </c>
      <c r="B364">
        <f>[2]monster.xml!$C709</f>
        <v>47</v>
      </c>
      <c r="C364">
        <f t="shared" si="17"/>
        <v>33</v>
      </c>
      <c r="D364">
        <f>VLOOKUP(A364,怪物模型!A$15:Z$70,8,0)</f>
        <v>3</v>
      </c>
      <c r="E364">
        <f>VLOOKUP(A364,怪物模型!A$15:G$70,3,0)</f>
        <v>0.35</v>
      </c>
      <c r="F364">
        <f>VLOOKUP(A364,怪物模型!A$15:G$77,4,0)</f>
        <v>0.6</v>
      </c>
      <c r="G364">
        <v>1</v>
      </c>
      <c r="H364">
        <f>VLOOKUP(A364,怪物模型!A$15:G$77,5,0)</f>
        <v>13</v>
      </c>
      <c r="I364">
        <f>VLOOKUP(A364,怪物模型!A$15:G$77,6,0)</f>
        <v>0</v>
      </c>
      <c r="J364">
        <f>VLOOKUP(A364,怪物模型!A$15:G$77,7,0)</f>
        <v>0</v>
      </c>
      <c r="K364">
        <f>ROUND(VLOOKUP(C364,法师难度!A$1:C$135,3,0)/VLOOKUP(B364,怪物抗性与玩家穿透!A$2:Q$74,17,0)*F364,0)</f>
        <v>212065</v>
      </c>
      <c r="L364">
        <f>IF(A364="卡雷",42,IF(A364="法力风暴",ROUND(K364*0.1,0),VLOOKUP(A364,怪物模型!$A$15:$I$70,9,0)*(1+(B364-30)/100)))</f>
        <v>1170</v>
      </c>
      <c r="M364">
        <f>ROUND(VLOOKUP(C364,法师难度!A$1:C$135,2,0)*0.91*E364,0)</f>
        <v>1321</v>
      </c>
      <c r="N364">
        <f t="shared" si="15"/>
        <v>1585</v>
      </c>
      <c r="O364">
        <f>VLOOKUP(B364,怪物抗性与玩家穿透!A$2:Q$74,4,0)</f>
        <v>1000</v>
      </c>
      <c r="P364">
        <f>VLOOKUP(B364,怪物抗性与玩家穿透!A$2:Q$74,5,0)</f>
        <v>300</v>
      </c>
      <c r="Q364">
        <f t="shared" si="16"/>
        <v>300</v>
      </c>
      <c r="R364">
        <f>ROUND(VLOOKUP(B364,[3]battleParameter.xml!$A$6:$E$107,5,0)*(I364/100)/(1-I364/100),0)</f>
        <v>0</v>
      </c>
      <c r="S364">
        <f>ROUND(VLOOKUP(B364,[3]battleParameter.xml!$A$6:$G$107,7,0)*(J364/100)/(1-J364/100),0)</f>
        <v>0</v>
      </c>
      <c r="T364">
        <f>ROUND(VLOOKUP(B364,[3]battleParameter.xml!$A$6:$Z$107,8,0)*(MIN(H364/100+0.2,0.99))/(1-MIN(H364/100+0.2,0.99)),0)</f>
        <v>834</v>
      </c>
      <c r="U364">
        <v>0</v>
      </c>
      <c r="V364">
        <v>0</v>
      </c>
    </row>
    <row r="365" spans="1:22">
      <c r="A365" t="str">
        <f>[2]monster.xml!$D710</f>
        <v>迪皮斯</v>
      </c>
      <c r="B365">
        <f>[2]monster.xml!$C710</f>
        <v>47</v>
      </c>
      <c r="C365">
        <f t="shared" si="17"/>
        <v>34</v>
      </c>
      <c r="D365" t="str">
        <f>VLOOKUP(A365,怪物模型!A$15:Z$70,8,0)</f>
        <v>17,14</v>
      </c>
      <c r="E365">
        <f>VLOOKUP(A365,怪物模型!A$15:G$70,3,0)</f>
        <v>0.6</v>
      </c>
      <c r="F365">
        <f>VLOOKUP(A365,怪物模型!A$15:G$77,4,0)</f>
        <v>0.4</v>
      </c>
      <c r="G365">
        <v>1</v>
      </c>
      <c r="H365">
        <f>VLOOKUP(A365,怪物模型!A$15:G$77,5,0)</f>
        <v>13</v>
      </c>
      <c r="I365">
        <f>VLOOKUP(A365,怪物模型!A$15:G$77,6,0)</f>
        <v>0</v>
      </c>
      <c r="J365">
        <f>VLOOKUP(A365,怪物模型!A$15:G$77,7,0)</f>
        <v>0</v>
      </c>
      <c r="K365">
        <f>ROUND(VLOOKUP(C365,法师难度!A$1:C$135,3,0)/VLOOKUP(B365,怪物抗性与玩家穿透!A$2:Q$74,17,0)*F365,0)</f>
        <v>154314</v>
      </c>
      <c r="L365">
        <f>IF(A365="卡雷",42,IF(A365="法力风暴",ROUND(K365*0.1,0),VLOOKUP(A365,怪物模型!$A$15:$I$70,9,0)*(1+(B365-30)/100)))</f>
        <v>1170</v>
      </c>
      <c r="M365">
        <f>ROUND(VLOOKUP(C365,法师难度!A$1:C$135,2,0)*0.91*E365,0)</f>
        <v>2355</v>
      </c>
      <c r="N365">
        <f t="shared" si="15"/>
        <v>2826</v>
      </c>
      <c r="O365">
        <f>VLOOKUP(B365,怪物抗性与玩家穿透!A$2:Q$74,4,0)</f>
        <v>1000</v>
      </c>
      <c r="P365">
        <f>VLOOKUP(B365,怪物抗性与玩家穿透!A$2:Q$74,5,0)</f>
        <v>300</v>
      </c>
      <c r="Q365">
        <f t="shared" si="16"/>
        <v>300</v>
      </c>
      <c r="R365">
        <f>ROUND(VLOOKUP(B365,[3]battleParameter.xml!$A$6:$E$107,5,0)*(I365/100)/(1-I365/100),0)</f>
        <v>0</v>
      </c>
      <c r="S365">
        <f>ROUND(VLOOKUP(B365,[3]battleParameter.xml!$A$6:$G$107,7,0)*(J365/100)/(1-J365/100),0)</f>
        <v>0</v>
      </c>
      <c r="T365">
        <f>ROUND(VLOOKUP(B365,[3]battleParameter.xml!$A$6:$Z$107,8,0)*(MIN(H365/100+0.2,0.99))/(1-MIN(H365/100+0.2,0.99)),0)</f>
        <v>834</v>
      </c>
      <c r="U365">
        <v>0</v>
      </c>
      <c r="V365">
        <v>0</v>
      </c>
    </row>
    <row r="366" spans="1:22">
      <c r="A366" t="str">
        <f>[2]monster.xml!$D711</f>
        <v>狂野安东尼</v>
      </c>
      <c r="B366">
        <f>[2]monster.xml!$C711</f>
        <v>48</v>
      </c>
      <c r="C366">
        <f t="shared" si="17"/>
        <v>35</v>
      </c>
      <c r="D366">
        <f>VLOOKUP(A366,怪物模型!A$15:Z$70,8,0)</f>
        <v>7</v>
      </c>
      <c r="E366">
        <f>VLOOKUP(A366,怪物模型!A$15:G$70,3,0)</f>
        <v>1</v>
      </c>
      <c r="F366">
        <f>VLOOKUP(A366,怪物模型!A$15:G$77,4,0)</f>
        <v>1</v>
      </c>
      <c r="G366">
        <v>1</v>
      </c>
      <c r="H366">
        <f>VLOOKUP(A366,怪物模型!A$15:G$77,5,0)</f>
        <v>13</v>
      </c>
      <c r="I366">
        <f>VLOOKUP(A366,怪物模型!A$15:G$77,6,0)</f>
        <v>0</v>
      </c>
      <c r="J366">
        <f>VLOOKUP(A366,怪物模型!A$15:G$77,7,0)</f>
        <v>0</v>
      </c>
      <c r="K366">
        <f>ROUND(VLOOKUP(C366,法师难度!A$1:C$135,3,0)/VLOOKUP(B366,怪物抗性与玩家穿透!A$2:Q$74,17,0)*F366,0)</f>
        <v>390238</v>
      </c>
      <c r="L366">
        <f>IF(A366="卡雷",42,IF(A366="法力风暴",ROUND(K366*0.1,0),VLOOKUP(A366,怪物模型!$A$15:$I$70,9,0)*(1+(B366-30)/100)))</f>
        <v>1180</v>
      </c>
      <c r="M366">
        <f>ROUND(VLOOKUP(C366,法师难度!A$1:C$135,2,0)*0.91*E366,0)</f>
        <v>4084</v>
      </c>
      <c r="N366">
        <f t="shared" si="15"/>
        <v>4901</v>
      </c>
      <c r="O366">
        <f>VLOOKUP(B366,怪物抗性与玩家穿透!A$2:Q$74,4,0)</f>
        <v>1500</v>
      </c>
      <c r="P366">
        <f>VLOOKUP(B366,怪物抗性与玩家穿透!A$2:Q$74,5,0)</f>
        <v>450</v>
      </c>
      <c r="Q366">
        <f t="shared" si="16"/>
        <v>450</v>
      </c>
      <c r="R366">
        <f>ROUND(VLOOKUP(B366,[3]battleParameter.xml!$A$6:$E$107,5,0)*(I366/100)/(1-I366/100),0)</f>
        <v>0</v>
      </c>
      <c r="S366">
        <f>ROUND(VLOOKUP(B366,[3]battleParameter.xml!$A$6:$G$107,7,0)*(J366/100)/(1-J366/100),0)</f>
        <v>0</v>
      </c>
      <c r="T366">
        <f>ROUND(VLOOKUP(B366,[3]battleParameter.xml!$A$6:$Z$107,8,0)*(MIN(H366/100+0.2,0.99))/(1-MIN(H366/100+0.2,0.99)),0)</f>
        <v>869</v>
      </c>
      <c r="U366">
        <v>0</v>
      </c>
      <c r="V366">
        <v>0</v>
      </c>
    </row>
    <row r="367" spans="1:22">
      <c r="A367" t="str">
        <f>[2]monster.xml!$D712</f>
        <v>巡林者瑞克</v>
      </c>
      <c r="B367">
        <f>[2]monster.xml!$C712</f>
        <v>49</v>
      </c>
      <c r="C367">
        <f t="shared" si="17"/>
        <v>36</v>
      </c>
      <c r="D367">
        <f>VLOOKUP(A367,怪物模型!A$15:Z$70,8,0)</f>
        <v>15</v>
      </c>
      <c r="E367">
        <f>VLOOKUP(A367,怪物模型!A$15:G$70,3,0)</f>
        <v>1</v>
      </c>
      <c r="F367">
        <f>VLOOKUP(A367,怪物模型!A$15:G$77,4,0)</f>
        <v>1</v>
      </c>
      <c r="G367">
        <v>1</v>
      </c>
      <c r="H367">
        <f>VLOOKUP(A367,怪物模型!A$15:G$77,5,0)</f>
        <v>13</v>
      </c>
      <c r="I367">
        <f>VLOOKUP(A367,怪物模型!A$15:G$77,6,0)</f>
        <v>0</v>
      </c>
      <c r="J367">
        <f>VLOOKUP(A367,怪物模型!A$15:G$77,7,0)</f>
        <v>0</v>
      </c>
      <c r="K367">
        <f>ROUND(VLOOKUP(C367,法师难度!A$1:C$135,3,0)/VLOOKUP(B367,怪物抗性与玩家穿透!A$2:Q$74,17,0)*F367,0)</f>
        <v>409968</v>
      </c>
      <c r="L367">
        <f>IF(A367="卡雷",42,IF(A367="法力风暴",ROUND(K367*0.1,0),VLOOKUP(A367,怪物模型!$A$15:$I$70,9,0)*(1+(B367-30)/100)))</f>
        <v>1190</v>
      </c>
      <c r="M367">
        <f>ROUND(VLOOKUP(C367,法师难度!A$1:C$135,2,0)*0.91*E367,0)</f>
        <v>4305</v>
      </c>
      <c r="N367">
        <f t="shared" si="15"/>
        <v>5166</v>
      </c>
      <c r="O367">
        <f>VLOOKUP(B367,怪物抗性与玩家穿透!A$2:Q$74,4,0)</f>
        <v>2000</v>
      </c>
      <c r="P367">
        <f>VLOOKUP(B367,怪物抗性与玩家穿透!A$2:Q$74,5,0)</f>
        <v>600</v>
      </c>
      <c r="Q367">
        <f t="shared" si="16"/>
        <v>600</v>
      </c>
      <c r="R367">
        <f>ROUND(VLOOKUP(B367,[3]battleParameter.xml!$A$6:$E$107,5,0)*(I367/100)/(1-I367/100),0)</f>
        <v>0</v>
      </c>
      <c r="S367">
        <f>ROUND(VLOOKUP(B367,[3]battleParameter.xml!$A$6:$G$107,7,0)*(J367/100)/(1-J367/100),0)</f>
        <v>0</v>
      </c>
      <c r="T367">
        <f>ROUND(VLOOKUP(B367,[3]battleParameter.xml!$A$6:$Z$107,8,0)*(MIN(H367/100+0.2,0.99))/(1-MIN(H367/100+0.2,0.99)),0)</f>
        <v>906</v>
      </c>
      <c r="U367">
        <v>0</v>
      </c>
      <c r="V367">
        <v>0</v>
      </c>
    </row>
    <row r="368" spans="1:22">
      <c r="A368" t="str">
        <f>[2]monster.xml!$D713</f>
        <v>法师幻象</v>
      </c>
      <c r="B368">
        <f>[2]monster.xml!$C713</f>
        <v>50</v>
      </c>
      <c r="C368">
        <f t="shared" si="17"/>
        <v>37</v>
      </c>
      <c r="D368">
        <f>VLOOKUP(A368,怪物模型!A$15:Z$70,8,0)</f>
        <v>21</v>
      </c>
      <c r="E368">
        <f>VLOOKUP(A368,怪物模型!A$15:G$70,3,0)</f>
        <v>1</v>
      </c>
      <c r="F368">
        <f>VLOOKUP(A368,怪物模型!A$15:G$77,4,0)</f>
        <v>1</v>
      </c>
      <c r="G368">
        <v>1</v>
      </c>
      <c r="H368">
        <f>VLOOKUP(A368,怪物模型!A$15:G$77,5,0)</f>
        <v>13</v>
      </c>
      <c r="I368">
        <f>VLOOKUP(A368,怪物模型!A$15:G$77,6,0)</f>
        <v>0</v>
      </c>
      <c r="J368">
        <f>VLOOKUP(A368,怪物模型!A$15:G$77,7,0)</f>
        <v>0</v>
      </c>
      <c r="K368">
        <f>ROUND(VLOOKUP(C368,法师难度!A$1:C$135,3,0)/VLOOKUP(B368,怪物抗性与玩家穿透!A$2:Q$74,17,0)*F368,0)</f>
        <v>261508</v>
      </c>
      <c r="L368">
        <f>IF(A368="卡雷",42,IF(A368="法力风暴",ROUND(K368*0.1,0),VLOOKUP(A368,怪物模型!$A$15:$I$70,9,0)*(1+(B368-30)/100)))</f>
        <v>3600</v>
      </c>
      <c r="M368">
        <f>ROUND(VLOOKUP(C368,法师难度!A$1:C$135,2,0)*0.91*E368,0)</f>
        <v>4737</v>
      </c>
      <c r="N368">
        <f t="shared" si="15"/>
        <v>5684</v>
      </c>
      <c r="O368">
        <f>VLOOKUP(B368,怪物抗性与玩家穿透!A$2:Q$74,4,0)</f>
        <v>2500</v>
      </c>
      <c r="P368">
        <f>VLOOKUP(B368,怪物抗性与玩家穿透!A$2:Q$74,5,0)</f>
        <v>750</v>
      </c>
      <c r="Q368">
        <f t="shared" si="16"/>
        <v>750</v>
      </c>
      <c r="R368">
        <f>ROUND(VLOOKUP(B368,[3]battleParameter.xml!$A$6:$E$107,5,0)*(I368/100)/(1-I368/100),0)</f>
        <v>0</v>
      </c>
      <c r="S368">
        <f>ROUND(VLOOKUP(B368,[3]battleParameter.xml!$A$6:$G$107,7,0)*(J368/100)/(1-J368/100),0)</f>
        <v>0</v>
      </c>
      <c r="T368">
        <f>ROUND(VLOOKUP(B368,[3]battleParameter.xml!$A$6:$Z$107,8,0)*(MIN(H368/100+0.2,0.99))/(1-MIN(H368/100+0.2,0.99)),0)</f>
        <v>942</v>
      </c>
      <c r="U368">
        <v>0</v>
      </c>
      <c r="V368">
        <v>0</v>
      </c>
    </row>
    <row r="369" spans="1:22">
      <c r="A369" t="str">
        <f>[2]monster.xml!$D714</f>
        <v>法力风暴</v>
      </c>
      <c r="B369">
        <f>[2]monster.xml!$C714</f>
        <v>50</v>
      </c>
      <c r="C369">
        <f t="shared" si="17"/>
        <v>38</v>
      </c>
      <c r="D369" t="str">
        <f>VLOOKUP(A369,怪物模型!A$15:Z$70,8,0)</f>
        <v>25,30</v>
      </c>
      <c r="E369">
        <f>VLOOKUP(A369,怪物模型!A$15:G$70,3,0)</f>
        <v>1.5</v>
      </c>
      <c r="F369">
        <f>VLOOKUP(A369,怪物模型!A$15:G$77,4,0)</f>
        <v>0.68</v>
      </c>
      <c r="G369">
        <v>1</v>
      </c>
      <c r="H369">
        <f>VLOOKUP(A369,怪物模型!A$15:G$77,5,0)</f>
        <v>13</v>
      </c>
      <c r="I369">
        <f>VLOOKUP(A369,怪物模型!A$15:G$77,6,0)</f>
        <v>0</v>
      </c>
      <c r="J369">
        <f>VLOOKUP(A369,怪物模型!A$15:G$77,7,0)</f>
        <v>0</v>
      </c>
      <c r="K369">
        <f>ROUND(VLOOKUP(C369,法师难度!A$1:C$135,3,0)/VLOOKUP(B369,怪物抗性与玩家穿透!A$2:Q$74,17,0)*F369,0)</f>
        <v>197535</v>
      </c>
      <c r="L369">
        <f>IF(A369="卡雷",42,IF(A369="法力风暴",ROUND(K369*0.1,0),VLOOKUP(A369,怪物模型!$A$15:$I$70,9,0)*(1+(B369-30)/100)))</f>
        <v>19754</v>
      </c>
      <c r="M369">
        <f>ROUND(VLOOKUP(C369,法师难度!A$1:C$135,2,0)*0.91*E369,0)</f>
        <v>7462</v>
      </c>
      <c r="N369">
        <f t="shared" si="15"/>
        <v>8954</v>
      </c>
      <c r="O369">
        <f>VLOOKUP(B369,怪物抗性与玩家穿透!A$2:Q$74,4,0)</f>
        <v>2500</v>
      </c>
      <c r="P369">
        <f>VLOOKUP(B369,怪物抗性与玩家穿透!A$2:Q$74,5,0)</f>
        <v>750</v>
      </c>
      <c r="Q369">
        <f t="shared" si="16"/>
        <v>750</v>
      </c>
      <c r="R369">
        <f>ROUND(VLOOKUP(B369,[3]battleParameter.xml!$A$6:$E$107,5,0)*(I369/100)/(1-I369/100),0)</f>
        <v>0</v>
      </c>
      <c r="S369">
        <f>ROUND(VLOOKUP(B369,[3]battleParameter.xml!$A$6:$G$107,7,0)*(J369/100)/(1-J369/100),0)</f>
        <v>0</v>
      </c>
      <c r="T369">
        <f>ROUND(VLOOKUP(B369,[3]battleParameter.xml!$A$6:$Z$107,8,0)*(MIN(H369/100+0.2,0.99))/(1-MIN(H369/100+0.2,0.99)),0)</f>
        <v>942</v>
      </c>
      <c r="U369">
        <v>0</v>
      </c>
      <c r="V369">
        <v>0</v>
      </c>
    </row>
    <row r="370" spans="1:22">
      <c r="A370" t="str">
        <f>[2]monster.xml!$D715</f>
        <v>角斗士里奥</v>
      </c>
      <c r="B370">
        <f>[2]monster.xml!$C715</f>
        <v>51</v>
      </c>
      <c r="C370">
        <f t="shared" si="17"/>
        <v>39</v>
      </c>
      <c r="D370">
        <f>VLOOKUP(A370,怪物模型!A$15:Z$70,8,0)</f>
        <v>5</v>
      </c>
      <c r="E370">
        <f>VLOOKUP(A370,怪物模型!A$15:G$70,3,0)</f>
        <v>1</v>
      </c>
      <c r="F370">
        <f>VLOOKUP(A370,怪物模型!A$15:G$77,4,0)</f>
        <v>1</v>
      </c>
      <c r="G370">
        <v>1</v>
      </c>
      <c r="H370">
        <f>VLOOKUP(A370,怪物模型!A$15:G$77,5,0)</f>
        <v>13</v>
      </c>
      <c r="I370">
        <f>VLOOKUP(A370,怪物模型!A$15:G$77,6,0)</f>
        <v>0</v>
      </c>
      <c r="J370">
        <f>VLOOKUP(A370,怪物模型!A$15:G$77,7,0)</f>
        <v>0</v>
      </c>
      <c r="K370">
        <f>ROUND(VLOOKUP(C370,法师难度!A$1:C$135,3,0)/VLOOKUP(B370,怪物抗性与玩家穿透!A$2:Q$74,17,0)*F370,0)</f>
        <v>316731</v>
      </c>
      <c r="L370">
        <f>IF(A370="卡雷",42,IF(A370="法力风暴",ROUND(K370*0.1,0),VLOOKUP(A370,怪物模型!$A$15:$I$70,9,0)*(1+(B370-30)/100)))</f>
        <v>1210</v>
      </c>
      <c r="M370">
        <f>ROUND(VLOOKUP(C370,法师难度!A$1:C$135,2,0)*0.91*E370,0)</f>
        <v>5310</v>
      </c>
      <c r="N370">
        <f t="shared" si="15"/>
        <v>6372</v>
      </c>
      <c r="O370">
        <f>VLOOKUP(B370,怪物抗性与玩家穿透!A$2:Q$74,4,0)</f>
        <v>3000</v>
      </c>
      <c r="P370">
        <f>VLOOKUP(B370,怪物抗性与玩家穿透!A$2:Q$74,5,0)</f>
        <v>900</v>
      </c>
      <c r="Q370">
        <f t="shared" si="16"/>
        <v>900</v>
      </c>
      <c r="R370">
        <f>ROUND(VLOOKUP(B370,[3]battleParameter.xml!$A$6:$E$107,5,0)*(I370/100)/(1-I370/100),0)</f>
        <v>0</v>
      </c>
      <c r="S370">
        <f>ROUND(VLOOKUP(B370,[3]battleParameter.xml!$A$6:$G$107,7,0)*(J370/100)/(1-J370/100),0)</f>
        <v>0</v>
      </c>
      <c r="T370">
        <f>ROUND(VLOOKUP(B370,[3]battleParameter.xml!$A$6:$Z$107,8,0)*(MIN(H370/100+0.2,0.99))/(1-MIN(H370/100+0.2,0.99)),0)</f>
        <v>980</v>
      </c>
      <c r="U370">
        <v>0</v>
      </c>
      <c r="V370">
        <v>0</v>
      </c>
    </row>
    <row r="371" spans="1:22">
      <c r="A371" t="str">
        <f>[2]monster.xml!$D716</f>
        <v>荒野游侠</v>
      </c>
      <c r="B371">
        <f>[2]monster.xml!$C716</f>
        <v>51</v>
      </c>
      <c r="C371">
        <f t="shared" si="17"/>
        <v>40</v>
      </c>
      <c r="D371">
        <f>VLOOKUP(A371,怪物模型!A$15:Z$70,8,0)</f>
        <v>16</v>
      </c>
      <c r="E371">
        <f>VLOOKUP(A371,怪物模型!A$15:G$70,3,0)</f>
        <v>1</v>
      </c>
      <c r="F371">
        <f>VLOOKUP(A371,怪物模型!A$15:G$77,4,0)</f>
        <v>0.8</v>
      </c>
      <c r="G371">
        <v>1</v>
      </c>
      <c r="H371">
        <f>VLOOKUP(A371,怪物模型!A$15:G$77,5,0)</f>
        <v>35</v>
      </c>
      <c r="I371">
        <f>VLOOKUP(A371,怪物模型!A$15:G$77,6,0)</f>
        <v>0</v>
      </c>
      <c r="J371">
        <f>VLOOKUP(A371,怪物模型!A$15:G$77,7,0)</f>
        <v>0</v>
      </c>
      <c r="K371">
        <f>ROUND(VLOOKUP(C371,法师难度!A$1:C$135,3,0)/VLOOKUP(B371,怪物抗性与玩家穿透!A$2:Q$74,17,0)*F371,0)</f>
        <v>273854</v>
      </c>
      <c r="L371">
        <f>IF(A371="卡雷",42,IF(A371="法力风暴",ROUND(K371*0.1,0),VLOOKUP(A371,怪物模型!$A$15:$I$70,9,0)*(1+(B371-30)/100)))</f>
        <v>2420</v>
      </c>
      <c r="M371">
        <f>ROUND(VLOOKUP(C371,法师难度!A$1:C$135,2,0)*0.91*E371,0)</f>
        <v>5538</v>
      </c>
      <c r="N371">
        <f t="shared" si="15"/>
        <v>6646</v>
      </c>
      <c r="O371">
        <f>VLOOKUP(B371,怪物抗性与玩家穿透!A$2:Q$74,4,0)</f>
        <v>3000</v>
      </c>
      <c r="P371">
        <f>VLOOKUP(B371,怪物抗性与玩家穿透!A$2:Q$74,5,0)</f>
        <v>900</v>
      </c>
      <c r="Q371">
        <f t="shared" si="16"/>
        <v>900</v>
      </c>
      <c r="R371">
        <f>ROUND(VLOOKUP(B371,[3]battleParameter.xml!$A$6:$E$107,5,0)*(I371/100)/(1-I371/100),0)</f>
        <v>0</v>
      </c>
      <c r="S371">
        <f>ROUND(VLOOKUP(B371,[3]battleParameter.xml!$A$6:$G$107,7,0)*(J371/100)/(1-J371/100),0)</f>
        <v>0</v>
      </c>
      <c r="T371">
        <f>ROUND(VLOOKUP(B371,[3]battleParameter.xml!$A$6:$Z$107,8,0)*(MIN(H371/100+0.2,0.99))/(1-MIN(H371/100+0.2,0.99)),0)</f>
        <v>2432</v>
      </c>
      <c r="U371">
        <v>0</v>
      </c>
      <c r="V371">
        <v>0</v>
      </c>
    </row>
    <row r="372" spans="1:22">
      <c r="A372" t="str">
        <f>[2]monster.xml!$D717</f>
        <v>憾地者</v>
      </c>
      <c r="B372">
        <f>[2]monster.xml!$C717</f>
        <v>51</v>
      </c>
      <c r="C372">
        <f t="shared" si="17"/>
        <v>41</v>
      </c>
      <c r="D372">
        <f>VLOOKUP(A372,怪物模型!A$15:Z$70,8,0)</f>
        <v>4</v>
      </c>
      <c r="E372">
        <f>VLOOKUP(A372,怪物模型!A$15:G$70,3,0)</f>
        <v>0.85</v>
      </c>
      <c r="F372">
        <f>VLOOKUP(A372,怪物模型!A$15:G$77,4,0)</f>
        <v>1</v>
      </c>
      <c r="G372">
        <v>1</v>
      </c>
      <c r="H372">
        <f>VLOOKUP(A372,怪物模型!A$15:G$77,5,0)</f>
        <v>13</v>
      </c>
      <c r="I372">
        <f>VLOOKUP(A372,怪物模型!A$15:G$77,6,0)</f>
        <v>0</v>
      </c>
      <c r="J372">
        <f>VLOOKUP(A372,怪物模型!A$15:G$77,7,0)</f>
        <v>0</v>
      </c>
      <c r="K372">
        <f>ROUND(VLOOKUP(C372,法师难度!A$1:C$135,3,0)/VLOOKUP(B372,怪物抗性与玩家穿透!A$2:Q$74,17,0)*F372,0)</f>
        <v>369971</v>
      </c>
      <c r="L372">
        <f>IF(A372="卡雷",42,IF(A372="法力风暴",ROUND(K372*0.1,0),VLOOKUP(A372,怪物模型!$A$15:$I$70,9,0)*(1+(B372-30)/100)))</f>
        <v>1210</v>
      </c>
      <c r="M372">
        <f>ROUND(VLOOKUP(C372,法师难度!A$1:C$135,2,0)*0.91*E372,0)</f>
        <v>4910</v>
      </c>
      <c r="N372">
        <f t="shared" si="15"/>
        <v>5892</v>
      </c>
      <c r="O372">
        <f>VLOOKUP(B372,怪物抗性与玩家穿透!A$2:Q$74,4,0)</f>
        <v>3000</v>
      </c>
      <c r="P372">
        <f>VLOOKUP(B372,怪物抗性与玩家穿透!A$2:Q$74,5,0)</f>
        <v>900</v>
      </c>
      <c r="Q372">
        <f t="shared" si="16"/>
        <v>900</v>
      </c>
      <c r="R372">
        <f>ROUND(VLOOKUP(B372,[3]battleParameter.xml!$A$6:$E$107,5,0)*(I372/100)/(1-I372/100),0)</f>
        <v>0</v>
      </c>
      <c r="S372">
        <f>ROUND(VLOOKUP(B372,[3]battleParameter.xml!$A$6:$G$107,7,0)*(J372/100)/(1-J372/100),0)</f>
        <v>0</v>
      </c>
      <c r="T372">
        <f>ROUND(VLOOKUP(B372,[3]battleParameter.xml!$A$6:$Z$107,8,0)*(MIN(H372/100+0.2,0.99))/(1-MIN(H372/100+0.2,0.99)),0)</f>
        <v>980</v>
      </c>
      <c r="U372">
        <v>0</v>
      </c>
      <c r="V372">
        <v>0</v>
      </c>
    </row>
    <row r="373" spans="1:22">
      <c r="A373" t="str">
        <f>[2]monster.xml!$D718</f>
        <v>拉兹</v>
      </c>
      <c r="B373">
        <f>[2]monster.xml!$C718</f>
        <v>52</v>
      </c>
      <c r="C373">
        <f t="shared" si="17"/>
        <v>42</v>
      </c>
      <c r="D373">
        <f>VLOOKUP(A373,怪物模型!A$15:Z$70,8,0)</f>
        <v>10</v>
      </c>
      <c r="E373">
        <f>VLOOKUP(A373,怪物模型!A$15:G$70,3,0)</f>
        <v>1.2</v>
      </c>
      <c r="F373">
        <f>VLOOKUP(A373,怪物模型!A$15:G$77,4,0)</f>
        <v>1</v>
      </c>
      <c r="G373">
        <v>1</v>
      </c>
      <c r="H373">
        <f>VLOOKUP(A373,怪物模型!A$15:G$77,5,0)</f>
        <v>13</v>
      </c>
      <c r="I373">
        <f>VLOOKUP(A373,怪物模型!A$15:G$77,6,0)</f>
        <v>0</v>
      </c>
      <c r="J373">
        <f>VLOOKUP(A373,怪物模型!A$15:G$77,7,0)</f>
        <v>20</v>
      </c>
      <c r="K373">
        <f>ROUND(VLOOKUP(C373,法师难度!A$1:C$135,3,0)/VLOOKUP(B373,怪物抗性与玩家穿透!A$2:Q$74,17,0)*F373,0)</f>
        <v>391056</v>
      </c>
      <c r="L373">
        <f>IF(A373="卡雷",42,IF(A373="法力风暴",ROUND(K373*0.1,0),VLOOKUP(A373,怪物模型!$A$15:$I$70,9,0)*(1+(B373-30)/100)))</f>
        <v>2440</v>
      </c>
      <c r="M373">
        <f>ROUND(VLOOKUP(C373,法师难度!A$1:C$135,2,0)*0.91*E373,0)</f>
        <v>7332</v>
      </c>
      <c r="N373">
        <f t="shared" si="15"/>
        <v>8798</v>
      </c>
      <c r="O373">
        <f>VLOOKUP(B373,怪物抗性与玩家穿透!A$2:Q$74,4,0)</f>
        <v>3500</v>
      </c>
      <c r="P373">
        <f>VLOOKUP(B373,怪物抗性与玩家穿透!A$2:Q$74,5,0)</f>
        <v>1050</v>
      </c>
      <c r="Q373">
        <f t="shared" si="16"/>
        <v>1050</v>
      </c>
      <c r="R373">
        <f>ROUND(VLOOKUP(B373,[3]battleParameter.xml!$A$6:$E$107,5,0)*(I373/100)/(1-I373/100),0)</f>
        <v>0</v>
      </c>
      <c r="S373">
        <f>ROUND(VLOOKUP(B373,[3]battleParameter.xml!$A$6:$G$107,7,0)*(J373/100)/(1-J373/100),0)</f>
        <v>2068</v>
      </c>
      <c r="T373">
        <f>ROUND(VLOOKUP(B373,[3]battleParameter.xml!$A$6:$Z$107,8,0)*(MIN(H373/100+0.2,0.99))/(1-MIN(H373/100+0.2,0.99)),0)</f>
        <v>1018</v>
      </c>
      <c r="U373">
        <v>0</v>
      </c>
      <c r="V373">
        <v>0</v>
      </c>
    </row>
    <row r="374" spans="1:22">
      <c r="A374" t="str">
        <f>[2]monster.xml!$D719</f>
        <v>塔克</v>
      </c>
      <c r="B374">
        <f>[2]monster.xml!$C719</f>
        <v>52</v>
      </c>
      <c r="C374">
        <f t="shared" si="17"/>
        <v>42</v>
      </c>
      <c r="D374">
        <f>VLOOKUP(A374,怪物模型!A$15:Z$70,8,0)</f>
        <v>3</v>
      </c>
      <c r="E374">
        <f>VLOOKUP(A374,怪物模型!A$15:G$70,3,0)</f>
        <v>0.35</v>
      </c>
      <c r="F374">
        <f>VLOOKUP(A374,怪物模型!A$15:G$77,4,0)</f>
        <v>0.6</v>
      </c>
      <c r="G374">
        <v>1</v>
      </c>
      <c r="H374">
        <f>VLOOKUP(A374,怪物模型!A$15:G$77,5,0)</f>
        <v>13</v>
      </c>
      <c r="I374">
        <f>VLOOKUP(A374,怪物模型!A$15:G$77,6,0)</f>
        <v>0</v>
      </c>
      <c r="J374">
        <f>VLOOKUP(A374,怪物模型!A$15:G$77,7,0)</f>
        <v>0</v>
      </c>
      <c r="K374">
        <f>ROUND(VLOOKUP(C374,法师难度!A$1:C$135,3,0)/VLOOKUP(B374,怪物抗性与玩家穿透!A$2:Q$74,17,0)*F374,0)</f>
        <v>234633</v>
      </c>
      <c r="L374">
        <f>IF(A374="卡雷",42,IF(A374="法力风暴",ROUND(K374*0.1,0),VLOOKUP(A374,怪物模型!$A$15:$I$70,9,0)*(1+(B374-30)/100)))</f>
        <v>1220</v>
      </c>
      <c r="M374">
        <f>ROUND(VLOOKUP(C374,法师难度!A$1:C$135,2,0)*0.91*E374,0)</f>
        <v>2138</v>
      </c>
      <c r="N374">
        <f t="shared" si="15"/>
        <v>2566</v>
      </c>
      <c r="O374">
        <f>VLOOKUP(B374,怪物抗性与玩家穿透!A$2:Q$74,4,0)</f>
        <v>3500</v>
      </c>
      <c r="P374">
        <f>VLOOKUP(B374,怪物抗性与玩家穿透!A$2:Q$74,5,0)</f>
        <v>1050</v>
      </c>
      <c r="Q374">
        <f t="shared" si="16"/>
        <v>1050</v>
      </c>
      <c r="R374">
        <f>ROUND(VLOOKUP(B374,[3]battleParameter.xml!$A$6:$E$107,5,0)*(I374/100)/(1-I374/100),0)</f>
        <v>0</v>
      </c>
      <c r="S374">
        <f>ROUND(VLOOKUP(B374,[3]battleParameter.xml!$A$6:$G$107,7,0)*(J374/100)/(1-J374/100),0)</f>
        <v>0</v>
      </c>
      <c r="T374">
        <f>ROUND(VLOOKUP(B374,[3]battleParameter.xml!$A$6:$Z$107,8,0)*(MIN(H374/100+0.2,0.99))/(1-MIN(H374/100+0.2,0.99)),0)</f>
        <v>1018</v>
      </c>
      <c r="U374">
        <v>0</v>
      </c>
      <c r="V374">
        <v>0</v>
      </c>
    </row>
    <row r="375" spans="1:22">
      <c r="A375" t="str">
        <f>[2]monster.xml!$D720</f>
        <v>迪皮斯</v>
      </c>
      <c r="B375">
        <f>[2]monster.xml!$C720</f>
        <v>52</v>
      </c>
      <c r="C375">
        <f t="shared" si="17"/>
        <v>43</v>
      </c>
      <c r="D375" t="str">
        <f>VLOOKUP(A375,怪物模型!A$15:Z$70,8,0)</f>
        <v>17,14</v>
      </c>
      <c r="E375">
        <f>VLOOKUP(A375,怪物模型!A$15:G$70,3,0)</f>
        <v>0.6</v>
      </c>
      <c r="F375">
        <f>VLOOKUP(A375,怪物模型!A$15:G$77,4,0)</f>
        <v>0.4</v>
      </c>
      <c r="G375">
        <v>1</v>
      </c>
      <c r="H375">
        <f>VLOOKUP(A375,怪物模型!A$15:G$77,5,0)</f>
        <v>13</v>
      </c>
      <c r="I375">
        <f>VLOOKUP(A375,怪物模型!A$15:G$77,6,0)</f>
        <v>0</v>
      </c>
      <c r="J375">
        <f>VLOOKUP(A375,怪物模型!A$15:G$77,7,0)</f>
        <v>0</v>
      </c>
      <c r="K375">
        <f>ROUND(VLOOKUP(C375,法师难度!A$1:C$135,3,0)/VLOOKUP(B375,怪物抗性与玩家穿透!A$2:Q$74,17,0)*F375,0)</f>
        <v>169395</v>
      </c>
      <c r="L375">
        <f>IF(A375="卡雷",42,IF(A375="法力风暴",ROUND(K375*0.1,0),VLOOKUP(A375,怪物模型!$A$15:$I$70,9,0)*(1+(B375-30)/100)))</f>
        <v>1220</v>
      </c>
      <c r="M375">
        <f>ROUND(VLOOKUP(C375,法师难度!A$1:C$135,2,0)*0.91*E375,0)</f>
        <v>3847</v>
      </c>
      <c r="N375">
        <f t="shared" si="15"/>
        <v>4616</v>
      </c>
      <c r="O375">
        <f>VLOOKUP(B375,怪物抗性与玩家穿透!A$2:Q$74,4,0)</f>
        <v>3500</v>
      </c>
      <c r="P375">
        <f>VLOOKUP(B375,怪物抗性与玩家穿透!A$2:Q$74,5,0)</f>
        <v>1050</v>
      </c>
      <c r="Q375">
        <f t="shared" si="16"/>
        <v>1050</v>
      </c>
      <c r="R375">
        <f>ROUND(VLOOKUP(B375,[3]battleParameter.xml!$A$6:$E$107,5,0)*(I375/100)/(1-I375/100),0)</f>
        <v>0</v>
      </c>
      <c r="S375">
        <f>ROUND(VLOOKUP(B375,[3]battleParameter.xml!$A$6:$G$107,7,0)*(J375/100)/(1-J375/100),0)</f>
        <v>0</v>
      </c>
      <c r="T375">
        <f>ROUND(VLOOKUP(B375,[3]battleParameter.xml!$A$6:$Z$107,8,0)*(MIN(H375/100+0.2,0.99))/(1-MIN(H375/100+0.2,0.99)),0)</f>
        <v>1018</v>
      </c>
      <c r="U375">
        <v>0</v>
      </c>
      <c r="V375">
        <v>0</v>
      </c>
    </row>
    <row r="376" spans="1:22">
      <c r="A376" t="str">
        <f>[2]monster.xml!$D721</f>
        <v>狂野安东尼</v>
      </c>
      <c r="B376">
        <f>[2]monster.xml!$C721</f>
        <v>53</v>
      </c>
      <c r="C376">
        <f t="shared" si="17"/>
        <v>44</v>
      </c>
      <c r="D376">
        <f>VLOOKUP(A376,怪物模型!A$15:Z$70,8,0)</f>
        <v>7</v>
      </c>
      <c r="E376">
        <f>VLOOKUP(A376,怪物模型!A$15:G$70,3,0)</f>
        <v>1</v>
      </c>
      <c r="F376">
        <f>VLOOKUP(A376,怪物模型!A$15:G$77,4,0)</f>
        <v>1</v>
      </c>
      <c r="G376">
        <v>1</v>
      </c>
      <c r="H376">
        <f>VLOOKUP(A376,怪物模型!A$15:G$77,5,0)</f>
        <v>13</v>
      </c>
      <c r="I376">
        <f>VLOOKUP(A376,怪物模型!A$15:G$77,6,0)</f>
        <v>0</v>
      </c>
      <c r="J376">
        <f>VLOOKUP(A376,怪物模型!A$15:G$77,7,0)</f>
        <v>0</v>
      </c>
      <c r="K376">
        <f>ROUND(VLOOKUP(C376,法师难度!A$1:C$135,3,0)/VLOOKUP(B376,怪物抗性与玩家穿透!A$2:Q$74,17,0)*F376,0)</f>
        <v>439158</v>
      </c>
      <c r="L376">
        <f>IF(A376="卡雷",42,IF(A376="法力风暴",ROUND(K376*0.1,0),VLOOKUP(A376,怪物模型!$A$15:$I$70,9,0)*(1+(B376-30)/100)))</f>
        <v>1230</v>
      </c>
      <c r="M376">
        <f>ROUND(VLOOKUP(C376,法师难度!A$1:C$135,2,0)*0.91*E376,0)</f>
        <v>6729</v>
      </c>
      <c r="N376">
        <f t="shared" si="15"/>
        <v>8075</v>
      </c>
      <c r="O376">
        <f>VLOOKUP(B376,怪物抗性与玩家穿透!A$2:Q$74,4,0)</f>
        <v>4000</v>
      </c>
      <c r="P376">
        <f>VLOOKUP(B376,怪物抗性与玩家穿透!A$2:Q$74,5,0)</f>
        <v>1200</v>
      </c>
      <c r="Q376">
        <f t="shared" si="16"/>
        <v>1200</v>
      </c>
      <c r="R376">
        <f>ROUND(VLOOKUP(B376,[3]battleParameter.xml!$A$6:$E$107,5,0)*(I376/100)/(1-I376/100),0)</f>
        <v>0</v>
      </c>
      <c r="S376">
        <f>ROUND(VLOOKUP(B376,[3]battleParameter.xml!$A$6:$G$107,7,0)*(J376/100)/(1-J376/100),0)</f>
        <v>0</v>
      </c>
      <c r="T376">
        <f>ROUND(VLOOKUP(B376,[3]battleParameter.xml!$A$6:$Z$107,8,0)*(MIN(H376/100+0.2,0.99))/(1-MIN(H376/100+0.2,0.99)),0)</f>
        <v>1057</v>
      </c>
      <c r="U376">
        <v>0</v>
      </c>
      <c r="V376">
        <v>0</v>
      </c>
    </row>
    <row r="377" spans="1:22">
      <c r="A377" t="str">
        <f>[2]monster.xml!$D722</f>
        <v>巡林者瑞克</v>
      </c>
      <c r="B377">
        <f>[2]monster.xml!$C722</f>
        <v>54</v>
      </c>
      <c r="C377">
        <f t="shared" si="17"/>
        <v>45</v>
      </c>
      <c r="D377">
        <f>VLOOKUP(A377,怪物模型!A$15:Z$70,8,0)</f>
        <v>15</v>
      </c>
      <c r="E377">
        <f>VLOOKUP(A377,怪物模型!A$15:G$70,3,0)</f>
        <v>1</v>
      </c>
      <c r="F377">
        <f>VLOOKUP(A377,怪物模型!A$15:G$77,4,0)</f>
        <v>1</v>
      </c>
      <c r="G377">
        <v>1</v>
      </c>
      <c r="H377">
        <f>VLOOKUP(A377,怪物模型!A$15:G$77,5,0)</f>
        <v>13</v>
      </c>
      <c r="I377">
        <f>VLOOKUP(A377,怪物模型!A$15:G$77,6,0)</f>
        <v>0</v>
      </c>
      <c r="J377">
        <f>VLOOKUP(A377,怪物模型!A$15:G$77,7,0)</f>
        <v>0</v>
      </c>
      <c r="K377">
        <f>ROUND(VLOOKUP(C377,法师难度!A$1:C$135,3,0)/VLOOKUP(B377,怪物抗性与玩家穿透!A$2:Q$74,17,0)*F377,0)</f>
        <v>469651</v>
      </c>
      <c r="L377">
        <f>IF(A377="卡雷",42,IF(A377="法力风暴",ROUND(K377*0.1,0),VLOOKUP(A377,怪物模型!$A$15:$I$70,9,0)*(1+(B377-30)/100)))</f>
        <v>1240</v>
      </c>
      <c r="M377">
        <f>ROUND(VLOOKUP(C377,法师难度!A$1:C$135,2,0)*0.91*E377,0)</f>
        <v>7175</v>
      </c>
      <c r="N377">
        <f t="shared" si="15"/>
        <v>8610</v>
      </c>
      <c r="O377">
        <f>VLOOKUP(B377,怪物抗性与玩家穿透!A$2:Q$74,4,0)</f>
        <v>4500</v>
      </c>
      <c r="P377">
        <f>VLOOKUP(B377,怪物抗性与玩家穿透!A$2:Q$74,5,0)</f>
        <v>1350</v>
      </c>
      <c r="Q377">
        <f t="shared" si="16"/>
        <v>1350</v>
      </c>
      <c r="R377">
        <f>ROUND(VLOOKUP(B377,[3]battleParameter.xml!$A$6:$E$107,5,0)*(I377/100)/(1-I377/100),0)</f>
        <v>0</v>
      </c>
      <c r="S377">
        <f>ROUND(VLOOKUP(B377,[3]battleParameter.xml!$A$6:$G$107,7,0)*(J377/100)/(1-J377/100),0)</f>
        <v>0</v>
      </c>
      <c r="T377">
        <f>ROUND(VLOOKUP(B377,[3]battleParameter.xml!$A$6:$Z$107,8,0)*(MIN(H377/100+0.2,0.99))/(1-MIN(H377/100+0.2,0.99)),0)</f>
        <v>1097</v>
      </c>
      <c r="U377">
        <v>0</v>
      </c>
      <c r="V377">
        <v>0</v>
      </c>
    </row>
    <row r="378" spans="1:22">
      <c r="A378" t="str">
        <f>[2]monster.xml!$D723</f>
        <v>法师幻象</v>
      </c>
      <c r="B378">
        <f>[2]monster.xml!$C723</f>
        <v>55</v>
      </c>
      <c r="C378">
        <f t="shared" si="17"/>
        <v>46</v>
      </c>
      <c r="D378">
        <f>VLOOKUP(A378,怪物模型!A$15:Z$70,8,0)</f>
        <v>21</v>
      </c>
      <c r="E378">
        <f>VLOOKUP(A378,怪物模型!A$15:G$70,3,0)</f>
        <v>1</v>
      </c>
      <c r="F378">
        <f>VLOOKUP(A378,怪物模型!A$15:G$77,4,0)</f>
        <v>1</v>
      </c>
      <c r="G378">
        <v>1</v>
      </c>
      <c r="H378">
        <f>VLOOKUP(A378,怪物模型!A$15:G$77,5,0)</f>
        <v>13</v>
      </c>
      <c r="I378">
        <f>VLOOKUP(A378,怪物模型!A$15:G$77,6,0)</f>
        <v>0</v>
      </c>
      <c r="J378">
        <f>VLOOKUP(A378,怪物模型!A$15:G$77,7,0)</f>
        <v>0</v>
      </c>
      <c r="K378">
        <f>ROUND(VLOOKUP(C378,法师难度!A$1:C$135,3,0)/VLOOKUP(B378,怪物抗性与玩家穿透!A$2:Q$74,17,0)*F378,0)</f>
        <v>317066</v>
      </c>
      <c r="L378">
        <f>IF(A378="卡雷",42,IF(A378="法力风暴",ROUND(K378*0.1,0),VLOOKUP(A378,怪物模型!$A$15:$I$70,9,0)*(1+(B378-30)/100)))</f>
        <v>3750</v>
      </c>
      <c r="M378">
        <f>ROUND(VLOOKUP(C378,法师难度!A$1:C$135,2,0)*0.91*E378,0)</f>
        <v>6959</v>
      </c>
      <c r="N378">
        <f t="shared" si="15"/>
        <v>8351</v>
      </c>
      <c r="O378">
        <f>VLOOKUP(B378,怪物抗性与玩家穿透!A$2:Q$74,4,0)</f>
        <v>5000</v>
      </c>
      <c r="P378">
        <f>VLOOKUP(B378,怪物抗性与玩家穿透!A$2:Q$74,5,0)</f>
        <v>1500</v>
      </c>
      <c r="Q378">
        <f t="shared" si="16"/>
        <v>1500</v>
      </c>
      <c r="R378">
        <f>ROUND(VLOOKUP(B378,[3]battleParameter.xml!$A$6:$E$107,5,0)*(I378/100)/(1-I378/100),0)</f>
        <v>0</v>
      </c>
      <c r="S378">
        <f>ROUND(VLOOKUP(B378,[3]battleParameter.xml!$A$6:$G$107,7,0)*(J378/100)/(1-J378/100),0)</f>
        <v>0</v>
      </c>
      <c r="T378">
        <f>ROUND(VLOOKUP(B378,[3]battleParameter.xml!$A$6:$Z$107,8,0)*(MIN(H378/100+0.2,0.99))/(1-MIN(H378/100+0.2,0.99)),0)</f>
        <v>1138</v>
      </c>
      <c r="U378">
        <v>0</v>
      </c>
      <c r="V378">
        <v>0</v>
      </c>
    </row>
    <row r="379" spans="1:22">
      <c r="A379" t="str">
        <f>[2]monster.xml!$D724</f>
        <v>法力风暴</v>
      </c>
      <c r="B379">
        <f>[2]monster.xml!$C724</f>
        <v>55</v>
      </c>
      <c r="C379">
        <f t="shared" si="17"/>
        <v>47</v>
      </c>
      <c r="D379" t="str">
        <f>VLOOKUP(A379,怪物模型!A$15:Z$70,8,0)</f>
        <v>25,30</v>
      </c>
      <c r="E379">
        <f>VLOOKUP(A379,怪物模型!A$15:G$70,3,0)</f>
        <v>1.5</v>
      </c>
      <c r="F379">
        <f>VLOOKUP(A379,怪物模型!A$15:G$77,4,0)</f>
        <v>0.68</v>
      </c>
      <c r="G379">
        <v>1</v>
      </c>
      <c r="H379">
        <f>VLOOKUP(A379,怪物模型!A$15:G$77,5,0)</f>
        <v>13</v>
      </c>
      <c r="I379">
        <f>VLOOKUP(A379,怪物模型!A$15:G$77,6,0)</f>
        <v>0</v>
      </c>
      <c r="J379">
        <f>VLOOKUP(A379,怪物模型!A$15:G$77,7,0)</f>
        <v>0</v>
      </c>
      <c r="K379">
        <f>ROUND(VLOOKUP(C379,法师难度!A$1:C$135,3,0)/VLOOKUP(B379,怪物抗性与玩家穿透!A$2:Q$74,17,0)*F379,0)</f>
        <v>236124</v>
      </c>
      <c r="L379">
        <f>IF(A379="卡雷",42,IF(A379="法力风暴",ROUND(K379*0.1,0),VLOOKUP(A379,怪物模型!$A$15:$I$70,9,0)*(1+(B379-30)/100)))</f>
        <v>23612</v>
      </c>
      <c r="M379">
        <f>ROUND(VLOOKUP(C379,法师难度!A$1:C$135,2,0)*0.91*E379,0)</f>
        <v>11073</v>
      </c>
      <c r="N379">
        <f t="shared" si="15"/>
        <v>13288</v>
      </c>
      <c r="O379">
        <f>VLOOKUP(B379,怪物抗性与玩家穿透!A$2:Q$74,4,0)</f>
        <v>5000</v>
      </c>
      <c r="P379">
        <f>VLOOKUP(B379,怪物抗性与玩家穿透!A$2:Q$74,5,0)</f>
        <v>1500</v>
      </c>
      <c r="Q379">
        <f t="shared" si="16"/>
        <v>1500</v>
      </c>
      <c r="R379">
        <f>ROUND(VLOOKUP(B379,[3]battleParameter.xml!$A$6:$E$107,5,0)*(I379/100)/(1-I379/100),0)</f>
        <v>0</v>
      </c>
      <c r="S379">
        <f>ROUND(VLOOKUP(B379,[3]battleParameter.xml!$A$6:$G$107,7,0)*(J379/100)/(1-J379/100),0)</f>
        <v>0</v>
      </c>
      <c r="T379">
        <f>ROUND(VLOOKUP(B379,[3]battleParameter.xml!$A$6:$Z$107,8,0)*(MIN(H379/100+0.2,0.99))/(1-MIN(H379/100+0.2,0.99)),0)</f>
        <v>1138</v>
      </c>
      <c r="U379">
        <v>0</v>
      </c>
      <c r="V379">
        <v>0</v>
      </c>
    </row>
    <row r="380" spans="1:22">
      <c r="A380" t="str">
        <f>[2]monster.xml!$D725</f>
        <v>角斗士里奥</v>
      </c>
      <c r="B380">
        <f>[2]monster.xml!$C725</f>
        <v>56</v>
      </c>
      <c r="C380">
        <f t="shared" si="17"/>
        <v>48</v>
      </c>
      <c r="D380">
        <f>VLOOKUP(A380,怪物模型!A$15:Z$70,8,0)</f>
        <v>5</v>
      </c>
      <c r="E380">
        <f>VLOOKUP(A380,怪物模型!A$15:G$70,3,0)</f>
        <v>1</v>
      </c>
      <c r="F380">
        <f>VLOOKUP(A380,怪物模型!A$15:G$77,4,0)</f>
        <v>1</v>
      </c>
      <c r="G380">
        <v>1</v>
      </c>
      <c r="H380">
        <f>VLOOKUP(A380,怪物模型!A$15:G$77,5,0)</f>
        <v>13</v>
      </c>
      <c r="I380">
        <f>VLOOKUP(A380,怪物模型!A$15:G$77,6,0)</f>
        <v>0</v>
      </c>
      <c r="J380">
        <f>VLOOKUP(A380,怪物模型!A$15:G$77,7,0)</f>
        <v>0</v>
      </c>
      <c r="K380">
        <f>ROUND(VLOOKUP(C380,法师难度!A$1:C$135,3,0)/VLOOKUP(B380,怪物抗性与玩家穿透!A$2:Q$74,17,0)*F380,0)</f>
        <v>379628</v>
      </c>
      <c r="L380">
        <f>IF(A380="卡雷",42,IF(A380="法力风暴",ROUND(K380*0.1,0),VLOOKUP(A380,怪物模型!$A$15:$I$70,9,0)*(1+(B380-30)/100)))</f>
        <v>1260</v>
      </c>
      <c r="M380">
        <f>ROUND(VLOOKUP(C380,法师难度!A$1:C$135,2,0)*0.91*E380,0)</f>
        <v>7986</v>
      </c>
      <c r="N380">
        <f t="shared" si="15"/>
        <v>9583</v>
      </c>
      <c r="O380">
        <f>VLOOKUP(B380,怪物抗性与玩家穿透!A$2:Q$74,4,0)</f>
        <v>5500</v>
      </c>
      <c r="P380">
        <f>VLOOKUP(B380,怪物抗性与玩家穿透!A$2:Q$74,5,0)</f>
        <v>1650</v>
      </c>
      <c r="Q380">
        <f t="shared" si="16"/>
        <v>1650</v>
      </c>
      <c r="R380">
        <f>ROUND(VLOOKUP(B380,[3]battleParameter.xml!$A$6:$E$107,5,0)*(I380/100)/(1-I380/100),0)</f>
        <v>0</v>
      </c>
      <c r="S380">
        <f>ROUND(VLOOKUP(B380,[3]battleParameter.xml!$A$6:$G$107,7,0)*(J380/100)/(1-J380/100),0)</f>
        <v>0</v>
      </c>
      <c r="T380">
        <f>ROUND(VLOOKUP(B380,[3]battleParameter.xml!$A$6:$Z$107,8,0)*(MIN(H380/100+0.2,0.99))/(1-MIN(H380/100+0.2,0.99)),0)</f>
        <v>1179</v>
      </c>
      <c r="U380">
        <v>0</v>
      </c>
      <c r="V380">
        <v>0</v>
      </c>
    </row>
    <row r="381" spans="1:22">
      <c r="A381" t="str">
        <f>[2]monster.xml!$D726</f>
        <v>荒野游侠</v>
      </c>
      <c r="B381">
        <f>[2]monster.xml!$C726</f>
        <v>56</v>
      </c>
      <c r="C381">
        <f t="shared" si="17"/>
        <v>49</v>
      </c>
      <c r="D381">
        <f>VLOOKUP(A381,怪物模型!A$15:Z$70,8,0)</f>
        <v>16</v>
      </c>
      <c r="E381">
        <f>VLOOKUP(A381,怪物模型!A$15:G$70,3,0)</f>
        <v>1</v>
      </c>
      <c r="F381">
        <f>VLOOKUP(A381,怪物模型!A$15:G$77,4,0)</f>
        <v>0.8</v>
      </c>
      <c r="G381">
        <v>1</v>
      </c>
      <c r="H381">
        <f>VLOOKUP(A381,怪物模型!A$15:G$77,5,0)</f>
        <v>35</v>
      </c>
      <c r="I381">
        <f>VLOOKUP(A381,怪物模型!A$15:G$77,6,0)</f>
        <v>0</v>
      </c>
      <c r="J381">
        <f>VLOOKUP(A381,怪物模型!A$15:G$77,7,0)</f>
        <v>0</v>
      </c>
      <c r="K381">
        <f>ROUND(VLOOKUP(C381,法师难度!A$1:C$135,3,0)/VLOOKUP(B381,怪物抗性与玩家穿透!A$2:Q$74,17,0)*F381,0)</f>
        <v>325617</v>
      </c>
      <c r="L381">
        <f>IF(A381="卡雷",42,IF(A381="法力风暴",ROUND(K381*0.1,0),VLOOKUP(A381,怪物模型!$A$15:$I$70,9,0)*(1+(B381-30)/100)))</f>
        <v>2520</v>
      </c>
      <c r="M381">
        <f>ROUND(VLOOKUP(C381,法师难度!A$1:C$135,2,0)*0.91*E381,0)</f>
        <v>8389</v>
      </c>
      <c r="N381">
        <f t="shared" si="15"/>
        <v>10067</v>
      </c>
      <c r="O381">
        <f>VLOOKUP(B381,怪物抗性与玩家穿透!A$2:Q$74,4,0)</f>
        <v>5500</v>
      </c>
      <c r="P381">
        <f>VLOOKUP(B381,怪物抗性与玩家穿透!A$2:Q$74,5,0)</f>
        <v>1650</v>
      </c>
      <c r="Q381">
        <f t="shared" si="16"/>
        <v>1650</v>
      </c>
      <c r="R381">
        <f>ROUND(VLOOKUP(B381,[3]battleParameter.xml!$A$6:$E$107,5,0)*(I381/100)/(1-I381/100),0)</f>
        <v>0</v>
      </c>
      <c r="S381">
        <f>ROUND(VLOOKUP(B381,[3]battleParameter.xml!$A$6:$G$107,7,0)*(J381/100)/(1-J381/100),0)</f>
        <v>0</v>
      </c>
      <c r="T381">
        <f>ROUND(VLOOKUP(B381,[3]battleParameter.xml!$A$6:$Z$107,8,0)*(MIN(H381/100+0.2,0.99))/(1-MIN(H381/100+0.2,0.99)),0)</f>
        <v>2925</v>
      </c>
      <c r="U381">
        <v>0</v>
      </c>
      <c r="V381">
        <v>0</v>
      </c>
    </row>
    <row r="382" spans="1:22">
      <c r="A382" t="str">
        <f>[2]monster.xml!$D727</f>
        <v>憾地者</v>
      </c>
      <c r="B382">
        <f>[2]monster.xml!$C727</f>
        <v>56</v>
      </c>
      <c r="C382">
        <f t="shared" si="17"/>
        <v>50</v>
      </c>
      <c r="D382">
        <f>VLOOKUP(A382,怪物模型!A$15:Z$70,8,0)</f>
        <v>4</v>
      </c>
      <c r="E382">
        <f>VLOOKUP(A382,怪物模型!A$15:G$70,3,0)</f>
        <v>0.85</v>
      </c>
      <c r="F382">
        <f>VLOOKUP(A382,怪物模型!A$15:G$77,4,0)</f>
        <v>1</v>
      </c>
      <c r="G382">
        <v>1</v>
      </c>
      <c r="H382">
        <f>VLOOKUP(A382,怪物模型!A$15:G$77,5,0)</f>
        <v>13</v>
      </c>
      <c r="I382">
        <f>VLOOKUP(A382,怪物模型!A$15:G$77,6,0)</f>
        <v>0</v>
      </c>
      <c r="J382">
        <f>VLOOKUP(A382,怪物模型!A$15:G$77,7,0)</f>
        <v>0</v>
      </c>
      <c r="K382">
        <f>ROUND(VLOOKUP(C382,法师难度!A$1:C$135,3,0)/VLOOKUP(B382,怪物抗性与玩家穿透!A$2:Q$74,17,0)*F382,0)</f>
        <v>436391</v>
      </c>
      <c r="L382">
        <f>IF(A382="卡雷",42,IF(A382="法力风暴",ROUND(K382*0.1,0),VLOOKUP(A382,怪物模型!$A$15:$I$70,9,0)*(1+(B382-30)/100)))</f>
        <v>1260</v>
      </c>
      <c r="M382">
        <f>ROUND(VLOOKUP(C382,法师难度!A$1:C$135,2,0)*0.91*E382,0)</f>
        <v>7491</v>
      </c>
      <c r="N382">
        <f t="shared" si="15"/>
        <v>8989</v>
      </c>
      <c r="O382">
        <f>VLOOKUP(B382,怪物抗性与玩家穿透!A$2:Q$74,4,0)</f>
        <v>5500</v>
      </c>
      <c r="P382">
        <f>VLOOKUP(B382,怪物抗性与玩家穿透!A$2:Q$74,5,0)</f>
        <v>1650</v>
      </c>
      <c r="Q382">
        <f t="shared" si="16"/>
        <v>1650</v>
      </c>
      <c r="R382">
        <f>ROUND(VLOOKUP(B382,[3]battleParameter.xml!$A$6:$E$107,5,0)*(I382/100)/(1-I382/100),0)</f>
        <v>0</v>
      </c>
      <c r="S382">
        <f>ROUND(VLOOKUP(B382,[3]battleParameter.xml!$A$6:$G$107,7,0)*(J382/100)/(1-J382/100),0)</f>
        <v>0</v>
      </c>
      <c r="T382">
        <f>ROUND(VLOOKUP(B382,[3]battleParameter.xml!$A$6:$Z$107,8,0)*(MIN(H382/100+0.2,0.99))/(1-MIN(H382/100+0.2,0.99)),0)</f>
        <v>1179</v>
      </c>
      <c r="U382">
        <v>0</v>
      </c>
      <c r="V382">
        <v>0</v>
      </c>
    </row>
    <row r="383" spans="1:22">
      <c r="A383" t="str">
        <f>[2]monster.xml!$D728</f>
        <v>拉兹</v>
      </c>
      <c r="B383">
        <f>[2]monster.xml!$C728</f>
        <v>57</v>
      </c>
      <c r="C383">
        <f t="shared" si="17"/>
        <v>51</v>
      </c>
      <c r="D383">
        <f>VLOOKUP(A383,怪物模型!A$15:Z$70,8,0)</f>
        <v>10</v>
      </c>
      <c r="E383">
        <f>VLOOKUP(A383,怪物模型!A$15:G$70,3,0)</f>
        <v>1.2</v>
      </c>
      <c r="F383">
        <f>VLOOKUP(A383,怪物模型!A$15:G$77,4,0)</f>
        <v>1</v>
      </c>
      <c r="G383">
        <v>1</v>
      </c>
      <c r="H383">
        <f>VLOOKUP(A383,怪物模型!A$15:G$77,5,0)</f>
        <v>13</v>
      </c>
      <c r="I383">
        <f>VLOOKUP(A383,怪物模型!A$15:G$77,6,0)</f>
        <v>0</v>
      </c>
      <c r="J383">
        <f>VLOOKUP(A383,怪物模型!A$15:G$77,7,0)</f>
        <v>20</v>
      </c>
      <c r="K383">
        <f>ROUND(VLOOKUP(C383,法师难度!A$1:C$135,3,0)/VLOOKUP(B383,怪物抗性与玩家穿透!A$2:Q$74,17,0)*F383,0)</f>
        <v>465146</v>
      </c>
      <c r="L383">
        <f>IF(A383="卡雷",42,IF(A383="法力风暴",ROUND(K383*0.1,0),VLOOKUP(A383,怪物模型!$A$15:$I$70,9,0)*(1+(B383-30)/100)))</f>
        <v>2540</v>
      </c>
      <c r="M383">
        <f>ROUND(VLOOKUP(C383,法师难度!A$1:C$135,2,0)*0.91*E383,0)</f>
        <v>11293</v>
      </c>
      <c r="N383">
        <f t="shared" si="15"/>
        <v>13552</v>
      </c>
      <c r="O383">
        <f>VLOOKUP(B383,怪物抗性与玩家穿透!A$2:Q$74,4,0)</f>
        <v>6000</v>
      </c>
      <c r="P383">
        <f>VLOOKUP(B383,怪物抗性与玩家穿透!A$2:Q$74,5,0)</f>
        <v>1800</v>
      </c>
      <c r="Q383">
        <f t="shared" si="16"/>
        <v>1800</v>
      </c>
      <c r="R383">
        <f>ROUND(VLOOKUP(B383,[3]battleParameter.xml!$A$6:$E$107,5,0)*(I383/100)/(1-I383/100),0)</f>
        <v>0</v>
      </c>
      <c r="S383">
        <f>ROUND(VLOOKUP(B383,[3]battleParameter.xml!$A$6:$G$107,7,0)*(J383/100)/(1-J383/100),0)</f>
        <v>2479</v>
      </c>
      <c r="T383">
        <f>ROUND(VLOOKUP(B383,[3]battleParameter.xml!$A$6:$Z$107,8,0)*(MIN(H383/100+0.2,0.99))/(1-MIN(H383/100+0.2,0.99)),0)</f>
        <v>1221</v>
      </c>
      <c r="U383">
        <v>0</v>
      </c>
      <c r="V383">
        <v>0</v>
      </c>
    </row>
    <row r="384" spans="1:22">
      <c r="A384" t="str">
        <f>[2]monster.xml!$D729</f>
        <v>塔克</v>
      </c>
      <c r="B384">
        <f>[2]monster.xml!$C729</f>
        <v>57</v>
      </c>
      <c r="C384">
        <f t="shared" si="17"/>
        <v>51</v>
      </c>
      <c r="D384">
        <f>VLOOKUP(A384,怪物模型!A$15:Z$70,8,0)</f>
        <v>3</v>
      </c>
      <c r="E384">
        <f>VLOOKUP(A384,怪物模型!A$15:G$70,3,0)</f>
        <v>0.35</v>
      </c>
      <c r="F384">
        <f>VLOOKUP(A384,怪物模型!A$15:G$77,4,0)</f>
        <v>0.6</v>
      </c>
      <c r="G384">
        <v>1</v>
      </c>
      <c r="H384">
        <f>VLOOKUP(A384,怪物模型!A$15:G$77,5,0)</f>
        <v>13</v>
      </c>
      <c r="I384">
        <f>VLOOKUP(A384,怪物模型!A$15:G$77,6,0)</f>
        <v>0</v>
      </c>
      <c r="J384">
        <f>VLOOKUP(A384,怪物模型!A$15:G$77,7,0)</f>
        <v>0</v>
      </c>
      <c r="K384">
        <f>ROUND(VLOOKUP(C384,法师难度!A$1:C$135,3,0)/VLOOKUP(B384,怪物抗性与玩家穿透!A$2:Q$74,17,0)*F384,0)</f>
        <v>279088</v>
      </c>
      <c r="L384">
        <f>IF(A384="卡雷",42,IF(A384="法力风暴",ROUND(K384*0.1,0),VLOOKUP(A384,怪物模型!$A$15:$I$70,9,0)*(1+(B384-30)/100)))</f>
        <v>1270</v>
      </c>
      <c r="M384">
        <f>ROUND(VLOOKUP(C384,法师难度!A$1:C$135,2,0)*0.91*E384,0)</f>
        <v>3294</v>
      </c>
      <c r="N384">
        <f t="shared" si="15"/>
        <v>3953</v>
      </c>
      <c r="O384">
        <f>VLOOKUP(B384,怪物抗性与玩家穿透!A$2:Q$74,4,0)</f>
        <v>6000</v>
      </c>
      <c r="P384">
        <f>VLOOKUP(B384,怪物抗性与玩家穿透!A$2:Q$74,5,0)</f>
        <v>1800</v>
      </c>
      <c r="Q384">
        <f t="shared" si="16"/>
        <v>1800</v>
      </c>
      <c r="R384">
        <f>ROUND(VLOOKUP(B384,[3]battleParameter.xml!$A$6:$E$107,5,0)*(I384/100)/(1-I384/100),0)</f>
        <v>0</v>
      </c>
      <c r="S384">
        <f>ROUND(VLOOKUP(B384,[3]battleParameter.xml!$A$6:$G$107,7,0)*(J384/100)/(1-J384/100),0)</f>
        <v>0</v>
      </c>
      <c r="T384">
        <f>ROUND(VLOOKUP(B384,[3]battleParameter.xml!$A$6:$Z$107,8,0)*(MIN(H384/100+0.2,0.99))/(1-MIN(H384/100+0.2,0.99)),0)</f>
        <v>1221</v>
      </c>
      <c r="U384">
        <v>0</v>
      </c>
      <c r="V384">
        <v>0</v>
      </c>
    </row>
    <row r="385" spans="1:22">
      <c r="A385" t="str">
        <f>[2]monster.xml!$D730</f>
        <v>迪皮斯</v>
      </c>
      <c r="B385">
        <f>[2]monster.xml!$C730</f>
        <v>57</v>
      </c>
      <c r="C385">
        <f t="shared" si="17"/>
        <v>52</v>
      </c>
      <c r="D385" t="str">
        <f>VLOOKUP(A385,怪物模型!A$15:Z$70,8,0)</f>
        <v>17,14</v>
      </c>
      <c r="E385">
        <f>VLOOKUP(A385,怪物模型!A$15:G$70,3,0)</f>
        <v>0.6</v>
      </c>
      <c r="F385">
        <f>VLOOKUP(A385,怪物模型!A$15:G$77,4,0)</f>
        <v>0.4</v>
      </c>
      <c r="G385">
        <v>1</v>
      </c>
      <c r="H385">
        <f>VLOOKUP(A385,怪物模型!A$15:G$77,5,0)</f>
        <v>13</v>
      </c>
      <c r="I385">
        <f>VLOOKUP(A385,怪物模型!A$15:G$77,6,0)</f>
        <v>0</v>
      </c>
      <c r="J385">
        <f>VLOOKUP(A385,怪物模型!A$15:G$77,7,0)</f>
        <v>0</v>
      </c>
      <c r="K385">
        <f>ROUND(VLOOKUP(C385,法师难度!A$1:C$135,3,0)/VLOOKUP(B385,怪物抗性与玩家穿透!A$2:Q$74,17,0)*F385,0)</f>
        <v>200188</v>
      </c>
      <c r="L385">
        <f>IF(A385="卡雷",42,IF(A385="法力风暴",ROUND(K385*0.1,0),VLOOKUP(A385,怪物模型!$A$15:$I$70,9,0)*(1+(B385-30)/100)))</f>
        <v>1270</v>
      </c>
      <c r="M385">
        <f>ROUND(VLOOKUP(C385,法师难度!A$1:C$135,2,0)*0.91*E385,0)</f>
        <v>5967</v>
      </c>
      <c r="N385">
        <f t="shared" si="15"/>
        <v>7160</v>
      </c>
      <c r="O385">
        <f>VLOOKUP(B385,怪物抗性与玩家穿透!A$2:Q$74,4,0)</f>
        <v>6000</v>
      </c>
      <c r="P385">
        <f>VLOOKUP(B385,怪物抗性与玩家穿透!A$2:Q$74,5,0)</f>
        <v>1800</v>
      </c>
      <c r="Q385">
        <f t="shared" si="16"/>
        <v>1800</v>
      </c>
      <c r="R385">
        <f>ROUND(VLOOKUP(B385,[3]battleParameter.xml!$A$6:$E$107,5,0)*(I385/100)/(1-I385/100),0)</f>
        <v>0</v>
      </c>
      <c r="S385">
        <f>ROUND(VLOOKUP(B385,[3]battleParameter.xml!$A$6:$G$107,7,0)*(J385/100)/(1-J385/100),0)</f>
        <v>0</v>
      </c>
      <c r="T385">
        <f>ROUND(VLOOKUP(B385,[3]battleParameter.xml!$A$6:$Z$107,8,0)*(MIN(H385/100+0.2,0.99))/(1-MIN(H385/100+0.2,0.99)),0)</f>
        <v>1221</v>
      </c>
      <c r="U385">
        <v>0</v>
      </c>
      <c r="V385">
        <v>0</v>
      </c>
    </row>
    <row r="386" spans="1:22">
      <c r="A386" t="str">
        <f>[2]monster.xml!$D731</f>
        <v>狂野安东尼</v>
      </c>
      <c r="B386">
        <f>[2]monster.xml!$C731</f>
        <v>58</v>
      </c>
      <c r="C386">
        <f t="shared" si="17"/>
        <v>53</v>
      </c>
      <c r="D386">
        <f>VLOOKUP(A386,怪物模型!A$15:Z$70,8,0)</f>
        <v>7</v>
      </c>
      <c r="E386">
        <f>VLOOKUP(A386,怪物模型!A$15:G$70,3,0)</f>
        <v>1</v>
      </c>
      <c r="F386">
        <f>VLOOKUP(A386,怪物模型!A$15:G$77,4,0)</f>
        <v>1</v>
      </c>
      <c r="G386">
        <v>1</v>
      </c>
      <c r="H386">
        <f>VLOOKUP(A386,怪物模型!A$15:G$77,5,0)</f>
        <v>13</v>
      </c>
      <c r="I386">
        <f>VLOOKUP(A386,怪物模型!A$15:G$77,6,0)</f>
        <v>0</v>
      </c>
      <c r="J386">
        <f>VLOOKUP(A386,怪物模型!A$15:G$77,7,0)</f>
        <v>0</v>
      </c>
      <c r="K386">
        <f>ROUND(VLOOKUP(C386,法师难度!A$1:C$135,3,0)/VLOOKUP(B386,怪物抗性与玩家穿透!A$2:Q$74,17,0)*F386,0)</f>
        <v>524427</v>
      </c>
      <c r="L386">
        <f>IF(A386="卡雷",42,IF(A386="法力风暴",ROUND(K386*0.1,0),VLOOKUP(A386,怪物模型!$A$15:$I$70,9,0)*(1+(B386-30)/100)))</f>
        <v>1280</v>
      </c>
      <c r="M386">
        <f>ROUND(VLOOKUP(C386,法师难度!A$1:C$135,2,0)*0.91*E386,0)</f>
        <v>10510</v>
      </c>
      <c r="N386">
        <f t="shared" si="15"/>
        <v>12612</v>
      </c>
      <c r="O386">
        <f>VLOOKUP(B386,怪物抗性与玩家穿透!A$2:Q$74,4,0)</f>
        <v>6500</v>
      </c>
      <c r="P386">
        <f>VLOOKUP(B386,怪物抗性与玩家穿透!A$2:Q$74,5,0)</f>
        <v>1950</v>
      </c>
      <c r="Q386">
        <f t="shared" si="16"/>
        <v>1950</v>
      </c>
      <c r="R386">
        <f>ROUND(VLOOKUP(B386,[3]battleParameter.xml!$A$6:$E$107,5,0)*(I386/100)/(1-I386/100),0)</f>
        <v>0</v>
      </c>
      <c r="S386">
        <f>ROUND(VLOOKUP(B386,[3]battleParameter.xml!$A$6:$G$107,7,0)*(J386/100)/(1-J386/100),0)</f>
        <v>0</v>
      </c>
      <c r="T386">
        <f>ROUND(VLOOKUP(B386,[3]battleParameter.xml!$A$6:$Z$107,8,0)*(MIN(H386/100+0.2,0.99))/(1-MIN(H386/100+0.2,0.99)),0)</f>
        <v>1263</v>
      </c>
      <c r="U386">
        <v>0</v>
      </c>
      <c r="V386">
        <v>0</v>
      </c>
    </row>
    <row r="387" spans="1:22">
      <c r="A387" t="str">
        <f>[2]monster.xml!$D732</f>
        <v>巡林者瑞克</v>
      </c>
      <c r="B387">
        <f>[2]monster.xml!$C732</f>
        <v>59</v>
      </c>
      <c r="C387">
        <f t="shared" si="17"/>
        <v>54</v>
      </c>
      <c r="D387">
        <f>VLOOKUP(A387,怪物模型!A$15:Z$70,8,0)</f>
        <v>15</v>
      </c>
      <c r="E387">
        <f>VLOOKUP(A387,怪物模型!A$15:G$70,3,0)</f>
        <v>1</v>
      </c>
      <c r="F387">
        <f>VLOOKUP(A387,怪物模型!A$15:G$77,4,0)</f>
        <v>1</v>
      </c>
      <c r="G387">
        <v>1</v>
      </c>
      <c r="H387">
        <f>VLOOKUP(A387,怪物模型!A$15:G$77,5,0)</f>
        <v>13</v>
      </c>
      <c r="I387">
        <f>VLOOKUP(A387,怪物模型!A$15:G$77,6,0)</f>
        <v>0</v>
      </c>
      <c r="J387">
        <f>VLOOKUP(A387,怪物模型!A$15:G$77,7,0)</f>
        <v>0</v>
      </c>
      <c r="K387">
        <f>ROUND(VLOOKUP(C387,法师难度!A$1:C$135,3,0)/VLOOKUP(B387,怪物抗性与玩家穿透!A$2:Q$74,17,0)*F387,0)</f>
        <v>564444</v>
      </c>
      <c r="L387">
        <f>IF(A387="卡雷",42,IF(A387="法力风暴",ROUND(K387*0.1,0),VLOOKUP(A387,怪物模型!$A$15:$I$70,9,0)*(1+(B387-30)/100)))</f>
        <v>1290</v>
      </c>
      <c r="M387">
        <f>ROUND(VLOOKUP(C387,法师难度!A$1:C$135,2,0)*0.91*E387,0)</f>
        <v>11312</v>
      </c>
      <c r="N387">
        <f t="shared" ref="N387:N450" si="18">ROUND(M387*1.2,0)</f>
        <v>13574</v>
      </c>
      <c r="O387">
        <f>VLOOKUP(B387,怪物抗性与玩家穿透!A$2:Q$74,4,0)</f>
        <v>7000</v>
      </c>
      <c r="P387">
        <f>VLOOKUP(B387,怪物抗性与玩家穿透!A$2:Q$74,5,0)</f>
        <v>2100</v>
      </c>
      <c r="Q387">
        <f t="shared" ref="Q387:Q450" si="19">P387</f>
        <v>2100</v>
      </c>
      <c r="R387">
        <f>ROUND(VLOOKUP(B387,[3]battleParameter.xml!$A$6:$E$107,5,0)*(I387/100)/(1-I387/100),0)</f>
        <v>0</v>
      </c>
      <c r="S387">
        <f>ROUND(VLOOKUP(B387,[3]battleParameter.xml!$A$6:$G$107,7,0)*(J387/100)/(1-J387/100),0)</f>
        <v>0</v>
      </c>
      <c r="T387">
        <f>ROUND(VLOOKUP(B387,[3]battleParameter.xml!$A$6:$Z$107,8,0)*(MIN(H387/100+0.2,0.99))/(1-MIN(H387/100+0.2,0.99)),0)</f>
        <v>1307</v>
      </c>
      <c r="U387">
        <v>0</v>
      </c>
      <c r="V387">
        <v>0</v>
      </c>
    </row>
    <row r="388" spans="1:22">
      <c r="A388" t="str">
        <f>[2]monster.xml!$D733</f>
        <v>坚定的格雷格</v>
      </c>
      <c r="B388">
        <f>[2]monster.xml!$C733</f>
        <v>60</v>
      </c>
      <c r="C388">
        <f t="shared" ref="C388:C451" si="20">IF(OR(A388="塔克",A388="多兰",A388="约翰",A388="血誓预言者",A388="血誓召唤者",A388="血誓领主"),C387,C387+1)</f>
        <v>55</v>
      </c>
      <c r="D388">
        <f>VLOOKUP(A388,怪物模型!A$15:Z$70,8,0)</f>
        <v>3</v>
      </c>
      <c r="E388">
        <f>VLOOKUP(A388,怪物模型!A$15:G$70,3,0)</f>
        <v>0.7</v>
      </c>
      <c r="F388">
        <f>VLOOKUP(A388,怪物模型!A$15:G$77,4,0)</f>
        <v>0.8</v>
      </c>
      <c r="G388">
        <v>1</v>
      </c>
      <c r="H388">
        <f>VLOOKUP(A388,怪物模型!A$15:G$77,5,0)</f>
        <v>13</v>
      </c>
      <c r="I388">
        <f>VLOOKUP(A388,怪物模型!A$15:G$77,6,0)</f>
        <v>0</v>
      </c>
      <c r="J388">
        <f>VLOOKUP(A388,怪物模型!A$15:G$77,7,0)</f>
        <v>0</v>
      </c>
      <c r="K388">
        <f>ROUND(VLOOKUP(C388,法师难度!A$1:C$135,3,0)/VLOOKUP(B388,怪物抗性与玩家穿透!A$2:Q$74,17,0)*F388,0)</f>
        <v>342856</v>
      </c>
      <c r="L388">
        <f>IF(A388="卡雷",42,IF(A388="法力风暴",ROUND(K388*0.1,0),VLOOKUP(A388,怪物模型!$A$15:$I$70,9,0)*(1+(B388-30)/100)))</f>
        <v>780</v>
      </c>
      <c r="M388">
        <f>ROUND(VLOOKUP(C388,法师难度!A$1:C$135,2,0)*0.91*E388,0)</f>
        <v>7141</v>
      </c>
      <c r="N388">
        <f t="shared" si="18"/>
        <v>8569</v>
      </c>
      <c r="O388">
        <f>VLOOKUP(B388,怪物抗性与玩家穿透!A$2:Q$74,4,0)</f>
        <v>7500</v>
      </c>
      <c r="P388">
        <f>VLOOKUP(B388,怪物抗性与玩家穿透!A$2:Q$74,5,0)</f>
        <v>2250</v>
      </c>
      <c r="Q388">
        <f t="shared" si="19"/>
        <v>2250</v>
      </c>
      <c r="R388">
        <f>ROUND(VLOOKUP(B388,[3]battleParameter.xml!$A$6:$E$107,5,0)*(I388/100)/(1-I388/100),0)</f>
        <v>0</v>
      </c>
      <c r="S388">
        <f>ROUND(VLOOKUP(B388,[3]battleParameter.xml!$A$6:$G$107,7,0)*(J388/100)/(1-J388/100),0)</f>
        <v>0</v>
      </c>
      <c r="T388">
        <f>ROUND(VLOOKUP(B388,[3]battleParameter.xml!$A$6:$Z$107,8,0)*(MIN(H388/100+0.2,0.99))/(1-MIN(H388/100+0.2,0.99)),0)</f>
        <v>1351</v>
      </c>
      <c r="U388">
        <v>0</v>
      </c>
      <c r="V388">
        <v>0</v>
      </c>
    </row>
    <row r="389" spans="1:22">
      <c r="A389" t="str">
        <f>[2]monster.xml!$D734</f>
        <v>赛琳娜的倒影</v>
      </c>
      <c r="B389">
        <f>[2]monster.xml!$C734</f>
        <v>60</v>
      </c>
      <c r="C389">
        <f t="shared" si="20"/>
        <v>56</v>
      </c>
      <c r="D389" t="str">
        <f>VLOOKUP(A389,怪物模型!A$15:Z$70,8,0)</f>
        <v>26,24</v>
      </c>
      <c r="E389">
        <f>VLOOKUP(A389,怪物模型!A$15:G$70,3,0)</f>
        <v>1.2</v>
      </c>
      <c r="F389">
        <f>VLOOKUP(A389,怪物模型!A$15:G$77,4,0)</f>
        <v>1</v>
      </c>
      <c r="G389">
        <v>1</v>
      </c>
      <c r="H389">
        <f>VLOOKUP(A389,怪物模型!A$15:G$77,5,0)</f>
        <v>13</v>
      </c>
      <c r="I389">
        <f>VLOOKUP(A389,怪物模型!A$15:G$77,6,0)</f>
        <v>0</v>
      </c>
      <c r="J389">
        <f>VLOOKUP(A389,怪物模型!A$15:G$77,7,0)</f>
        <v>0</v>
      </c>
      <c r="K389">
        <f>ROUND(VLOOKUP(C389,法师难度!A$1:C$135,3,0)/VLOOKUP(B389,怪物抗性与玩家穿透!A$2:Q$74,17,0)*F389,0)</f>
        <v>466653</v>
      </c>
      <c r="L389">
        <f>IF(A389="卡雷",42,IF(A389="法力风暴",ROUND(K389*0.1,0),VLOOKUP(A389,怪物模型!$A$15:$I$70,9,0)*(1+(B389-30)/100)))</f>
        <v>1300</v>
      </c>
      <c r="M389">
        <f>ROUND(VLOOKUP(C389,法师难度!A$1:C$135,2,0)*0.91*E389,0)</f>
        <v>13123</v>
      </c>
      <c r="N389">
        <f t="shared" si="18"/>
        <v>15748</v>
      </c>
      <c r="O389">
        <f>VLOOKUP(B389,怪物抗性与玩家穿透!A$2:Q$74,4,0)</f>
        <v>7500</v>
      </c>
      <c r="P389">
        <f>VLOOKUP(B389,怪物抗性与玩家穿透!A$2:Q$74,5,0)</f>
        <v>2250</v>
      </c>
      <c r="Q389">
        <f t="shared" si="19"/>
        <v>2250</v>
      </c>
      <c r="R389">
        <f>ROUND(VLOOKUP(B389,[3]battleParameter.xml!$A$6:$E$107,5,0)*(I389/100)/(1-I389/100),0)</f>
        <v>0</v>
      </c>
      <c r="S389">
        <f>ROUND(VLOOKUP(B389,[3]battleParameter.xml!$A$6:$G$107,7,0)*(J389/100)/(1-J389/100),0)</f>
        <v>0</v>
      </c>
      <c r="T389">
        <f>ROUND(VLOOKUP(B389,[3]battleParameter.xml!$A$6:$Z$107,8,0)*(MIN(H389/100+0.2,0.99))/(1-MIN(H389/100+0.2,0.99)),0)</f>
        <v>1351</v>
      </c>
      <c r="U389">
        <v>0</v>
      </c>
      <c r="V389">
        <v>0</v>
      </c>
    </row>
    <row r="390" spans="1:22">
      <c r="A390" t="str">
        <f>[2]monster.xml!$D735</f>
        <v>幻术师艾莉</v>
      </c>
      <c r="B390">
        <f>[2]monster.xml!$C735</f>
        <v>61</v>
      </c>
      <c r="C390">
        <f t="shared" si="20"/>
        <v>57</v>
      </c>
      <c r="D390">
        <f>VLOOKUP(A390,怪物模型!A$15:Z$70,8,0)</f>
        <v>20</v>
      </c>
      <c r="E390">
        <f>VLOOKUP(A390,怪物模型!A$15:G$70,3,0)</f>
        <v>1.2</v>
      </c>
      <c r="F390">
        <f>VLOOKUP(A390,怪物模型!A$15:G$77,4,0)</f>
        <v>0.75</v>
      </c>
      <c r="G390">
        <v>1</v>
      </c>
      <c r="H390">
        <f>VLOOKUP(A390,怪物模型!A$15:G$77,5,0)</f>
        <v>0</v>
      </c>
      <c r="I390">
        <f>VLOOKUP(A390,怪物模型!A$15:G$77,6,0)</f>
        <v>0</v>
      </c>
      <c r="J390">
        <f>VLOOKUP(A390,怪物模型!A$15:G$77,7,0)</f>
        <v>0</v>
      </c>
      <c r="K390">
        <f>ROUND(VLOOKUP(C390,法师难度!A$1:C$135,3,0)/VLOOKUP(B390,怪物抗性与玩家穿透!A$2:Q$74,17,0)*F390,0)</f>
        <v>384301</v>
      </c>
      <c r="L390">
        <f>IF(A390="卡雷",42,IF(A390="法力风暴",ROUND(K390*0.1,0),VLOOKUP(A390,怪物模型!$A$15:$I$70,9,0)*(1+(B390-30)/100)))</f>
        <v>2096</v>
      </c>
      <c r="M390">
        <f>ROUND(VLOOKUP(C390,法师难度!A$1:C$135,2,0)*0.91*E390,0)</f>
        <v>14396</v>
      </c>
      <c r="N390">
        <f t="shared" si="18"/>
        <v>17275</v>
      </c>
      <c r="O390">
        <f>VLOOKUP(B390,怪物抗性与玩家穿透!A$2:Q$74,4,0)</f>
        <v>8000</v>
      </c>
      <c r="P390">
        <f>VLOOKUP(B390,怪物抗性与玩家穿透!A$2:Q$74,5,0)</f>
        <v>2400</v>
      </c>
      <c r="Q390">
        <f t="shared" si="19"/>
        <v>2400</v>
      </c>
      <c r="R390">
        <f>ROUND(VLOOKUP(B390,[3]battleParameter.xml!$A$6:$E$107,5,0)*(I390/100)/(1-I390/100),0)</f>
        <v>0</v>
      </c>
      <c r="S390">
        <f>ROUND(VLOOKUP(B390,[3]battleParameter.xml!$A$6:$G$107,7,0)*(J390/100)/(1-J390/100),0)</f>
        <v>0</v>
      </c>
      <c r="T390">
        <f>ROUND(VLOOKUP(B390,[3]battleParameter.xml!$A$6:$Z$107,8,0)*(MIN(H390/100+0.2,0.99))/(1-MIN(H390/100+0.2,0.99)),0)</f>
        <v>709</v>
      </c>
      <c r="U390">
        <v>0</v>
      </c>
      <c r="V390">
        <v>0</v>
      </c>
    </row>
    <row r="391" spans="1:22">
      <c r="A391" t="str">
        <f>[2]monster.xml!$D736</f>
        <v>驯兽师瓦纳</v>
      </c>
      <c r="B391">
        <f>[2]monster.xml!$C736</f>
        <v>61</v>
      </c>
      <c r="C391">
        <f t="shared" si="20"/>
        <v>58</v>
      </c>
      <c r="D391">
        <f>VLOOKUP(A391,怪物模型!A$15:Z$70,8,0)</f>
        <v>2</v>
      </c>
      <c r="E391">
        <f>VLOOKUP(A391,怪物模型!A$15:G$70,3,0)</f>
        <v>0.6</v>
      </c>
      <c r="F391">
        <f>VLOOKUP(A391,怪物模型!A$15:G$77,4,0)</f>
        <v>0.6</v>
      </c>
      <c r="G391">
        <v>1</v>
      </c>
      <c r="H391">
        <f>VLOOKUP(A391,怪物模型!A$15:G$77,5,0)</f>
        <v>13</v>
      </c>
      <c r="I391">
        <f>VLOOKUP(A391,怪物模型!A$15:G$77,6,0)</f>
        <v>0</v>
      </c>
      <c r="J391">
        <f>VLOOKUP(A391,怪物模型!A$15:G$77,7,0)</f>
        <v>0</v>
      </c>
      <c r="K391">
        <f>ROUND(VLOOKUP(C391,法师难度!A$1:C$135,3,0)/VLOOKUP(B391,怪物抗性与玩家穿透!A$2:Q$74,17,0)*F391,0)</f>
        <v>328494</v>
      </c>
      <c r="L391">
        <f>IF(A391="卡雷",42,IF(A391="法力风暴",ROUND(K391*0.1,0),VLOOKUP(A391,怪物模型!$A$15:$I$70,9,0)*(1+(B391-30)/100)))</f>
        <v>1048</v>
      </c>
      <c r="M391">
        <f>ROUND(VLOOKUP(C391,法师难度!A$1:C$135,2,0)*0.91*E391,0)</f>
        <v>7615</v>
      </c>
      <c r="N391">
        <f t="shared" si="18"/>
        <v>9138</v>
      </c>
      <c r="O391">
        <f>VLOOKUP(B391,怪物抗性与玩家穿透!A$2:Q$74,4,0)</f>
        <v>8000</v>
      </c>
      <c r="P391">
        <f>VLOOKUP(B391,怪物抗性与玩家穿透!A$2:Q$74,5,0)</f>
        <v>2400</v>
      </c>
      <c r="Q391">
        <f t="shared" si="19"/>
        <v>2400</v>
      </c>
      <c r="R391">
        <f>ROUND(VLOOKUP(B391,[3]battleParameter.xml!$A$6:$E$107,5,0)*(I391/100)/(1-I391/100),0)</f>
        <v>0</v>
      </c>
      <c r="S391">
        <f>ROUND(VLOOKUP(B391,[3]battleParameter.xml!$A$6:$G$107,7,0)*(J391/100)/(1-J391/100),0)</f>
        <v>0</v>
      </c>
      <c r="T391">
        <f>ROUND(VLOOKUP(B391,[3]battleParameter.xml!$A$6:$Z$107,8,0)*(MIN(H391/100+0.2,0.99))/(1-MIN(H391/100+0.2,0.99)),0)</f>
        <v>1396</v>
      </c>
      <c r="U391">
        <v>0</v>
      </c>
      <c r="V391">
        <v>0</v>
      </c>
    </row>
    <row r="392" spans="1:22">
      <c r="A392" t="str">
        <f>[2]monster.xml!$D737</f>
        <v>多兰</v>
      </c>
      <c r="B392">
        <f>[2]monster.xml!$C737</f>
        <v>61</v>
      </c>
      <c r="C392">
        <f t="shared" si="20"/>
        <v>58</v>
      </c>
      <c r="D392">
        <f>VLOOKUP(A392,怪物模型!A$15:Z$70,8,0)</f>
        <v>9</v>
      </c>
      <c r="E392">
        <f>VLOOKUP(A392,怪物模型!A$15:G$70,3,0)</f>
        <v>0.35</v>
      </c>
      <c r="F392">
        <f>VLOOKUP(A392,怪物模型!A$15:G$77,4,0)</f>
        <v>0.28000000000000003</v>
      </c>
      <c r="G392">
        <v>1</v>
      </c>
      <c r="H392">
        <f>VLOOKUP(A392,怪物模型!A$15:G$77,5,0)</f>
        <v>13</v>
      </c>
      <c r="I392">
        <f>VLOOKUP(A392,怪物模型!A$15:G$77,6,0)</f>
        <v>0</v>
      </c>
      <c r="J392">
        <f>VLOOKUP(A392,怪物模型!A$15:G$77,7,0)</f>
        <v>0</v>
      </c>
      <c r="K392">
        <f>ROUND(VLOOKUP(C392,法师难度!A$1:C$135,3,0)/VLOOKUP(B392,怪物抗性与玩家穿透!A$2:Q$74,17,0)*F392,0)</f>
        <v>153297</v>
      </c>
      <c r="L392">
        <f>IF(A392="卡雷",42,IF(A392="法力风暴",ROUND(K392*0.1,0),VLOOKUP(A392,怪物模型!$A$15:$I$70,9,0)*(1+(B392-30)/100)))</f>
        <v>1310</v>
      </c>
      <c r="M392">
        <f>ROUND(VLOOKUP(C392,法师难度!A$1:C$135,2,0)*0.91*E392,0)</f>
        <v>4442</v>
      </c>
      <c r="N392">
        <f t="shared" si="18"/>
        <v>5330</v>
      </c>
      <c r="O392">
        <f>VLOOKUP(B392,怪物抗性与玩家穿透!A$2:Q$74,4,0)</f>
        <v>8000</v>
      </c>
      <c r="P392">
        <f>VLOOKUP(B392,怪物抗性与玩家穿透!A$2:Q$74,5,0)</f>
        <v>2400</v>
      </c>
      <c r="Q392">
        <f t="shared" si="19"/>
        <v>2400</v>
      </c>
      <c r="R392">
        <f>ROUND(VLOOKUP(B392,[3]battleParameter.xml!$A$6:$E$107,5,0)*(I392/100)/(1-I392/100),0)</f>
        <v>0</v>
      </c>
      <c r="S392">
        <f>ROUND(VLOOKUP(B392,[3]battleParameter.xml!$A$6:$G$107,7,0)*(J392/100)/(1-J392/100),0)</f>
        <v>0</v>
      </c>
      <c r="T392">
        <f>ROUND(VLOOKUP(B392,[3]battleParameter.xml!$A$6:$Z$107,8,0)*(MIN(H392/100+0.2,0.99))/(1-MIN(H392/100+0.2,0.99)),0)</f>
        <v>1396</v>
      </c>
      <c r="U392">
        <v>0</v>
      </c>
      <c r="V392">
        <v>0</v>
      </c>
    </row>
    <row r="393" spans="1:22">
      <c r="A393" t="str">
        <f>[2]monster.xml!$D738</f>
        <v>约翰</v>
      </c>
      <c r="B393">
        <f>[2]monster.xml!$C738</f>
        <v>61</v>
      </c>
      <c r="C393">
        <f t="shared" si="20"/>
        <v>58</v>
      </c>
      <c r="D393">
        <f>VLOOKUP(A393,怪物模型!A$15:Z$70,8,0)</f>
        <v>10</v>
      </c>
      <c r="E393">
        <f>VLOOKUP(A393,怪物模型!A$15:G$70,3,0)</f>
        <v>0.35</v>
      </c>
      <c r="F393">
        <f>VLOOKUP(A393,怪物模型!A$15:G$77,4,0)</f>
        <v>0.28000000000000003</v>
      </c>
      <c r="G393">
        <v>1</v>
      </c>
      <c r="H393">
        <f>VLOOKUP(A393,怪物模型!A$15:G$77,5,0)</f>
        <v>13</v>
      </c>
      <c r="I393">
        <f>VLOOKUP(A393,怪物模型!A$15:G$77,6,0)</f>
        <v>0</v>
      </c>
      <c r="J393">
        <f>VLOOKUP(A393,怪物模型!A$15:G$77,7,0)</f>
        <v>0</v>
      </c>
      <c r="K393">
        <f>ROUND(VLOOKUP(C393,法师难度!A$1:C$135,3,0)/VLOOKUP(B393,怪物抗性与玩家穿透!A$2:Q$74,17,0)*F393,0)</f>
        <v>153297</v>
      </c>
      <c r="L393">
        <f>IF(A393="卡雷",42,IF(A393="法力风暴",ROUND(K393*0.1,0),VLOOKUP(A393,怪物模型!$A$15:$I$70,9,0)*(1+(B393-30)/100)))</f>
        <v>1310</v>
      </c>
      <c r="M393">
        <f>ROUND(VLOOKUP(C393,法师难度!A$1:C$135,2,0)*0.91*E393,0)</f>
        <v>4442</v>
      </c>
      <c r="N393">
        <f t="shared" si="18"/>
        <v>5330</v>
      </c>
      <c r="O393">
        <f>VLOOKUP(B393,怪物抗性与玩家穿透!A$2:Q$74,4,0)</f>
        <v>8000</v>
      </c>
      <c r="P393">
        <f>VLOOKUP(B393,怪物抗性与玩家穿透!A$2:Q$74,5,0)</f>
        <v>2400</v>
      </c>
      <c r="Q393">
        <f t="shared" si="19"/>
        <v>2400</v>
      </c>
      <c r="R393">
        <f>ROUND(VLOOKUP(B393,[3]battleParameter.xml!$A$6:$E$107,5,0)*(I393/100)/(1-I393/100),0)</f>
        <v>0</v>
      </c>
      <c r="S393">
        <f>ROUND(VLOOKUP(B393,[3]battleParameter.xml!$A$6:$G$107,7,0)*(J393/100)/(1-J393/100),0)</f>
        <v>0</v>
      </c>
      <c r="T393">
        <f>ROUND(VLOOKUP(B393,[3]battleParameter.xml!$A$6:$Z$107,8,0)*(MIN(H393/100+0.2,0.99))/(1-MIN(H393/100+0.2,0.99)),0)</f>
        <v>1396</v>
      </c>
      <c r="U393">
        <v>0</v>
      </c>
      <c r="V393">
        <v>0</v>
      </c>
    </row>
    <row r="394" spans="1:22">
      <c r="A394" t="str">
        <f>[2]monster.xml!$D739</f>
        <v>炎之安苏</v>
      </c>
      <c r="B394">
        <f>[2]monster.xml!$C739</f>
        <v>61</v>
      </c>
      <c r="C394">
        <f t="shared" si="20"/>
        <v>59</v>
      </c>
      <c r="D394">
        <f>VLOOKUP(A394,怪物模型!A$15:Z$70,8,0)</f>
        <v>21</v>
      </c>
      <c r="E394">
        <f>VLOOKUP(A394,怪物模型!A$15:G$70,3,0)</f>
        <v>1</v>
      </c>
      <c r="F394">
        <f>VLOOKUP(A394,怪物模型!A$15:G$77,4,0)</f>
        <v>0.95</v>
      </c>
      <c r="G394">
        <v>1</v>
      </c>
      <c r="H394">
        <f>VLOOKUP(A394,怪物模型!A$15:G$77,5,0)</f>
        <v>13</v>
      </c>
      <c r="I394">
        <f>VLOOKUP(A394,怪物模型!A$15:G$77,6,0)</f>
        <v>0</v>
      </c>
      <c r="J394">
        <f>VLOOKUP(A394,怪物模型!A$15:G$77,7,0)</f>
        <v>0</v>
      </c>
      <c r="K394">
        <f>ROUND(VLOOKUP(C394,法师难度!A$1:C$135,3,0)/VLOOKUP(B394,怪物抗性与玩家穿透!A$2:Q$74,17,0)*F394,0)</f>
        <v>555732</v>
      </c>
      <c r="L394">
        <f>IF(A394="卡雷",42,IF(A394="法力风暴",ROUND(K394*0.1,0),VLOOKUP(A394,怪物模型!$A$15:$I$70,9,0)*(1+(B394-30)/100)))</f>
        <v>1310</v>
      </c>
      <c r="M394">
        <f>ROUND(VLOOKUP(C394,法师难度!A$1:C$135,2,0)*0.91*E394,0)</f>
        <v>13428</v>
      </c>
      <c r="N394">
        <f t="shared" si="18"/>
        <v>16114</v>
      </c>
      <c r="O394">
        <f>VLOOKUP(B394,怪物抗性与玩家穿透!A$2:Q$74,4,0)</f>
        <v>8000</v>
      </c>
      <c r="P394">
        <f>VLOOKUP(B394,怪物抗性与玩家穿透!A$2:Q$74,5,0)</f>
        <v>2400</v>
      </c>
      <c r="Q394">
        <f t="shared" si="19"/>
        <v>2400</v>
      </c>
      <c r="R394">
        <f>ROUND(VLOOKUP(B394,[3]battleParameter.xml!$A$6:$E$107,5,0)*(I394/100)/(1-I394/100),0)</f>
        <v>0</v>
      </c>
      <c r="S394">
        <f>ROUND(VLOOKUP(B394,[3]battleParameter.xml!$A$6:$G$107,7,0)*(J394/100)/(1-J394/100),0)</f>
        <v>0</v>
      </c>
      <c r="T394">
        <f>ROUND(VLOOKUP(B394,[3]battleParameter.xml!$A$6:$Z$107,8,0)*(MIN(H394/100+0.2,0.99))/(1-MIN(H394/100+0.2,0.99)),0)</f>
        <v>1396</v>
      </c>
      <c r="U394">
        <v>0</v>
      </c>
      <c r="V394">
        <v>0</v>
      </c>
    </row>
    <row r="395" spans="1:22">
      <c r="A395" t="str">
        <f>[2]monster.xml!$D740</f>
        <v>迅捷的维恩</v>
      </c>
      <c r="B395">
        <f>[2]monster.xml!$C740</f>
        <v>62</v>
      </c>
      <c r="C395">
        <f t="shared" si="20"/>
        <v>60</v>
      </c>
      <c r="D395">
        <f>VLOOKUP(A395,怪物模型!A$15:Z$70,8,0)</f>
        <v>14</v>
      </c>
      <c r="E395">
        <f>VLOOKUP(A395,怪物模型!A$15:G$70,3,0)</f>
        <v>1</v>
      </c>
      <c r="F395">
        <f>VLOOKUP(A395,怪物模型!A$15:G$77,4,0)</f>
        <v>1</v>
      </c>
      <c r="G395">
        <v>1</v>
      </c>
      <c r="H395">
        <f>VLOOKUP(A395,怪物模型!A$15:G$77,5,0)</f>
        <v>0</v>
      </c>
      <c r="I395">
        <f>VLOOKUP(A395,怪物模型!A$15:G$77,6,0)</f>
        <v>0</v>
      </c>
      <c r="J395">
        <f>VLOOKUP(A395,怪物模型!A$15:G$77,7,0)</f>
        <v>0</v>
      </c>
      <c r="K395">
        <f>ROUND(VLOOKUP(C395,法师难度!A$1:C$135,3,0)/VLOOKUP(B395,怪物抗性与玩家穿透!A$2:Q$74,17,0)*F395,0)</f>
        <v>627449</v>
      </c>
      <c r="L395">
        <f>IF(A395="卡雷",42,IF(A395="法力风暴",ROUND(K395*0.1,0),VLOOKUP(A395,怪物模型!$A$15:$I$70,9,0)*(1+(B395-30)/100)))</f>
        <v>1320</v>
      </c>
      <c r="M395">
        <f>ROUND(VLOOKUP(C395,法师难度!A$1:C$135,2,0)*0.91*E395,0)</f>
        <v>14475</v>
      </c>
      <c r="N395">
        <f t="shared" si="18"/>
        <v>17370</v>
      </c>
      <c r="O395">
        <f>VLOOKUP(B395,怪物抗性与玩家穿透!A$2:Q$74,4,0)</f>
        <v>8500</v>
      </c>
      <c r="P395">
        <f>VLOOKUP(B395,怪物抗性与玩家穿透!A$2:Q$74,5,0)</f>
        <v>2550</v>
      </c>
      <c r="Q395">
        <f t="shared" si="19"/>
        <v>2550</v>
      </c>
      <c r="R395">
        <f>ROUND(VLOOKUP(B395,[3]battleParameter.xml!$A$6:$E$107,5,0)*(I395/100)/(1-I395/100),0)</f>
        <v>0</v>
      </c>
      <c r="S395">
        <f>ROUND(VLOOKUP(B395,[3]battleParameter.xml!$A$6:$G$107,7,0)*(J395/100)/(1-J395/100),0)</f>
        <v>0</v>
      </c>
      <c r="T395">
        <f>ROUND(VLOOKUP(B395,[3]battleParameter.xml!$A$6:$Z$107,8,0)*(MIN(H395/100+0.2,0.99))/(1-MIN(H395/100+0.2,0.99)),0)</f>
        <v>732</v>
      </c>
      <c r="U395">
        <v>0</v>
      </c>
      <c r="V395">
        <v>0</v>
      </c>
    </row>
    <row r="396" spans="1:22">
      <c r="A396" t="str">
        <f>[2]monster.xml!$D741</f>
        <v>暮光预言者</v>
      </c>
      <c r="B396">
        <f>[2]monster.xml!$C741</f>
        <v>62</v>
      </c>
      <c r="C396">
        <f t="shared" si="20"/>
        <v>61</v>
      </c>
      <c r="D396">
        <f>VLOOKUP(A396,怪物模型!A$15:Z$70,8,0)</f>
        <v>13</v>
      </c>
      <c r="E396">
        <f>VLOOKUP(A396,怪物模型!A$15:G$70,3,0)</f>
        <v>0.7</v>
      </c>
      <c r="F396">
        <f>VLOOKUP(A396,怪物模型!A$15:G$77,4,0)</f>
        <v>1</v>
      </c>
      <c r="G396">
        <v>1</v>
      </c>
      <c r="H396">
        <f>VLOOKUP(A396,怪物模型!A$15:G$77,5,0)</f>
        <v>0</v>
      </c>
      <c r="I396">
        <f>VLOOKUP(A396,怪物模型!A$15:G$77,6,0)</f>
        <v>0</v>
      </c>
      <c r="J396">
        <f>VLOOKUP(A396,怪物模型!A$15:G$77,7,0)</f>
        <v>0</v>
      </c>
      <c r="K396">
        <f>ROUND(VLOOKUP(C396,法师难度!A$1:C$135,3,0)/VLOOKUP(B396,怪物抗性与玩家穿透!A$2:Q$74,17,0)*F396,0)</f>
        <v>673159</v>
      </c>
      <c r="L396">
        <f>IF(A396="卡雷",42,IF(A396="法力风暴",ROUND(K396*0.1,0),VLOOKUP(A396,怪物模型!$A$15:$I$70,9,0)*(1+(B396-30)/100)))</f>
        <v>1056</v>
      </c>
      <c r="M396">
        <f>ROUND(VLOOKUP(C396,法师难度!A$1:C$135,2,0)*0.91*E396,0)</f>
        <v>10778</v>
      </c>
      <c r="N396">
        <f t="shared" si="18"/>
        <v>12934</v>
      </c>
      <c r="O396">
        <f>VLOOKUP(B396,怪物抗性与玩家穿透!A$2:Q$74,4,0)</f>
        <v>8500</v>
      </c>
      <c r="P396">
        <f>VLOOKUP(B396,怪物抗性与玩家穿透!A$2:Q$74,5,0)</f>
        <v>2550</v>
      </c>
      <c r="Q396">
        <f t="shared" si="19"/>
        <v>2550</v>
      </c>
      <c r="R396">
        <f>ROUND(VLOOKUP(B396,[3]battleParameter.xml!$A$6:$E$107,5,0)*(I396/100)/(1-I396/100),0)</f>
        <v>0</v>
      </c>
      <c r="S396">
        <f>ROUND(VLOOKUP(B396,[3]battleParameter.xml!$A$6:$G$107,7,0)*(J396/100)/(1-J396/100),0)</f>
        <v>0</v>
      </c>
      <c r="T396">
        <f>ROUND(VLOOKUP(B396,[3]battleParameter.xml!$A$6:$Z$107,8,0)*(MIN(H396/100+0.2,0.99))/(1-MIN(H396/100+0.2,0.99)),0)</f>
        <v>732</v>
      </c>
      <c r="U396">
        <v>0</v>
      </c>
      <c r="V396">
        <v>0</v>
      </c>
    </row>
    <row r="397" spans="1:22">
      <c r="A397" t="str">
        <f>[2]monster.xml!$D742</f>
        <v>卡雷</v>
      </c>
      <c r="B397">
        <f>[2]monster.xml!$C742</f>
        <v>63</v>
      </c>
      <c r="C397">
        <f t="shared" si="20"/>
        <v>62</v>
      </c>
      <c r="D397">
        <f>VLOOKUP(A397,怪物模型!A$15:Z$70,8,0)</f>
        <v>25</v>
      </c>
      <c r="E397">
        <f>VLOOKUP(A397,怪物模型!A$15:G$70,3,0)</f>
        <v>1.25</v>
      </c>
      <c r="F397">
        <f>VLOOKUP(A397,怪物模型!A$15:G$77,4,0)</f>
        <v>1</v>
      </c>
      <c r="G397">
        <v>1</v>
      </c>
      <c r="H397">
        <f>VLOOKUP(A397,怪物模型!A$15:G$77,5,0)</f>
        <v>13</v>
      </c>
      <c r="I397">
        <f>VLOOKUP(A397,怪物模型!A$15:G$77,6,0)</f>
        <v>0</v>
      </c>
      <c r="J397">
        <f>VLOOKUP(A397,怪物模型!A$15:G$77,7,0)</f>
        <v>0</v>
      </c>
      <c r="K397">
        <f>ROUND(VLOOKUP(C397,法师难度!A$1:C$135,3,0)/VLOOKUP(B397,怪物抗性与玩家穿透!A$2:Q$74,17,0)*F397,0)</f>
        <v>710282</v>
      </c>
      <c r="L397">
        <f>IF(A397="卡雷",42,IF(A397="法力风暴",ROUND(K397*0.1,0),VLOOKUP(A397,怪物模型!$A$15:$I$70,9,0)*(1+(B397-30)/100)))</f>
        <v>42</v>
      </c>
      <c r="M397">
        <f>ROUND(VLOOKUP(C397,法师难度!A$1:C$135,2,0)*0.91*E397,0)</f>
        <v>20472</v>
      </c>
      <c r="N397">
        <f t="shared" si="18"/>
        <v>24566</v>
      </c>
      <c r="O397">
        <f>VLOOKUP(B397,怪物抗性与玩家穿透!A$2:Q$74,4,0)</f>
        <v>9000</v>
      </c>
      <c r="P397">
        <f>VLOOKUP(B397,怪物抗性与玩家穿透!A$2:Q$74,5,0)</f>
        <v>2700</v>
      </c>
      <c r="Q397">
        <f t="shared" si="19"/>
        <v>2700</v>
      </c>
      <c r="R397">
        <f>ROUND(VLOOKUP(B397,[3]battleParameter.xml!$A$6:$E$107,5,0)*(I397/100)/(1-I397/100),0)</f>
        <v>0</v>
      </c>
      <c r="S397">
        <f>ROUND(VLOOKUP(B397,[3]battleParameter.xml!$A$6:$G$107,7,0)*(J397/100)/(1-J397/100),0)</f>
        <v>0</v>
      </c>
      <c r="T397">
        <f>ROUND(VLOOKUP(B397,[3]battleParameter.xml!$A$6:$Z$107,8,0)*(MIN(H397/100+0.2,0.99))/(1-MIN(H397/100+0.2,0.99)),0)</f>
        <v>1488</v>
      </c>
      <c r="U397">
        <v>0</v>
      </c>
      <c r="V397">
        <v>0</v>
      </c>
    </row>
    <row r="398" spans="1:22">
      <c r="A398" t="str">
        <f>[2]monster.xml!$D743</f>
        <v>日光弗雷尔</v>
      </c>
      <c r="B398">
        <f>[2]monster.xml!$C743</f>
        <v>64</v>
      </c>
      <c r="C398">
        <f t="shared" si="20"/>
        <v>63</v>
      </c>
      <c r="D398">
        <f>VLOOKUP(A398,怪物模型!A$15:Z$70,8,0)</f>
        <v>28</v>
      </c>
      <c r="E398">
        <f>VLOOKUP(A398,怪物模型!A$15:G$70,3,0)</f>
        <v>0.9</v>
      </c>
      <c r="F398">
        <f>VLOOKUP(A398,怪物模型!A$15:G$77,4,0)</f>
        <v>0.9</v>
      </c>
      <c r="G398">
        <v>1</v>
      </c>
      <c r="H398">
        <f>VLOOKUP(A398,怪物模型!A$15:G$77,5,0)</f>
        <v>13</v>
      </c>
      <c r="I398">
        <f>VLOOKUP(A398,怪物模型!A$15:G$77,6,0)</f>
        <v>0</v>
      </c>
      <c r="J398">
        <f>VLOOKUP(A398,怪物模型!A$15:G$77,7,0)</f>
        <v>0</v>
      </c>
      <c r="K398">
        <f>ROUND(VLOOKUP(C398,法师难度!A$1:C$135,3,0)/VLOOKUP(B398,怪物抗性与玩家穿透!A$2:Q$74,17,0)*F398,0)</f>
        <v>691506</v>
      </c>
      <c r="L398">
        <f>IF(A398="卡雷",42,IF(A398="法力风暴",ROUND(K398*0.1,0),VLOOKUP(A398,怪物模型!$A$15:$I$70,9,0)*(1+(B398-30)/100)))</f>
        <v>1340</v>
      </c>
      <c r="M398">
        <f>ROUND(VLOOKUP(C398,法师难度!A$1:C$135,2,0)*0.91*E398,0)</f>
        <v>16003</v>
      </c>
      <c r="N398">
        <f t="shared" si="18"/>
        <v>19204</v>
      </c>
      <c r="O398">
        <f>VLOOKUP(B398,怪物抗性与玩家穿透!A$2:Q$74,4,0)</f>
        <v>9500</v>
      </c>
      <c r="P398">
        <f>VLOOKUP(B398,怪物抗性与玩家穿透!A$2:Q$74,5,0)</f>
        <v>2850</v>
      </c>
      <c r="Q398">
        <f t="shared" si="19"/>
        <v>2850</v>
      </c>
      <c r="R398">
        <f>ROUND(VLOOKUP(B398,[3]battleParameter.xml!$A$6:$E$107,5,0)*(I398/100)/(1-I398/100),0)</f>
        <v>0</v>
      </c>
      <c r="S398">
        <f>ROUND(VLOOKUP(B398,[3]battleParameter.xml!$A$6:$G$107,7,0)*(J398/100)/(1-J398/100),0)</f>
        <v>0</v>
      </c>
      <c r="T398">
        <f>ROUND(VLOOKUP(B398,[3]battleParameter.xml!$A$6:$Z$107,8,0)*(MIN(H398/100+0.2,0.99))/(1-MIN(H398/100+0.2,0.99)),0)</f>
        <v>1535</v>
      </c>
      <c r="U398">
        <v>0</v>
      </c>
      <c r="V398">
        <v>0</v>
      </c>
    </row>
    <row r="399" spans="1:22">
      <c r="A399" t="str">
        <f>[2]monster.xml!$D744</f>
        <v>坚定的格雷格</v>
      </c>
      <c r="B399">
        <f>[2]monster.xml!$C744</f>
        <v>65</v>
      </c>
      <c r="C399">
        <f t="shared" si="20"/>
        <v>64</v>
      </c>
      <c r="D399">
        <f>VLOOKUP(A399,怪物模型!A$15:Z$70,8,0)</f>
        <v>3</v>
      </c>
      <c r="E399">
        <f>VLOOKUP(A399,怪物模型!A$15:G$70,3,0)</f>
        <v>0.7</v>
      </c>
      <c r="F399">
        <f>VLOOKUP(A399,怪物模型!A$15:G$77,4,0)</f>
        <v>0.8</v>
      </c>
      <c r="G399">
        <v>1</v>
      </c>
      <c r="H399">
        <f>VLOOKUP(A399,怪物模型!A$15:G$77,5,0)</f>
        <v>13</v>
      </c>
      <c r="I399">
        <f>VLOOKUP(A399,怪物模型!A$15:G$77,6,0)</f>
        <v>0</v>
      </c>
      <c r="J399">
        <f>VLOOKUP(A399,怪物模型!A$15:G$77,7,0)</f>
        <v>0</v>
      </c>
      <c r="K399">
        <f>ROUND(VLOOKUP(C399,法师难度!A$1:C$135,3,0)/VLOOKUP(B399,怪物抗性与玩家穿透!A$2:Q$74,17,0)*F399,0)</f>
        <v>477314</v>
      </c>
      <c r="L399">
        <f>IF(A399="卡雷",42,IF(A399="法力风暴",ROUND(K399*0.1,0),VLOOKUP(A399,怪物模型!$A$15:$I$70,9,0)*(1+(B399-30)/100)))</f>
        <v>810</v>
      </c>
      <c r="M399">
        <f>ROUND(VLOOKUP(C399,法师难度!A$1:C$135,2,0)*0.91*E399,0)</f>
        <v>11509</v>
      </c>
      <c r="N399">
        <f t="shared" si="18"/>
        <v>13811</v>
      </c>
      <c r="O399">
        <f>VLOOKUP(B399,怪物抗性与玩家穿透!A$2:Q$74,4,0)</f>
        <v>10000</v>
      </c>
      <c r="P399">
        <f>VLOOKUP(B399,怪物抗性与玩家穿透!A$2:Q$74,5,0)</f>
        <v>3000</v>
      </c>
      <c r="Q399">
        <f t="shared" si="19"/>
        <v>3000</v>
      </c>
      <c r="R399">
        <f>ROUND(VLOOKUP(B399,[3]battleParameter.xml!$A$6:$E$107,5,0)*(I399/100)/(1-I399/100),0)</f>
        <v>0</v>
      </c>
      <c r="S399">
        <f>ROUND(VLOOKUP(B399,[3]battleParameter.xml!$A$6:$G$107,7,0)*(J399/100)/(1-J399/100),0)</f>
        <v>0</v>
      </c>
      <c r="T399">
        <f>ROUND(VLOOKUP(B399,[3]battleParameter.xml!$A$6:$Z$107,8,0)*(MIN(H399/100+0.2,0.99))/(1-MIN(H399/100+0.2,0.99)),0)</f>
        <v>1584</v>
      </c>
      <c r="U399">
        <v>0</v>
      </c>
      <c r="V399">
        <v>0</v>
      </c>
    </row>
    <row r="400" spans="1:22">
      <c r="A400" t="str">
        <f>[2]monster.xml!$D745</f>
        <v>赛琳娜的倒影</v>
      </c>
      <c r="B400">
        <f>[2]monster.xml!$C745</f>
        <v>65</v>
      </c>
      <c r="C400">
        <f t="shared" si="20"/>
        <v>65</v>
      </c>
      <c r="D400" t="str">
        <f>VLOOKUP(A400,怪物模型!A$15:Z$70,8,0)</f>
        <v>26,24</v>
      </c>
      <c r="E400">
        <f>VLOOKUP(A400,怪物模型!A$15:G$70,3,0)</f>
        <v>1.2</v>
      </c>
      <c r="F400">
        <f>VLOOKUP(A400,怪物模型!A$15:G$77,4,0)</f>
        <v>1</v>
      </c>
      <c r="G400">
        <v>1</v>
      </c>
      <c r="H400">
        <f>VLOOKUP(A400,怪物模型!A$15:G$77,5,0)</f>
        <v>13</v>
      </c>
      <c r="I400">
        <f>VLOOKUP(A400,怪物模型!A$15:G$77,6,0)</f>
        <v>0</v>
      </c>
      <c r="J400">
        <f>VLOOKUP(A400,怪物模型!A$15:G$77,7,0)</f>
        <v>0</v>
      </c>
      <c r="K400">
        <f>ROUND(VLOOKUP(C400,法师难度!A$1:C$135,3,0)/VLOOKUP(B400,怪物抗性与玩家穿透!A$2:Q$74,17,0)*F400,0)</f>
        <v>646819</v>
      </c>
      <c r="L400">
        <f>IF(A400="卡雷",42,IF(A400="法力风暴",ROUND(K400*0.1,0),VLOOKUP(A400,怪物模型!$A$15:$I$70,9,0)*(1+(B400-30)/100)))</f>
        <v>1350</v>
      </c>
      <c r="M400">
        <f>ROUND(VLOOKUP(C400,法师难度!A$1:C$135,2,0)*0.91*E400,0)</f>
        <v>21354</v>
      </c>
      <c r="N400">
        <f t="shared" si="18"/>
        <v>25625</v>
      </c>
      <c r="O400">
        <f>VLOOKUP(B400,怪物抗性与玩家穿透!A$2:Q$74,4,0)</f>
        <v>10000</v>
      </c>
      <c r="P400">
        <f>VLOOKUP(B400,怪物抗性与玩家穿透!A$2:Q$74,5,0)</f>
        <v>3000</v>
      </c>
      <c r="Q400">
        <f t="shared" si="19"/>
        <v>3000</v>
      </c>
      <c r="R400">
        <f>ROUND(VLOOKUP(B400,[3]battleParameter.xml!$A$6:$E$107,5,0)*(I400/100)/(1-I400/100),0)</f>
        <v>0</v>
      </c>
      <c r="S400">
        <f>ROUND(VLOOKUP(B400,[3]battleParameter.xml!$A$6:$G$107,7,0)*(J400/100)/(1-J400/100),0)</f>
        <v>0</v>
      </c>
      <c r="T400">
        <f>ROUND(VLOOKUP(B400,[3]battleParameter.xml!$A$6:$Z$107,8,0)*(MIN(H400/100+0.2,0.99))/(1-MIN(H400/100+0.2,0.99)),0)</f>
        <v>1584</v>
      </c>
      <c r="U400">
        <v>0</v>
      </c>
      <c r="V400">
        <v>0</v>
      </c>
    </row>
    <row r="401" spans="1:22">
      <c r="A401" t="str">
        <f>[2]monster.xml!$D746</f>
        <v>幻术师艾莉</v>
      </c>
      <c r="B401">
        <f>[2]monster.xml!$C746</f>
        <v>66</v>
      </c>
      <c r="C401">
        <f t="shared" si="20"/>
        <v>66</v>
      </c>
      <c r="D401">
        <f>VLOOKUP(A401,怪物模型!A$15:Z$70,8,0)</f>
        <v>20</v>
      </c>
      <c r="E401">
        <f>VLOOKUP(A401,怪物模型!A$15:G$70,3,0)</f>
        <v>1.2</v>
      </c>
      <c r="F401">
        <f>VLOOKUP(A401,怪物模型!A$15:G$77,4,0)</f>
        <v>0.75</v>
      </c>
      <c r="G401">
        <v>1</v>
      </c>
      <c r="H401">
        <f>VLOOKUP(A401,怪物模型!A$15:G$77,5,0)</f>
        <v>0</v>
      </c>
      <c r="I401">
        <f>VLOOKUP(A401,怪物模型!A$15:G$77,6,0)</f>
        <v>0</v>
      </c>
      <c r="J401">
        <f>VLOOKUP(A401,怪物模型!A$15:G$77,7,0)</f>
        <v>0</v>
      </c>
      <c r="K401">
        <f>ROUND(VLOOKUP(C401,法师难度!A$1:C$135,3,0)/VLOOKUP(B401,怪物抗性与玩家穿透!A$2:Q$74,17,0)*F401,0)</f>
        <v>533462</v>
      </c>
      <c r="L401">
        <f>IF(A401="卡雷",42,IF(A401="法力风暴",ROUND(K401*0.1,0),VLOOKUP(A401,怪物模型!$A$15:$I$70,9,0)*(1+(B401-30)/100)))</f>
        <v>2176</v>
      </c>
      <c r="M401">
        <f>ROUND(VLOOKUP(C401,法师难度!A$1:C$135,2,0)*0.91*E401,0)</f>
        <v>23731</v>
      </c>
      <c r="N401">
        <f t="shared" si="18"/>
        <v>28477</v>
      </c>
      <c r="O401">
        <f>VLOOKUP(B401,怪物抗性与玩家穿透!A$2:Q$74,4,0)</f>
        <v>10500</v>
      </c>
      <c r="P401">
        <f>VLOOKUP(B401,怪物抗性与玩家穿透!A$2:Q$74,5,0)</f>
        <v>3150</v>
      </c>
      <c r="Q401">
        <f t="shared" si="19"/>
        <v>3150</v>
      </c>
      <c r="R401">
        <f>ROUND(VLOOKUP(B401,[3]battleParameter.xml!$A$6:$E$107,5,0)*(I401/100)/(1-I401/100),0)</f>
        <v>0</v>
      </c>
      <c r="S401">
        <f>ROUND(VLOOKUP(B401,[3]battleParameter.xml!$A$6:$G$107,7,0)*(J401/100)/(1-J401/100),0)</f>
        <v>0</v>
      </c>
      <c r="T401">
        <f>ROUND(VLOOKUP(B401,[3]battleParameter.xml!$A$6:$Z$107,8,0)*(MIN(H401/100+0.2,0.99))/(1-MIN(H401/100+0.2,0.99)),0)</f>
        <v>828</v>
      </c>
      <c r="U401">
        <v>0</v>
      </c>
      <c r="V401">
        <v>0</v>
      </c>
    </row>
    <row r="402" spans="1:22">
      <c r="A402" t="str">
        <f>[2]monster.xml!$D747</f>
        <v>驯兽师瓦纳</v>
      </c>
      <c r="B402">
        <f>[2]monster.xml!$C747</f>
        <v>66</v>
      </c>
      <c r="C402">
        <f t="shared" si="20"/>
        <v>67</v>
      </c>
      <c r="D402">
        <f>VLOOKUP(A402,怪物模型!A$15:Z$70,8,0)</f>
        <v>2</v>
      </c>
      <c r="E402">
        <f>VLOOKUP(A402,怪物模型!A$15:G$70,3,0)</f>
        <v>0.6</v>
      </c>
      <c r="F402">
        <f>VLOOKUP(A402,怪物模型!A$15:G$77,4,0)</f>
        <v>0.6</v>
      </c>
      <c r="G402">
        <v>1</v>
      </c>
      <c r="H402">
        <f>VLOOKUP(A402,怪物模型!A$15:G$77,5,0)</f>
        <v>13</v>
      </c>
      <c r="I402">
        <f>VLOOKUP(A402,怪物模型!A$15:G$77,6,0)</f>
        <v>0</v>
      </c>
      <c r="J402">
        <f>VLOOKUP(A402,怪物模型!A$15:G$77,7,0)</f>
        <v>0</v>
      </c>
      <c r="K402">
        <f>ROUND(VLOOKUP(C402,法师难度!A$1:C$135,3,0)/VLOOKUP(B402,怪物抗性与玩家穿透!A$2:Q$74,17,0)*F402,0)</f>
        <v>454776</v>
      </c>
      <c r="L402">
        <f>IF(A402="卡雷",42,IF(A402="法力风暴",ROUND(K402*0.1,0),VLOOKUP(A402,怪物模型!$A$15:$I$70,9,0)*(1+(B402-30)/100)))</f>
        <v>1088</v>
      </c>
      <c r="M402">
        <f>ROUND(VLOOKUP(C402,法师难度!A$1:C$135,2,0)*0.91*E402,0)</f>
        <v>12632</v>
      </c>
      <c r="N402">
        <f t="shared" si="18"/>
        <v>15158</v>
      </c>
      <c r="O402">
        <f>VLOOKUP(B402,怪物抗性与玩家穿透!A$2:Q$74,4,0)</f>
        <v>10500</v>
      </c>
      <c r="P402">
        <f>VLOOKUP(B402,怪物抗性与玩家穿透!A$2:Q$74,5,0)</f>
        <v>3150</v>
      </c>
      <c r="Q402">
        <f t="shared" si="19"/>
        <v>3150</v>
      </c>
      <c r="R402">
        <f>ROUND(VLOOKUP(B402,[3]battleParameter.xml!$A$6:$E$107,5,0)*(I402/100)/(1-I402/100),0)</f>
        <v>0</v>
      </c>
      <c r="S402">
        <f>ROUND(VLOOKUP(B402,[3]battleParameter.xml!$A$6:$G$107,7,0)*(J402/100)/(1-J402/100),0)</f>
        <v>0</v>
      </c>
      <c r="T402">
        <f>ROUND(VLOOKUP(B402,[3]battleParameter.xml!$A$6:$Z$107,8,0)*(MIN(H402/100+0.2,0.99))/(1-MIN(H402/100+0.2,0.99)),0)</f>
        <v>1632</v>
      </c>
      <c r="U402">
        <v>0</v>
      </c>
      <c r="V402">
        <v>0</v>
      </c>
    </row>
    <row r="403" spans="1:22">
      <c r="A403" t="str">
        <f>[2]monster.xml!$D748</f>
        <v>多兰</v>
      </c>
      <c r="B403">
        <f>[2]monster.xml!$C748</f>
        <v>66</v>
      </c>
      <c r="C403">
        <f t="shared" si="20"/>
        <v>67</v>
      </c>
      <c r="D403">
        <f>VLOOKUP(A403,怪物模型!A$15:Z$70,8,0)</f>
        <v>9</v>
      </c>
      <c r="E403">
        <f>VLOOKUP(A403,怪物模型!A$15:G$70,3,0)</f>
        <v>0.35</v>
      </c>
      <c r="F403">
        <f>VLOOKUP(A403,怪物模型!A$15:G$77,4,0)</f>
        <v>0.28000000000000003</v>
      </c>
      <c r="G403">
        <v>1</v>
      </c>
      <c r="H403">
        <f>VLOOKUP(A403,怪物模型!A$15:G$77,5,0)</f>
        <v>13</v>
      </c>
      <c r="I403">
        <f>VLOOKUP(A403,怪物模型!A$15:G$77,6,0)</f>
        <v>0</v>
      </c>
      <c r="J403">
        <f>VLOOKUP(A403,怪物模型!A$15:G$77,7,0)</f>
        <v>0</v>
      </c>
      <c r="K403">
        <f>ROUND(VLOOKUP(C403,法师难度!A$1:C$135,3,0)/VLOOKUP(B403,怪物抗性与玩家穿透!A$2:Q$74,17,0)*F403,0)</f>
        <v>212229</v>
      </c>
      <c r="L403">
        <f>IF(A403="卡雷",42,IF(A403="法力风暴",ROUND(K403*0.1,0),VLOOKUP(A403,怪物模型!$A$15:$I$70,9,0)*(1+(B403-30)/100)))</f>
        <v>1359.9999999999998</v>
      </c>
      <c r="M403">
        <f>ROUND(VLOOKUP(C403,法师难度!A$1:C$135,2,0)*0.91*E403,0)</f>
        <v>7368</v>
      </c>
      <c r="N403">
        <f t="shared" si="18"/>
        <v>8842</v>
      </c>
      <c r="O403">
        <f>VLOOKUP(B403,怪物抗性与玩家穿透!A$2:Q$74,4,0)</f>
        <v>10500</v>
      </c>
      <c r="P403">
        <f>VLOOKUP(B403,怪物抗性与玩家穿透!A$2:Q$74,5,0)</f>
        <v>3150</v>
      </c>
      <c r="Q403">
        <f t="shared" si="19"/>
        <v>3150</v>
      </c>
      <c r="R403">
        <f>ROUND(VLOOKUP(B403,[3]battleParameter.xml!$A$6:$E$107,5,0)*(I403/100)/(1-I403/100),0)</f>
        <v>0</v>
      </c>
      <c r="S403">
        <f>ROUND(VLOOKUP(B403,[3]battleParameter.xml!$A$6:$G$107,7,0)*(J403/100)/(1-J403/100),0)</f>
        <v>0</v>
      </c>
      <c r="T403">
        <f>ROUND(VLOOKUP(B403,[3]battleParameter.xml!$A$6:$Z$107,8,0)*(MIN(H403/100+0.2,0.99))/(1-MIN(H403/100+0.2,0.99)),0)</f>
        <v>1632</v>
      </c>
      <c r="U403">
        <v>0</v>
      </c>
      <c r="V403">
        <v>0</v>
      </c>
    </row>
    <row r="404" spans="1:22">
      <c r="A404" t="str">
        <f>[2]monster.xml!$D749</f>
        <v>约翰</v>
      </c>
      <c r="B404">
        <f>[2]monster.xml!$C749</f>
        <v>66</v>
      </c>
      <c r="C404">
        <f t="shared" si="20"/>
        <v>67</v>
      </c>
      <c r="D404">
        <f>VLOOKUP(A404,怪物模型!A$15:Z$70,8,0)</f>
        <v>10</v>
      </c>
      <c r="E404">
        <f>VLOOKUP(A404,怪物模型!A$15:G$70,3,0)</f>
        <v>0.35</v>
      </c>
      <c r="F404">
        <f>VLOOKUP(A404,怪物模型!A$15:G$77,4,0)</f>
        <v>0.28000000000000003</v>
      </c>
      <c r="G404">
        <v>1</v>
      </c>
      <c r="H404">
        <f>VLOOKUP(A404,怪物模型!A$15:G$77,5,0)</f>
        <v>13</v>
      </c>
      <c r="I404">
        <f>VLOOKUP(A404,怪物模型!A$15:G$77,6,0)</f>
        <v>0</v>
      </c>
      <c r="J404">
        <f>VLOOKUP(A404,怪物模型!A$15:G$77,7,0)</f>
        <v>0</v>
      </c>
      <c r="K404">
        <f>ROUND(VLOOKUP(C404,法师难度!A$1:C$135,3,0)/VLOOKUP(B404,怪物抗性与玩家穿透!A$2:Q$74,17,0)*F404,0)</f>
        <v>212229</v>
      </c>
      <c r="L404">
        <f>IF(A404="卡雷",42,IF(A404="法力风暴",ROUND(K404*0.1,0),VLOOKUP(A404,怪物模型!$A$15:$I$70,9,0)*(1+(B404-30)/100)))</f>
        <v>1359.9999999999998</v>
      </c>
      <c r="M404">
        <f>ROUND(VLOOKUP(C404,法师难度!A$1:C$135,2,0)*0.91*E404,0)</f>
        <v>7368</v>
      </c>
      <c r="N404">
        <f t="shared" si="18"/>
        <v>8842</v>
      </c>
      <c r="O404">
        <f>VLOOKUP(B404,怪物抗性与玩家穿透!A$2:Q$74,4,0)</f>
        <v>10500</v>
      </c>
      <c r="P404">
        <f>VLOOKUP(B404,怪物抗性与玩家穿透!A$2:Q$74,5,0)</f>
        <v>3150</v>
      </c>
      <c r="Q404">
        <f t="shared" si="19"/>
        <v>3150</v>
      </c>
      <c r="R404">
        <f>ROUND(VLOOKUP(B404,[3]battleParameter.xml!$A$6:$E$107,5,0)*(I404/100)/(1-I404/100),0)</f>
        <v>0</v>
      </c>
      <c r="S404">
        <f>ROUND(VLOOKUP(B404,[3]battleParameter.xml!$A$6:$G$107,7,0)*(J404/100)/(1-J404/100),0)</f>
        <v>0</v>
      </c>
      <c r="T404">
        <f>ROUND(VLOOKUP(B404,[3]battleParameter.xml!$A$6:$Z$107,8,0)*(MIN(H404/100+0.2,0.99))/(1-MIN(H404/100+0.2,0.99)),0)</f>
        <v>1632</v>
      </c>
      <c r="U404">
        <v>0</v>
      </c>
      <c r="V404">
        <v>0</v>
      </c>
    </row>
    <row r="405" spans="1:22">
      <c r="A405" t="str">
        <f>[2]monster.xml!$D750</f>
        <v>炎之安苏</v>
      </c>
      <c r="B405">
        <f>[2]monster.xml!$C750</f>
        <v>66</v>
      </c>
      <c r="C405">
        <f t="shared" si="20"/>
        <v>68</v>
      </c>
      <c r="D405">
        <f>VLOOKUP(A405,怪物模型!A$15:Z$70,8,0)</f>
        <v>21</v>
      </c>
      <c r="E405">
        <f>VLOOKUP(A405,怪物模型!A$15:G$70,3,0)</f>
        <v>1</v>
      </c>
      <c r="F405">
        <f>VLOOKUP(A405,怪物模型!A$15:G$77,4,0)</f>
        <v>0.95</v>
      </c>
      <c r="G405">
        <v>1</v>
      </c>
      <c r="H405">
        <f>VLOOKUP(A405,怪物模型!A$15:G$77,5,0)</f>
        <v>13</v>
      </c>
      <c r="I405">
        <f>VLOOKUP(A405,怪物模型!A$15:G$77,6,0)</f>
        <v>0</v>
      </c>
      <c r="J405">
        <f>VLOOKUP(A405,怪物模型!A$15:G$77,7,0)</f>
        <v>0</v>
      </c>
      <c r="K405">
        <f>ROUND(VLOOKUP(C405,法师难度!A$1:C$135,3,0)/VLOOKUP(B405,怪物抗性与玩家穿透!A$2:Q$74,17,0)*F405,0)</f>
        <v>767314</v>
      </c>
      <c r="L405">
        <f>IF(A405="卡雷",42,IF(A405="法力风暴",ROUND(K405*0.1,0),VLOOKUP(A405,怪物模型!$A$15:$I$70,9,0)*(1+(B405-30)/100)))</f>
        <v>1359.9999999999998</v>
      </c>
      <c r="M405">
        <f>ROUND(VLOOKUP(C405,法师难度!A$1:C$135,2,0)*0.91*E405,0)</f>
        <v>22412</v>
      </c>
      <c r="N405">
        <f t="shared" si="18"/>
        <v>26894</v>
      </c>
      <c r="O405">
        <f>VLOOKUP(B405,怪物抗性与玩家穿透!A$2:Q$74,4,0)</f>
        <v>10500</v>
      </c>
      <c r="P405">
        <f>VLOOKUP(B405,怪物抗性与玩家穿透!A$2:Q$74,5,0)</f>
        <v>3150</v>
      </c>
      <c r="Q405">
        <f t="shared" si="19"/>
        <v>3150</v>
      </c>
      <c r="R405">
        <f>ROUND(VLOOKUP(B405,[3]battleParameter.xml!$A$6:$E$107,5,0)*(I405/100)/(1-I405/100),0)</f>
        <v>0</v>
      </c>
      <c r="S405">
        <f>ROUND(VLOOKUP(B405,[3]battleParameter.xml!$A$6:$G$107,7,0)*(J405/100)/(1-J405/100),0)</f>
        <v>0</v>
      </c>
      <c r="T405">
        <f>ROUND(VLOOKUP(B405,[3]battleParameter.xml!$A$6:$Z$107,8,0)*(MIN(H405/100+0.2,0.99))/(1-MIN(H405/100+0.2,0.99)),0)</f>
        <v>1632</v>
      </c>
      <c r="U405">
        <v>0</v>
      </c>
      <c r="V405">
        <v>0</v>
      </c>
    </row>
    <row r="406" spans="1:22">
      <c r="A406" t="str">
        <f>[2]monster.xml!$D751</f>
        <v>迅捷的维恩</v>
      </c>
      <c r="B406">
        <f>[2]monster.xml!$C751</f>
        <v>67</v>
      </c>
      <c r="C406">
        <f t="shared" si="20"/>
        <v>69</v>
      </c>
      <c r="D406">
        <f>VLOOKUP(A406,怪物模型!A$15:Z$70,8,0)</f>
        <v>14</v>
      </c>
      <c r="E406">
        <f>VLOOKUP(A406,怪物模型!A$15:G$70,3,0)</f>
        <v>1</v>
      </c>
      <c r="F406">
        <f>VLOOKUP(A406,怪物模型!A$15:G$77,4,0)</f>
        <v>1</v>
      </c>
      <c r="G406">
        <v>1</v>
      </c>
      <c r="H406">
        <f>VLOOKUP(A406,怪物模型!A$15:G$77,5,0)</f>
        <v>0</v>
      </c>
      <c r="I406">
        <f>VLOOKUP(A406,怪物模型!A$15:G$77,6,0)</f>
        <v>0</v>
      </c>
      <c r="J406">
        <f>VLOOKUP(A406,怪物模型!A$15:G$77,7,0)</f>
        <v>0</v>
      </c>
      <c r="K406">
        <f>ROUND(VLOOKUP(C406,法师难度!A$1:C$135,3,0)/VLOOKUP(B406,怪物抗性与玩家穿透!A$2:Q$74,17,0)*F406,0)</f>
        <v>869033</v>
      </c>
      <c r="L406">
        <f>IF(A406="卡雷",42,IF(A406="法力风暴",ROUND(K406*0.1,0),VLOOKUP(A406,怪物模型!$A$15:$I$70,9,0)*(1+(B406-30)/100)))</f>
        <v>1370</v>
      </c>
      <c r="M406">
        <f>ROUND(VLOOKUP(C406,法师难度!A$1:C$135,2,0)*0.91*E406,0)</f>
        <v>24363</v>
      </c>
      <c r="N406">
        <f t="shared" si="18"/>
        <v>29236</v>
      </c>
      <c r="O406">
        <f>VLOOKUP(B406,怪物抗性与玩家穿透!A$2:Q$74,4,0)</f>
        <v>11000</v>
      </c>
      <c r="P406">
        <f>VLOOKUP(B406,怪物抗性与玩家穿透!A$2:Q$74,5,0)</f>
        <v>3300</v>
      </c>
      <c r="Q406">
        <f t="shared" si="19"/>
        <v>3300</v>
      </c>
      <c r="R406">
        <f>ROUND(VLOOKUP(B406,[3]battleParameter.xml!$A$6:$E$107,5,0)*(I406/100)/(1-I406/100),0)</f>
        <v>0</v>
      </c>
      <c r="S406">
        <f>ROUND(VLOOKUP(B406,[3]battleParameter.xml!$A$6:$G$107,7,0)*(J406/100)/(1-J406/100),0)</f>
        <v>0</v>
      </c>
      <c r="T406">
        <f>ROUND(VLOOKUP(B406,[3]battleParameter.xml!$A$6:$Z$107,8,0)*(MIN(H406/100+0.2,0.99))/(1-MIN(H406/100+0.2,0.99)),0)</f>
        <v>854</v>
      </c>
      <c r="U406">
        <v>0</v>
      </c>
      <c r="V406">
        <v>0</v>
      </c>
    </row>
    <row r="407" spans="1:22">
      <c r="A407" t="str">
        <f>[2]monster.xml!$D752</f>
        <v>暮光预言者</v>
      </c>
      <c r="B407">
        <f>[2]monster.xml!$C752</f>
        <v>67</v>
      </c>
      <c r="C407">
        <f t="shared" si="20"/>
        <v>70</v>
      </c>
      <c r="D407">
        <f>VLOOKUP(A407,怪物模型!A$15:Z$70,8,0)</f>
        <v>13</v>
      </c>
      <c r="E407">
        <f>VLOOKUP(A407,怪物模型!A$15:G$70,3,0)</f>
        <v>0.7</v>
      </c>
      <c r="F407">
        <f>VLOOKUP(A407,怪物模型!A$15:G$77,4,0)</f>
        <v>1</v>
      </c>
      <c r="G407">
        <v>1</v>
      </c>
      <c r="H407">
        <f>VLOOKUP(A407,怪物模型!A$15:G$77,5,0)</f>
        <v>0</v>
      </c>
      <c r="I407">
        <f>VLOOKUP(A407,怪物模型!A$15:G$77,6,0)</f>
        <v>0</v>
      </c>
      <c r="J407">
        <f>VLOOKUP(A407,怪物模型!A$15:G$77,7,0)</f>
        <v>0</v>
      </c>
      <c r="K407">
        <f>ROUND(VLOOKUP(C407,法师难度!A$1:C$135,3,0)/VLOOKUP(B407,怪物抗性与玩家穿透!A$2:Q$74,17,0)*F407,0)</f>
        <v>930217</v>
      </c>
      <c r="L407">
        <f>IF(A407="卡雷",42,IF(A407="法力风暴",ROUND(K407*0.1,0),VLOOKUP(A407,怪物模型!$A$15:$I$70,9,0)*(1+(B407-30)/100)))</f>
        <v>1096</v>
      </c>
      <c r="M407">
        <f>ROUND(VLOOKUP(C407,法师难度!A$1:C$135,2,0)*0.91*E407,0)</f>
        <v>18239</v>
      </c>
      <c r="N407">
        <f t="shared" si="18"/>
        <v>21887</v>
      </c>
      <c r="O407">
        <f>VLOOKUP(B407,怪物抗性与玩家穿透!A$2:Q$74,4,0)</f>
        <v>11000</v>
      </c>
      <c r="P407">
        <f>VLOOKUP(B407,怪物抗性与玩家穿透!A$2:Q$74,5,0)</f>
        <v>3300</v>
      </c>
      <c r="Q407">
        <f t="shared" si="19"/>
        <v>3300</v>
      </c>
      <c r="R407">
        <f>ROUND(VLOOKUP(B407,[3]battleParameter.xml!$A$6:$E$107,5,0)*(I407/100)/(1-I407/100),0)</f>
        <v>0</v>
      </c>
      <c r="S407">
        <f>ROUND(VLOOKUP(B407,[3]battleParameter.xml!$A$6:$G$107,7,0)*(J407/100)/(1-J407/100),0)</f>
        <v>0</v>
      </c>
      <c r="T407">
        <f>ROUND(VLOOKUP(B407,[3]battleParameter.xml!$A$6:$Z$107,8,0)*(MIN(H407/100+0.2,0.99))/(1-MIN(H407/100+0.2,0.99)),0)</f>
        <v>854</v>
      </c>
      <c r="U407">
        <v>0</v>
      </c>
      <c r="V407">
        <v>0</v>
      </c>
    </row>
    <row r="408" spans="1:22">
      <c r="A408" t="str">
        <f>[2]monster.xml!$D753</f>
        <v>卡雷</v>
      </c>
      <c r="B408">
        <f>[2]monster.xml!$C753</f>
        <v>68</v>
      </c>
      <c r="C408">
        <f t="shared" si="20"/>
        <v>71</v>
      </c>
      <c r="D408">
        <f>VLOOKUP(A408,怪物模型!A$15:Z$70,8,0)</f>
        <v>25</v>
      </c>
      <c r="E408">
        <f>VLOOKUP(A408,怪物模型!A$15:G$70,3,0)</f>
        <v>1.25</v>
      </c>
      <c r="F408">
        <f>VLOOKUP(A408,怪物模型!A$15:G$77,4,0)</f>
        <v>1</v>
      </c>
      <c r="G408">
        <v>1</v>
      </c>
      <c r="H408">
        <f>VLOOKUP(A408,怪物模型!A$15:G$77,5,0)</f>
        <v>13</v>
      </c>
      <c r="I408">
        <f>VLOOKUP(A408,怪物模型!A$15:G$77,6,0)</f>
        <v>0</v>
      </c>
      <c r="J408">
        <f>VLOOKUP(A408,怪物模型!A$15:G$77,7,0)</f>
        <v>0</v>
      </c>
      <c r="K408">
        <f>ROUND(VLOOKUP(C408,法师难度!A$1:C$135,3,0)/VLOOKUP(B408,怪物抗性与玩家穿透!A$2:Q$74,17,0)*F408,0)</f>
        <v>985271</v>
      </c>
      <c r="L408">
        <f>IF(A408="卡雷",42,IF(A408="法力风暴",ROUND(K408*0.1,0),VLOOKUP(A408,怪物模型!$A$15:$I$70,9,0)*(1+(B408-30)/100)))</f>
        <v>42</v>
      </c>
      <c r="M408">
        <f>ROUND(VLOOKUP(C408,法师难度!A$1:C$135,2,0)*0.91*E408,0)</f>
        <v>34833</v>
      </c>
      <c r="N408">
        <f t="shared" si="18"/>
        <v>41800</v>
      </c>
      <c r="O408">
        <f>VLOOKUP(B408,怪物抗性与玩家穿透!A$2:Q$74,4,0)</f>
        <v>11500</v>
      </c>
      <c r="P408">
        <f>VLOOKUP(B408,怪物抗性与玩家穿透!A$2:Q$74,5,0)</f>
        <v>3450</v>
      </c>
      <c r="Q408">
        <f t="shared" si="19"/>
        <v>3450</v>
      </c>
      <c r="R408">
        <f>ROUND(VLOOKUP(B408,[3]battleParameter.xml!$A$6:$E$107,5,0)*(I408/100)/(1-I408/100),0)</f>
        <v>0</v>
      </c>
      <c r="S408">
        <f>ROUND(VLOOKUP(B408,[3]battleParameter.xml!$A$6:$G$107,7,0)*(J408/100)/(1-J408/100),0)</f>
        <v>0</v>
      </c>
      <c r="T408">
        <f>ROUND(VLOOKUP(B408,[3]battleParameter.xml!$A$6:$Z$107,8,0)*(MIN(H408/100+0.2,0.99))/(1-MIN(H408/100+0.2,0.99)),0)</f>
        <v>1731</v>
      </c>
      <c r="U408">
        <v>0</v>
      </c>
      <c r="V408">
        <v>0</v>
      </c>
    </row>
    <row r="409" spans="1:22">
      <c r="A409" t="str">
        <f>[2]monster.xml!$D754</f>
        <v>日光弗雷尔</v>
      </c>
      <c r="B409">
        <f>[2]monster.xml!$C754</f>
        <v>69</v>
      </c>
      <c r="C409">
        <f t="shared" si="20"/>
        <v>72</v>
      </c>
      <c r="D409">
        <f>VLOOKUP(A409,怪物模型!A$15:Z$70,8,0)</f>
        <v>28</v>
      </c>
      <c r="E409">
        <f>VLOOKUP(A409,怪物模型!A$15:G$70,3,0)</f>
        <v>0.9</v>
      </c>
      <c r="F409">
        <f>VLOOKUP(A409,怪物模型!A$15:G$77,4,0)</f>
        <v>0.9</v>
      </c>
      <c r="G409">
        <v>1</v>
      </c>
      <c r="H409">
        <f>VLOOKUP(A409,怪物模型!A$15:G$77,5,0)</f>
        <v>13</v>
      </c>
      <c r="I409">
        <f>VLOOKUP(A409,怪物模型!A$15:G$77,6,0)</f>
        <v>0</v>
      </c>
      <c r="J409">
        <f>VLOOKUP(A409,怪物模型!A$15:G$77,7,0)</f>
        <v>0</v>
      </c>
      <c r="K409">
        <f>ROUND(VLOOKUP(C409,法师难度!A$1:C$135,3,0)/VLOOKUP(B409,怪物抗性与玩家穿透!A$2:Q$74,17,0)*F409,0)</f>
        <v>961666</v>
      </c>
      <c r="L409">
        <f>IF(A409="卡雷",42,IF(A409="法力风暴",ROUND(K409*0.1,0),VLOOKUP(A409,怪物模型!$A$15:$I$70,9,0)*(1+(B409-30)/100)))</f>
        <v>1390.0000000000002</v>
      </c>
      <c r="M409">
        <f>ROUND(VLOOKUP(C409,法师难度!A$1:C$135,2,0)*0.91*E409,0)</f>
        <v>27430</v>
      </c>
      <c r="N409">
        <f t="shared" si="18"/>
        <v>32916</v>
      </c>
      <c r="O409">
        <f>VLOOKUP(B409,怪物抗性与玩家穿透!A$2:Q$74,4,0)</f>
        <v>12000</v>
      </c>
      <c r="P409">
        <f>VLOOKUP(B409,怪物抗性与玩家穿透!A$2:Q$74,5,0)</f>
        <v>3600</v>
      </c>
      <c r="Q409">
        <f t="shared" si="19"/>
        <v>3600</v>
      </c>
      <c r="R409">
        <f>ROUND(VLOOKUP(B409,[3]battleParameter.xml!$A$6:$E$107,5,0)*(I409/100)/(1-I409/100),0)</f>
        <v>0</v>
      </c>
      <c r="S409">
        <f>ROUND(VLOOKUP(B409,[3]battleParameter.xml!$A$6:$G$107,7,0)*(J409/100)/(1-J409/100),0)</f>
        <v>0</v>
      </c>
      <c r="T409">
        <f>ROUND(VLOOKUP(B409,[3]battleParameter.xml!$A$6:$Z$107,8,0)*(MIN(H409/100+0.2,0.99))/(1-MIN(H409/100+0.2,0.99)),0)</f>
        <v>1782</v>
      </c>
      <c r="U409">
        <v>0</v>
      </c>
      <c r="V409">
        <v>0</v>
      </c>
    </row>
    <row r="410" spans="1:22">
      <c r="A410" t="str">
        <f>[2]monster.xml!$D755</f>
        <v>坚定的格雷格</v>
      </c>
      <c r="B410">
        <f>[2]monster.xml!$C755</f>
        <v>70</v>
      </c>
      <c r="C410">
        <f t="shared" si="20"/>
        <v>73</v>
      </c>
      <c r="D410">
        <f>VLOOKUP(A410,怪物模型!A$15:Z$70,8,0)</f>
        <v>3</v>
      </c>
      <c r="E410">
        <f>VLOOKUP(A410,怪物模型!A$15:G$70,3,0)</f>
        <v>0.7</v>
      </c>
      <c r="F410">
        <f>VLOOKUP(A410,怪物模型!A$15:G$77,4,0)</f>
        <v>0.8</v>
      </c>
      <c r="G410">
        <v>1</v>
      </c>
      <c r="H410">
        <f>VLOOKUP(A410,怪物模型!A$15:G$77,5,0)</f>
        <v>13</v>
      </c>
      <c r="I410">
        <f>VLOOKUP(A410,怪物模型!A$15:G$77,6,0)</f>
        <v>0</v>
      </c>
      <c r="J410">
        <f>VLOOKUP(A410,怪物模型!A$15:G$77,7,0)</f>
        <v>0</v>
      </c>
      <c r="K410">
        <f>ROUND(VLOOKUP(C410,法师难度!A$1:C$135,3,0)/VLOOKUP(B410,怪物抗性与玩家穿透!A$2:Q$74,17,0)*F410,0)</f>
        <v>640956</v>
      </c>
      <c r="L410">
        <f>IF(A410="卡雷",42,IF(A410="法力风暴",ROUND(K410*0.1,0),VLOOKUP(A410,怪物模型!$A$15:$I$70,9,0)*(1+(B410-30)/100)))</f>
        <v>840</v>
      </c>
      <c r="M410">
        <f>ROUND(VLOOKUP(C410,法师难度!A$1:C$135,2,0)*0.91*E410,0)</f>
        <v>16949</v>
      </c>
      <c r="N410">
        <f t="shared" si="18"/>
        <v>20339</v>
      </c>
      <c r="O410">
        <f>VLOOKUP(B410,怪物抗性与玩家穿透!A$2:Q$74,4,0)</f>
        <v>12500</v>
      </c>
      <c r="P410">
        <f>VLOOKUP(B410,怪物抗性与玩家穿透!A$2:Q$74,5,0)</f>
        <v>3750</v>
      </c>
      <c r="Q410">
        <f t="shared" si="19"/>
        <v>3750</v>
      </c>
      <c r="R410">
        <f>ROUND(VLOOKUP(B410,[3]battleParameter.xml!$A$6:$E$107,5,0)*(I410/100)/(1-I410/100),0)</f>
        <v>0</v>
      </c>
      <c r="S410">
        <f>ROUND(VLOOKUP(B410,[3]battleParameter.xml!$A$6:$G$107,7,0)*(J410/100)/(1-J410/100),0)</f>
        <v>0</v>
      </c>
      <c r="T410">
        <f>ROUND(VLOOKUP(B410,[3]battleParameter.xml!$A$6:$Z$107,8,0)*(MIN(H410/100+0.2,0.99))/(1-MIN(H410/100+0.2,0.99)),0)</f>
        <v>1834</v>
      </c>
      <c r="U410">
        <v>0</v>
      </c>
      <c r="V410">
        <v>0</v>
      </c>
    </row>
    <row r="411" spans="1:22">
      <c r="A411" t="str">
        <f>[2]monster.xml!$D756</f>
        <v>赛琳娜的倒影</v>
      </c>
      <c r="B411">
        <f>[2]monster.xml!$C756</f>
        <v>70</v>
      </c>
      <c r="C411">
        <f t="shared" si="20"/>
        <v>74</v>
      </c>
      <c r="D411" t="str">
        <f>VLOOKUP(A411,怪物模型!A$15:Z$70,8,0)</f>
        <v>26,24</v>
      </c>
      <c r="E411">
        <f>VLOOKUP(A411,怪物模型!A$15:G$70,3,0)</f>
        <v>1.2</v>
      </c>
      <c r="F411">
        <f>VLOOKUP(A411,怪物模型!A$15:G$77,4,0)</f>
        <v>1</v>
      </c>
      <c r="G411">
        <v>1</v>
      </c>
      <c r="H411">
        <f>VLOOKUP(A411,怪物模型!A$15:G$77,5,0)</f>
        <v>13</v>
      </c>
      <c r="I411">
        <f>VLOOKUP(A411,怪物模型!A$15:G$77,6,0)</f>
        <v>0</v>
      </c>
      <c r="J411">
        <f>VLOOKUP(A411,怪物模型!A$15:G$77,7,0)</f>
        <v>0</v>
      </c>
      <c r="K411">
        <f>ROUND(VLOOKUP(C411,法师难度!A$1:C$135,3,0)/VLOOKUP(B411,怪物抗性与玩家穿透!A$2:Q$74,17,0)*F411,0)</f>
        <v>864708</v>
      </c>
      <c r="L411">
        <f>IF(A411="卡雷",42,IF(A411="法力风暴",ROUND(K411*0.1,0),VLOOKUP(A411,怪物模型!$A$15:$I$70,9,0)*(1+(B411-30)/100)))</f>
        <v>1400</v>
      </c>
      <c r="M411">
        <f>ROUND(VLOOKUP(C411,法师难度!A$1:C$135,2,0)*0.91*E411,0)</f>
        <v>31738</v>
      </c>
      <c r="N411">
        <f t="shared" si="18"/>
        <v>38086</v>
      </c>
      <c r="O411">
        <f>VLOOKUP(B411,怪物抗性与玩家穿透!A$2:Q$74,4,0)</f>
        <v>12500</v>
      </c>
      <c r="P411">
        <f>VLOOKUP(B411,怪物抗性与玩家穿透!A$2:Q$74,5,0)</f>
        <v>3750</v>
      </c>
      <c r="Q411">
        <f t="shared" si="19"/>
        <v>3750</v>
      </c>
      <c r="R411">
        <f>ROUND(VLOOKUP(B411,[3]battleParameter.xml!$A$6:$E$107,5,0)*(I411/100)/(1-I411/100),0)</f>
        <v>0</v>
      </c>
      <c r="S411">
        <f>ROUND(VLOOKUP(B411,[3]battleParameter.xml!$A$6:$G$107,7,0)*(J411/100)/(1-J411/100),0)</f>
        <v>0</v>
      </c>
      <c r="T411">
        <f>ROUND(VLOOKUP(B411,[3]battleParameter.xml!$A$6:$Z$107,8,0)*(MIN(H411/100+0.2,0.99))/(1-MIN(H411/100+0.2,0.99)),0)</f>
        <v>1834</v>
      </c>
      <c r="U411">
        <v>0</v>
      </c>
      <c r="V411">
        <v>0</v>
      </c>
    </row>
    <row r="412" spans="1:22">
      <c r="A412" t="str">
        <f>[2]monster.xml!$D757</f>
        <v>幻术师艾莉</v>
      </c>
      <c r="B412">
        <f>[2]monster.xml!$C757</f>
        <v>71</v>
      </c>
      <c r="C412">
        <f t="shared" si="20"/>
        <v>75</v>
      </c>
      <c r="D412">
        <f>VLOOKUP(A412,怪物模型!A$15:Z$70,8,0)</f>
        <v>20</v>
      </c>
      <c r="E412">
        <f>VLOOKUP(A412,怪物模型!A$15:G$70,3,0)</f>
        <v>1.2</v>
      </c>
      <c r="F412">
        <f>VLOOKUP(A412,怪物模型!A$15:G$77,4,0)</f>
        <v>0.75</v>
      </c>
      <c r="G412">
        <v>1</v>
      </c>
      <c r="H412">
        <f>VLOOKUP(A412,怪物模型!A$15:G$77,5,0)</f>
        <v>0</v>
      </c>
      <c r="I412">
        <f>VLOOKUP(A412,怪物模型!A$15:G$77,6,0)</f>
        <v>0</v>
      </c>
      <c r="J412">
        <f>VLOOKUP(A412,怪物模型!A$15:G$77,7,0)</f>
        <v>0</v>
      </c>
      <c r="K412">
        <f>ROUND(VLOOKUP(C412,法师难度!A$1:C$135,3,0)/VLOOKUP(B412,怪物抗性与玩家穿透!A$2:Q$74,17,0)*F412,0)</f>
        <v>713091</v>
      </c>
      <c r="L412">
        <f>IF(A412="卡雷",42,IF(A412="法力风暴",ROUND(K412*0.1,0),VLOOKUP(A412,怪物模型!$A$15:$I$70,9,0)*(1+(B412-30)/100)))</f>
        <v>2256</v>
      </c>
      <c r="M412">
        <f>ROUND(VLOOKUP(C412,法师难度!A$1:C$135,2,0)*0.91*E412,0)</f>
        <v>35705</v>
      </c>
      <c r="N412">
        <f t="shared" si="18"/>
        <v>42846</v>
      </c>
      <c r="O412">
        <f>VLOOKUP(B412,怪物抗性与玩家穿透!A$2:Q$74,4,0)</f>
        <v>13000</v>
      </c>
      <c r="P412">
        <f>VLOOKUP(B412,怪物抗性与玩家穿透!A$2:Q$74,5,0)</f>
        <v>3900</v>
      </c>
      <c r="Q412">
        <f t="shared" si="19"/>
        <v>3900</v>
      </c>
      <c r="R412">
        <f>ROUND(VLOOKUP(B412,[3]battleParameter.xml!$A$6:$E$107,5,0)*(I412/100)/(1-I412/100),0)</f>
        <v>0</v>
      </c>
      <c r="S412">
        <f>ROUND(VLOOKUP(B412,[3]battleParameter.xml!$A$6:$G$107,7,0)*(J412/100)/(1-J412/100),0)</f>
        <v>0</v>
      </c>
      <c r="T412">
        <f>ROUND(VLOOKUP(B412,[3]battleParameter.xml!$A$6:$Z$107,8,0)*(MIN(H412/100+0.2,0.99))/(1-MIN(H412/100+0.2,0.99)),0)</f>
        <v>958</v>
      </c>
      <c r="U412">
        <v>0</v>
      </c>
      <c r="V412">
        <v>0</v>
      </c>
    </row>
    <row r="413" spans="1:22">
      <c r="A413" t="str">
        <f>[2]monster.xml!$D758</f>
        <v>驯兽师瓦纳</v>
      </c>
      <c r="B413">
        <f>[2]monster.xml!$C758</f>
        <v>71</v>
      </c>
      <c r="C413">
        <f t="shared" si="20"/>
        <v>76</v>
      </c>
      <c r="D413">
        <f>VLOOKUP(A413,怪物模型!A$15:Z$70,8,0)</f>
        <v>2</v>
      </c>
      <c r="E413">
        <f>VLOOKUP(A413,怪物模型!A$15:G$70,3,0)</f>
        <v>0.6</v>
      </c>
      <c r="F413">
        <f>VLOOKUP(A413,怪物模型!A$15:G$77,4,0)</f>
        <v>0.6</v>
      </c>
      <c r="G413">
        <v>1</v>
      </c>
      <c r="H413">
        <f>VLOOKUP(A413,怪物模型!A$15:G$77,5,0)</f>
        <v>13</v>
      </c>
      <c r="I413">
        <f>VLOOKUP(A413,怪物模型!A$15:G$77,6,0)</f>
        <v>0</v>
      </c>
      <c r="J413">
        <f>VLOOKUP(A413,怪物模型!A$15:G$77,7,0)</f>
        <v>0</v>
      </c>
      <c r="K413">
        <f>ROUND(VLOOKUP(C413,法师难度!A$1:C$135,3,0)/VLOOKUP(B413,怪物抗性与玩家穿透!A$2:Q$74,17,0)*F413,0)</f>
        <v>606214</v>
      </c>
      <c r="L413">
        <f>IF(A413="卡雷",42,IF(A413="法力风暴",ROUND(K413*0.1,0),VLOOKUP(A413,怪物模型!$A$15:$I$70,9,0)*(1+(B413-30)/100)))</f>
        <v>1128</v>
      </c>
      <c r="M413">
        <f>ROUND(VLOOKUP(C413,法师难度!A$1:C$135,2,0)*0.91*E413,0)</f>
        <v>19112</v>
      </c>
      <c r="N413">
        <f t="shared" si="18"/>
        <v>22934</v>
      </c>
      <c r="O413">
        <f>VLOOKUP(B413,怪物抗性与玩家穿透!A$2:Q$74,4,0)</f>
        <v>13000</v>
      </c>
      <c r="P413">
        <f>VLOOKUP(B413,怪物抗性与玩家穿透!A$2:Q$74,5,0)</f>
        <v>3900</v>
      </c>
      <c r="Q413">
        <f t="shared" si="19"/>
        <v>3900</v>
      </c>
      <c r="R413">
        <f>ROUND(VLOOKUP(B413,[3]battleParameter.xml!$A$6:$E$107,5,0)*(I413/100)/(1-I413/100),0)</f>
        <v>0</v>
      </c>
      <c r="S413">
        <f>ROUND(VLOOKUP(B413,[3]battleParameter.xml!$A$6:$G$107,7,0)*(J413/100)/(1-J413/100),0)</f>
        <v>0</v>
      </c>
      <c r="T413">
        <f>ROUND(VLOOKUP(B413,[3]battleParameter.xml!$A$6:$Z$107,8,0)*(MIN(H413/100+0.2,0.99))/(1-MIN(H413/100+0.2,0.99)),0)</f>
        <v>1886</v>
      </c>
      <c r="U413">
        <v>0</v>
      </c>
      <c r="V413">
        <v>0</v>
      </c>
    </row>
    <row r="414" spans="1:22">
      <c r="A414" t="str">
        <f>[2]monster.xml!$D759</f>
        <v>多兰</v>
      </c>
      <c r="B414">
        <f>[2]monster.xml!$C759</f>
        <v>71</v>
      </c>
      <c r="C414">
        <f t="shared" si="20"/>
        <v>76</v>
      </c>
      <c r="D414">
        <f>VLOOKUP(A414,怪物模型!A$15:Z$70,8,0)</f>
        <v>9</v>
      </c>
      <c r="E414">
        <f>VLOOKUP(A414,怪物模型!A$15:G$70,3,0)</f>
        <v>0.35</v>
      </c>
      <c r="F414">
        <f>VLOOKUP(A414,怪物模型!A$15:G$77,4,0)</f>
        <v>0.28000000000000003</v>
      </c>
      <c r="G414">
        <v>1</v>
      </c>
      <c r="H414">
        <f>VLOOKUP(A414,怪物模型!A$15:G$77,5,0)</f>
        <v>13</v>
      </c>
      <c r="I414">
        <f>VLOOKUP(A414,怪物模型!A$15:G$77,6,0)</f>
        <v>0</v>
      </c>
      <c r="J414">
        <f>VLOOKUP(A414,怪物模型!A$15:G$77,7,0)</f>
        <v>0</v>
      </c>
      <c r="K414">
        <f>ROUND(VLOOKUP(C414,法师难度!A$1:C$135,3,0)/VLOOKUP(B414,怪物抗性与玩家穿透!A$2:Q$74,17,0)*F414,0)</f>
        <v>282900</v>
      </c>
      <c r="L414">
        <f>IF(A414="卡雷",42,IF(A414="法力风暴",ROUND(K414*0.1,0),VLOOKUP(A414,怪物模型!$A$15:$I$70,9,0)*(1+(B414-30)/100)))</f>
        <v>1410</v>
      </c>
      <c r="M414">
        <f>ROUND(VLOOKUP(C414,法师难度!A$1:C$135,2,0)*0.91*E414,0)</f>
        <v>11148</v>
      </c>
      <c r="N414">
        <f t="shared" si="18"/>
        <v>13378</v>
      </c>
      <c r="O414">
        <f>VLOOKUP(B414,怪物抗性与玩家穿透!A$2:Q$74,4,0)</f>
        <v>13000</v>
      </c>
      <c r="P414">
        <f>VLOOKUP(B414,怪物抗性与玩家穿透!A$2:Q$74,5,0)</f>
        <v>3900</v>
      </c>
      <c r="Q414">
        <f t="shared" si="19"/>
        <v>3900</v>
      </c>
      <c r="R414">
        <f>ROUND(VLOOKUP(B414,[3]battleParameter.xml!$A$6:$E$107,5,0)*(I414/100)/(1-I414/100),0)</f>
        <v>0</v>
      </c>
      <c r="S414">
        <f>ROUND(VLOOKUP(B414,[3]battleParameter.xml!$A$6:$G$107,7,0)*(J414/100)/(1-J414/100),0)</f>
        <v>0</v>
      </c>
      <c r="T414">
        <f>ROUND(VLOOKUP(B414,[3]battleParameter.xml!$A$6:$Z$107,8,0)*(MIN(H414/100+0.2,0.99))/(1-MIN(H414/100+0.2,0.99)),0)</f>
        <v>1886</v>
      </c>
      <c r="U414">
        <v>0</v>
      </c>
      <c r="V414">
        <v>0</v>
      </c>
    </row>
    <row r="415" spans="1:22">
      <c r="A415" t="str">
        <f>[2]monster.xml!$D760</f>
        <v>约翰</v>
      </c>
      <c r="B415">
        <f>[2]monster.xml!$C760</f>
        <v>71</v>
      </c>
      <c r="C415">
        <f t="shared" si="20"/>
        <v>76</v>
      </c>
      <c r="D415">
        <f>VLOOKUP(A415,怪物模型!A$15:Z$70,8,0)</f>
        <v>10</v>
      </c>
      <c r="E415">
        <f>VLOOKUP(A415,怪物模型!A$15:G$70,3,0)</f>
        <v>0.35</v>
      </c>
      <c r="F415">
        <f>VLOOKUP(A415,怪物模型!A$15:G$77,4,0)</f>
        <v>0.28000000000000003</v>
      </c>
      <c r="G415">
        <v>1</v>
      </c>
      <c r="H415">
        <f>VLOOKUP(A415,怪物模型!A$15:G$77,5,0)</f>
        <v>13</v>
      </c>
      <c r="I415">
        <f>VLOOKUP(A415,怪物模型!A$15:G$77,6,0)</f>
        <v>0</v>
      </c>
      <c r="J415">
        <f>VLOOKUP(A415,怪物模型!A$15:G$77,7,0)</f>
        <v>0</v>
      </c>
      <c r="K415">
        <f>ROUND(VLOOKUP(C415,法师难度!A$1:C$135,3,0)/VLOOKUP(B415,怪物抗性与玩家穿透!A$2:Q$74,17,0)*F415,0)</f>
        <v>282900</v>
      </c>
      <c r="L415">
        <f>IF(A415="卡雷",42,IF(A415="法力风暴",ROUND(K415*0.1,0),VLOOKUP(A415,怪物模型!$A$15:$I$70,9,0)*(1+(B415-30)/100)))</f>
        <v>1410</v>
      </c>
      <c r="M415">
        <f>ROUND(VLOOKUP(C415,法师难度!A$1:C$135,2,0)*0.91*E415,0)</f>
        <v>11148</v>
      </c>
      <c r="N415">
        <f t="shared" si="18"/>
        <v>13378</v>
      </c>
      <c r="O415">
        <f>VLOOKUP(B415,怪物抗性与玩家穿透!A$2:Q$74,4,0)</f>
        <v>13000</v>
      </c>
      <c r="P415">
        <f>VLOOKUP(B415,怪物抗性与玩家穿透!A$2:Q$74,5,0)</f>
        <v>3900</v>
      </c>
      <c r="Q415">
        <f t="shared" si="19"/>
        <v>3900</v>
      </c>
      <c r="R415">
        <f>ROUND(VLOOKUP(B415,[3]battleParameter.xml!$A$6:$E$107,5,0)*(I415/100)/(1-I415/100),0)</f>
        <v>0</v>
      </c>
      <c r="S415">
        <f>ROUND(VLOOKUP(B415,[3]battleParameter.xml!$A$6:$G$107,7,0)*(J415/100)/(1-J415/100),0)</f>
        <v>0</v>
      </c>
      <c r="T415">
        <f>ROUND(VLOOKUP(B415,[3]battleParameter.xml!$A$6:$Z$107,8,0)*(MIN(H415/100+0.2,0.99))/(1-MIN(H415/100+0.2,0.99)),0)</f>
        <v>1886</v>
      </c>
      <c r="U415">
        <v>0</v>
      </c>
      <c r="V415">
        <v>0</v>
      </c>
    </row>
    <row r="416" spans="1:22">
      <c r="A416" t="str">
        <f>[2]monster.xml!$D761</f>
        <v>炎之安苏</v>
      </c>
      <c r="B416">
        <f>[2]monster.xml!$C761</f>
        <v>71</v>
      </c>
      <c r="C416">
        <f t="shared" si="20"/>
        <v>77</v>
      </c>
      <c r="D416">
        <f>VLOOKUP(A416,怪物模型!A$15:Z$70,8,0)</f>
        <v>21</v>
      </c>
      <c r="E416">
        <f>VLOOKUP(A416,怪物模型!A$15:G$70,3,0)</f>
        <v>1</v>
      </c>
      <c r="F416">
        <f>VLOOKUP(A416,怪物模型!A$15:G$77,4,0)</f>
        <v>0.95</v>
      </c>
      <c r="G416">
        <v>1</v>
      </c>
      <c r="H416">
        <f>VLOOKUP(A416,怪物模型!A$15:G$77,5,0)</f>
        <v>13</v>
      </c>
      <c r="I416">
        <f>VLOOKUP(A416,怪物模型!A$15:G$77,6,0)</f>
        <v>0</v>
      </c>
      <c r="J416">
        <f>VLOOKUP(A416,怪物模型!A$15:G$77,7,0)</f>
        <v>0</v>
      </c>
      <c r="K416">
        <f>ROUND(VLOOKUP(C416,法师难度!A$1:C$135,3,0)/VLOOKUP(B416,怪物抗性与玩家穿透!A$2:Q$74,17,0)*F416,0)</f>
        <v>1019974</v>
      </c>
      <c r="L416">
        <f>IF(A416="卡雷",42,IF(A416="法力风暴",ROUND(K416*0.1,0),VLOOKUP(A416,怪物模型!$A$15:$I$70,9,0)*(1+(B416-30)/100)))</f>
        <v>1410</v>
      </c>
      <c r="M416">
        <f>ROUND(VLOOKUP(C416,法师难度!A$1:C$135,2,0)*0.91*E416,0)</f>
        <v>34100</v>
      </c>
      <c r="N416">
        <f t="shared" si="18"/>
        <v>40920</v>
      </c>
      <c r="O416">
        <f>VLOOKUP(B416,怪物抗性与玩家穿透!A$2:Q$74,4,0)</f>
        <v>13000</v>
      </c>
      <c r="P416">
        <f>VLOOKUP(B416,怪物抗性与玩家穿透!A$2:Q$74,5,0)</f>
        <v>3900</v>
      </c>
      <c r="Q416">
        <f t="shared" si="19"/>
        <v>3900</v>
      </c>
      <c r="R416">
        <f>ROUND(VLOOKUP(B416,[3]battleParameter.xml!$A$6:$E$107,5,0)*(I416/100)/(1-I416/100),0)</f>
        <v>0</v>
      </c>
      <c r="S416">
        <f>ROUND(VLOOKUP(B416,[3]battleParameter.xml!$A$6:$G$107,7,0)*(J416/100)/(1-J416/100),0)</f>
        <v>0</v>
      </c>
      <c r="T416">
        <f>ROUND(VLOOKUP(B416,[3]battleParameter.xml!$A$6:$Z$107,8,0)*(MIN(H416/100+0.2,0.99))/(1-MIN(H416/100+0.2,0.99)),0)</f>
        <v>1886</v>
      </c>
      <c r="U416">
        <v>0</v>
      </c>
      <c r="V416">
        <v>0</v>
      </c>
    </row>
    <row r="417" spans="1:22">
      <c r="A417" t="str">
        <f>[2]monster.xml!$D762</f>
        <v>迅捷的维恩</v>
      </c>
      <c r="B417">
        <f>[2]monster.xml!$C762</f>
        <v>72</v>
      </c>
      <c r="C417">
        <f t="shared" si="20"/>
        <v>78</v>
      </c>
      <c r="D417">
        <f>VLOOKUP(A417,怪物模型!A$15:Z$70,8,0)</f>
        <v>14</v>
      </c>
      <c r="E417">
        <f>VLOOKUP(A417,怪物模型!A$15:G$70,3,0)</f>
        <v>1</v>
      </c>
      <c r="F417">
        <f>VLOOKUP(A417,怪物模型!A$15:G$77,4,0)</f>
        <v>1</v>
      </c>
      <c r="G417">
        <v>1</v>
      </c>
      <c r="H417">
        <f>VLOOKUP(A417,怪物模型!A$15:G$77,5,0)</f>
        <v>0</v>
      </c>
      <c r="I417">
        <f>VLOOKUP(A417,怪物模型!A$15:G$77,6,0)</f>
        <v>0</v>
      </c>
      <c r="J417">
        <f>VLOOKUP(A417,怪物模型!A$15:G$77,7,0)</f>
        <v>0</v>
      </c>
      <c r="K417">
        <f>ROUND(VLOOKUP(C417,法师难度!A$1:C$135,3,0)/VLOOKUP(B417,怪物抗性与玩家穿透!A$2:Q$74,17,0)*F417,0)</f>
        <v>1158494</v>
      </c>
      <c r="L417">
        <f>IF(A417="卡雷",42,IF(A417="法力风暴",ROUND(K417*0.1,0),VLOOKUP(A417,怪物模型!$A$15:$I$70,9,0)*(1+(B417-30)/100)))</f>
        <v>1420</v>
      </c>
      <c r="M417">
        <f>ROUND(VLOOKUP(C417,法师难度!A$1:C$135,2,0)*0.91*E417,0)</f>
        <v>37344</v>
      </c>
      <c r="N417">
        <f t="shared" si="18"/>
        <v>44813</v>
      </c>
      <c r="O417">
        <f>VLOOKUP(B417,怪物抗性与玩家穿透!A$2:Q$74,4,0)</f>
        <v>13500</v>
      </c>
      <c r="P417">
        <f>VLOOKUP(B417,怪物抗性与玩家穿透!A$2:Q$74,5,0)</f>
        <v>4050</v>
      </c>
      <c r="Q417">
        <f t="shared" si="19"/>
        <v>4050</v>
      </c>
      <c r="R417">
        <f>ROUND(VLOOKUP(B417,[3]battleParameter.xml!$A$6:$E$107,5,0)*(I417/100)/(1-I417/100),0)</f>
        <v>0</v>
      </c>
      <c r="S417">
        <f>ROUND(VLOOKUP(B417,[3]battleParameter.xml!$A$6:$G$107,7,0)*(J417/100)/(1-J417/100),0)</f>
        <v>0</v>
      </c>
      <c r="T417">
        <f>ROUND(VLOOKUP(B417,[3]battleParameter.xml!$A$6:$Z$107,8,0)*(MIN(H417/100+0.2,0.99))/(1-MIN(H417/100+0.2,0.99)),0)</f>
        <v>984</v>
      </c>
      <c r="U417">
        <v>0</v>
      </c>
      <c r="V417">
        <v>0</v>
      </c>
    </row>
    <row r="418" spans="1:22">
      <c r="A418" t="str">
        <f>[2]monster.xml!$D763</f>
        <v>暮光预言者</v>
      </c>
      <c r="B418">
        <f>[2]monster.xml!$C763</f>
        <v>72</v>
      </c>
      <c r="C418">
        <f t="shared" si="20"/>
        <v>79</v>
      </c>
      <c r="D418">
        <f>VLOOKUP(A418,怪物模型!A$15:Z$70,8,0)</f>
        <v>13</v>
      </c>
      <c r="E418">
        <f>VLOOKUP(A418,怪物模型!A$15:G$70,3,0)</f>
        <v>0.7</v>
      </c>
      <c r="F418">
        <f>VLOOKUP(A418,怪物模型!A$15:G$77,4,0)</f>
        <v>1</v>
      </c>
      <c r="G418">
        <v>1</v>
      </c>
      <c r="H418">
        <f>VLOOKUP(A418,怪物模型!A$15:G$77,5,0)</f>
        <v>0</v>
      </c>
      <c r="I418">
        <f>VLOOKUP(A418,怪物模型!A$15:G$77,6,0)</f>
        <v>0</v>
      </c>
      <c r="J418">
        <f>VLOOKUP(A418,怪物模型!A$15:G$77,7,0)</f>
        <v>0</v>
      </c>
      <c r="K418">
        <f>ROUND(VLOOKUP(C418,法师难度!A$1:C$135,3,0)/VLOOKUP(B418,怪物抗性与玩家穿透!A$2:Q$74,17,0)*F418,0)</f>
        <v>1237059</v>
      </c>
      <c r="L418">
        <f>IF(A418="卡雷",42,IF(A418="法力风暴",ROUND(K418*0.1,0),VLOOKUP(A418,怪物模型!$A$15:$I$70,9,0)*(1+(B418-30)/100)))</f>
        <v>1136</v>
      </c>
      <c r="M418">
        <f>ROUND(VLOOKUP(C418,法师难度!A$1:C$135,2,0)*0.91*E418,0)</f>
        <v>28090</v>
      </c>
      <c r="N418">
        <f t="shared" si="18"/>
        <v>33708</v>
      </c>
      <c r="O418">
        <f>VLOOKUP(B418,怪物抗性与玩家穿透!A$2:Q$74,4,0)</f>
        <v>13500</v>
      </c>
      <c r="P418">
        <f>VLOOKUP(B418,怪物抗性与玩家穿透!A$2:Q$74,5,0)</f>
        <v>4050</v>
      </c>
      <c r="Q418">
        <f t="shared" si="19"/>
        <v>4050</v>
      </c>
      <c r="R418">
        <f>ROUND(VLOOKUP(B418,[3]battleParameter.xml!$A$6:$E$107,5,0)*(I418/100)/(1-I418/100),0)</f>
        <v>0</v>
      </c>
      <c r="S418">
        <f>ROUND(VLOOKUP(B418,[3]battleParameter.xml!$A$6:$G$107,7,0)*(J418/100)/(1-J418/100),0)</f>
        <v>0</v>
      </c>
      <c r="T418">
        <f>ROUND(VLOOKUP(B418,[3]battleParameter.xml!$A$6:$Z$107,8,0)*(MIN(H418/100+0.2,0.99))/(1-MIN(H418/100+0.2,0.99)),0)</f>
        <v>984</v>
      </c>
      <c r="U418">
        <v>0</v>
      </c>
      <c r="V418">
        <v>0</v>
      </c>
    </row>
    <row r="419" spans="1:22">
      <c r="A419" t="str">
        <f>[2]monster.xml!$D764</f>
        <v>卡雷</v>
      </c>
      <c r="B419">
        <f>[2]monster.xml!$C764</f>
        <v>73</v>
      </c>
      <c r="C419">
        <f t="shared" si="20"/>
        <v>80</v>
      </c>
      <c r="D419">
        <f>VLOOKUP(A419,怪物模型!A$15:Z$70,8,0)</f>
        <v>25</v>
      </c>
      <c r="E419">
        <f>VLOOKUP(A419,怪物模型!A$15:G$70,3,0)</f>
        <v>1.25</v>
      </c>
      <c r="F419">
        <f>VLOOKUP(A419,怪物模型!A$15:G$77,4,0)</f>
        <v>1</v>
      </c>
      <c r="G419">
        <v>1</v>
      </c>
      <c r="H419">
        <f>VLOOKUP(A419,怪物模型!A$15:G$77,5,0)</f>
        <v>13</v>
      </c>
      <c r="I419">
        <f>VLOOKUP(A419,怪物模型!A$15:G$77,6,0)</f>
        <v>0</v>
      </c>
      <c r="J419">
        <f>VLOOKUP(A419,怪物模型!A$15:G$77,7,0)</f>
        <v>0</v>
      </c>
      <c r="K419">
        <f>ROUND(VLOOKUP(C419,法师难度!A$1:C$135,3,0)/VLOOKUP(B419,怪物抗性与玩家穿透!A$2:Q$74,17,0)*F419,0)</f>
        <v>1316694</v>
      </c>
      <c r="L419">
        <f>IF(A419="卡雷",42,IF(A419="法力风暴",ROUND(K419*0.1,0),VLOOKUP(A419,怪物模型!$A$15:$I$70,9,0)*(1+(B419-30)/100)))</f>
        <v>42</v>
      </c>
      <c r="M419">
        <f>ROUND(VLOOKUP(C419,法师难度!A$1:C$135,2,0)*0.91*E419,0)</f>
        <v>53903</v>
      </c>
      <c r="N419">
        <f t="shared" si="18"/>
        <v>64684</v>
      </c>
      <c r="O419">
        <f>VLOOKUP(B419,怪物抗性与玩家穿透!A$2:Q$74,4,0)</f>
        <v>14000</v>
      </c>
      <c r="P419">
        <f>VLOOKUP(B419,怪物抗性与玩家穿透!A$2:Q$74,5,0)</f>
        <v>4200</v>
      </c>
      <c r="Q419">
        <f t="shared" si="19"/>
        <v>4200</v>
      </c>
      <c r="R419">
        <f>ROUND(VLOOKUP(B419,[3]battleParameter.xml!$A$6:$E$107,5,0)*(I419/100)/(1-I419/100),0)</f>
        <v>0</v>
      </c>
      <c r="S419">
        <f>ROUND(VLOOKUP(B419,[3]battleParameter.xml!$A$6:$G$107,7,0)*(J419/100)/(1-J419/100),0)</f>
        <v>0</v>
      </c>
      <c r="T419">
        <f>ROUND(VLOOKUP(B419,[3]battleParameter.xml!$A$6:$Z$107,8,0)*(MIN(H419/100+0.2,0.99))/(1-MIN(H419/100+0.2,0.99)),0)</f>
        <v>1993</v>
      </c>
      <c r="U419">
        <v>0</v>
      </c>
      <c r="V419">
        <v>0</v>
      </c>
    </row>
    <row r="420" spans="1:22">
      <c r="A420" t="str">
        <f>[2]monster.xml!$D765</f>
        <v>日光弗雷尔</v>
      </c>
      <c r="B420">
        <f>[2]monster.xml!$C765</f>
        <v>74</v>
      </c>
      <c r="C420">
        <f t="shared" si="20"/>
        <v>81</v>
      </c>
      <c r="D420">
        <f>VLOOKUP(A420,怪物模型!A$15:Z$70,8,0)</f>
        <v>28</v>
      </c>
      <c r="E420">
        <f>VLOOKUP(A420,怪物模型!A$15:G$70,3,0)</f>
        <v>0.9</v>
      </c>
      <c r="F420">
        <f>VLOOKUP(A420,怪物模型!A$15:G$77,4,0)</f>
        <v>0.9</v>
      </c>
      <c r="G420">
        <v>1</v>
      </c>
      <c r="H420">
        <f>VLOOKUP(A420,怪物模型!A$15:G$77,5,0)</f>
        <v>13</v>
      </c>
      <c r="I420">
        <f>VLOOKUP(A420,怪物模型!A$15:G$77,6,0)</f>
        <v>0</v>
      </c>
      <c r="J420">
        <f>VLOOKUP(A420,怪物模型!A$15:G$77,7,0)</f>
        <v>0</v>
      </c>
      <c r="K420">
        <f>ROUND(VLOOKUP(C420,法师难度!A$1:C$135,3,0)/VLOOKUP(B420,怪物抗性与玩家穿透!A$2:Q$74,17,0)*F420,0)</f>
        <v>1291314</v>
      </c>
      <c r="L420">
        <f>IF(A420="卡雷",42,IF(A420="法力风暴",ROUND(K420*0.1,0),VLOOKUP(A420,怪物模型!$A$15:$I$70,9,0)*(1+(B420-30)/100)))</f>
        <v>1440</v>
      </c>
      <c r="M420">
        <f>ROUND(VLOOKUP(C420,法师难度!A$1:C$135,2,0)*0.91*E420,0)</f>
        <v>42717</v>
      </c>
      <c r="N420">
        <f t="shared" si="18"/>
        <v>51260</v>
      </c>
      <c r="O420">
        <f>VLOOKUP(B420,怪物抗性与玩家穿透!A$2:Q$74,4,0)</f>
        <v>14500</v>
      </c>
      <c r="P420">
        <f>VLOOKUP(B420,怪物抗性与玩家穿透!A$2:Q$74,5,0)</f>
        <v>4350</v>
      </c>
      <c r="Q420">
        <f t="shared" si="19"/>
        <v>4350</v>
      </c>
      <c r="R420">
        <f>ROUND(VLOOKUP(B420,[3]battleParameter.xml!$A$6:$E$107,5,0)*(I420/100)/(1-I420/100),0)</f>
        <v>0</v>
      </c>
      <c r="S420">
        <f>ROUND(VLOOKUP(B420,[3]battleParameter.xml!$A$6:$G$107,7,0)*(J420/100)/(1-J420/100),0)</f>
        <v>0</v>
      </c>
      <c r="T420">
        <f>ROUND(VLOOKUP(B420,[3]battleParameter.xml!$A$6:$Z$107,8,0)*(MIN(H420/100+0.2,0.99))/(1-MIN(H420/100+0.2,0.99)),0)</f>
        <v>2047</v>
      </c>
      <c r="U420">
        <v>0</v>
      </c>
      <c r="V420">
        <v>0</v>
      </c>
    </row>
    <row r="421" spans="1:22">
      <c r="A421" t="str">
        <f>[2]monster.xml!$D766</f>
        <v>坚定的格雷格</v>
      </c>
      <c r="B421">
        <f>[2]monster.xml!$C766</f>
        <v>75</v>
      </c>
      <c r="C421">
        <f t="shared" si="20"/>
        <v>82</v>
      </c>
      <c r="D421">
        <f>VLOOKUP(A421,怪物模型!A$15:Z$70,8,0)</f>
        <v>3</v>
      </c>
      <c r="E421">
        <f>VLOOKUP(A421,怪物模型!A$15:G$70,3,0)</f>
        <v>0.7</v>
      </c>
      <c r="F421">
        <f>VLOOKUP(A421,怪物模型!A$15:G$77,4,0)</f>
        <v>0.8</v>
      </c>
      <c r="G421">
        <v>1</v>
      </c>
      <c r="H421">
        <f>VLOOKUP(A421,怪物模型!A$15:G$77,5,0)</f>
        <v>13</v>
      </c>
      <c r="I421">
        <f>VLOOKUP(A421,怪物模型!A$15:G$77,6,0)</f>
        <v>0</v>
      </c>
      <c r="J421">
        <f>VLOOKUP(A421,怪物模型!A$15:G$77,7,0)</f>
        <v>0</v>
      </c>
      <c r="K421">
        <f>ROUND(VLOOKUP(C421,法师难度!A$1:C$135,3,0)/VLOOKUP(B421,怪物抗性与玩家穿透!A$2:Q$74,17,0)*F421,0)</f>
        <v>859689</v>
      </c>
      <c r="L421">
        <f>IF(A421="卡雷",42,IF(A421="法力风暴",ROUND(K421*0.1,0),VLOOKUP(A421,怪物模型!$A$15:$I$70,9,0)*(1+(B421-30)/100)))</f>
        <v>870</v>
      </c>
      <c r="M421">
        <f>ROUND(VLOOKUP(C421,法师难度!A$1:C$135,2,0)*0.91*E421,0)</f>
        <v>25092</v>
      </c>
      <c r="N421">
        <f t="shared" si="18"/>
        <v>30110</v>
      </c>
      <c r="O421">
        <f>VLOOKUP(B421,怪物抗性与玩家穿透!A$2:Q$74,4,0)</f>
        <v>15000</v>
      </c>
      <c r="P421">
        <f>VLOOKUP(B421,怪物抗性与玩家穿透!A$2:Q$74,5,0)</f>
        <v>4500</v>
      </c>
      <c r="Q421">
        <f t="shared" si="19"/>
        <v>4500</v>
      </c>
      <c r="R421">
        <f>ROUND(VLOOKUP(B421,[3]battleParameter.xml!$A$6:$E$107,5,0)*(I421/100)/(1-I421/100),0)</f>
        <v>0</v>
      </c>
      <c r="S421">
        <f>ROUND(VLOOKUP(B421,[3]battleParameter.xml!$A$6:$G$107,7,0)*(J421/100)/(1-J421/100),0)</f>
        <v>0</v>
      </c>
      <c r="T421">
        <f>ROUND(VLOOKUP(B421,[3]battleParameter.xml!$A$6:$Z$107,8,0)*(MIN(H421/100+0.2,0.99))/(1-MIN(H421/100+0.2,0.99)),0)</f>
        <v>2103</v>
      </c>
      <c r="U421">
        <v>0</v>
      </c>
      <c r="V421">
        <v>0</v>
      </c>
    </row>
    <row r="422" spans="1:22">
      <c r="A422" t="str">
        <f>[2]monster.xml!$D767</f>
        <v>赛琳娜的倒影</v>
      </c>
      <c r="B422">
        <f>[2]monster.xml!$C767</f>
        <v>75</v>
      </c>
      <c r="C422">
        <f t="shared" si="20"/>
        <v>83</v>
      </c>
      <c r="D422" t="str">
        <f>VLOOKUP(A422,怪物模型!A$15:Z$70,8,0)</f>
        <v>26,24</v>
      </c>
      <c r="E422">
        <f>VLOOKUP(A422,怪物模型!A$15:G$70,3,0)</f>
        <v>1.2</v>
      </c>
      <c r="F422">
        <f>VLOOKUP(A422,怪物模型!A$15:G$77,4,0)</f>
        <v>1</v>
      </c>
      <c r="G422">
        <v>1</v>
      </c>
      <c r="H422">
        <f>VLOOKUP(A422,怪物模型!A$15:G$77,5,0)</f>
        <v>13</v>
      </c>
      <c r="I422">
        <f>VLOOKUP(A422,怪物模型!A$15:G$77,6,0)</f>
        <v>0</v>
      </c>
      <c r="J422">
        <f>VLOOKUP(A422,怪物模型!A$15:G$77,7,0)</f>
        <v>0</v>
      </c>
      <c r="K422">
        <f>ROUND(VLOOKUP(C422,法师难度!A$1:C$135,3,0)/VLOOKUP(B422,怪物抗性与玩家穿透!A$2:Q$74,17,0)*F422,0)</f>
        <v>1163008</v>
      </c>
      <c r="L422">
        <f>IF(A422="卡雷",42,IF(A422="法力风暴",ROUND(K422*0.1,0),VLOOKUP(A422,怪物模型!$A$15:$I$70,9,0)*(1+(B422-30)/100)))</f>
        <v>1450</v>
      </c>
      <c r="M422">
        <f>ROUND(VLOOKUP(C422,法师难度!A$1:C$135,2,0)*0.91*E422,0)</f>
        <v>47398</v>
      </c>
      <c r="N422">
        <f t="shared" si="18"/>
        <v>56878</v>
      </c>
      <c r="O422">
        <f>VLOOKUP(B422,怪物抗性与玩家穿透!A$2:Q$74,4,0)</f>
        <v>15000</v>
      </c>
      <c r="P422">
        <f>VLOOKUP(B422,怪物抗性与玩家穿透!A$2:Q$74,5,0)</f>
        <v>4500</v>
      </c>
      <c r="Q422">
        <f t="shared" si="19"/>
        <v>4500</v>
      </c>
      <c r="R422">
        <f>ROUND(VLOOKUP(B422,[3]battleParameter.xml!$A$6:$E$107,5,0)*(I422/100)/(1-I422/100),0)</f>
        <v>0</v>
      </c>
      <c r="S422">
        <f>ROUND(VLOOKUP(B422,[3]battleParameter.xml!$A$6:$G$107,7,0)*(J422/100)/(1-J422/100),0)</f>
        <v>0</v>
      </c>
      <c r="T422">
        <f>ROUND(VLOOKUP(B422,[3]battleParameter.xml!$A$6:$Z$107,8,0)*(MIN(H422/100+0.2,0.99))/(1-MIN(H422/100+0.2,0.99)),0)</f>
        <v>2103</v>
      </c>
      <c r="U422">
        <v>0</v>
      </c>
      <c r="V422">
        <v>0</v>
      </c>
    </row>
    <row r="423" spans="1:22">
      <c r="A423" t="str">
        <f>[2]monster.xml!$D768</f>
        <v>幻术师艾莉</v>
      </c>
      <c r="B423">
        <f>[2]monster.xml!$C768</f>
        <v>76</v>
      </c>
      <c r="C423">
        <f t="shared" si="20"/>
        <v>84</v>
      </c>
      <c r="D423">
        <f>VLOOKUP(A423,怪物模型!A$15:Z$70,8,0)</f>
        <v>20</v>
      </c>
      <c r="E423">
        <f>VLOOKUP(A423,怪物模型!A$15:G$70,3,0)</f>
        <v>1.2</v>
      </c>
      <c r="F423">
        <f>VLOOKUP(A423,怪物模型!A$15:G$77,4,0)</f>
        <v>0.75</v>
      </c>
      <c r="G423">
        <v>1</v>
      </c>
      <c r="H423">
        <f>VLOOKUP(A423,怪物模型!A$15:G$77,5,0)</f>
        <v>0</v>
      </c>
      <c r="I423">
        <f>VLOOKUP(A423,怪物模型!A$15:G$77,6,0)</f>
        <v>0</v>
      </c>
      <c r="J423">
        <f>VLOOKUP(A423,怪物模型!A$15:G$77,7,0)</f>
        <v>0</v>
      </c>
      <c r="K423">
        <f>ROUND(VLOOKUP(C423,法师难度!A$1:C$135,3,0)/VLOOKUP(B423,怪物抗性与玩家穿透!A$2:Q$74,17,0)*F423,0)</f>
        <v>970511</v>
      </c>
      <c r="L423">
        <f>IF(A423="卡雷",42,IF(A423="法力风暴",ROUND(K423*0.1,0),VLOOKUP(A423,怪物模型!$A$15:$I$70,9,0)*(1+(B423-30)/100)))</f>
        <v>2336</v>
      </c>
      <c r="M423">
        <f>ROUND(VLOOKUP(C423,法师难度!A$1:C$135,2,0)*0.91*E423,0)</f>
        <v>53944</v>
      </c>
      <c r="N423">
        <f t="shared" si="18"/>
        <v>64733</v>
      </c>
      <c r="O423">
        <f>VLOOKUP(B423,怪物抗性与玩家穿透!A$2:Q$74,4,0)</f>
        <v>15500</v>
      </c>
      <c r="P423">
        <f>VLOOKUP(B423,怪物抗性与玩家穿透!A$2:Q$74,5,0)</f>
        <v>4650</v>
      </c>
      <c r="Q423">
        <f t="shared" si="19"/>
        <v>4650</v>
      </c>
      <c r="R423">
        <f>ROUND(VLOOKUP(B423,[3]battleParameter.xml!$A$6:$E$107,5,0)*(I423/100)/(1-I423/100),0)</f>
        <v>0</v>
      </c>
      <c r="S423">
        <f>ROUND(VLOOKUP(B423,[3]battleParameter.xml!$A$6:$G$107,7,0)*(J423/100)/(1-J423/100),0)</f>
        <v>0</v>
      </c>
      <c r="T423">
        <f>ROUND(VLOOKUP(B423,[3]battleParameter.xml!$A$6:$Z$107,8,0)*(MIN(H423/100+0.2,0.99))/(1-MIN(H423/100+0.2,0.99)),0)</f>
        <v>1096</v>
      </c>
      <c r="U423">
        <v>0</v>
      </c>
      <c r="V423">
        <v>0</v>
      </c>
    </row>
    <row r="424" spans="1:22">
      <c r="A424" t="str">
        <f>[2]monster.xml!$D769</f>
        <v>驯兽师瓦纳</v>
      </c>
      <c r="B424">
        <f>[2]monster.xml!$C769</f>
        <v>76</v>
      </c>
      <c r="C424">
        <f t="shared" si="20"/>
        <v>85</v>
      </c>
      <c r="D424">
        <f>VLOOKUP(A424,怪物模型!A$15:Z$70,8,0)</f>
        <v>2</v>
      </c>
      <c r="E424">
        <f>VLOOKUP(A424,怪物模型!A$15:G$70,3,0)</f>
        <v>0.6</v>
      </c>
      <c r="F424">
        <f>VLOOKUP(A424,怪物模型!A$15:G$77,4,0)</f>
        <v>0.6</v>
      </c>
      <c r="G424">
        <v>1</v>
      </c>
      <c r="H424">
        <f>VLOOKUP(A424,怪物模型!A$15:G$77,5,0)</f>
        <v>13</v>
      </c>
      <c r="I424">
        <f>VLOOKUP(A424,怪物模型!A$15:G$77,6,0)</f>
        <v>0</v>
      </c>
      <c r="J424">
        <f>VLOOKUP(A424,怪物模型!A$15:G$77,7,0)</f>
        <v>0</v>
      </c>
      <c r="K424">
        <f>ROUND(VLOOKUP(C424,法师难度!A$1:C$135,3,0)/VLOOKUP(B424,怪物抗性与玩家穿透!A$2:Q$74,17,0)*F424,0)</f>
        <v>826487</v>
      </c>
      <c r="L424">
        <f>IF(A424="卡雷",42,IF(A424="法力风暴",ROUND(K424*0.1,0),VLOOKUP(A424,怪物模型!$A$15:$I$70,9,0)*(1+(B424-30)/100)))</f>
        <v>1168</v>
      </c>
      <c r="M424">
        <f>ROUND(VLOOKUP(C424,法师难度!A$1:C$135,2,0)*0.91*E424,0)</f>
        <v>29020</v>
      </c>
      <c r="N424">
        <f t="shared" si="18"/>
        <v>34824</v>
      </c>
      <c r="O424">
        <f>VLOOKUP(B424,怪物抗性与玩家穿透!A$2:Q$74,4,0)</f>
        <v>15500</v>
      </c>
      <c r="P424">
        <f>VLOOKUP(B424,怪物抗性与玩家穿透!A$2:Q$74,5,0)</f>
        <v>4650</v>
      </c>
      <c r="Q424">
        <f t="shared" si="19"/>
        <v>4650</v>
      </c>
      <c r="R424">
        <f>ROUND(VLOOKUP(B424,[3]battleParameter.xml!$A$6:$E$107,5,0)*(I424/100)/(1-I424/100),0)</f>
        <v>0</v>
      </c>
      <c r="S424">
        <f>ROUND(VLOOKUP(B424,[3]battleParameter.xml!$A$6:$G$107,7,0)*(J424/100)/(1-J424/100),0)</f>
        <v>0</v>
      </c>
      <c r="T424">
        <f>ROUND(VLOOKUP(B424,[3]battleParameter.xml!$A$6:$Z$107,8,0)*(MIN(H424/100+0.2,0.99))/(1-MIN(H424/100+0.2,0.99)),0)</f>
        <v>2159</v>
      </c>
      <c r="U424">
        <v>0</v>
      </c>
      <c r="V424">
        <v>0</v>
      </c>
    </row>
    <row r="425" spans="1:22">
      <c r="A425" t="str">
        <f>[2]monster.xml!$D770</f>
        <v>多兰</v>
      </c>
      <c r="B425">
        <f>[2]monster.xml!$C770</f>
        <v>76</v>
      </c>
      <c r="C425">
        <f t="shared" si="20"/>
        <v>85</v>
      </c>
      <c r="D425">
        <f>VLOOKUP(A425,怪物模型!A$15:Z$70,8,0)</f>
        <v>9</v>
      </c>
      <c r="E425">
        <f>VLOOKUP(A425,怪物模型!A$15:G$70,3,0)</f>
        <v>0.35</v>
      </c>
      <c r="F425">
        <f>VLOOKUP(A425,怪物模型!A$15:G$77,4,0)</f>
        <v>0.28000000000000003</v>
      </c>
      <c r="G425">
        <v>1</v>
      </c>
      <c r="H425">
        <f>VLOOKUP(A425,怪物模型!A$15:G$77,5,0)</f>
        <v>13</v>
      </c>
      <c r="I425">
        <f>VLOOKUP(A425,怪物模型!A$15:G$77,6,0)</f>
        <v>0</v>
      </c>
      <c r="J425">
        <f>VLOOKUP(A425,怪物模型!A$15:G$77,7,0)</f>
        <v>0</v>
      </c>
      <c r="K425">
        <f>ROUND(VLOOKUP(C425,法师难度!A$1:C$135,3,0)/VLOOKUP(B425,怪物抗性与玩家穿透!A$2:Q$74,17,0)*F425,0)</f>
        <v>385694</v>
      </c>
      <c r="L425">
        <f>IF(A425="卡雷",42,IF(A425="法力风暴",ROUND(K425*0.1,0),VLOOKUP(A425,怪物模型!$A$15:$I$70,9,0)*(1+(B425-30)/100)))</f>
        <v>1460</v>
      </c>
      <c r="M425">
        <f>ROUND(VLOOKUP(C425,法师难度!A$1:C$135,2,0)*0.91*E425,0)</f>
        <v>16928</v>
      </c>
      <c r="N425">
        <f t="shared" si="18"/>
        <v>20314</v>
      </c>
      <c r="O425">
        <f>VLOOKUP(B425,怪物抗性与玩家穿透!A$2:Q$74,4,0)</f>
        <v>15500</v>
      </c>
      <c r="P425">
        <f>VLOOKUP(B425,怪物抗性与玩家穿透!A$2:Q$74,5,0)</f>
        <v>4650</v>
      </c>
      <c r="Q425">
        <f t="shared" si="19"/>
        <v>4650</v>
      </c>
      <c r="R425">
        <f>ROUND(VLOOKUP(B425,[3]battleParameter.xml!$A$6:$E$107,5,0)*(I425/100)/(1-I425/100),0)</f>
        <v>0</v>
      </c>
      <c r="S425">
        <f>ROUND(VLOOKUP(B425,[3]battleParameter.xml!$A$6:$G$107,7,0)*(J425/100)/(1-J425/100),0)</f>
        <v>0</v>
      </c>
      <c r="T425">
        <f>ROUND(VLOOKUP(B425,[3]battleParameter.xml!$A$6:$Z$107,8,0)*(MIN(H425/100+0.2,0.99))/(1-MIN(H425/100+0.2,0.99)),0)</f>
        <v>2159</v>
      </c>
      <c r="U425">
        <v>0</v>
      </c>
      <c r="V425">
        <v>0</v>
      </c>
    </row>
    <row r="426" spans="1:22">
      <c r="A426" t="str">
        <f>[2]monster.xml!$D771</f>
        <v>约翰</v>
      </c>
      <c r="B426">
        <f>[2]monster.xml!$C771</f>
        <v>76</v>
      </c>
      <c r="C426">
        <f t="shared" si="20"/>
        <v>85</v>
      </c>
      <c r="D426">
        <f>VLOOKUP(A426,怪物模型!A$15:Z$70,8,0)</f>
        <v>10</v>
      </c>
      <c r="E426">
        <f>VLOOKUP(A426,怪物模型!A$15:G$70,3,0)</f>
        <v>0.35</v>
      </c>
      <c r="F426">
        <f>VLOOKUP(A426,怪物模型!A$15:G$77,4,0)</f>
        <v>0.28000000000000003</v>
      </c>
      <c r="G426">
        <v>1</v>
      </c>
      <c r="H426">
        <f>VLOOKUP(A426,怪物模型!A$15:G$77,5,0)</f>
        <v>13</v>
      </c>
      <c r="I426">
        <f>VLOOKUP(A426,怪物模型!A$15:G$77,6,0)</f>
        <v>0</v>
      </c>
      <c r="J426">
        <f>VLOOKUP(A426,怪物模型!A$15:G$77,7,0)</f>
        <v>0</v>
      </c>
      <c r="K426">
        <f>ROUND(VLOOKUP(C426,法师难度!A$1:C$135,3,0)/VLOOKUP(B426,怪物抗性与玩家穿透!A$2:Q$74,17,0)*F426,0)</f>
        <v>385694</v>
      </c>
      <c r="L426">
        <f>IF(A426="卡雷",42,IF(A426="法力风暴",ROUND(K426*0.1,0),VLOOKUP(A426,怪物模型!$A$15:$I$70,9,0)*(1+(B426-30)/100)))</f>
        <v>1460</v>
      </c>
      <c r="M426">
        <f>ROUND(VLOOKUP(C426,法师难度!A$1:C$135,2,0)*0.91*E426,0)</f>
        <v>16928</v>
      </c>
      <c r="N426">
        <f t="shared" si="18"/>
        <v>20314</v>
      </c>
      <c r="O426">
        <f>VLOOKUP(B426,怪物抗性与玩家穿透!A$2:Q$74,4,0)</f>
        <v>15500</v>
      </c>
      <c r="P426">
        <f>VLOOKUP(B426,怪物抗性与玩家穿透!A$2:Q$74,5,0)</f>
        <v>4650</v>
      </c>
      <c r="Q426">
        <f t="shared" si="19"/>
        <v>4650</v>
      </c>
      <c r="R426">
        <f>ROUND(VLOOKUP(B426,[3]battleParameter.xml!$A$6:$E$107,5,0)*(I426/100)/(1-I426/100),0)</f>
        <v>0</v>
      </c>
      <c r="S426">
        <f>ROUND(VLOOKUP(B426,[3]battleParameter.xml!$A$6:$G$107,7,0)*(J426/100)/(1-J426/100),0)</f>
        <v>0</v>
      </c>
      <c r="T426">
        <f>ROUND(VLOOKUP(B426,[3]battleParameter.xml!$A$6:$Z$107,8,0)*(MIN(H426/100+0.2,0.99))/(1-MIN(H426/100+0.2,0.99)),0)</f>
        <v>2159</v>
      </c>
      <c r="U426">
        <v>0</v>
      </c>
      <c r="V426">
        <v>0</v>
      </c>
    </row>
    <row r="427" spans="1:22">
      <c r="A427" t="str">
        <f>[2]monster.xml!$D772</f>
        <v>炎之安苏</v>
      </c>
      <c r="B427">
        <f>[2]monster.xml!$C772</f>
        <v>76</v>
      </c>
      <c r="C427">
        <f t="shared" si="20"/>
        <v>86</v>
      </c>
      <c r="D427">
        <f>VLOOKUP(A427,怪物模型!A$15:Z$70,8,0)</f>
        <v>21</v>
      </c>
      <c r="E427">
        <f>VLOOKUP(A427,怪物模型!A$15:G$70,3,0)</f>
        <v>1</v>
      </c>
      <c r="F427">
        <f>VLOOKUP(A427,怪物模型!A$15:G$77,4,0)</f>
        <v>0.95</v>
      </c>
      <c r="G427">
        <v>1</v>
      </c>
      <c r="H427">
        <f>VLOOKUP(A427,怪物模型!A$15:G$77,5,0)</f>
        <v>13</v>
      </c>
      <c r="I427">
        <f>VLOOKUP(A427,怪物模型!A$15:G$77,6,0)</f>
        <v>0</v>
      </c>
      <c r="J427">
        <f>VLOOKUP(A427,怪物模型!A$15:G$77,7,0)</f>
        <v>0</v>
      </c>
      <c r="K427">
        <f>ROUND(VLOOKUP(C427,法师难度!A$1:C$135,3,0)/VLOOKUP(B427,怪物抗性与玩家穿透!A$2:Q$74,17,0)*F427,0)</f>
        <v>1393008</v>
      </c>
      <c r="L427">
        <f>IF(A427="卡雷",42,IF(A427="法力风暴",ROUND(K427*0.1,0),VLOOKUP(A427,怪物模型!$A$15:$I$70,9,0)*(1+(B427-30)/100)))</f>
        <v>1460</v>
      </c>
      <c r="M427">
        <f>ROUND(VLOOKUP(C427,法师难度!A$1:C$135,2,0)*0.91*E427,0)</f>
        <v>52039</v>
      </c>
      <c r="N427">
        <f t="shared" si="18"/>
        <v>62447</v>
      </c>
      <c r="O427">
        <f>VLOOKUP(B427,怪物抗性与玩家穿透!A$2:Q$74,4,0)</f>
        <v>15500</v>
      </c>
      <c r="P427">
        <f>VLOOKUP(B427,怪物抗性与玩家穿透!A$2:Q$74,5,0)</f>
        <v>4650</v>
      </c>
      <c r="Q427">
        <f t="shared" si="19"/>
        <v>4650</v>
      </c>
      <c r="R427">
        <f>ROUND(VLOOKUP(B427,[3]battleParameter.xml!$A$6:$E$107,5,0)*(I427/100)/(1-I427/100),0)</f>
        <v>0</v>
      </c>
      <c r="S427">
        <f>ROUND(VLOOKUP(B427,[3]battleParameter.xml!$A$6:$G$107,7,0)*(J427/100)/(1-J427/100),0)</f>
        <v>0</v>
      </c>
      <c r="T427">
        <f>ROUND(VLOOKUP(B427,[3]battleParameter.xml!$A$6:$Z$107,8,0)*(MIN(H427/100+0.2,0.99))/(1-MIN(H427/100+0.2,0.99)),0)</f>
        <v>2159</v>
      </c>
      <c r="U427">
        <v>0</v>
      </c>
      <c r="V427">
        <v>0</v>
      </c>
    </row>
    <row r="428" spans="1:22">
      <c r="A428" t="str">
        <f>[2]monster.xml!$D773</f>
        <v>迅捷的维恩</v>
      </c>
      <c r="B428">
        <f>[2]monster.xml!$C773</f>
        <v>77</v>
      </c>
      <c r="C428">
        <f t="shared" si="20"/>
        <v>87</v>
      </c>
      <c r="D428">
        <f>VLOOKUP(A428,怪物模型!A$15:Z$70,8,0)</f>
        <v>14</v>
      </c>
      <c r="E428">
        <f>VLOOKUP(A428,怪物模型!A$15:G$70,3,0)</f>
        <v>1</v>
      </c>
      <c r="F428">
        <f>VLOOKUP(A428,怪物模型!A$15:G$77,4,0)</f>
        <v>1</v>
      </c>
      <c r="G428">
        <v>1</v>
      </c>
      <c r="H428">
        <f>VLOOKUP(A428,怪物模型!A$15:G$77,5,0)</f>
        <v>0</v>
      </c>
      <c r="I428">
        <f>VLOOKUP(A428,怪物模型!A$15:G$77,6,0)</f>
        <v>0</v>
      </c>
      <c r="J428">
        <f>VLOOKUP(A428,怪物模型!A$15:G$77,7,0)</f>
        <v>0</v>
      </c>
      <c r="K428">
        <f>ROUND(VLOOKUP(C428,法师难度!A$1:C$135,3,0)/VLOOKUP(B428,怪物抗性与玩家穿透!A$2:Q$74,17,0)*F428,0)</f>
        <v>1597957</v>
      </c>
      <c r="L428">
        <f>IF(A428="卡雷",42,IF(A428="法力风暴",ROUND(K428*0.1,0),VLOOKUP(A428,怪物模型!$A$15:$I$70,9,0)*(1+(B428-30)/100)))</f>
        <v>1470</v>
      </c>
      <c r="M428">
        <f>ROUND(VLOOKUP(C428,法师难度!A$1:C$135,2,0)*0.91*E428,0)</f>
        <v>57374</v>
      </c>
      <c r="N428">
        <f t="shared" si="18"/>
        <v>68849</v>
      </c>
      <c r="O428">
        <f>VLOOKUP(B428,怪物抗性与玩家穿透!A$2:Q$74,4,0)</f>
        <v>16000</v>
      </c>
      <c r="P428">
        <f>VLOOKUP(B428,怪物抗性与玩家穿透!A$2:Q$74,5,0)</f>
        <v>4800</v>
      </c>
      <c r="Q428">
        <f t="shared" si="19"/>
        <v>4800</v>
      </c>
      <c r="R428">
        <f>ROUND(VLOOKUP(B428,[3]battleParameter.xml!$A$6:$E$107,5,0)*(I428/100)/(1-I428/100),0)</f>
        <v>0</v>
      </c>
      <c r="S428">
        <f>ROUND(VLOOKUP(B428,[3]battleParameter.xml!$A$6:$G$107,7,0)*(J428/100)/(1-J428/100),0)</f>
        <v>0</v>
      </c>
      <c r="T428">
        <f>ROUND(VLOOKUP(B428,[3]battleParameter.xml!$A$6:$Z$107,8,0)*(MIN(H428/100+0.2,0.99))/(1-MIN(H428/100+0.2,0.99)),0)</f>
        <v>1125</v>
      </c>
      <c r="U428">
        <v>0</v>
      </c>
      <c r="V428">
        <v>0</v>
      </c>
    </row>
    <row r="429" spans="1:22">
      <c r="A429" t="str">
        <f>[2]monster.xml!$D774</f>
        <v>暮光预言者</v>
      </c>
      <c r="B429">
        <f>[2]monster.xml!$C774</f>
        <v>77</v>
      </c>
      <c r="C429">
        <f t="shared" si="20"/>
        <v>88</v>
      </c>
      <c r="D429">
        <f>VLOOKUP(A429,怪物模型!A$15:Z$70,8,0)</f>
        <v>13</v>
      </c>
      <c r="E429">
        <f>VLOOKUP(A429,怪物模型!A$15:G$70,3,0)</f>
        <v>0.7</v>
      </c>
      <c r="F429">
        <f>VLOOKUP(A429,怪物模型!A$15:G$77,4,0)</f>
        <v>1</v>
      </c>
      <c r="G429">
        <v>1</v>
      </c>
      <c r="H429">
        <f>VLOOKUP(A429,怪物模型!A$15:G$77,5,0)</f>
        <v>0</v>
      </c>
      <c r="I429">
        <f>VLOOKUP(A429,怪物模型!A$15:G$77,6,0)</f>
        <v>0</v>
      </c>
      <c r="J429">
        <f>VLOOKUP(A429,怪物模型!A$15:G$77,7,0)</f>
        <v>0</v>
      </c>
      <c r="K429">
        <f>ROUND(VLOOKUP(C429,法师难度!A$1:C$135,3,0)/VLOOKUP(B429,怪物抗性与玩家穿透!A$2:Q$74,17,0)*F429,0)</f>
        <v>1708906</v>
      </c>
      <c r="L429">
        <f>IF(A429="卡雷",42,IF(A429="法力风暴",ROUND(K429*0.1,0),VLOOKUP(A429,怪物模型!$A$15:$I$70,9,0)*(1+(B429-30)/100)))</f>
        <v>1176</v>
      </c>
      <c r="M429">
        <f>ROUND(VLOOKUP(C429,法师难度!A$1:C$135,2,0)*0.91*E429,0)</f>
        <v>43336</v>
      </c>
      <c r="N429">
        <f t="shared" si="18"/>
        <v>52003</v>
      </c>
      <c r="O429">
        <f>VLOOKUP(B429,怪物抗性与玩家穿透!A$2:Q$74,4,0)</f>
        <v>16000</v>
      </c>
      <c r="P429">
        <f>VLOOKUP(B429,怪物抗性与玩家穿透!A$2:Q$74,5,0)</f>
        <v>4800</v>
      </c>
      <c r="Q429">
        <f t="shared" si="19"/>
        <v>4800</v>
      </c>
      <c r="R429">
        <f>ROUND(VLOOKUP(B429,[3]battleParameter.xml!$A$6:$E$107,5,0)*(I429/100)/(1-I429/100),0)</f>
        <v>0</v>
      </c>
      <c r="S429">
        <f>ROUND(VLOOKUP(B429,[3]battleParameter.xml!$A$6:$G$107,7,0)*(J429/100)/(1-J429/100),0)</f>
        <v>0</v>
      </c>
      <c r="T429">
        <f>ROUND(VLOOKUP(B429,[3]battleParameter.xml!$A$6:$Z$107,8,0)*(MIN(H429/100+0.2,0.99))/(1-MIN(H429/100+0.2,0.99)),0)</f>
        <v>1125</v>
      </c>
      <c r="U429">
        <v>0</v>
      </c>
      <c r="V429">
        <v>0</v>
      </c>
    </row>
    <row r="430" spans="1:22">
      <c r="A430" t="str">
        <f>[2]monster.xml!$D775</f>
        <v>卡雷</v>
      </c>
      <c r="B430">
        <f>[2]monster.xml!$C775</f>
        <v>78</v>
      </c>
      <c r="C430">
        <f t="shared" si="20"/>
        <v>89</v>
      </c>
      <c r="D430">
        <f>VLOOKUP(A430,怪物模型!A$15:Z$70,8,0)</f>
        <v>25</v>
      </c>
      <c r="E430">
        <f>VLOOKUP(A430,怪物模型!A$15:G$70,3,0)</f>
        <v>1.25</v>
      </c>
      <c r="F430">
        <f>VLOOKUP(A430,怪物模型!A$15:G$77,4,0)</f>
        <v>1</v>
      </c>
      <c r="G430">
        <v>1</v>
      </c>
      <c r="H430">
        <f>VLOOKUP(A430,怪物模型!A$15:G$77,5,0)</f>
        <v>13</v>
      </c>
      <c r="I430">
        <f>VLOOKUP(A430,怪物模型!A$15:G$77,6,0)</f>
        <v>0</v>
      </c>
      <c r="J430">
        <f>VLOOKUP(A430,怪物模型!A$15:G$77,7,0)</f>
        <v>0</v>
      </c>
      <c r="K430">
        <f>ROUND(VLOOKUP(C430,法师难度!A$1:C$135,3,0)/VLOOKUP(B430,怪物抗性与玩家穿透!A$2:Q$74,17,0)*F430,0)</f>
        <v>1834513</v>
      </c>
      <c r="L430">
        <f>IF(A430="卡雷",42,IF(A430="法力风暴",ROUND(K430*0.1,0),VLOOKUP(A430,怪物模型!$A$15:$I$70,9,0)*(1+(B430-30)/100)))</f>
        <v>42</v>
      </c>
      <c r="M430">
        <f>ROUND(VLOOKUP(C430,法师难度!A$1:C$135,2,0)*0.91*E430,0)</f>
        <v>83504</v>
      </c>
      <c r="N430">
        <f t="shared" si="18"/>
        <v>100205</v>
      </c>
      <c r="O430">
        <f>VLOOKUP(B430,怪物抗性与玩家穿透!A$2:Q$74,4,0)</f>
        <v>16500</v>
      </c>
      <c r="P430">
        <f>VLOOKUP(B430,怪物抗性与玩家穿透!A$2:Q$74,5,0)</f>
        <v>4950</v>
      </c>
      <c r="Q430">
        <f t="shared" si="19"/>
        <v>4950</v>
      </c>
      <c r="R430">
        <f>ROUND(VLOOKUP(B430,[3]battleParameter.xml!$A$6:$E$107,5,0)*(I430/100)/(1-I430/100),0)</f>
        <v>0</v>
      </c>
      <c r="S430">
        <f>ROUND(VLOOKUP(B430,[3]battleParameter.xml!$A$6:$G$107,7,0)*(J430/100)/(1-J430/100),0)</f>
        <v>0</v>
      </c>
      <c r="T430">
        <f>ROUND(VLOOKUP(B430,[3]battleParameter.xml!$A$6:$Z$107,8,0)*(MIN(H430/100+0.2,0.99))/(1-MIN(H430/100+0.2,0.99)),0)</f>
        <v>2273</v>
      </c>
      <c r="U430">
        <v>0</v>
      </c>
      <c r="V430">
        <v>0</v>
      </c>
    </row>
    <row r="431" spans="1:22">
      <c r="A431" t="str">
        <f>[2]monster.xml!$D776</f>
        <v>日光弗雷尔</v>
      </c>
      <c r="B431">
        <f>[2]monster.xml!$C776</f>
        <v>79</v>
      </c>
      <c r="C431">
        <f t="shared" si="20"/>
        <v>90</v>
      </c>
      <c r="D431">
        <f>VLOOKUP(A431,怪物模型!A$15:Z$70,8,0)</f>
        <v>28</v>
      </c>
      <c r="E431">
        <f>VLOOKUP(A431,怪物模型!A$15:G$70,3,0)</f>
        <v>0.9</v>
      </c>
      <c r="F431">
        <f>VLOOKUP(A431,怪物模型!A$15:G$77,4,0)</f>
        <v>0.9</v>
      </c>
      <c r="G431">
        <v>1</v>
      </c>
      <c r="H431">
        <f>VLOOKUP(A431,怪物模型!A$15:G$77,5,0)</f>
        <v>13</v>
      </c>
      <c r="I431">
        <f>VLOOKUP(A431,怪物模型!A$15:G$77,6,0)</f>
        <v>0</v>
      </c>
      <c r="J431">
        <f>VLOOKUP(A431,怪物模型!A$15:G$77,7,0)</f>
        <v>0</v>
      </c>
      <c r="K431">
        <f>ROUND(VLOOKUP(C431,法师难度!A$1:C$135,3,0)/VLOOKUP(B431,怪物抗性与玩家穿透!A$2:Q$74,17,0)*F431,0)</f>
        <v>1814434</v>
      </c>
      <c r="L431">
        <f>IF(A431="卡雷",42,IF(A431="法力风暴",ROUND(K431*0.1,0),VLOOKUP(A431,怪物模型!$A$15:$I$70,9,0)*(1+(B431-30)/100)))</f>
        <v>1490</v>
      </c>
      <c r="M431">
        <f>ROUND(VLOOKUP(C431,法师难度!A$1:C$135,2,0)*0.91*E431,0)</f>
        <v>66542</v>
      </c>
      <c r="N431">
        <f t="shared" si="18"/>
        <v>79850</v>
      </c>
      <c r="O431">
        <f>VLOOKUP(B431,怪物抗性与玩家穿透!A$2:Q$74,4,0)</f>
        <v>17000</v>
      </c>
      <c r="P431">
        <f>VLOOKUP(B431,怪物抗性与玩家穿透!A$2:Q$74,5,0)</f>
        <v>5100</v>
      </c>
      <c r="Q431">
        <f t="shared" si="19"/>
        <v>5100</v>
      </c>
      <c r="R431">
        <f>ROUND(VLOOKUP(B431,[3]battleParameter.xml!$A$6:$E$107,5,0)*(I431/100)/(1-I431/100),0)</f>
        <v>0</v>
      </c>
      <c r="S431">
        <f>ROUND(VLOOKUP(B431,[3]battleParameter.xml!$A$6:$G$107,7,0)*(J431/100)/(1-J431/100),0)</f>
        <v>0</v>
      </c>
      <c r="T431">
        <f>ROUND(VLOOKUP(B431,[3]battleParameter.xml!$A$6:$Z$107,8,0)*(MIN(H431/100+0.2,0.99))/(1-MIN(H431/100+0.2,0.99)),0)</f>
        <v>2332</v>
      </c>
      <c r="U431">
        <v>0</v>
      </c>
      <c r="V431">
        <v>0</v>
      </c>
    </row>
    <row r="432" spans="1:22">
      <c r="A432" t="str">
        <f>[2]monster.xml!$D777</f>
        <v>坚定的格雷格</v>
      </c>
      <c r="B432">
        <f>[2]monster.xml!$C777</f>
        <v>80</v>
      </c>
      <c r="C432">
        <f t="shared" si="20"/>
        <v>91</v>
      </c>
      <c r="D432">
        <f>VLOOKUP(A432,怪物模型!A$15:Z$70,8,0)</f>
        <v>3</v>
      </c>
      <c r="E432">
        <f>VLOOKUP(A432,怪物模型!A$15:G$70,3,0)</f>
        <v>0.7</v>
      </c>
      <c r="F432">
        <f>VLOOKUP(A432,怪物模型!A$15:G$77,4,0)</f>
        <v>0.8</v>
      </c>
      <c r="G432">
        <v>1</v>
      </c>
      <c r="H432">
        <f>VLOOKUP(A432,怪物模型!A$15:G$77,5,0)</f>
        <v>13</v>
      </c>
      <c r="I432">
        <f>VLOOKUP(A432,怪物模型!A$15:G$77,6,0)</f>
        <v>0</v>
      </c>
      <c r="J432">
        <f>VLOOKUP(A432,怪物模型!A$15:G$77,7,0)</f>
        <v>0</v>
      </c>
      <c r="K432">
        <f>ROUND(VLOOKUP(C432,法师难度!A$1:C$135,3,0)/VLOOKUP(B432,怪物抗性与玩家穿透!A$2:Q$74,17,0)*F432,0)</f>
        <v>1162987</v>
      </c>
      <c r="L432">
        <f>IF(A432="卡雷",42,IF(A432="法力风暴",ROUND(K432*0.1,0),VLOOKUP(A432,怪物模型!$A$15:$I$70,9,0)*(1+(B432-30)/100)))</f>
        <v>900</v>
      </c>
      <c r="M432">
        <f>ROUND(VLOOKUP(C432,法师难度!A$1:C$135,2,0)*0.91*E432,0)</f>
        <v>35575</v>
      </c>
      <c r="N432">
        <f t="shared" si="18"/>
        <v>42690</v>
      </c>
      <c r="O432">
        <f>VLOOKUP(B432,怪物抗性与玩家穿透!A$2:Q$74,4,0)</f>
        <v>17500</v>
      </c>
      <c r="P432">
        <f>VLOOKUP(B432,怪物抗性与玩家穿透!A$2:Q$74,5,0)</f>
        <v>5250</v>
      </c>
      <c r="Q432">
        <f t="shared" si="19"/>
        <v>5250</v>
      </c>
      <c r="R432">
        <f>ROUND(VLOOKUP(B432,[3]battleParameter.xml!$A$6:$E$107,5,0)*(I432/100)/(1-I432/100),0)</f>
        <v>0</v>
      </c>
      <c r="S432">
        <f>ROUND(VLOOKUP(B432,[3]battleParameter.xml!$A$6:$G$107,7,0)*(J432/100)/(1-J432/100),0)</f>
        <v>0</v>
      </c>
      <c r="T432">
        <f>ROUND(VLOOKUP(B432,[3]battleParameter.xml!$A$6:$Z$107,8,0)*(MIN(H432/100+0.2,0.99))/(1-MIN(H432/100+0.2,0.99)),0)</f>
        <v>2390</v>
      </c>
      <c r="U432">
        <v>0</v>
      </c>
      <c r="V432">
        <v>0</v>
      </c>
    </row>
    <row r="433" spans="1:22">
      <c r="A433" t="str">
        <f>[2]monster.xml!$D778</f>
        <v>赛琳娜的倒影</v>
      </c>
      <c r="B433">
        <f>[2]monster.xml!$C778</f>
        <v>80</v>
      </c>
      <c r="C433">
        <f t="shared" si="20"/>
        <v>92</v>
      </c>
      <c r="D433" t="str">
        <f>VLOOKUP(A433,怪物模型!A$15:Z$70,8,0)</f>
        <v>26,24</v>
      </c>
      <c r="E433">
        <f>VLOOKUP(A433,怪物模型!A$15:G$70,3,0)</f>
        <v>1.2</v>
      </c>
      <c r="F433">
        <f>VLOOKUP(A433,怪物模型!A$15:G$77,4,0)</f>
        <v>1</v>
      </c>
      <c r="G433">
        <v>1</v>
      </c>
      <c r="H433">
        <f>VLOOKUP(A433,怪物模型!A$15:G$77,5,0)</f>
        <v>13</v>
      </c>
      <c r="I433">
        <f>VLOOKUP(A433,怪物模型!A$15:G$77,6,0)</f>
        <v>0</v>
      </c>
      <c r="J433">
        <f>VLOOKUP(A433,怪物模型!A$15:G$77,7,0)</f>
        <v>0</v>
      </c>
      <c r="K433">
        <f>ROUND(VLOOKUP(C433,法师难度!A$1:C$135,3,0)/VLOOKUP(B433,怪物抗性与玩家穿透!A$2:Q$74,17,0)*F433,0)</f>
        <v>1574957</v>
      </c>
      <c r="L433">
        <f>IF(A433="卡雷",42,IF(A433="法力风暴",ROUND(K433*0.1,0),VLOOKUP(A433,怪物模型!$A$15:$I$70,9,0)*(1+(B433-30)/100)))</f>
        <v>1500</v>
      </c>
      <c r="M433">
        <f>ROUND(VLOOKUP(C433,法师难度!A$1:C$135,2,0)*0.91*E433,0)</f>
        <v>67750</v>
      </c>
      <c r="N433">
        <f t="shared" si="18"/>
        <v>81300</v>
      </c>
      <c r="O433">
        <f>VLOOKUP(B433,怪物抗性与玩家穿透!A$2:Q$74,4,0)</f>
        <v>17500</v>
      </c>
      <c r="P433">
        <f>VLOOKUP(B433,怪物抗性与玩家穿透!A$2:Q$74,5,0)</f>
        <v>5250</v>
      </c>
      <c r="Q433">
        <f t="shared" si="19"/>
        <v>5250</v>
      </c>
      <c r="R433">
        <f>ROUND(VLOOKUP(B433,[3]battleParameter.xml!$A$6:$E$107,5,0)*(I433/100)/(1-I433/100),0)</f>
        <v>0</v>
      </c>
      <c r="S433">
        <f>ROUND(VLOOKUP(B433,[3]battleParameter.xml!$A$6:$G$107,7,0)*(J433/100)/(1-J433/100),0)</f>
        <v>0</v>
      </c>
      <c r="T433">
        <f>ROUND(VLOOKUP(B433,[3]battleParameter.xml!$A$6:$Z$107,8,0)*(MIN(H433/100+0.2,0.99))/(1-MIN(H433/100+0.2,0.99)),0)</f>
        <v>2390</v>
      </c>
      <c r="U433">
        <v>0</v>
      </c>
      <c r="V433">
        <v>0</v>
      </c>
    </row>
    <row r="434" spans="1:22">
      <c r="A434" t="str">
        <f>[2]monster.xml!$D779</f>
        <v>幻术师艾莉</v>
      </c>
      <c r="B434">
        <f>[2]monster.xml!$C779</f>
        <v>81</v>
      </c>
      <c r="C434">
        <f t="shared" si="20"/>
        <v>93</v>
      </c>
      <c r="D434">
        <f>VLOOKUP(A434,怪物模型!A$15:Z$70,8,0)</f>
        <v>20</v>
      </c>
      <c r="E434">
        <f>VLOOKUP(A434,怪物模型!A$15:G$70,3,0)</f>
        <v>1.2</v>
      </c>
      <c r="F434">
        <f>VLOOKUP(A434,怪物模型!A$15:G$77,4,0)</f>
        <v>0.75</v>
      </c>
      <c r="G434">
        <v>1</v>
      </c>
      <c r="H434">
        <f>VLOOKUP(A434,怪物模型!A$15:G$77,5,0)</f>
        <v>0</v>
      </c>
      <c r="I434">
        <f>VLOOKUP(A434,怪物模型!A$15:G$77,6,0)</f>
        <v>0</v>
      </c>
      <c r="J434">
        <f>VLOOKUP(A434,怪物模型!A$15:G$77,7,0)</f>
        <v>0</v>
      </c>
      <c r="K434">
        <f>ROUND(VLOOKUP(C434,法师难度!A$1:C$135,3,0)/VLOOKUP(B434,怪物抗性与玩家穿透!A$2:Q$74,17,0)*F434,0)</f>
        <v>1323083</v>
      </c>
      <c r="L434">
        <f>IF(A434="卡雷",42,IF(A434="法力风暴",ROUND(K434*0.1,0),VLOOKUP(A434,怪物模型!$A$15:$I$70,9,0)*(1+(B434-30)/100)))</f>
        <v>2416</v>
      </c>
      <c r="M434">
        <f>ROUND(VLOOKUP(C434,法师难度!A$1:C$135,2,0)*0.91*E434,0)</f>
        <v>77951</v>
      </c>
      <c r="N434">
        <f t="shared" si="18"/>
        <v>93541</v>
      </c>
      <c r="O434">
        <f>VLOOKUP(B434,怪物抗性与玩家穿透!A$2:Q$74,4,0)</f>
        <v>18000</v>
      </c>
      <c r="P434">
        <f>VLOOKUP(B434,怪物抗性与玩家穿透!A$2:Q$74,5,0)</f>
        <v>5400</v>
      </c>
      <c r="Q434">
        <f t="shared" si="19"/>
        <v>5400</v>
      </c>
      <c r="R434">
        <f>ROUND(VLOOKUP(B434,[3]battleParameter.xml!$A$6:$E$107,5,0)*(I434/100)/(1-I434/100),0)</f>
        <v>0</v>
      </c>
      <c r="S434">
        <f>ROUND(VLOOKUP(B434,[3]battleParameter.xml!$A$6:$G$107,7,0)*(J434/100)/(1-J434/100),0)</f>
        <v>0</v>
      </c>
      <c r="T434">
        <f>ROUND(VLOOKUP(B434,[3]battleParameter.xml!$A$6:$Z$107,8,0)*(MIN(H434/100+0.2,0.99))/(1-MIN(H434/100+0.2,0.99)),0)</f>
        <v>1244</v>
      </c>
      <c r="U434">
        <v>0</v>
      </c>
      <c r="V434">
        <v>0</v>
      </c>
    </row>
    <row r="435" spans="1:22">
      <c r="A435" t="str">
        <f>[2]monster.xml!$D780</f>
        <v>驯兽师瓦纳</v>
      </c>
      <c r="B435">
        <f>[2]monster.xml!$C780</f>
        <v>81</v>
      </c>
      <c r="C435">
        <f t="shared" si="20"/>
        <v>94</v>
      </c>
      <c r="D435">
        <f>VLOOKUP(A435,怪物模型!A$15:Z$70,8,0)</f>
        <v>2</v>
      </c>
      <c r="E435">
        <f>VLOOKUP(A435,怪物模型!A$15:G$70,3,0)</f>
        <v>0.6</v>
      </c>
      <c r="F435">
        <f>VLOOKUP(A435,怪物模型!A$15:G$77,4,0)</f>
        <v>0.6</v>
      </c>
      <c r="G435">
        <v>1</v>
      </c>
      <c r="H435">
        <f>VLOOKUP(A435,怪物模型!A$15:G$77,5,0)</f>
        <v>13</v>
      </c>
      <c r="I435">
        <f>VLOOKUP(A435,怪物模型!A$15:G$77,6,0)</f>
        <v>0</v>
      </c>
      <c r="J435">
        <f>VLOOKUP(A435,怪物模型!A$15:G$77,7,0)</f>
        <v>0</v>
      </c>
      <c r="K435">
        <f>ROUND(VLOOKUP(C435,法师难度!A$1:C$135,3,0)/VLOOKUP(B435,怪物抗性与玩家穿透!A$2:Q$74,17,0)*F435,0)</f>
        <v>1127469</v>
      </c>
      <c r="L435">
        <f>IF(A435="卡雷",42,IF(A435="法力风暴",ROUND(K435*0.1,0),VLOOKUP(A435,怪物模型!$A$15:$I$70,9,0)*(1+(B435-30)/100)))</f>
        <v>1208</v>
      </c>
      <c r="M435">
        <f>ROUND(VLOOKUP(C435,法师难度!A$1:C$135,2,0)*0.91*E435,0)</f>
        <v>42126</v>
      </c>
      <c r="N435">
        <f t="shared" si="18"/>
        <v>50551</v>
      </c>
      <c r="O435">
        <f>VLOOKUP(B435,怪物抗性与玩家穿透!A$2:Q$74,4,0)</f>
        <v>18000</v>
      </c>
      <c r="P435">
        <f>VLOOKUP(B435,怪物抗性与玩家穿透!A$2:Q$74,5,0)</f>
        <v>5400</v>
      </c>
      <c r="Q435">
        <f t="shared" si="19"/>
        <v>5400</v>
      </c>
      <c r="R435">
        <f>ROUND(VLOOKUP(B435,[3]battleParameter.xml!$A$6:$E$107,5,0)*(I435/100)/(1-I435/100),0)</f>
        <v>0</v>
      </c>
      <c r="S435">
        <f>ROUND(VLOOKUP(B435,[3]battleParameter.xml!$A$6:$G$107,7,0)*(J435/100)/(1-J435/100),0)</f>
        <v>0</v>
      </c>
      <c r="T435">
        <f>ROUND(VLOOKUP(B435,[3]battleParameter.xml!$A$6:$Z$107,8,0)*(MIN(H435/100+0.2,0.99))/(1-MIN(H435/100+0.2,0.99)),0)</f>
        <v>2450</v>
      </c>
      <c r="U435">
        <v>0</v>
      </c>
      <c r="V435">
        <v>0</v>
      </c>
    </row>
    <row r="436" spans="1:22">
      <c r="A436" t="str">
        <f>[2]monster.xml!$D781</f>
        <v>多兰</v>
      </c>
      <c r="B436">
        <f>[2]monster.xml!$C781</f>
        <v>81</v>
      </c>
      <c r="C436">
        <f t="shared" si="20"/>
        <v>94</v>
      </c>
      <c r="D436">
        <f>VLOOKUP(A436,怪物模型!A$15:Z$70,8,0)</f>
        <v>9</v>
      </c>
      <c r="E436">
        <f>VLOOKUP(A436,怪物模型!A$15:G$70,3,0)</f>
        <v>0.35</v>
      </c>
      <c r="F436">
        <f>VLOOKUP(A436,怪物模型!A$15:G$77,4,0)</f>
        <v>0.28000000000000003</v>
      </c>
      <c r="G436">
        <v>1</v>
      </c>
      <c r="H436">
        <f>VLOOKUP(A436,怪物模型!A$15:G$77,5,0)</f>
        <v>13</v>
      </c>
      <c r="I436">
        <f>VLOOKUP(A436,怪物模型!A$15:G$77,6,0)</f>
        <v>0</v>
      </c>
      <c r="J436">
        <f>VLOOKUP(A436,怪物模型!A$15:G$77,7,0)</f>
        <v>0</v>
      </c>
      <c r="K436">
        <f>ROUND(VLOOKUP(C436,法师难度!A$1:C$135,3,0)/VLOOKUP(B436,怪物抗性与玩家穿透!A$2:Q$74,17,0)*F436,0)</f>
        <v>526152</v>
      </c>
      <c r="L436">
        <f>IF(A436="卡雷",42,IF(A436="法力风暴",ROUND(K436*0.1,0),VLOOKUP(A436,怪物模型!$A$15:$I$70,9,0)*(1+(B436-30)/100)))</f>
        <v>1510</v>
      </c>
      <c r="M436">
        <f>ROUND(VLOOKUP(C436,法师难度!A$1:C$135,2,0)*0.91*E436,0)</f>
        <v>24574</v>
      </c>
      <c r="N436">
        <f t="shared" si="18"/>
        <v>29489</v>
      </c>
      <c r="O436">
        <f>VLOOKUP(B436,怪物抗性与玩家穿透!A$2:Q$74,4,0)</f>
        <v>18000</v>
      </c>
      <c r="P436">
        <f>VLOOKUP(B436,怪物抗性与玩家穿透!A$2:Q$74,5,0)</f>
        <v>5400</v>
      </c>
      <c r="Q436">
        <f t="shared" si="19"/>
        <v>5400</v>
      </c>
      <c r="R436">
        <f>ROUND(VLOOKUP(B436,[3]battleParameter.xml!$A$6:$E$107,5,0)*(I436/100)/(1-I436/100),0)</f>
        <v>0</v>
      </c>
      <c r="S436">
        <f>ROUND(VLOOKUP(B436,[3]battleParameter.xml!$A$6:$G$107,7,0)*(J436/100)/(1-J436/100),0)</f>
        <v>0</v>
      </c>
      <c r="T436">
        <f>ROUND(VLOOKUP(B436,[3]battleParameter.xml!$A$6:$Z$107,8,0)*(MIN(H436/100+0.2,0.99))/(1-MIN(H436/100+0.2,0.99)),0)</f>
        <v>2450</v>
      </c>
      <c r="U436">
        <v>0</v>
      </c>
      <c r="V436">
        <v>0</v>
      </c>
    </row>
    <row r="437" spans="1:22">
      <c r="A437" t="str">
        <f>[2]monster.xml!$D782</f>
        <v>约翰</v>
      </c>
      <c r="B437">
        <f>[2]monster.xml!$C782</f>
        <v>81</v>
      </c>
      <c r="C437">
        <f t="shared" si="20"/>
        <v>94</v>
      </c>
      <c r="D437">
        <f>VLOOKUP(A437,怪物模型!A$15:Z$70,8,0)</f>
        <v>10</v>
      </c>
      <c r="E437">
        <f>VLOOKUP(A437,怪物模型!A$15:G$70,3,0)</f>
        <v>0.35</v>
      </c>
      <c r="F437">
        <f>VLOOKUP(A437,怪物模型!A$15:G$77,4,0)</f>
        <v>0.28000000000000003</v>
      </c>
      <c r="G437">
        <v>1</v>
      </c>
      <c r="H437">
        <f>VLOOKUP(A437,怪物模型!A$15:G$77,5,0)</f>
        <v>13</v>
      </c>
      <c r="I437">
        <f>VLOOKUP(A437,怪物模型!A$15:G$77,6,0)</f>
        <v>0</v>
      </c>
      <c r="J437">
        <f>VLOOKUP(A437,怪物模型!A$15:G$77,7,0)</f>
        <v>0</v>
      </c>
      <c r="K437">
        <f>ROUND(VLOOKUP(C437,法师难度!A$1:C$135,3,0)/VLOOKUP(B437,怪物抗性与玩家穿透!A$2:Q$74,17,0)*F437,0)</f>
        <v>526152</v>
      </c>
      <c r="L437">
        <f>IF(A437="卡雷",42,IF(A437="法力风暴",ROUND(K437*0.1,0),VLOOKUP(A437,怪物模型!$A$15:$I$70,9,0)*(1+(B437-30)/100)))</f>
        <v>1510</v>
      </c>
      <c r="M437">
        <f>ROUND(VLOOKUP(C437,法师难度!A$1:C$135,2,0)*0.91*E437,0)</f>
        <v>24574</v>
      </c>
      <c r="N437">
        <f t="shared" si="18"/>
        <v>29489</v>
      </c>
      <c r="O437">
        <f>VLOOKUP(B437,怪物抗性与玩家穿透!A$2:Q$74,4,0)</f>
        <v>18000</v>
      </c>
      <c r="P437">
        <f>VLOOKUP(B437,怪物抗性与玩家穿透!A$2:Q$74,5,0)</f>
        <v>5400</v>
      </c>
      <c r="Q437">
        <f t="shared" si="19"/>
        <v>5400</v>
      </c>
      <c r="R437">
        <f>ROUND(VLOOKUP(B437,[3]battleParameter.xml!$A$6:$E$107,5,0)*(I437/100)/(1-I437/100),0)</f>
        <v>0</v>
      </c>
      <c r="S437">
        <f>ROUND(VLOOKUP(B437,[3]battleParameter.xml!$A$6:$G$107,7,0)*(J437/100)/(1-J437/100),0)</f>
        <v>0</v>
      </c>
      <c r="T437">
        <f>ROUND(VLOOKUP(B437,[3]battleParameter.xml!$A$6:$Z$107,8,0)*(MIN(H437/100+0.2,0.99))/(1-MIN(H437/100+0.2,0.99)),0)</f>
        <v>2450</v>
      </c>
      <c r="U437">
        <v>0</v>
      </c>
      <c r="V437">
        <v>0</v>
      </c>
    </row>
    <row r="438" spans="1:22">
      <c r="A438" t="str">
        <f>[2]monster.xml!$D783</f>
        <v>炎之安苏</v>
      </c>
      <c r="B438">
        <f>[2]monster.xml!$C783</f>
        <v>81</v>
      </c>
      <c r="C438">
        <f t="shared" si="20"/>
        <v>95</v>
      </c>
      <c r="D438">
        <f>VLOOKUP(A438,怪物模型!A$15:Z$70,8,0)</f>
        <v>21</v>
      </c>
      <c r="E438">
        <f>VLOOKUP(A438,怪物模型!A$15:G$70,3,0)</f>
        <v>1</v>
      </c>
      <c r="F438">
        <f>VLOOKUP(A438,怪物模型!A$15:G$77,4,0)</f>
        <v>0.95</v>
      </c>
      <c r="G438">
        <v>1</v>
      </c>
      <c r="H438">
        <f>VLOOKUP(A438,怪物模型!A$15:G$77,5,0)</f>
        <v>13</v>
      </c>
      <c r="I438">
        <f>VLOOKUP(A438,怪物模型!A$15:G$77,6,0)</f>
        <v>0</v>
      </c>
      <c r="J438">
        <f>VLOOKUP(A438,怪物模型!A$15:G$77,7,0)</f>
        <v>0</v>
      </c>
      <c r="K438">
        <f>ROUND(VLOOKUP(C438,法师难度!A$1:C$135,3,0)/VLOOKUP(B438,怪物抗性与玩家穿透!A$2:Q$74,17,0)*F438,0)</f>
        <v>1901534</v>
      </c>
      <c r="L438">
        <f>IF(A438="卡雷",42,IF(A438="法力风暴",ROUND(K438*0.1,0),VLOOKUP(A438,怪物模型!$A$15:$I$70,9,0)*(1+(B438-30)/100)))</f>
        <v>1510</v>
      </c>
      <c r="M438">
        <f>ROUND(VLOOKUP(C438,法师难度!A$1:C$135,2,0)*0.91*E438,0)</f>
        <v>75886</v>
      </c>
      <c r="N438">
        <f t="shared" si="18"/>
        <v>91063</v>
      </c>
      <c r="O438">
        <f>VLOOKUP(B438,怪物抗性与玩家穿透!A$2:Q$74,4,0)</f>
        <v>18000</v>
      </c>
      <c r="P438">
        <f>VLOOKUP(B438,怪物抗性与玩家穿透!A$2:Q$74,5,0)</f>
        <v>5400</v>
      </c>
      <c r="Q438">
        <f t="shared" si="19"/>
        <v>5400</v>
      </c>
      <c r="R438">
        <f>ROUND(VLOOKUP(B438,[3]battleParameter.xml!$A$6:$E$107,5,0)*(I438/100)/(1-I438/100),0)</f>
        <v>0</v>
      </c>
      <c r="S438">
        <f>ROUND(VLOOKUP(B438,[3]battleParameter.xml!$A$6:$G$107,7,0)*(J438/100)/(1-J438/100),0)</f>
        <v>0</v>
      </c>
      <c r="T438">
        <f>ROUND(VLOOKUP(B438,[3]battleParameter.xml!$A$6:$Z$107,8,0)*(MIN(H438/100+0.2,0.99))/(1-MIN(H438/100+0.2,0.99)),0)</f>
        <v>2450</v>
      </c>
      <c r="U438">
        <v>0</v>
      </c>
      <c r="V438">
        <v>0</v>
      </c>
    </row>
    <row r="439" spans="1:22">
      <c r="A439" t="str">
        <f>[2]monster.xml!$D784</f>
        <v>迅捷的维恩</v>
      </c>
      <c r="B439">
        <f>[2]monster.xml!$C784</f>
        <v>82</v>
      </c>
      <c r="C439">
        <f t="shared" si="20"/>
        <v>96</v>
      </c>
      <c r="D439">
        <f>VLOOKUP(A439,怪物模型!A$15:Z$70,8,0)</f>
        <v>14</v>
      </c>
      <c r="E439">
        <f>VLOOKUP(A439,怪物模型!A$15:G$70,3,0)</f>
        <v>1</v>
      </c>
      <c r="F439">
        <f>VLOOKUP(A439,怪物模型!A$15:G$77,4,0)</f>
        <v>1</v>
      </c>
      <c r="G439">
        <v>1</v>
      </c>
      <c r="H439">
        <f>VLOOKUP(A439,怪物模型!A$15:G$77,5,0)</f>
        <v>0</v>
      </c>
      <c r="I439">
        <f>VLOOKUP(A439,怪物模型!A$15:G$77,6,0)</f>
        <v>0</v>
      </c>
      <c r="J439">
        <f>VLOOKUP(A439,怪物模型!A$15:G$77,7,0)</f>
        <v>0</v>
      </c>
      <c r="K439">
        <f>ROUND(VLOOKUP(C439,法师难度!A$1:C$135,3,0)/VLOOKUP(B439,怪物抗性与玩家穿透!A$2:Q$74,17,0)*F439,0)</f>
        <v>2193545</v>
      </c>
      <c r="L439">
        <f>IF(A439="卡雷",42,IF(A439="法力风暴",ROUND(K439*0.1,0),VLOOKUP(A439,怪物模型!$A$15:$I$70,9,0)*(1+(B439-30)/100)))</f>
        <v>1520</v>
      </c>
      <c r="M439">
        <f>ROUND(VLOOKUP(C439,法师难度!A$1:C$135,2,0)*0.91*E439,0)</f>
        <v>84172</v>
      </c>
      <c r="N439">
        <f t="shared" si="18"/>
        <v>101006</v>
      </c>
      <c r="O439">
        <f>VLOOKUP(B439,怪物抗性与玩家穿透!A$2:Q$74,4,0)</f>
        <v>18500</v>
      </c>
      <c r="P439">
        <f>VLOOKUP(B439,怪物抗性与玩家穿透!A$2:Q$74,5,0)</f>
        <v>5550</v>
      </c>
      <c r="Q439">
        <f t="shared" si="19"/>
        <v>5550</v>
      </c>
      <c r="R439">
        <f>ROUND(VLOOKUP(B439,[3]battleParameter.xml!$A$6:$E$107,5,0)*(I439/100)/(1-I439/100),0)</f>
        <v>0</v>
      </c>
      <c r="S439">
        <f>ROUND(VLOOKUP(B439,[3]battleParameter.xml!$A$6:$G$107,7,0)*(J439/100)/(1-J439/100),0)</f>
        <v>0</v>
      </c>
      <c r="T439">
        <f>ROUND(VLOOKUP(B439,[3]battleParameter.xml!$A$6:$Z$107,8,0)*(MIN(H439/100+0.2,0.99))/(1-MIN(H439/100+0.2,0.99)),0)</f>
        <v>1274</v>
      </c>
      <c r="U439">
        <v>0</v>
      </c>
      <c r="V439">
        <v>0</v>
      </c>
    </row>
    <row r="440" spans="1:22">
      <c r="A440" t="str">
        <f>[2]monster.xml!$D785</f>
        <v>暮光预言者</v>
      </c>
      <c r="B440">
        <f>[2]monster.xml!$C785</f>
        <v>82</v>
      </c>
      <c r="C440">
        <f t="shared" si="20"/>
        <v>97</v>
      </c>
      <c r="D440">
        <f>VLOOKUP(A440,怪物模型!A$15:Z$70,8,0)</f>
        <v>13</v>
      </c>
      <c r="E440">
        <f>VLOOKUP(A440,怪物模型!A$15:G$70,3,0)</f>
        <v>0.7</v>
      </c>
      <c r="F440">
        <f>VLOOKUP(A440,怪物模型!A$15:G$77,4,0)</f>
        <v>1</v>
      </c>
      <c r="G440">
        <v>1</v>
      </c>
      <c r="H440">
        <f>VLOOKUP(A440,怪物模型!A$15:G$77,5,0)</f>
        <v>0</v>
      </c>
      <c r="I440">
        <f>VLOOKUP(A440,怪物模型!A$15:G$77,6,0)</f>
        <v>0</v>
      </c>
      <c r="J440">
        <f>VLOOKUP(A440,怪物模型!A$15:G$77,7,0)</f>
        <v>0</v>
      </c>
      <c r="K440">
        <f>ROUND(VLOOKUP(C440,法师难度!A$1:C$135,3,0)/VLOOKUP(B440,怪物抗性与玩家穿透!A$2:Q$74,17,0)*F440,0)</f>
        <v>2347162</v>
      </c>
      <c r="L440">
        <f>IF(A440="卡雷",42,IF(A440="法力风暴",ROUND(K440*0.1,0),VLOOKUP(A440,怪物模型!$A$15:$I$70,9,0)*(1+(B440-30)/100)))</f>
        <v>1216</v>
      </c>
      <c r="M440">
        <f>ROUND(VLOOKUP(C440,法师难度!A$1:C$135,2,0)*0.91*E440,0)</f>
        <v>63810</v>
      </c>
      <c r="N440">
        <f t="shared" si="18"/>
        <v>76572</v>
      </c>
      <c r="O440">
        <f>VLOOKUP(B440,怪物抗性与玩家穿透!A$2:Q$74,4,0)</f>
        <v>18500</v>
      </c>
      <c r="P440">
        <f>VLOOKUP(B440,怪物抗性与玩家穿透!A$2:Q$74,5,0)</f>
        <v>5550</v>
      </c>
      <c r="Q440">
        <f t="shared" si="19"/>
        <v>5550</v>
      </c>
      <c r="R440">
        <f>ROUND(VLOOKUP(B440,[3]battleParameter.xml!$A$6:$E$107,5,0)*(I440/100)/(1-I440/100),0)</f>
        <v>0</v>
      </c>
      <c r="S440">
        <f>ROUND(VLOOKUP(B440,[3]battleParameter.xml!$A$6:$G$107,7,0)*(J440/100)/(1-J440/100),0)</f>
        <v>0</v>
      </c>
      <c r="T440">
        <f>ROUND(VLOOKUP(B440,[3]battleParameter.xml!$A$6:$Z$107,8,0)*(MIN(H440/100+0.2,0.99))/(1-MIN(H440/100+0.2,0.99)),0)</f>
        <v>1274</v>
      </c>
      <c r="U440">
        <v>0</v>
      </c>
      <c r="V440">
        <v>0</v>
      </c>
    </row>
    <row r="441" spans="1:22">
      <c r="A441" t="str">
        <f>[2]monster.xml!$D786</f>
        <v>卡雷</v>
      </c>
      <c r="B441">
        <f>[2]monster.xml!$C786</f>
        <v>83</v>
      </c>
      <c r="C441">
        <f t="shared" si="20"/>
        <v>98</v>
      </c>
      <c r="D441">
        <f>VLOOKUP(A441,怪物模型!A$15:Z$70,8,0)</f>
        <v>25</v>
      </c>
      <c r="E441">
        <f>VLOOKUP(A441,怪物模型!A$15:G$70,3,0)</f>
        <v>1.25</v>
      </c>
      <c r="F441">
        <f>VLOOKUP(A441,怪物模型!A$15:G$77,4,0)</f>
        <v>1</v>
      </c>
      <c r="G441">
        <v>1</v>
      </c>
      <c r="H441">
        <f>VLOOKUP(A441,怪物模型!A$15:G$77,5,0)</f>
        <v>13</v>
      </c>
      <c r="I441">
        <f>VLOOKUP(A441,怪物模型!A$15:G$77,6,0)</f>
        <v>0</v>
      </c>
      <c r="J441">
        <f>VLOOKUP(A441,怪物模型!A$15:G$77,7,0)</f>
        <v>0</v>
      </c>
      <c r="K441">
        <f>ROUND(VLOOKUP(C441,法师难度!A$1:C$135,3,0)/VLOOKUP(B441,怪物抗性与玩家穿透!A$2:Q$74,17,0)*F441,0)</f>
        <v>2531701</v>
      </c>
      <c r="L441">
        <f>IF(A441="卡雷",42,IF(A441="法力风暴",ROUND(K441*0.1,0),VLOOKUP(A441,怪物模型!$A$15:$I$70,9,0)*(1+(B441-30)/100)))</f>
        <v>42</v>
      </c>
      <c r="M441">
        <f>ROUND(VLOOKUP(C441,法师难度!A$1:C$135,2,0)*0.91*E441,0)</f>
        <v>123401</v>
      </c>
      <c r="N441">
        <f t="shared" si="18"/>
        <v>148081</v>
      </c>
      <c r="O441">
        <f>VLOOKUP(B441,怪物抗性与玩家穿透!A$2:Q$74,4,0)</f>
        <v>19000</v>
      </c>
      <c r="P441">
        <f>VLOOKUP(B441,怪物抗性与玩家穿透!A$2:Q$74,5,0)</f>
        <v>5700</v>
      </c>
      <c r="Q441">
        <f t="shared" si="19"/>
        <v>5700</v>
      </c>
      <c r="R441">
        <f>ROUND(VLOOKUP(B441,[3]battleParameter.xml!$A$6:$E$107,5,0)*(I441/100)/(1-I441/100),0)</f>
        <v>0</v>
      </c>
      <c r="S441">
        <f>ROUND(VLOOKUP(B441,[3]battleParameter.xml!$A$6:$G$107,7,0)*(J441/100)/(1-J441/100),0)</f>
        <v>0</v>
      </c>
      <c r="T441">
        <f>ROUND(VLOOKUP(B441,[3]battleParameter.xml!$A$6:$Z$107,8,0)*(MIN(H441/100+0.2,0.99))/(1-MIN(H441/100+0.2,0.99)),0)</f>
        <v>2572</v>
      </c>
      <c r="U441">
        <v>0</v>
      </c>
      <c r="V441">
        <v>0</v>
      </c>
    </row>
    <row r="442" spans="1:22">
      <c r="A442" t="str">
        <f>[2]monster.xml!$D787</f>
        <v>日光弗雷尔</v>
      </c>
      <c r="B442">
        <f>[2]monster.xml!$C787</f>
        <v>84</v>
      </c>
      <c r="C442">
        <f t="shared" si="20"/>
        <v>99</v>
      </c>
      <c r="D442">
        <f>VLOOKUP(A442,怪物模型!A$15:Z$70,8,0)</f>
        <v>28</v>
      </c>
      <c r="E442">
        <f>VLOOKUP(A442,怪物模型!A$15:G$70,3,0)</f>
        <v>0.9</v>
      </c>
      <c r="F442">
        <f>VLOOKUP(A442,怪物模型!A$15:G$77,4,0)</f>
        <v>0.9</v>
      </c>
      <c r="G442">
        <v>1</v>
      </c>
      <c r="H442">
        <f>VLOOKUP(A442,怪物模型!A$15:G$77,5,0)</f>
        <v>13</v>
      </c>
      <c r="I442">
        <f>VLOOKUP(A442,怪物模型!A$15:G$77,6,0)</f>
        <v>0</v>
      </c>
      <c r="J442">
        <f>VLOOKUP(A442,怪物模型!A$15:G$77,7,0)</f>
        <v>0</v>
      </c>
      <c r="K442">
        <f>ROUND(VLOOKUP(C442,法师难度!A$1:C$135,3,0)/VLOOKUP(B442,怪物抗性与玩家穿透!A$2:Q$74,17,0)*F442,0)</f>
        <v>2515133</v>
      </c>
      <c r="L442">
        <f>IF(A442="卡雷",42,IF(A442="法力风暴",ROUND(K442*0.1,0),VLOOKUP(A442,怪物模型!$A$15:$I$70,9,0)*(1+(B442-30)/100)))</f>
        <v>1540</v>
      </c>
      <c r="M442">
        <f>ROUND(VLOOKUP(C442,法师难度!A$1:C$135,2,0)*0.91*E442,0)</f>
        <v>98812</v>
      </c>
      <c r="N442">
        <f t="shared" si="18"/>
        <v>118574</v>
      </c>
      <c r="O442">
        <f>VLOOKUP(B442,怪物抗性与玩家穿透!A$2:Q$74,4,0)</f>
        <v>19500</v>
      </c>
      <c r="P442">
        <f>VLOOKUP(B442,怪物抗性与玩家穿透!A$2:Q$74,5,0)</f>
        <v>5850</v>
      </c>
      <c r="Q442">
        <f t="shared" si="19"/>
        <v>5850</v>
      </c>
      <c r="R442">
        <f>ROUND(VLOOKUP(B442,[3]battleParameter.xml!$A$6:$E$107,5,0)*(I442/100)/(1-I442/100),0)</f>
        <v>0</v>
      </c>
      <c r="S442">
        <f>ROUND(VLOOKUP(B442,[3]battleParameter.xml!$A$6:$G$107,7,0)*(J442/100)/(1-J442/100),0)</f>
        <v>0</v>
      </c>
      <c r="T442">
        <f>ROUND(VLOOKUP(B442,[3]battleParameter.xml!$A$6:$Z$107,8,0)*(MIN(H442/100+0.2,0.99))/(1-MIN(H442/100+0.2,0.99)),0)</f>
        <v>2634</v>
      </c>
      <c r="U442">
        <v>0</v>
      </c>
      <c r="V442">
        <v>0</v>
      </c>
    </row>
    <row r="443" spans="1:22">
      <c r="A443" t="str">
        <f>[2]monster.xml!$D788</f>
        <v>影子武士</v>
      </c>
      <c r="B443">
        <f>[2]monster.xml!$C788</f>
        <v>85</v>
      </c>
      <c r="C443">
        <f t="shared" si="20"/>
        <v>100</v>
      </c>
      <c r="D443">
        <f>VLOOKUP(A443,怪物模型!A$15:Z$70,8,0)</f>
        <v>0</v>
      </c>
      <c r="E443">
        <f>VLOOKUP(A443,怪物模型!A$15:G$70,3,0)</f>
        <v>1</v>
      </c>
      <c r="F443">
        <f>VLOOKUP(A443,怪物模型!A$15:G$77,4,0)</f>
        <v>1</v>
      </c>
      <c r="G443">
        <v>1</v>
      </c>
      <c r="H443">
        <f>VLOOKUP(A443,怪物模型!A$15:G$77,5,0)</f>
        <v>30</v>
      </c>
      <c r="I443">
        <f>VLOOKUP(A443,怪物模型!A$15:G$77,6,0)</f>
        <v>0</v>
      </c>
      <c r="J443">
        <f>VLOOKUP(A443,怪物模型!A$15:G$77,7,0)</f>
        <v>0</v>
      </c>
      <c r="K443">
        <f>ROUND(VLOOKUP(C443,法师难度!A$1:C$135,3,0)/VLOOKUP(B443,怪物抗性与玩家穿透!A$2:Q$74,17,0)*F443,0)</f>
        <v>1977053</v>
      </c>
      <c r="L443">
        <f>IF(A443="卡雷",42,IF(A443="法力风暴",ROUND(K443*0.1,0),VLOOKUP(A443,怪物模型!$A$15:$I$70,9,0)*(1+(B443-30)/100)))</f>
        <v>1550</v>
      </c>
      <c r="M443">
        <f>ROUND(VLOOKUP(C443,法师难度!A$1:C$135,2,0)*0.91*E443,0)</f>
        <v>106005</v>
      </c>
      <c r="N443">
        <f t="shared" si="18"/>
        <v>127206</v>
      </c>
      <c r="O443">
        <f>VLOOKUP(B443,怪物抗性与玩家穿透!A$2:Q$74,4,0)</f>
        <v>20000</v>
      </c>
      <c r="P443">
        <f>VLOOKUP(B443,怪物抗性与玩家穿透!A$2:Q$74,5,0)</f>
        <v>6000</v>
      </c>
      <c r="Q443">
        <f t="shared" si="19"/>
        <v>6000</v>
      </c>
      <c r="R443">
        <f>ROUND(VLOOKUP(B443,[3]battleParameter.xml!$A$6:$E$107,5,0)*(I443/100)/(1-I443/100),0)</f>
        <v>0</v>
      </c>
      <c r="S443">
        <f>ROUND(VLOOKUP(B443,[3]battleParameter.xml!$A$6:$G$107,7,0)*(J443/100)/(1-J443/100),0)</f>
        <v>0</v>
      </c>
      <c r="T443">
        <f>ROUND(VLOOKUP(B443,[3]battleParameter.xml!$A$6:$Z$107,8,0)*(MIN(H443/100+0.2,0.99))/(1-MIN(H443/100+0.2,0.99)),0)</f>
        <v>5475</v>
      </c>
      <c r="U443">
        <v>0</v>
      </c>
      <c r="V443">
        <v>0</v>
      </c>
    </row>
    <row r="444" spans="1:22">
      <c r="A444" t="str">
        <f>[2]monster.xml!$D789</f>
        <v>拨弄的赛亚</v>
      </c>
      <c r="B444">
        <f>[2]monster.xml!$C789</f>
        <v>85</v>
      </c>
      <c r="C444">
        <f t="shared" si="20"/>
        <v>101</v>
      </c>
      <c r="D444" t="str">
        <f>VLOOKUP(A444,怪物模型!A$15:Z$70,8,0)</f>
        <v>17,18,8</v>
      </c>
      <c r="E444">
        <f>VLOOKUP(A444,怪物模型!A$15:G$70,3,0)</f>
        <v>1.2</v>
      </c>
      <c r="F444">
        <f>VLOOKUP(A444,怪物模型!A$15:G$77,4,0)</f>
        <v>1</v>
      </c>
      <c r="G444">
        <v>1</v>
      </c>
      <c r="H444">
        <f>VLOOKUP(A444,怪物模型!A$15:G$77,5,0)</f>
        <v>13</v>
      </c>
      <c r="I444">
        <f>VLOOKUP(A444,怪物模型!A$15:G$77,6,0)</f>
        <v>0</v>
      </c>
      <c r="J444">
        <f>VLOOKUP(A444,怪物模型!A$15:G$77,7,0)</f>
        <v>0</v>
      </c>
      <c r="K444">
        <f>ROUND(VLOOKUP(C444,法师难度!A$1:C$135,3,0)/VLOOKUP(B444,怪物抗性与玩家穿透!A$2:Q$74,17,0)*F444,0)</f>
        <v>2139349</v>
      </c>
      <c r="L444">
        <f>IF(A444="卡雷",42,IF(A444="法力风暴",ROUND(K444*0.1,0),VLOOKUP(A444,怪物模型!$A$15:$I$70,9,0)*(1+(B444-30)/100)))</f>
        <v>4650</v>
      </c>
      <c r="M444">
        <f>ROUND(VLOOKUP(C444,法师难度!A$1:C$135,2,0)*0.91*E444,0)</f>
        <v>142288</v>
      </c>
      <c r="N444">
        <f t="shared" si="18"/>
        <v>170746</v>
      </c>
      <c r="O444">
        <f>VLOOKUP(B444,怪物抗性与玩家穿透!A$2:Q$74,4,0)</f>
        <v>20000</v>
      </c>
      <c r="P444">
        <f>VLOOKUP(B444,怪物抗性与玩家穿透!A$2:Q$74,5,0)</f>
        <v>6000</v>
      </c>
      <c r="Q444">
        <f t="shared" si="19"/>
        <v>6000</v>
      </c>
      <c r="R444">
        <f>ROUND(VLOOKUP(B444,[3]battleParameter.xml!$A$6:$E$107,5,0)*(I444/100)/(1-I444/100),0)</f>
        <v>0</v>
      </c>
      <c r="S444">
        <f>ROUND(VLOOKUP(B444,[3]battleParameter.xml!$A$6:$G$107,7,0)*(J444/100)/(1-J444/100),0)</f>
        <v>0</v>
      </c>
      <c r="T444">
        <f>ROUND(VLOOKUP(B444,[3]battleParameter.xml!$A$6:$Z$107,8,0)*(MIN(H444/100+0.2,0.99))/(1-MIN(H444/100+0.2,0.99)),0)</f>
        <v>2697</v>
      </c>
      <c r="U444">
        <v>0</v>
      </c>
      <c r="V444">
        <v>0</v>
      </c>
    </row>
    <row r="445" spans="1:22">
      <c r="A445" t="str">
        <f>[2]monster.xml!$D790</f>
        <v>法力风暴</v>
      </c>
      <c r="B445">
        <f>[2]monster.xml!$C790</f>
        <v>86</v>
      </c>
      <c r="C445">
        <f t="shared" si="20"/>
        <v>102</v>
      </c>
      <c r="D445" t="str">
        <f>VLOOKUP(A445,怪物模型!A$15:Z$70,8,0)</f>
        <v>25,30</v>
      </c>
      <c r="E445">
        <f>VLOOKUP(A445,怪物模型!A$15:G$70,3,0)</f>
        <v>1.5</v>
      </c>
      <c r="F445">
        <f>VLOOKUP(A445,怪物模型!A$15:G$77,4,0)</f>
        <v>0.68</v>
      </c>
      <c r="G445">
        <v>1</v>
      </c>
      <c r="H445">
        <f>VLOOKUP(A445,怪物模型!A$15:G$77,5,0)</f>
        <v>13</v>
      </c>
      <c r="I445">
        <f>VLOOKUP(A445,怪物模型!A$15:G$77,6,0)</f>
        <v>0</v>
      </c>
      <c r="J445">
        <f>VLOOKUP(A445,怪物模型!A$15:G$77,7,0)</f>
        <v>0</v>
      </c>
      <c r="K445">
        <f>ROUND(VLOOKUP(C445,法师难度!A$1:C$135,3,0)/VLOOKUP(B445,怪物抗性与玩家穿透!A$2:Q$74,17,0)*F445,0)</f>
        <v>1594929</v>
      </c>
      <c r="L445">
        <f>IF(A445="卡雷",42,IF(A445="法力风暴",ROUND(K445*0.1,0),VLOOKUP(A445,怪物模型!$A$15:$I$70,9,0)*(1+(B445-30)/100)))</f>
        <v>159493</v>
      </c>
      <c r="M445">
        <f>ROUND(VLOOKUP(C445,法师难度!A$1:C$135,2,0)*0.91*E445,0)</f>
        <v>206515</v>
      </c>
      <c r="N445">
        <f t="shared" si="18"/>
        <v>247818</v>
      </c>
      <c r="O445">
        <f>VLOOKUP(B445,怪物抗性与玩家穿透!A$2:Q$74,4,0)</f>
        <v>21000</v>
      </c>
      <c r="P445">
        <f>VLOOKUP(B445,怪物抗性与玩家穿透!A$2:Q$74,5,0)</f>
        <v>6400</v>
      </c>
      <c r="Q445">
        <f t="shared" si="19"/>
        <v>6400</v>
      </c>
      <c r="R445">
        <f>ROUND(VLOOKUP(B445,[3]battleParameter.xml!$A$6:$E$107,5,0)*(I445/100)/(1-I445/100),0)</f>
        <v>0</v>
      </c>
      <c r="S445">
        <f>ROUND(VLOOKUP(B445,[3]battleParameter.xml!$A$6:$G$107,7,0)*(J445/100)/(1-J445/100),0)</f>
        <v>0</v>
      </c>
      <c r="T445">
        <f>ROUND(VLOOKUP(B445,[3]battleParameter.xml!$A$6:$Z$107,8,0)*(MIN(H445/100+0.2,0.99))/(1-MIN(H445/100+0.2,0.99)),0)</f>
        <v>2760</v>
      </c>
      <c r="U445">
        <v>0</v>
      </c>
      <c r="V445">
        <v>0</v>
      </c>
    </row>
    <row r="446" spans="1:22">
      <c r="A446" t="str">
        <f>[2]monster.xml!$D791</f>
        <v>火舞者</v>
      </c>
      <c r="B446">
        <f>[2]monster.xml!$C791</f>
        <v>86</v>
      </c>
      <c r="C446">
        <f t="shared" si="20"/>
        <v>103</v>
      </c>
      <c r="D446">
        <f>VLOOKUP(A446,怪物模型!A$15:Z$70,8,0)</f>
        <v>29</v>
      </c>
      <c r="E446">
        <f>VLOOKUP(A446,怪物模型!A$15:G$70,3,0)</f>
        <v>1</v>
      </c>
      <c r="F446">
        <f>VLOOKUP(A446,怪物模型!A$15:G$77,4,0)</f>
        <v>0.95</v>
      </c>
      <c r="G446">
        <v>1</v>
      </c>
      <c r="H446">
        <f>VLOOKUP(A446,怪物模型!A$15:G$77,5,0)</f>
        <v>13</v>
      </c>
      <c r="I446">
        <f>VLOOKUP(A446,怪物模型!A$15:G$77,6,0)</f>
        <v>0</v>
      </c>
      <c r="J446">
        <f>VLOOKUP(A446,怪物模型!A$15:G$77,7,0)</f>
        <v>0</v>
      </c>
      <c r="K446">
        <f>ROUND(VLOOKUP(C446,法师难度!A$1:C$135,3,0)/VLOOKUP(B446,怪物抗性与玩家穿透!A$2:Q$74,17,0)*F446,0)</f>
        <v>2371697</v>
      </c>
      <c r="L446">
        <f>IF(A446="卡雷",42,IF(A446="法力风暴",ROUND(K446*0.1,0),VLOOKUP(A446,怪物模型!$A$15:$I$70,9,0)*(1+(B446-30)/100)))</f>
        <v>1560</v>
      </c>
      <c r="M446">
        <f>ROUND(VLOOKUP(C446,法师难度!A$1:C$135,2,0)*0.91*E446,0)</f>
        <v>149350</v>
      </c>
      <c r="N446">
        <f t="shared" si="18"/>
        <v>179220</v>
      </c>
      <c r="O446">
        <f>VLOOKUP(B446,怪物抗性与玩家穿透!A$2:Q$74,4,0)</f>
        <v>21000</v>
      </c>
      <c r="P446">
        <f>VLOOKUP(B446,怪物抗性与玩家穿透!A$2:Q$74,5,0)</f>
        <v>6400</v>
      </c>
      <c r="Q446">
        <f t="shared" si="19"/>
        <v>6400</v>
      </c>
      <c r="R446">
        <f>ROUND(VLOOKUP(B446,[3]battleParameter.xml!$A$6:$E$107,5,0)*(I446/100)/(1-I446/100),0)</f>
        <v>0</v>
      </c>
      <c r="S446">
        <f>ROUND(VLOOKUP(B446,[3]battleParameter.xml!$A$6:$G$107,7,0)*(J446/100)/(1-J446/100),0)</f>
        <v>0</v>
      </c>
      <c r="T446">
        <f>ROUND(VLOOKUP(B446,[3]battleParameter.xml!$A$6:$Z$107,8,0)*(MIN(H446/100+0.2,0.99))/(1-MIN(H446/100+0.2,0.99)),0)</f>
        <v>2760</v>
      </c>
      <c r="U446">
        <v>0</v>
      </c>
      <c r="V446">
        <v>0</v>
      </c>
    </row>
    <row r="447" spans="1:22">
      <c r="A447" t="str">
        <f>[2]monster.xml!$D792</f>
        <v>血誓审判者</v>
      </c>
      <c r="B447">
        <f>[2]monster.xml!$C792</f>
        <v>86</v>
      </c>
      <c r="C447">
        <f t="shared" si="20"/>
        <v>104</v>
      </c>
      <c r="D447">
        <f>VLOOKUP(A447,怪物模型!A$15:Z$70,8,0)</f>
        <v>5</v>
      </c>
      <c r="E447">
        <f>VLOOKUP(A447,怪物模型!A$15:G$70,3,0)</f>
        <v>0.28000000000000003</v>
      </c>
      <c r="F447">
        <f>VLOOKUP(A447,怪物模型!A$15:G$77,4,0)</f>
        <v>0.45</v>
      </c>
      <c r="G447">
        <v>1</v>
      </c>
      <c r="H447">
        <f>VLOOKUP(A447,怪物模型!A$15:G$77,5,0)</f>
        <v>13</v>
      </c>
      <c r="I447">
        <f>VLOOKUP(A447,怪物模型!A$15:G$77,6,0)</f>
        <v>0</v>
      </c>
      <c r="J447">
        <f>VLOOKUP(A447,怪物模型!A$15:G$77,7,0)</f>
        <v>0</v>
      </c>
      <c r="K447">
        <f>ROUND(VLOOKUP(C447,法师难度!A$1:C$135,3,0)/VLOOKUP(B447,怪物抗性与玩家穿透!A$2:Q$74,17,0)*F447,0)</f>
        <v>1195780</v>
      </c>
      <c r="L447">
        <f>IF(A447="卡雷",42,IF(A447="法力风暴",ROUND(K447*0.1,0),VLOOKUP(A447,怪物模型!$A$15:$I$70,9,0)*(1+(B447-30)/100)))</f>
        <v>1560</v>
      </c>
      <c r="M447">
        <f>ROUND(VLOOKUP(C447,法师难度!A$1:C$135,2,0)*0.91*E447,0)</f>
        <v>45364</v>
      </c>
      <c r="N447">
        <f t="shared" si="18"/>
        <v>54437</v>
      </c>
      <c r="O447">
        <f>VLOOKUP(B447,怪物抗性与玩家穿透!A$2:Q$74,4,0)</f>
        <v>21000</v>
      </c>
      <c r="P447">
        <f>VLOOKUP(B447,怪物抗性与玩家穿透!A$2:Q$74,5,0)</f>
        <v>6400</v>
      </c>
      <c r="Q447">
        <f t="shared" si="19"/>
        <v>6400</v>
      </c>
      <c r="R447">
        <f>ROUND(VLOOKUP(B447,[3]battleParameter.xml!$A$6:$E$107,5,0)*(I447/100)/(1-I447/100),0)</f>
        <v>0</v>
      </c>
      <c r="S447">
        <f>ROUND(VLOOKUP(B447,[3]battleParameter.xml!$A$6:$G$107,7,0)*(J447/100)/(1-J447/100),0)</f>
        <v>0</v>
      </c>
      <c r="T447">
        <f>ROUND(VLOOKUP(B447,[3]battleParameter.xml!$A$6:$Z$107,8,0)*(MIN(H447/100+0.2,0.99))/(1-MIN(H447/100+0.2,0.99)),0)</f>
        <v>2760</v>
      </c>
      <c r="U447">
        <v>0</v>
      </c>
      <c r="V447">
        <v>0</v>
      </c>
    </row>
    <row r="448" spans="1:22">
      <c r="A448" t="str">
        <f>[2]monster.xml!$D793</f>
        <v>血誓预言者</v>
      </c>
      <c r="B448">
        <f>[2]monster.xml!$C793</f>
        <v>86</v>
      </c>
      <c r="C448">
        <f t="shared" si="20"/>
        <v>104</v>
      </c>
      <c r="D448">
        <f>VLOOKUP(A448,怪物模型!A$15:Z$70,8,0)</f>
        <v>2</v>
      </c>
      <c r="E448">
        <f>VLOOKUP(A448,怪物模型!A$15:G$70,3,0)</f>
        <v>0.3</v>
      </c>
      <c r="F448">
        <f>VLOOKUP(A448,怪物模型!A$15:G$77,4,0)</f>
        <v>0.42</v>
      </c>
      <c r="G448">
        <v>1</v>
      </c>
      <c r="H448">
        <f>VLOOKUP(A448,怪物模型!A$15:G$77,5,0)</f>
        <v>13</v>
      </c>
      <c r="I448">
        <f>VLOOKUP(A448,怪物模型!A$15:G$77,6,0)</f>
        <v>0</v>
      </c>
      <c r="J448">
        <f>VLOOKUP(A448,怪物模型!A$15:G$77,7,0)</f>
        <v>0</v>
      </c>
      <c r="K448">
        <f>ROUND(VLOOKUP(C448,法师难度!A$1:C$135,3,0)/VLOOKUP(B448,怪物抗性与玩家穿透!A$2:Q$74,17,0)*F448,0)</f>
        <v>1116062</v>
      </c>
      <c r="L448">
        <f>IF(A448="卡雷",42,IF(A448="法力风暴",ROUND(K448*0.1,0),VLOOKUP(A448,怪物模型!$A$15:$I$70,9,0)*(1+(B448-30)/100)))</f>
        <v>1248</v>
      </c>
      <c r="M448">
        <f>ROUND(VLOOKUP(C448,法师难度!A$1:C$135,2,0)*0.91*E448,0)</f>
        <v>48604</v>
      </c>
      <c r="N448">
        <f t="shared" si="18"/>
        <v>58325</v>
      </c>
      <c r="O448">
        <f>VLOOKUP(B448,怪物抗性与玩家穿透!A$2:Q$74,4,0)</f>
        <v>21000</v>
      </c>
      <c r="P448">
        <f>VLOOKUP(B448,怪物抗性与玩家穿透!A$2:Q$74,5,0)</f>
        <v>6400</v>
      </c>
      <c r="Q448">
        <f t="shared" si="19"/>
        <v>6400</v>
      </c>
      <c r="R448">
        <f>ROUND(VLOOKUP(B448,[3]battleParameter.xml!$A$6:$E$107,5,0)*(I448/100)/(1-I448/100),0)</f>
        <v>0</v>
      </c>
      <c r="S448">
        <f>ROUND(VLOOKUP(B448,[3]battleParameter.xml!$A$6:$G$107,7,0)*(J448/100)/(1-J448/100),0)</f>
        <v>0</v>
      </c>
      <c r="T448">
        <f>ROUND(VLOOKUP(B448,[3]battleParameter.xml!$A$6:$Z$107,8,0)*(MIN(H448/100+0.2,0.99))/(1-MIN(H448/100+0.2,0.99)),0)</f>
        <v>2760</v>
      </c>
      <c r="U448">
        <v>0</v>
      </c>
      <c r="V448">
        <v>0</v>
      </c>
    </row>
    <row r="449" spans="1:22">
      <c r="A449" t="str">
        <f>[2]monster.xml!$D794</f>
        <v>血誓召唤者</v>
      </c>
      <c r="B449">
        <f>[2]monster.xml!$C794</f>
        <v>86</v>
      </c>
      <c r="C449">
        <f t="shared" si="20"/>
        <v>104</v>
      </c>
      <c r="D449">
        <f>VLOOKUP(A449,怪物模型!A$15:Z$70,8,0)</f>
        <v>26</v>
      </c>
      <c r="E449">
        <f>VLOOKUP(A449,怪物模型!A$15:G$70,3,0)</f>
        <v>0.36</v>
      </c>
      <c r="F449">
        <f>VLOOKUP(A449,怪物模型!A$15:G$77,4,0)</f>
        <v>0.44</v>
      </c>
      <c r="G449">
        <v>1</v>
      </c>
      <c r="H449">
        <f>VLOOKUP(A449,怪物模型!A$15:G$77,5,0)</f>
        <v>13</v>
      </c>
      <c r="I449">
        <f>VLOOKUP(A449,怪物模型!A$15:G$77,6,0)</f>
        <v>0</v>
      </c>
      <c r="J449">
        <f>VLOOKUP(A449,怪物模型!A$15:G$77,7,0)</f>
        <v>0</v>
      </c>
      <c r="K449">
        <f>ROUND(VLOOKUP(C449,法师难度!A$1:C$135,3,0)/VLOOKUP(B449,怪物抗性与玩家穿透!A$2:Q$74,17,0)*F449,0)</f>
        <v>1169207</v>
      </c>
      <c r="L449">
        <f>IF(A449="卡雷",42,IF(A449="法力风暴",ROUND(K449*0.1,0),VLOOKUP(A449,怪物模型!$A$15:$I$70,9,0)*(1+(B449-30)/100)))</f>
        <v>1560</v>
      </c>
      <c r="M449">
        <f>ROUND(VLOOKUP(C449,法师难度!A$1:C$135,2,0)*0.91*E449,0)</f>
        <v>58325</v>
      </c>
      <c r="N449">
        <f t="shared" si="18"/>
        <v>69990</v>
      </c>
      <c r="O449">
        <f>VLOOKUP(B449,怪物抗性与玩家穿透!A$2:Q$74,4,0)</f>
        <v>21000</v>
      </c>
      <c r="P449">
        <f>VLOOKUP(B449,怪物抗性与玩家穿透!A$2:Q$74,5,0)</f>
        <v>6400</v>
      </c>
      <c r="Q449">
        <f t="shared" si="19"/>
        <v>6400</v>
      </c>
      <c r="R449">
        <f>ROUND(VLOOKUP(B449,[3]battleParameter.xml!$A$6:$E$107,5,0)*(I449/100)/(1-I449/100),0)</f>
        <v>0</v>
      </c>
      <c r="S449">
        <f>ROUND(VLOOKUP(B449,[3]battleParameter.xml!$A$6:$G$107,7,0)*(J449/100)/(1-J449/100),0)</f>
        <v>0</v>
      </c>
      <c r="T449">
        <f>ROUND(VLOOKUP(B449,[3]battleParameter.xml!$A$6:$Z$107,8,0)*(MIN(H449/100+0.2,0.99))/(1-MIN(H449/100+0.2,0.99)),0)</f>
        <v>2760</v>
      </c>
      <c r="U449">
        <v>0</v>
      </c>
      <c r="V449">
        <v>0</v>
      </c>
    </row>
    <row r="450" spans="1:22">
      <c r="A450" t="str">
        <f>[2]monster.xml!$D795</f>
        <v>血誓领主</v>
      </c>
      <c r="B450">
        <f>[2]monster.xml!$C795</f>
        <v>86</v>
      </c>
      <c r="C450">
        <f t="shared" si="20"/>
        <v>104</v>
      </c>
      <c r="D450">
        <f>VLOOKUP(A450,怪物模型!A$15:Z$70,8,0)</f>
        <v>14</v>
      </c>
      <c r="E450">
        <f>VLOOKUP(A450,怪物模型!A$15:G$70,3,0)</f>
        <v>0.36</v>
      </c>
      <c r="F450">
        <f>VLOOKUP(A450,怪物模型!A$15:G$77,4,0)</f>
        <v>0.43</v>
      </c>
      <c r="G450">
        <v>1</v>
      </c>
      <c r="H450">
        <f>VLOOKUP(A450,怪物模型!A$15:G$77,5,0)</f>
        <v>13</v>
      </c>
      <c r="I450">
        <f>VLOOKUP(A450,怪物模型!A$15:G$77,6,0)</f>
        <v>0</v>
      </c>
      <c r="J450">
        <f>VLOOKUP(A450,怪物模型!A$15:G$77,7,0)</f>
        <v>0</v>
      </c>
      <c r="K450">
        <f>ROUND(VLOOKUP(C450,法师难度!A$1:C$135,3,0)/VLOOKUP(B450,怪物抗性与玩家穿透!A$2:Q$74,17,0)*F450,0)</f>
        <v>1142635</v>
      </c>
      <c r="L450">
        <f>IF(A450="卡雷",42,IF(A450="法力风暴",ROUND(K450*0.1,0),VLOOKUP(A450,怪物模型!$A$15:$I$70,9,0)*(1+(B450-30)/100)))</f>
        <v>1560</v>
      </c>
      <c r="M450">
        <f>ROUND(VLOOKUP(C450,法师难度!A$1:C$135,2,0)*0.91*E450,0)</f>
        <v>58325</v>
      </c>
      <c r="N450">
        <f t="shared" si="18"/>
        <v>69990</v>
      </c>
      <c r="O450">
        <f>VLOOKUP(B450,怪物抗性与玩家穿透!A$2:Q$74,4,0)</f>
        <v>21000</v>
      </c>
      <c r="P450">
        <f>VLOOKUP(B450,怪物抗性与玩家穿透!A$2:Q$74,5,0)</f>
        <v>6400</v>
      </c>
      <c r="Q450">
        <f t="shared" si="19"/>
        <v>6400</v>
      </c>
      <c r="R450">
        <f>ROUND(VLOOKUP(B450,[3]battleParameter.xml!$A$6:$E$107,5,0)*(I450/100)/(1-I450/100),0)</f>
        <v>0</v>
      </c>
      <c r="S450">
        <f>ROUND(VLOOKUP(B450,[3]battleParameter.xml!$A$6:$G$107,7,0)*(J450/100)/(1-J450/100),0)</f>
        <v>0</v>
      </c>
      <c r="T450">
        <f>ROUND(VLOOKUP(B450,[3]battleParameter.xml!$A$6:$Z$107,8,0)*(MIN(H450/100+0.2,0.99))/(1-MIN(H450/100+0.2,0.99)),0)</f>
        <v>2760</v>
      </c>
      <c r="U450">
        <v>0</v>
      </c>
      <c r="V450">
        <v>0</v>
      </c>
    </row>
    <row r="451" spans="1:22">
      <c r="A451" t="str">
        <f>[2]monster.xml!$D796</f>
        <v>舞钢者拜伦</v>
      </c>
      <c r="B451">
        <f>[2]monster.xml!$C796</f>
        <v>87</v>
      </c>
      <c r="C451">
        <f t="shared" si="20"/>
        <v>105</v>
      </c>
      <c r="D451">
        <f>VLOOKUP(A451,怪物模型!A$15:Z$70,8,0)</f>
        <v>8</v>
      </c>
      <c r="E451">
        <f>VLOOKUP(A451,怪物模型!A$15:G$70,3,0)</f>
        <v>0.8</v>
      </c>
      <c r="F451">
        <f>VLOOKUP(A451,怪物模型!A$15:G$77,4,0)</f>
        <v>1</v>
      </c>
      <c r="G451">
        <v>1</v>
      </c>
      <c r="H451">
        <f>VLOOKUP(A451,怪物模型!A$15:G$77,5,0)</f>
        <v>13</v>
      </c>
      <c r="I451">
        <f>VLOOKUP(A451,怪物模型!A$15:G$77,6,0)</f>
        <v>0</v>
      </c>
      <c r="J451">
        <f>VLOOKUP(A451,怪物模型!A$15:G$77,7,0)</f>
        <v>0</v>
      </c>
      <c r="K451">
        <f>ROUND(VLOOKUP(C451,法师难度!A$1:C$135,3,0)/VLOOKUP(B451,怪物抗性与玩家穿透!A$2:Q$74,17,0)*F451,0)</f>
        <v>2855965</v>
      </c>
      <c r="L451">
        <f>IF(A451="卡雷",42,IF(A451="法力风暴",ROUND(K451*0.1,0),VLOOKUP(A451,怪物模型!$A$15:$I$70,9,0)*(1+(B451-30)/100)))</f>
        <v>1569.9999999999998</v>
      </c>
      <c r="M451">
        <f>ROUND(VLOOKUP(C451,法师难度!A$1:C$135,2,0)*0.91*E451,0)</f>
        <v>144466</v>
      </c>
      <c r="N451">
        <f t="shared" ref="N451:N490" si="21">ROUND(M451*1.2,0)</f>
        <v>173359</v>
      </c>
      <c r="O451">
        <f>VLOOKUP(B451,怪物抗性与玩家穿透!A$2:Q$74,4,0)</f>
        <v>22000</v>
      </c>
      <c r="P451">
        <f>VLOOKUP(B451,怪物抗性与玩家穿透!A$2:Q$74,5,0)</f>
        <v>6800</v>
      </c>
      <c r="Q451">
        <f t="shared" ref="Q451:Q490" si="22">P451</f>
        <v>6800</v>
      </c>
      <c r="R451">
        <f>ROUND(VLOOKUP(B451,[3]battleParameter.xml!$A$6:$E$107,5,0)*(I451/100)/(1-I451/100),0)</f>
        <v>0</v>
      </c>
      <c r="S451">
        <f>ROUND(VLOOKUP(B451,[3]battleParameter.xml!$A$6:$G$107,7,0)*(J451/100)/(1-J451/100),0)</f>
        <v>0</v>
      </c>
      <c r="T451">
        <f>ROUND(VLOOKUP(B451,[3]battleParameter.xml!$A$6:$Z$107,8,0)*(MIN(H451/100+0.2,0.99))/(1-MIN(H451/100+0.2,0.99)),0)</f>
        <v>2824</v>
      </c>
      <c r="U451">
        <v>0</v>
      </c>
      <c r="V451">
        <v>0</v>
      </c>
    </row>
    <row r="452" spans="1:22">
      <c r="A452" t="str">
        <f>[2]monster.xml!$D797</f>
        <v>风暴之王</v>
      </c>
      <c r="B452">
        <f>[2]monster.xml!$C797</f>
        <v>87</v>
      </c>
      <c r="C452">
        <f t="shared" ref="C452:C490" si="23">IF(OR(A452="塔克",A452="多兰",A452="约翰",A452="血誓预言者",A452="血誓召唤者",A452="血誓领主"),C451,C451+1)</f>
        <v>106</v>
      </c>
      <c r="D452">
        <f>VLOOKUP(A452,怪物模型!A$15:Z$70,8,0)</f>
        <v>6</v>
      </c>
      <c r="E452">
        <f>VLOOKUP(A452,怪物模型!A$15:G$70,3,0)</f>
        <v>0.8</v>
      </c>
      <c r="F452">
        <f>VLOOKUP(A452,怪物模型!A$15:G$77,4,0)</f>
        <v>0.92</v>
      </c>
      <c r="G452">
        <v>1</v>
      </c>
      <c r="H452">
        <f>VLOOKUP(A452,怪物模型!A$15:G$77,5,0)</f>
        <v>13</v>
      </c>
      <c r="I452">
        <f>VLOOKUP(A452,怪物模型!A$15:G$77,6,0)</f>
        <v>0</v>
      </c>
      <c r="J452">
        <f>VLOOKUP(A452,怪物模型!A$15:G$77,7,0)</f>
        <v>0</v>
      </c>
      <c r="K452">
        <f>ROUND(VLOOKUP(C452,法师难度!A$1:C$135,3,0)/VLOOKUP(B452,怪物抗性与玩家穿透!A$2:Q$74,17,0)*F452,0)</f>
        <v>2809682</v>
      </c>
      <c r="L452">
        <f>IF(A452="卡雷",42,IF(A452="法力风暴",ROUND(K452*0.1,0),VLOOKUP(A452,怪物模型!$A$15:$I$70,9,0)*(1+(B452-30)/100)))</f>
        <v>1569.9999999999998</v>
      </c>
      <c r="M452">
        <f>ROUND(VLOOKUP(C452,法师难度!A$1:C$135,2,0)*0.91*E452,0)</f>
        <v>156899</v>
      </c>
      <c r="N452">
        <f t="shared" si="21"/>
        <v>188279</v>
      </c>
      <c r="O452">
        <f>VLOOKUP(B452,怪物抗性与玩家穿透!A$2:Q$74,4,0)</f>
        <v>22000</v>
      </c>
      <c r="P452">
        <f>VLOOKUP(B452,怪物抗性与玩家穿透!A$2:Q$74,5,0)</f>
        <v>6800</v>
      </c>
      <c r="Q452">
        <f t="shared" si="22"/>
        <v>6800</v>
      </c>
      <c r="R452">
        <f>ROUND(VLOOKUP(B452,[3]battleParameter.xml!$A$6:$E$107,5,0)*(I452/100)/(1-I452/100),0)</f>
        <v>0</v>
      </c>
      <c r="S452">
        <f>ROUND(VLOOKUP(B452,[3]battleParameter.xml!$A$6:$G$107,7,0)*(J452/100)/(1-J452/100),0)</f>
        <v>0</v>
      </c>
      <c r="T452">
        <f>ROUND(VLOOKUP(B452,[3]battleParameter.xml!$A$6:$Z$107,8,0)*(MIN(H452/100+0.2,0.99))/(1-MIN(H452/100+0.2,0.99)),0)</f>
        <v>2824</v>
      </c>
      <c r="U452">
        <v>0</v>
      </c>
      <c r="V452">
        <v>0</v>
      </c>
    </row>
    <row r="453" spans="1:22">
      <c r="A453" t="str">
        <f>[2]monster.xml!$D798</f>
        <v>雷伊战争使者</v>
      </c>
      <c r="B453">
        <f>[2]monster.xml!$C798</f>
        <v>88</v>
      </c>
      <c r="C453">
        <f t="shared" si="23"/>
        <v>107</v>
      </c>
      <c r="D453">
        <f>VLOOKUP(A453,怪物模型!A$15:Z$70,8,0)</f>
        <v>7</v>
      </c>
      <c r="E453">
        <f>VLOOKUP(A453,怪物模型!A$15:G$70,3,0)</f>
        <v>1</v>
      </c>
      <c r="F453">
        <f>VLOOKUP(A453,怪物模型!A$15:G$77,4,0)</f>
        <v>1</v>
      </c>
      <c r="G453">
        <v>1</v>
      </c>
      <c r="H453">
        <f>VLOOKUP(A453,怪物模型!A$15:G$77,5,0)</f>
        <v>13</v>
      </c>
      <c r="I453">
        <f>VLOOKUP(A453,怪物模型!A$15:G$77,6,0)</f>
        <v>0</v>
      </c>
      <c r="J453">
        <f>VLOOKUP(A453,怪物模型!A$15:G$77,7,0)</f>
        <v>0</v>
      </c>
      <c r="K453">
        <f>ROUND(VLOOKUP(C453,法师难度!A$1:C$135,3,0)/VLOOKUP(B453,怪物抗性与玩家穿透!A$2:Q$74,17,0)*F453,0)</f>
        <v>3235813</v>
      </c>
      <c r="L453">
        <f>IF(A453="卡雷",42,IF(A453="法力风暴",ROUND(K453*0.1,0),VLOOKUP(A453,怪物模型!$A$15:$I$70,9,0)*(1+(B453-30)/100)))</f>
        <v>1580</v>
      </c>
      <c r="M453">
        <f>ROUND(VLOOKUP(C453,法师难度!A$1:C$135,2,0)*0.91*E453,0)</f>
        <v>213004</v>
      </c>
      <c r="N453">
        <f t="shared" si="21"/>
        <v>255605</v>
      </c>
      <c r="O453">
        <f>VLOOKUP(B453,怪物抗性与玩家穿透!A$2:Q$74,4,0)</f>
        <v>23000</v>
      </c>
      <c r="P453">
        <f>VLOOKUP(B453,怪物抗性与玩家穿透!A$2:Q$74,5,0)</f>
        <v>7200</v>
      </c>
      <c r="Q453">
        <f t="shared" si="22"/>
        <v>7200</v>
      </c>
      <c r="R453">
        <f>ROUND(VLOOKUP(B453,[3]battleParameter.xml!$A$6:$E$107,5,0)*(I453/100)/(1-I453/100),0)</f>
        <v>0</v>
      </c>
      <c r="S453">
        <f>ROUND(VLOOKUP(B453,[3]battleParameter.xml!$A$6:$G$107,7,0)*(J453/100)/(1-J453/100),0)</f>
        <v>0</v>
      </c>
      <c r="T453">
        <f>ROUND(VLOOKUP(B453,[3]battleParameter.xml!$A$6:$Z$107,8,0)*(MIN(H453/100+0.2,0.99))/(1-MIN(H453/100+0.2,0.99)),0)</f>
        <v>2889</v>
      </c>
      <c r="U453">
        <v>0</v>
      </c>
      <c r="V453">
        <v>0</v>
      </c>
    </row>
    <row r="454" spans="1:22">
      <c r="A454" t="str">
        <f>[2]monster.xml!$D799</f>
        <v>暴君泰伦</v>
      </c>
      <c r="B454">
        <f>[2]monster.xml!$C799</f>
        <v>89</v>
      </c>
      <c r="C454">
        <f t="shared" si="23"/>
        <v>108</v>
      </c>
      <c r="D454" t="str">
        <f>VLOOKUP(A454,怪物模型!A$15:Z$70,8,0)</f>
        <v>10,9</v>
      </c>
      <c r="E454">
        <f>VLOOKUP(A454,怪物模型!A$15:G$70,3,0)</f>
        <v>1.2</v>
      </c>
      <c r="F454">
        <f>VLOOKUP(A454,怪物模型!A$15:G$77,4,0)</f>
        <v>1.1499999999999999</v>
      </c>
      <c r="G454">
        <v>1</v>
      </c>
      <c r="H454">
        <f>VLOOKUP(A454,怪物模型!A$15:G$77,5,0)</f>
        <v>15</v>
      </c>
      <c r="I454">
        <f>VLOOKUP(A454,怪物模型!A$15:G$77,6,0)</f>
        <v>0</v>
      </c>
      <c r="J454">
        <f>VLOOKUP(A454,怪物模型!A$15:G$77,7,0)</f>
        <v>15</v>
      </c>
      <c r="K454">
        <f>ROUND(VLOOKUP(C454,法师难度!A$1:C$135,3,0)/VLOOKUP(B454,怪物抗性与玩家穿透!A$2:Q$74,17,0)*F454,0)</f>
        <v>4038694</v>
      </c>
      <c r="L454">
        <f>IF(A454="卡雷",42,IF(A454="法力风暴",ROUND(K454*0.1,0),VLOOKUP(A454,怪物模型!$A$15:$I$70,9,0)*(1+(B454-30)/100)))</f>
        <v>4770</v>
      </c>
      <c r="M454">
        <f>ROUND(VLOOKUP(C454,法师难度!A$1:C$135,2,0)*0.91*E454,0)</f>
        <v>285348</v>
      </c>
      <c r="N454">
        <f t="shared" si="21"/>
        <v>342418</v>
      </c>
      <c r="O454">
        <f>VLOOKUP(B454,怪物抗性与玩家穿透!A$2:Q$74,4,0)</f>
        <v>24000</v>
      </c>
      <c r="P454">
        <f>VLOOKUP(B454,怪物抗性与玩家穿透!A$2:Q$74,5,0)</f>
        <v>7600</v>
      </c>
      <c r="Q454">
        <f t="shared" si="22"/>
        <v>7600</v>
      </c>
      <c r="R454">
        <f>ROUND(VLOOKUP(B454,[3]battleParameter.xml!$A$6:$E$107,5,0)*(I454/100)/(1-I454/100),0)</f>
        <v>0</v>
      </c>
      <c r="S454">
        <f>ROUND(VLOOKUP(B454,[3]battleParameter.xml!$A$6:$G$107,7,0)*(J454/100)/(1-J454/100),0)</f>
        <v>4235</v>
      </c>
      <c r="T454">
        <f>ROUND(VLOOKUP(B454,[3]battleParameter.xml!$A$6:$Z$107,8,0)*(MIN(H454/100+0.2,0.99))/(1-MIN(H454/100+0.2,0.99)),0)</f>
        <v>3230</v>
      </c>
      <c r="U454">
        <v>0</v>
      </c>
      <c r="V454">
        <v>0</v>
      </c>
    </row>
    <row r="455" spans="1:22">
      <c r="A455" t="str">
        <f>[2]monster.xml!$D800</f>
        <v>影子武士</v>
      </c>
      <c r="B455">
        <f>[2]monster.xml!$C800</f>
        <v>90</v>
      </c>
      <c r="C455">
        <f t="shared" si="23"/>
        <v>109</v>
      </c>
      <c r="D455">
        <f>VLOOKUP(A455,怪物模型!A$15:Z$70,8,0)</f>
        <v>0</v>
      </c>
      <c r="E455">
        <f>VLOOKUP(A455,怪物模型!A$15:G$70,3,0)</f>
        <v>1</v>
      </c>
      <c r="F455">
        <f>VLOOKUP(A455,怪物模型!A$15:G$77,4,0)</f>
        <v>1</v>
      </c>
      <c r="G455">
        <v>1</v>
      </c>
      <c r="H455">
        <f>VLOOKUP(A455,怪物模型!A$15:G$77,5,0)</f>
        <v>30</v>
      </c>
      <c r="I455">
        <f>VLOOKUP(A455,怪物模型!A$15:G$77,6,0)</f>
        <v>0</v>
      </c>
      <c r="J455">
        <f>VLOOKUP(A455,怪物模型!A$15:G$77,7,0)</f>
        <v>0</v>
      </c>
      <c r="K455">
        <f>ROUND(VLOOKUP(C455,法师难度!A$1:C$135,3,0)/VLOOKUP(B455,怪物抗性与玩家穿透!A$2:Q$74,17,0)*F455,0)</f>
        <v>2387121</v>
      </c>
      <c r="L455">
        <f>IF(A455="卡雷",42,IF(A455="法力风暴",ROUND(K455*0.1,0),VLOOKUP(A455,怪物模型!$A$15:$I$70,9,0)*(1+(B455-30)/100)))</f>
        <v>1600</v>
      </c>
      <c r="M455">
        <f>ROUND(VLOOKUP(C455,法师难度!A$1:C$135,2,0)*0.91*E455,0)</f>
        <v>142579</v>
      </c>
      <c r="N455">
        <f t="shared" si="21"/>
        <v>171095</v>
      </c>
      <c r="O455">
        <f>VLOOKUP(B455,怪物抗性与玩家穿透!A$2:Q$74,4,0)</f>
        <v>25000</v>
      </c>
      <c r="P455">
        <f>VLOOKUP(B455,怪物抗性与玩家穿透!A$2:Q$74,5,0)</f>
        <v>8000</v>
      </c>
      <c r="Q455">
        <f t="shared" si="22"/>
        <v>8000</v>
      </c>
      <c r="R455">
        <f>ROUND(VLOOKUP(B455,[3]battleParameter.xml!$A$6:$E$107,5,0)*(I455/100)/(1-I455/100),0)</f>
        <v>0</v>
      </c>
      <c r="S455">
        <f>ROUND(VLOOKUP(B455,[3]battleParameter.xml!$A$6:$G$107,7,0)*(J455/100)/(1-J455/100),0)</f>
        <v>0</v>
      </c>
      <c r="T455">
        <f>ROUND(VLOOKUP(B455,[3]battleParameter.xml!$A$6:$Z$107,8,0)*(MIN(H455/100+0.2,0.99))/(1-MIN(H455/100+0.2,0.99)),0)</f>
        <v>6133</v>
      </c>
      <c r="U455">
        <v>0</v>
      </c>
      <c r="V455">
        <v>0</v>
      </c>
    </row>
    <row r="456" spans="1:22">
      <c r="A456" t="str">
        <f>[2]monster.xml!$D801</f>
        <v>拨弄的赛亚</v>
      </c>
      <c r="B456">
        <f>[2]monster.xml!$C801</f>
        <v>90</v>
      </c>
      <c r="C456">
        <f t="shared" si="23"/>
        <v>110</v>
      </c>
      <c r="D456" t="str">
        <f>VLOOKUP(A456,怪物模型!A$15:Z$70,8,0)</f>
        <v>17,18,8</v>
      </c>
      <c r="E456">
        <f>VLOOKUP(A456,怪物模型!A$15:G$70,3,0)</f>
        <v>1.2</v>
      </c>
      <c r="F456">
        <f>VLOOKUP(A456,怪物模型!A$15:G$77,4,0)</f>
        <v>1</v>
      </c>
      <c r="G456">
        <v>1</v>
      </c>
      <c r="H456">
        <f>VLOOKUP(A456,怪物模型!A$15:G$77,5,0)</f>
        <v>13</v>
      </c>
      <c r="I456">
        <f>VLOOKUP(A456,怪物模型!A$15:G$77,6,0)</f>
        <v>0</v>
      </c>
      <c r="J456">
        <f>VLOOKUP(A456,怪物模型!A$15:G$77,7,0)</f>
        <v>0</v>
      </c>
      <c r="K456">
        <f>ROUND(VLOOKUP(C456,法师难度!A$1:C$135,3,0)/VLOOKUP(B456,怪物抗性与玩家穿透!A$2:Q$74,17,0)*F456,0)</f>
        <v>2582436</v>
      </c>
      <c r="L456">
        <f>IF(A456="卡雷",42,IF(A456="法力风暴",ROUND(K456*0.1,0),VLOOKUP(A456,怪物模型!$A$15:$I$70,9,0)*(1+(B456-30)/100)))</f>
        <v>4800</v>
      </c>
      <c r="M456">
        <f>ROUND(VLOOKUP(C456,法师难度!A$1:C$135,2,0)*0.91*E456,0)</f>
        <v>192646</v>
      </c>
      <c r="N456">
        <f t="shared" si="21"/>
        <v>231175</v>
      </c>
      <c r="O456">
        <f>VLOOKUP(B456,怪物抗性与玩家穿透!A$2:Q$74,4,0)</f>
        <v>25000</v>
      </c>
      <c r="P456">
        <f>VLOOKUP(B456,怪物抗性与玩家穿透!A$2:Q$74,5,0)</f>
        <v>8000</v>
      </c>
      <c r="Q456">
        <f t="shared" si="22"/>
        <v>8000</v>
      </c>
      <c r="R456">
        <f>ROUND(VLOOKUP(B456,[3]battleParameter.xml!$A$6:$E$107,5,0)*(I456/100)/(1-I456/100),0)</f>
        <v>0</v>
      </c>
      <c r="S456">
        <f>ROUND(VLOOKUP(B456,[3]battleParameter.xml!$A$6:$G$107,7,0)*(J456/100)/(1-J456/100),0)</f>
        <v>0</v>
      </c>
      <c r="T456">
        <f>ROUND(VLOOKUP(B456,[3]battleParameter.xml!$A$6:$Z$107,8,0)*(MIN(H456/100+0.2,0.99))/(1-MIN(H456/100+0.2,0.99)),0)</f>
        <v>3021</v>
      </c>
      <c r="U456">
        <v>0</v>
      </c>
      <c r="V456">
        <v>0</v>
      </c>
    </row>
    <row r="457" spans="1:22">
      <c r="A457" t="str">
        <f>[2]monster.xml!$D802</f>
        <v>法力风暴</v>
      </c>
      <c r="B457">
        <f>[2]monster.xml!$C802</f>
        <v>91</v>
      </c>
      <c r="C457">
        <f t="shared" si="23"/>
        <v>111</v>
      </c>
      <c r="D457" t="str">
        <f>VLOOKUP(A457,怪物模型!A$15:Z$70,8,0)</f>
        <v>25,30</v>
      </c>
      <c r="E457">
        <f>VLOOKUP(A457,怪物模型!A$15:G$70,3,0)</f>
        <v>1.5</v>
      </c>
      <c r="F457">
        <f>VLOOKUP(A457,怪物模型!A$15:G$77,4,0)</f>
        <v>0.68</v>
      </c>
      <c r="G457">
        <v>1</v>
      </c>
      <c r="H457">
        <f>VLOOKUP(A457,怪物模型!A$15:G$77,5,0)</f>
        <v>13</v>
      </c>
      <c r="I457">
        <f>VLOOKUP(A457,怪物模型!A$15:G$77,6,0)</f>
        <v>0</v>
      </c>
      <c r="J457">
        <f>VLOOKUP(A457,怪物模型!A$15:G$77,7,0)</f>
        <v>0</v>
      </c>
      <c r="K457">
        <f>ROUND(VLOOKUP(C457,法师难度!A$1:C$135,3,0)/VLOOKUP(B457,怪物抗性与玩家穿透!A$2:Q$74,17,0)*F457,0)</f>
        <v>1941263</v>
      </c>
      <c r="L457">
        <f>IF(A457="卡雷",42,IF(A457="法力风暴",ROUND(K457*0.1,0),VLOOKUP(A457,怪物模型!$A$15:$I$70,9,0)*(1+(B457-30)/100)))</f>
        <v>194126</v>
      </c>
      <c r="M457">
        <f>ROUND(VLOOKUP(C457,法师难度!A$1:C$135,2,0)*0.91*E457,0)</f>
        <v>282076</v>
      </c>
      <c r="N457">
        <f t="shared" si="21"/>
        <v>338491</v>
      </c>
      <c r="O457">
        <f>VLOOKUP(B457,怪物抗性与玩家穿透!A$2:Q$74,4,0)</f>
        <v>26000</v>
      </c>
      <c r="P457">
        <f>VLOOKUP(B457,怪物抗性与玩家穿透!A$2:Q$74,5,0)</f>
        <v>8400</v>
      </c>
      <c r="Q457">
        <f t="shared" si="22"/>
        <v>8400</v>
      </c>
      <c r="R457">
        <f>ROUND(VLOOKUP(B457,[3]battleParameter.xml!$A$6:$E$107,5,0)*(I457/100)/(1-I457/100),0)</f>
        <v>0</v>
      </c>
      <c r="S457">
        <f>ROUND(VLOOKUP(B457,[3]battleParameter.xml!$A$6:$G$107,7,0)*(J457/100)/(1-J457/100),0)</f>
        <v>0</v>
      </c>
      <c r="T457">
        <f>ROUND(VLOOKUP(B457,[3]battleParameter.xml!$A$6:$Z$107,8,0)*(MIN(H457/100+0.2,0.99))/(1-MIN(H457/100+0.2,0.99)),0)</f>
        <v>3088</v>
      </c>
      <c r="U457">
        <v>0</v>
      </c>
      <c r="V457">
        <v>0</v>
      </c>
    </row>
    <row r="458" spans="1:22">
      <c r="A458" t="str">
        <f>[2]monster.xml!$D803</f>
        <v>火舞者</v>
      </c>
      <c r="B458">
        <f>[2]monster.xml!$C803</f>
        <v>91</v>
      </c>
      <c r="C458">
        <f t="shared" si="23"/>
        <v>112</v>
      </c>
      <c r="D458">
        <f>VLOOKUP(A458,怪物模型!A$15:Z$70,8,0)</f>
        <v>29</v>
      </c>
      <c r="E458">
        <f>VLOOKUP(A458,怪物模型!A$15:G$70,3,0)</f>
        <v>1</v>
      </c>
      <c r="F458">
        <f>VLOOKUP(A458,怪物模型!A$15:G$77,4,0)</f>
        <v>0.95</v>
      </c>
      <c r="G458">
        <v>1</v>
      </c>
      <c r="H458">
        <f>VLOOKUP(A458,怪物模型!A$15:G$77,5,0)</f>
        <v>13</v>
      </c>
      <c r="I458">
        <f>VLOOKUP(A458,怪物模型!A$15:G$77,6,0)</f>
        <v>0</v>
      </c>
      <c r="J458">
        <f>VLOOKUP(A458,怪物模型!A$15:G$77,7,0)</f>
        <v>0</v>
      </c>
      <c r="K458">
        <f>ROUND(VLOOKUP(C458,法师难度!A$1:C$135,3,0)/VLOOKUP(B458,怪物抗性与玩家穿透!A$2:Q$74,17,0)*F458,0)</f>
        <v>2886254</v>
      </c>
      <c r="L458">
        <f>IF(A458="卡雷",42,IF(A458="法力风暴",ROUND(K458*0.1,0),VLOOKUP(A458,怪物模型!$A$15:$I$70,9,0)*(1+(B458-30)/100)))</f>
        <v>1609.9999999999998</v>
      </c>
      <c r="M458">
        <f>ROUND(VLOOKUP(C458,法师难度!A$1:C$135,2,0)*0.91*E458,0)</f>
        <v>204691</v>
      </c>
      <c r="N458">
        <f t="shared" si="21"/>
        <v>245629</v>
      </c>
      <c r="O458">
        <f>VLOOKUP(B458,怪物抗性与玩家穿透!A$2:Q$74,4,0)</f>
        <v>26000</v>
      </c>
      <c r="P458">
        <f>VLOOKUP(B458,怪物抗性与玩家穿透!A$2:Q$74,5,0)</f>
        <v>8400</v>
      </c>
      <c r="Q458">
        <f t="shared" si="22"/>
        <v>8400</v>
      </c>
      <c r="R458">
        <f>ROUND(VLOOKUP(B458,[3]battleParameter.xml!$A$6:$E$107,5,0)*(I458/100)/(1-I458/100),0)</f>
        <v>0</v>
      </c>
      <c r="S458">
        <f>ROUND(VLOOKUP(B458,[3]battleParameter.xml!$A$6:$G$107,7,0)*(J458/100)/(1-J458/100),0)</f>
        <v>0</v>
      </c>
      <c r="T458">
        <f>ROUND(VLOOKUP(B458,[3]battleParameter.xml!$A$6:$Z$107,8,0)*(MIN(H458/100+0.2,0.99))/(1-MIN(H458/100+0.2,0.99)),0)</f>
        <v>3088</v>
      </c>
      <c r="U458">
        <v>0</v>
      </c>
      <c r="V458">
        <v>0</v>
      </c>
    </row>
    <row r="459" spans="1:22">
      <c r="A459" t="str">
        <f>[2]monster.xml!$D804</f>
        <v>血誓审判者</v>
      </c>
      <c r="B459">
        <f>[2]monster.xml!$C804</f>
        <v>91</v>
      </c>
      <c r="C459">
        <f t="shared" si="23"/>
        <v>113</v>
      </c>
      <c r="D459">
        <f>VLOOKUP(A459,怪物模型!A$15:Z$70,8,0)</f>
        <v>5</v>
      </c>
      <c r="E459">
        <f>VLOOKUP(A459,怪物模型!A$15:G$70,3,0)</f>
        <v>0.28000000000000003</v>
      </c>
      <c r="F459">
        <f>VLOOKUP(A459,怪物模型!A$15:G$77,4,0)</f>
        <v>0.45</v>
      </c>
      <c r="G459">
        <v>1</v>
      </c>
      <c r="H459">
        <f>VLOOKUP(A459,怪物模型!A$15:G$77,5,0)</f>
        <v>13</v>
      </c>
      <c r="I459">
        <f>VLOOKUP(A459,怪物模型!A$15:G$77,6,0)</f>
        <v>0</v>
      </c>
      <c r="J459">
        <f>VLOOKUP(A459,怪物模型!A$15:G$77,7,0)</f>
        <v>0</v>
      </c>
      <c r="K459">
        <f>ROUND(VLOOKUP(C459,法师难度!A$1:C$135,3,0)/VLOOKUP(B459,怪物抗性与玩家穿透!A$2:Q$74,17,0)*F459,0)</f>
        <v>1454987</v>
      </c>
      <c r="L459">
        <f>IF(A459="卡雷",42,IF(A459="法力风暴",ROUND(K459*0.1,0),VLOOKUP(A459,怪物模型!$A$15:$I$70,9,0)*(1+(B459-30)/100)))</f>
        <v>1609.9999999999998</v>
      </c>
      <c r="M459">
        <f>ROUND(VLOOKUP(C459,法师难度!A$1:C$135,2,0)*0.91*E459,0)</f>
        <v>62385</v>
      </c>
      <c r="N459">
        <f t="shared" si="21"/>
        <v>74862</v>
      </c>
      <c r="O459">
        <f>VLOOKUP(B459,怪物抗性与玩家穿透!A$2:Q$74,4,0)</f>
        <v>26000</v>
      </c>
      <c r="P459">
        <f>VLOOKUP(B459,怪物抗性与玩家穿透!A$2:Q$74,5,0)</f>
        <v>8400</v>
      </c>
      <c r="Q459">
        <f t="shared" si="22"/>
        <v>8400</v>
      </c>
      <c r="R459">
        <f>ROUND(VLOOKUP(B459,[3]battleParameter.xml!$A$6:$E$107,5,0)*(I459/100)/(1-I459/100),0)</f>
        <v>0</v>
      </c>
      <c r="S459">
        <f>ROUND(VLOOKUP(B459,[3]battleParameter.xml!$A$6:$G$107,7,0)*(J459/100)/(1-J459/100),0)</f>
        <v>0</v>
      </c>
      <c r="T459">
        <f>ROUND(VLOOKUP(B459,[3]battleParameter.xml!$A$6:$Z$107,8,0)*(MIN(H459/100+0.2,0.99))/(1-MIN(H459/100+0.2,0.99)),0)</f>
        <v>3088</v>
      </c>
      <c r="U459">
        <v>0</v>
      </c>
      <c r="V459">
        <v>0</v>
      </c>
    </row>
    <row r="460" spans="1:22">
      <c r="A460" t="str">
        <f>[2]monster.xml!$D805</f>
        <v>血誓预言者</v>
      </c>
      <c r="B460">
        <f>[2]monster.xml!$C805</f>
        <v>91</v>
      </c>
      <c r="C460">
        <f t="shared" si="23"/>
        <v>113</v>
      </c>
      <c r="D460">
        <f>VLOOKUP(A460,怪物模型!A$15:Z$70,8,0)</f>
        <v>2</v>
      </c>
      <c r="E460">
        <f>VLOOKUP(A460,怪物模型!A$15:G$70,3,0)</f>
        <v>0.3</v>
      </c>
      <c r="F460">
        <f>VLOOKUP(A460,怪物模型!A$15:G$77,4,0)</f>
        <v>0.42</v>
      </c>
      <c r="G460">
        <v>1</v>
      </c>
      <c r="H460">
        <f>VLOOKUP(A460,怪物模型!A$15:G$77,5,0)</f>
        <v>13</v>
      </c>
      <c r="I460">
        <f>VLOOKUP(A460,怪物模型!A$15:G$77,6,0)</f>
        <v>0</v>
      </c>
      <c r="J460">
        <f>VLOOKUP(A460,怪物模型!A$15:G$77,7,0)</f>
        <v>0</v>
      </c>
      <c r="K460">
        <f>ROUND(VLOOKUP(C460,法师难度!A$1:C$135,3,0)/VLOOKUP(B460,怪物抗性与玩家穿透!A$2:Q$74,17,0)*F460,0)</f>
        <v>1357988</v>
      </c>
      <c r="L460">
        <f>IF(A460="卡雷",42,IF(A460="法力风暴",ROUND(K460*0.1,0),VLOOKUP(A460,怪物模型!$A$15:$I$70,9,0)*(1+(B460-30)/100)))</f>
        <v>1288</v>
      </c>
      <c r="M460">
        <f>ROUND(VLOOKUP(C460,法师难度!A$1:C$135,2,0)*0.91*E460,0)</f>
        <v>66841</v>
      </c>
      <c r="N460">
        <f t="shared" si="21"/>
        <v>80209</v>
      </c>
      <c r="O460">
        <f>VLOOKUP(B460,怪物抗性与玩家穿透!A$2:Q$74,4,0)</f>
        <v>26000</v>
      </c>
      <c r="P460">
        <f>VLOOKUP(B460,怪物抗性与玩家穿透!A$2:Q$74,5,0)</f>
        <v>8400</v>
      </c>
      <c r="Q460">
        <f t="shared" si="22"/>
        <v>8400</v>
      </c>
      <c r="R460">
        <f>ROUND(VLOOKUP(B460,[3]battleParameter.xml!$A$6:$E$107,5,0)*(I460/100)/(1-I460/100),0)</f>
        <v>0</v>
      </c>
      <c r="S460">
        <f>ROUND(VLOOKUP(B460,[3]battleParameter.xml!$A$6:$G$107,7,0)*(J460/100)/(1-J460/100),0)</f>
        <v>0</v>
      </c>
      <c r="T460">
        <f>ROUND(VLOOKUP(B460,[3]battleParameter.xml!$A$6:$Z$107,8,0)*(MIN(H460/100+0.2,0.99))/(1-MIN(H460/100+0.2,0.99)),0)</f>
        <v>3088</v>
      </c>
      <c r="U460">
        <v>0</v>
      </c>
      <c r="V460">
        <v>0</v>
      </c>
    </row>
    <row r="461" spans="1:22">
      <c r="A461" t="str">
        <f>[2]monster.xml!$D806</f>
        <v>血誓召唤者</v>
      </c>
      <c r="B461">
        <f>[2]monster.xml!$C806</f>
        <v>91</v>
      </c>
      <c r="C461">
        <f t="shared" si="23"/>
        <v>113</v>
      </c>
      <c r="D461">
        <f>VLOOKUP(A461,怪物模型!A$15:Z$70,8,0)</f>
        <v>26</v>
      </c>
      <c r="E461">
        <f>VLOOKUP(A461,怪物模型!A$15:G$70,3,0)</f>
        <v>0.36</v>
      </c>
      <c r="F461">
        <f>VLOOKUP(A461,怪物模型!A$15:G$77,4,0)</f>
        <v>0.44</v>
      </c>
      <c r="G461">
        <v>1</v>
      </c>
      <c r="H461">
        <f>VLOOKUP(A461,怪物模型!A$15:G$77,5,0)</f>
        <v>13</v>
      </c>
      <c r="I461">
        <f>VLOOKUP(A461,怪物模型!A$15:G$77,6,0)</f>
        <v>0</v>
      </c>
      <c r="J461">
        <f>VLOOKUP(A461,怪物模型!A$15:G$77,7,0)</f>
        <v>0</v>
      </c>
      <c r="K461">
        <f>ROUND(VLOOKUP(C461,法师难度!A$1:C$135,3,0)/VLOOKUP(B461,怪物抗性与玩家穿透!A$2:Q$74,17,0)*F461,0)</f>
        <v>1422654</v>
      </c>
      <c r="L461">
        <f>IF(A461="卡雷",42,IF(A461="法力风暴",ROUND(K461*0.1,0),VLOOKUP(A461,怪物模型!$A$15:$I$70,9,0)*(1+(B461-30)/100)))</f>
        <v>1609.9999999999998</v>
      </c>
      <c r="M461">
        <f>ROUND(VLOOKUP(C461,法师难度!A$1:C$135,2,0)*0.91*E461,0)</f>
        <v>80209</v>
      </c>
      <c r="N461">
        <f t="shared" si="21"/>
        <v>96251</v>
      </c>
      <c r="O461">
        <f>VLOOKUP(B461,怪物抗性与玩家穿透!A$2:Q$74,4,0)</f>
        <v>26000</v>
      </c>
      <c r="P461">
        <f>VLOOKUP(B461,怪物抗性与玩家穿透!A$2:Q$74,5,0)</f>
        <v>8400</v>
      </c>
      <c r="Q461">
        <f t="shared" si="22"/>
        <v>8400</v>
      </c>
      <c r="R461">
        <f>ROUND(VLOOKUP(B461,[3]battleParameter.xml!$A$6:$E$107,5,0)*(I461/100)/(1-I461/100),0)</f>
        <v>0</v>
      </c>
      <c r="S461">
        <f>ROUND(VLOOKUP(B461,[3]battleParameter.xml!$A$6:$G$107,7,0)*(J461/100)/(1-J461/100),0)</f>
        <v>0</v>
      </c>
      <c r="T461">
        <f>ROUND(VLOOKUP(B461,[3]battleParameter.xml!$A$6:$Z$107,8,0)*(MIN(H461/100+0.2,0.99))/(1-MIN(H461/100+0.2,0.99)),0)</f>
        <v>3088</v>
      </c>
      <c r="U461">
        <v>0</v>
      </c>
      <c r="V461">
        <v>0</v>
      </c>
    </row>
    <row r="462" spans="1:22">
      <c r="A462" t="str">
        <f>[2]monster.xml!$D807</f>
        <v>血誓领主</v>
      </c>
      <c r="B462">
        <f>[2]monster.xml!$C807</f>
        <v>91</v>
      </c>
      <c r="C462">
        <f t="shared" si="23"/>
        <v>113</v>
      </c>
      <c r="D462">
        <f>VLOOKUP(A462,怪物模型!A$15:Z$70,8,0)</f>
        <v>14</v>
      </c>
      <c r="E462">
        <f>VLOOKUP(A462,怪物模型!A$15:G$70,3,0)</f>
        <v>0.36</v>
      </c>
      <c r="F462">
        <f>VLOOKUP(A462,怪物模型!A$15:G$77,4,0)</f>
        <v>0.43</v>
      </c>
      <c r="G462">
        <v>1</v>
      </c>
      <c r="H462">
        <f>VLOOKUP(A462,怪物模型!A$15:G$77,5,0)</f>
        <v>13</v>
      </c>
      <c r="I462">
        <f>VLOOKUP(A462,怪物模型!A$15:G$77,6,0)</f>
        <v>0</v>
      </c>
      <c r="J462">
        <f>VLOOKUP(A462,怪物模型!A$15:G$77,7,0)</f>
        <v>0</v>
      </c>
      <c r="K462">
        <f>ROUND(VLOOKUP(C462,法师难度!A$1:C$135,3,0)/VLOOKUP(B462,怪物抗性与玩家穿透!A$2:Q$74,17,0)*F462,0)</f>
        <v>1390321</v>
      </c>
      <c r="L462">
        <f>IF(A462="卡雷",42,IF(A462="法力风暴",ROUND(K462*0.1,0),VLOOKUP(A462,怪物模型!$A$15:$I$70,9,0)*(1+(B462-30)/100)))</f>
        <v>1609.9999999999998</v>
      </c>
      <c r="M462">
        <f>ROUND(VLOOKUP(C462,法师难度!A$1:C$135,2,0)*0.91*E462,0)</f>
        <v>80209</v>
      </c>
      <c r="N462">
        <f t="shared" si="21"/>
        <v>96251</v>
      </c>
      <c r="O462">
        <f>VLOOKUP(B462,怪物抗性与玩家穿透!A$2:Q$74,4,0)</f>
        <v>26000</v>
      </c>
      <c r="P462">
        <f>VLOOKUP(B462,怪物抗性与玩家穿透!A$2:Q$74,5,0)</f>
        <v>8400</v>
      </c>
      <c r="Q462">
        <f t="shared" si="22"/>
        <v>8400</v>
      </c>
      <c r="R462">
        <f>ROUND(VLOOKUP(B462,[3]battleParameter.xml!$A$6:$E$107,5,0)*(I462/100)/(1-I462/100),0)</f>
        <v>0</v>
      </c>
      <c r="S462">
        <f>ROUND(VLOOKUP(B462,[3]battleParameter.xml!$A$6:$G$107,7,0)*(J462/100)/(1-J462/100),0)</f>
        <v>0</v>
      </c>
      <c r="T462">
        <f>ROUND(VLOOKUP(B462,[3]battleParameter.xml!$A$6:$Z$107,8,0)*(MIN(H462/100+0.2,0.99))/(1-MIN(H462/100+0.2,0.99)),0)</f>
        <v>3088</v>
      </c>
      <c r="U462">
        <v>0</v>
      </c>
      <c r="V462">
        <v>0</v>
      </c>
    </row>
    <row r="463" spans="1:22">
      <c r="A463" t="str">
        <f>[2]monster.xml!$D808</f>
        <v>舞钢者拜伦</v>
      </c>
      <c r="B463">
        <f>[2]monster.xml!$C808</f>
        <v>92</v>
      </c>
      <c r="C463">
        <f t="shared" si="23"/>
        <v>114</v>
      </c>
      <c r="D463">
        <f>VLOOKUP(A463,怪物模型!A$15:Z$70,8,0)</f>
        <v>8</v>
      </c>
      <c r="E463">
        <f>VLOOKUP(A463,怪物模型!A$15:G$70,3,0)</f>
        <v>0.8</v>
      </c>
      <c r="F463">
        <f>VLOOKUP(A463,怪物模型!A$15:G$77,4,0)</f>
        <v>1</v>
      </c>
      <c r="G463">
        <v>1</v>
      </c>
      <c r="H463">
        <f>VLOOKUP(A463,怪物模型!A$15:G$77,5,0)</f>
        <v>13</v>
      </c>
      <c r="I463">
        <f>VLOOKUP(A463,怪物模型!A$15:G$77,6,0)</f>
        <v>0</v>
      </c>
      <c r="J463">
        <f>VLOOKUP(A463,怪物模型!A$15:G$77,7,0)</f>
        <v>0</v>
      </c>
      <c r="K463">
        <f>ROUND(VLOOKUP(C463,法师难度!A$1:C$135,3,0)/VLOOKUP(B463,怪物抗性与玩家穿透!A$2:Q$74,17,0)*F463,0)</f>
        <v>3501391</v>
      </c>
      <c r="L463">
        <f>IF(A463="卡雷",42,IF(A463="法力风暴",ROUND(K463*0.1,0),VLOOKUP(A463,怪物模型!$A$15:$I$70,9,0)*(1+(B463-30)/100)))</f>
        <v>1620</v>
      </c>
      <c r="M463">
        <f>ROUND(VLOOKUP(C463,法师难度!A$1:C$135,2,0)*0.91*E463,0)</f>
        <v>199577</v>
      </c>
      <c r="N463">
        <f t="shared" si="21"/>
        <v>239492</v>
      </c>
      <c r="O463">
        <f>VLOOKUP(B463,怪物抗性与玩家穿透!A$2:Q$74,4,0)</f>
        <v>27000</v>
      </c>
      <c r="P463">
        <f>VLOOKUP(B463,怪物抗性与玩家穿透!A$2:Q$74,5,0)</f>
        <v>8800</v>
      </c>
      <c r="Q463">
        <f t="shared" si="22"/>
        <v>8800</v>
      </c>
      <c r="R463">
        <f>ROUND(VLOOKUP(B463,[3]battleParameter.xml!$A$6:$E$107,5,0)*(I463/100)/(1-I463/100),0)</f>
        <v>0</v>
      </c>
      <c r="S463">
        <f>ROUND(VLOOKUP(B463,[3]battleParameter.xml!$A$6:$G$107,7,0)*(J463/100)/(1-J463/100),0)</f>
        <v>0</v>
      </c>
      <c r="T463">
        <f>ROUND(VLOOKUP(B463,[3]battleParameter.xml!$A$6:$Z$107,8,0)*(MIN(H463/100+0.2,0.99))/(1-MIN(H463/100+0.2,0.99)),0)</f>
        <v>3156</v>
      </c>
      <c r="U463">
        <v>0</v>
      </c>
      <c r="V463">
        <v>0</v>
      </c>
    </row>
    <row r="464" spans="1:22">
      <c r="A464" t="str">
        <f>[2]monster.xml!$D809</f>
        <v>风暴之王</v>
      </c>
      <c r="B464">
        <f>[2]monster.xml!$C809</f>
        <v>92</v>
      </c>
      <c r="C464">
        <f t="shared" si="23"/>
        <v>115</v>
      </c>
      <c r="D464">
        <f>VLOOKUP(A464,怪物模型!A$15:Z$70,8,0)</f>
        <v>6</v>
      </c>
      <c r="E464">
        <f>VLOOKUP(A464,怪物模型!A$15:G$70,3,0)</f>
        <v>0.8</v>
      </c>
      <c r="F464">
        <f>VLOOKUP(A464,怪物模型!A$15:G$77,4,0)</f>
        <v>0.92</v>
      </c>
      <c r="G464">
        <v>1</v>
      </c>
      <c r="H464">
        <f>VLOOKUP(A464,怪物模型!A$15:G$77,5,0)</f>
        <v>13</v>
      </c>
      <c r="I464">
        <f>VLOOKUP(A464,怪物模型!A$15:G$77,6,0)</f>
        <v>0</v>
      </c>
      <c r="J464">
        <f>VLOOKUP(A464,怪物模型!A$15:G$77,7,0)</f>
        <v>0</v>
      </c>
      <c r="K464">
        <f>ROUND(VLOOKUP(C464,法师难度!A$1:C$135,3,0)/VLOOKUP(B464,怪物抗性与玩家穿透!A$2:Q$74,17,0)*F464,0)</f>
        <v>3444184</v>
      </c>
      <c r="L464">
        <f>IF(A464="卡雷",42,IF(A464="法力风暴",ROUND(K464*0.1,0),VLOOKUP(A464,怪物模型!$A$15:$I$70,9,0)*(1+(B464-30)/100)))</f>
        <v>1620</v>
      </c>
      <c r="M464">
        <f>ROUND(VLOOKUP(C464,法师难度!A$1:C$135,2,0)*0.91*E464,0)</f>
        <v>217318</v>
      </c>
      <c r="N464">
        <f t="shared" si="21"/>
        <v>260782</v>
      </c>
      <c r="O464">
        <f>VLOOKUP(B464,怪物抗性与玩家穿透!A$2:Q$74,4,0)</f>
        <v>27000</v>
      </c>
      <c r="P464">
        <f>VLOOKUP(B464,怪物抗性与玩家穿透!A$2:Q$74,5,0)</f>
        <v>8800</v>
      </c>
      <c r="Q464">
        <f t="shared" si="22"/>
        <v>8800</v>
      </c>
      <c r="R464">
        <f>ROUND(VLOOKUP(B464,[3]battleParameter.xml!$A$6:$E$107,5,0)*(I464/100)/(1-I464/100),0)</f>
        <v>0</v>
      </c>
      <c r="S464">
        <f>ROUND(VLOOKUP(B464,[3]battleParameter.xml!$A$6:$G$107,7,0)*(J464/100)/(1-J464/100),0)</f>
        <v>0</v>
      </c>
      <c r="T464">
        <f>ROUND(VLOOKUP(B464,[3]battleParameter.xml!$A$6:$Z$107,8,0)*(MIN(H464/100+0.2,0.99))/(1-MIN(H464/100+0.2,0.99)),0)</f>
        <v>3156</v>
      </c>
      <c r="U464">
        <v>0</v>
      </c>
      <c r="V464">
        <v>0</v>
      </c>
    </row>
    <row r="465" spans="1:22">
      <c r="A465" t="str">
        <f>[2]monster.xml!$D810</f>
        <v>雷伊战争使者</v>
      </c>
      <c r="B465">
        <f>[2]monster.xml!$C810</f>
        <v>93</v>
      </c>
      <c r="C465">
        <f t="shared" si="23"/>
        <v>116</v>
      </c>
      <c r="D465">
        <f>VLOOKUP(A465,怪物模型!A$15:Z$70,8,0)</f>
        <v>7</v>
      </c>
      <c r="E465">
        <f>VLOOKUP(A465,怪物模型!A$15:G$70,3,0)</f>
        <v>1</v>
      </c>
      <c r="F465">
        <f>VLOOKUP(A465,怪物模型!A$15:G$77,4,0)</f>
        <v>1</v>
      </c>
      <c r="G465">
        <v>1</v>
      </c>
      <c r="H465">
        <f>VLOOKUP(A465,怪物模型!A$15:G$77,5,0)</f>
        <v>13</v>
      </c>
      <c r="I465">
        <f>VLOOKUP(A465,怪物模型!A$15:G$77,6,0)</f>
        <v>0</v>
      </c>
      <c r="J465">
        <f>VLOOKUP(A465,怪物模型!A$15:G$77,7,0)</f>
        <v>0</v>
      </c>
      <c r="K465">
        <f>ROUND(VLOOKUP(C465,法师难度!A$1:C$135,3,0)/VLOOKUP(B465,怪物抗性与玩家穿透!A$2:Q$74,17,0)*F465,0)</f>
        <v>3993830</v>
      </c>
      <c r="L465">
        <f>IF(A465="卡雷",42,IF(A465="法力风暴",ROUND(K465*0.1,0),VLOOKUP(A465,怪物模型!$A$15:$I$70,9,0)*(1+(B465-30)/100)))</f>
        <v>1630</v>
      </c>
      <c r="M465">
        <f>ROUND(VLOOKUP(C465,法师难度!A$1:C$135,2,0)*0.91*E465,0)</f>
        <v>295796</v>
      </c>
      <c r="N465">
        <f t="shared" si="21"/>
        <v>354955</v>
      </c>
      <c r="O465">
        <f>VLOOKUP(B465,怪物抗性与玩家穿透!A$2:Q$74,4,0)</f>
        <v>28000</v>
      </c>
      <c r="P465">
        <f>VLOOKUP(B465,怪物抗性与玩家穿透!A$2:Q$74,5,0)</f>
        <v>9200</v>
      </c>
      <c r="Q465">
        <f t="shared" si="22"/>
        <v>9200</v>
      </c>
      <c r="R465">
        <f>ROUND(VLOOKUP(B465,[3]battleParameter.xml!$A$6:$E$107,5,0)*(I465/100)/(1-I465/100),0)</f>
        <v>0</v>
      </c>
      <c r="S465">
        <f>ROUND(VLOOKUP(B465,[3]battleParameter.xml!$A$6:$G$107,7,0)*(J465/100)/(1-J465/100),0)</f>
        <v>0</v>
      </c>
      <c r="T465">
        <f>ROUND(VLOOKUP(B465,[3]battleParameter.xml!$A$6:$Z$107,8,0)*(MIN(H465/100+0.2,0.99))/(1-MIN(H465/100+0.2,0.99)),0)</f>
        <v>3225</v>
      </c>
      <c r="U465">
        <v>0</v>
      </c>
      <c r="V465">
        <v>0</v>
      </c>
    </row>
    <row r="466" spans="1:22">
      <c r="A466" t="str">
        <f>[2]monster.xml!$D811</f>
        <v>暴君泰伦</v>
      </c>
      <c r="B466">
        <f>[2]monster.xml!$C811</f>
        <v>94</v>
      </c>
      <c r="C466">
        <f t="shared" si="23"/>
        <v>117</v>
      </c>
      <c r="D466" t="str">
        <f>VLOOKUP(A466,怪物模型!A$15:Z$70,8,0)</f>
        <v>10,9</v>
      </c>
      <c r="E466">
        <f>VLOOKUP(A466,怪物模型!A$15:G$70,3,0)</f>
        <v>1.2</v>
      </c>
      <c r="F466">
        <f>VLOOKUP(A466,怪物模型!A$15:G$77,4,0)</f>
        <v>1.1499999999999999</v>
      </c>
      <c r="G466">
        <v>1</v>
      </c>
      <c r="H466">
        <f>VLOOKUP(A466,怪物模型!A$15:G$77,5,0)</f>
        <v>15</v>
      </c>
      <c r="I466">
        <f>VLOOKUP(A466,怪物模型!A$15:G$77,6,0)</f>
        <v>0</v>
      </c>
      <c r="J466">
        <f>VLOOKUP(A466,怪物模型!A$15:G$77,7,0)</f>
        <v>15</v>
      </c>
      <c r="K466">
        <f>ROUND(VLOOKUP(C466,法师难度!A$1:C$135,3,0)/VLOOKUP(B466,怪物抗性与玩家穿透!A$2:Q$74,17,0)*F466,0)</f>
        <v>5015357</v>
      </c>
      <c r="L466">
        <f>IF(A466="卡雷",42,IF(A466="法力风暴",ROUND(K466*0.1,0),VLOOKUP(A466,怪物模型!$A$15:$I$70,9,0)*(1+(B466-30)/100)))</f>
        <v>4920</v>
      </c>
      <c r="M466">
        <f>ROUND(VLOOKUP(C466,法师难度!A$1:C$135,2,0)*0.91*E466,0)</f>
        <v>397639</v>
      </c>
      <c r="N466">
        <f t="shared" si="21"/>
        <v>477167</v>
      </c>
      <c r="O466">
        <f>VLOOKUP(B466,怪物抗性与玩家穿透!A$2:Q$74,4,0)</f>
        <v>29000</v>
      </c>
      <c r="P466">
        <f>VLOOKUP(B466,怪物抗性与玩家穿透!A$2:Q$74,5,0)</f>
        <v>9600</v>
      </c>
      <c r="Q466">
        <f t="shared" si="22"/>
        <v>9600</v>
      </c>
      <c r="R466">
        <f>ROUND(VLOOKUP(B466,[3]battleParameter.xml!$A$6:$E$107,5,0)*(I466/100)/(1-I466/100),0)</f>
        <v>0</v>
      </c>
      <c r="S466">
        <f>ROUND(VLOOKUP(B466,[3]battleParameter.xml!$A$6:$G$107,7,0)*(J466/100)/(1-J466/100),0)</f>
        <v>4721</v>
      </c>
      <c r="T466">
        <f>ROUND(VLOOKUP(B466,[3]battleParameter.xml!$A$6:$Z$107,8,0)*(MIN(H466/100+0.2,0.99))/(1-MIN(H466/100+0.2,0.99)),0)</f>
        <v>3601</v>
      </c>
      <c r="U466">
        <v>0</v>
      </c>
      <c r="V466">
        <v>0</v>
      </c>
    </row>
    <row r="467" spans="1:22">
      <c r="A467" t="str">
        <f>[2]monster.xml!$D812</f>
        <v>影子武士</v>
      </c>
      <c r="B467">
        <f>[2]monster.xml!$C812</f>
        <v>95</v>
      </c>
      <c r="C467">
        <f t="shared" si="23"/>
        <v>118</v>
      </c>
      <c r="D467">
        <f>VLOOKUP(A467,怪物模型!A$15:Z$70,8,0)</f>
        <v>0</v>
      </c>
      <c r="E467">
        <f>VLOOKUP(A467,怪物模型!A$15:G$70,3,0)</f>
        <v>1</v>
      </c>
      <c r="F467">
        <f>VLOOKUP(A467,怪物模型!A$15:G$77,4,0)</f>
        <v>1</v>
      </c>
      <c r="G467">
        <v>1</v>
      </c>
      <c r="H467">
        <f>VLOOKUP(A467,怪物模型!A$15:G$77,5,0)</f>
        <v>30</v>
      </c>
      <c r="I467">
        <f>VLOOKUP(A467,怪物模型!A$15:G$77,6,0)</f>
        <v>0</v>
      </c>
      <c r="J467">
        <f>VLOOKUP(A467,怪物模型!A$15:G$77,7,0)</f>
        <v>0</v>
      </c>
      <c r="K467">
        <f>ROUND(VLOOKUP(C467,法师难度!A$1:C$135,3,0)/VLOOKUP(B467,怪物抗性与玩家穿透!A$2:Q$74,17,0)*F467,0)</f>
        <v>2953469</v>
      </c>
      <c r="L467">
        <f>IF(A467="卡雷",42,IF(A467="法力风暴",ROUND(K467*0.1,0),VLOOKUP(A467,怪物模型!$A$15:$I$70,9,0)*(1+(B467-30)/100)))</f>
        <v>1650</v>
      </c>
      <c r="M467">
        <f>ROUND(VLOOKUP(C467,法师难度!A$1:C$135,2,0)*0.91*E467,0)</f>
        <v>191725</v>
      </c>
      <c r="N467">
        <f t="shared" si="21"/>
        <v>230070</v>
      </c>
      <c r="O467">
        <f>VLOOKUP(B467,怪物抗性与玩家穿透!A$2:Q$74,4,0)</f>
        <v>30000</v>
      </c>
      <c r="P467">
        <f>VLOOKUP(B467,怪物抗性与玩家穿透!A$2:Q$74,5,0)</f>
        <v>10000</v>
      </c>
      <c r="Q467">
        <f t="shared" si="22"/>
        <v>10000</v>
      </c>
      <c r="R467">
        <f>ROUND(VLOOKUP(B467,[3]battleParameter.xml!$A$6:$E$107,5,0)*(I467/100)/(1-I467/100),0)</f>
        <v>0</v>
      </c>
      <c r="S467">
        <f>ROUND(VLOOKUP(B467,[3]battleParameter.xml!$A$6:$G$107,7,0)*(J467/100)/(1-J467/100),0)</f>
        <v>0</v>
      </c>
      <c r="T467">
        <f>ROUND(VLOOKUP(B467,[3]battleParameter.xml!$A$6:$Z$107,8,0)*(MIN(H467/100+0.2,0.99))/(1-MIN(H467/100+0.2,0.99)),0)</f>
        <v>6830</v>
      </c>
      <c r="U467">
        <v>0</v>
      </c>
      <c r="V467">
        <v>0</v>
      </c>
    </row>
    <row r="468" spans="1:22">
      <c r="A468" t="str">
        <f>[2]monster.xml!$D813</f>
        <v>拨弄的赛亚</v>
      </c>
      <c r="B468">
        <f>[2]monster.xml!$C813</f>
        <v>95</v>
      </c>
      <c r="C468">
        <f t="shared" si="23"/>
        <v>119</v>
      </c>
      <c r="D468" t="str">
        <f>VLOOKUP(A468,怪物模型!A$15:Z$70,8,0)</f>
        <v>17,18,8</v>
      </c>
      <c r="E468">
        <f>VLOOKUP(A468,怪物模型!A$15:G$70,3,0)</f>
        <v>1.2</v>
      </c>
      <c r="F468">
        <f>VLOOKUP(A468,怪物模型!A$15:G$77,4,0)</f>
        <v>1</v>
      </c>
      <c r="G468">
        <v>1</v>
      </c>
      <c r="H468">
        <f>VLOOKUP(A468,怪物模型!A$15:G$77,5,0)</f>
        <v>13</v>
      </c>
      <c r="I468">
        <f>VLOOKUP(A468,怪物模型!A$15:G$77,6,0)</f>
        <v>0</v>
      </c>
      <c r="J468">
        <f>VLOOKUP(A468,怪物模型!A$15:G$77,7,0)</f>
        <v>0</v>
      </c>
      <c r="K468">
        <f>ROUND(VLOOKUP(C468,法师难度!A$1:C$135,3,0)/VLOOKUP(B468,怪物抗性与玩家穿透!A$2:Q$74,17,0)*F468,0)</f>
        <v>3190485</v>
      </c>
      <c r="L468">
        <f>IF(A468="卡雷",42,IF(A468="法力风暴",ROUND(K468*0.1,0),VLOOKUP(A468,怪物模型!$A$15:$I$70,9,0)*(1+(B468-30)/100)))</f>
        <v>4950</v>
      </c>
      <c r="M468">
        <f>ROUND(VLOOKUP(C468,法师难度!A$1:C$135,2,0)*0.91*E468,0)</f>
        <v>260684</v>
      </c>
      <c r="N468">
        <f t="shared" si="21"/>
        <v>312821</v>
      </c>
      <c r="O468">
        <f>VLOOKUP(B468,怪物抗性与玩家穿透!A$2:Q$74,4,0)</f>
        <v>30000</v>
      </c>
      <c r="P468">
        <f>VLOOKUP(B468,怪物抗性与玩家穿透!A$2:Q$74,5,0)</f>
        <v>10000</v>
      </c>
      <c r="Q468">
        <f t="shared" si="22"/>
        <v>10000</v>
      </c>
      <c r="R468">
        <f>ROUND(VLOOKUP(B468,[3]battleParameter.xml!$A$6:$E$107,5,0)*(I468/100)/(1-I468/100),0)</f>
        <v>0</v>
      </c>
      <c r="S468">
        <f>ROUND(VLOOKUP(B468,[3]battleParameter.xml!$A$6:$G$107,7,0)*(J468/100)/(1-J468/100),0)</f>
        <v>0</v>
      </c>
      <c r="T468">
        <f>ROUND(VLOOKUP(B468,[3]battleParameter.xml!$A$6:$Z$107,8,0)*(MIN(H468/100+0.2,0.99))/(1-MIN(H468/100+0.2,0.99)),0)</f>
        <v>3364</v>
      </c>
      <c r="U468">
        <v>0</v>
      </c>
      <c r="V468">
        <v>0</v>
      </c>
    </row>
    <row r="469" spans="1:22">
      <c r="A469" t="str">
        <f>[2]monster.xml!$D814</f>
        <v>法力风暴</v>
      </c>
      <c r="B469">
        <f>[2]monster.xml!$C814</f>
        <v>96</v>
      </c>
      <c r="C469">
        <f t="shared" si="23"/>
        <v>120</v>
      </c>
      <c r="D469" t="str">
        <f>VLOOKUP(A469,怪物模型!A$15:Z$70,8,0)</f>
        <v>25,30</v>
      </c>
      <c r="E469">
        <f>VLOOKUP(A469,怪物模型!A$15:G$70,3,0)</f>
        <v>1.5</v>
      </c>
      <c r="F469">
        <f>VLOOKUP(A469,怪物模型!A$15:G$77,4,0)</f>
        <v>0.68</v>
      </c>
      <c r="G469">
        <v>1</v>
      </c>
      <c r="H469">
        <f>VLOOKUP(A469,怪物模型!A$15:G$77,5,0)</f>
        <v>13</v>
      </c>
      <c r="I469">
        <f>VLOOKUP(A469,怪物模型!A$15:G$77,6,0)</f>
        <v>0</v>
      </c>
      <c r="J469">
        <f>VLOOKUP(A469,怪物模型!A$15:G$77,7,0)</f>
        <v>0</v>
      </c>
      <c r="K469">
        <f>ROUND(VLOOKUP(C469,法师难度!A$1:C$135,3,0)/VLOOKUP(B469,怪物抗性与玩家穿透!A$2:Q$74,17,0)*F469,0)</f>
        <v>2405919</v>
      </c>
      <c r="L469">
        <f>IF(A469="卡雷",42,IF(A469="法力风暴",ROUND(K469*0.1,0),VLOOKUP(A469,怪物模型!$A$15:$I$70,9,0)*(1+(B469-30)/100)))</f>
        <v>240592</v>
      </c>
      <c r="M469">
        <f>ROUND(VLOOKUP(C469,法师难度!A$1:C$135,2,0)*0.91*E469,0)</f>
        <v>384915</v>
      </c>
      <c r="N469">
        <f t="shared" si="21"/>
        <v>461898</v>
      </c>
      <c r="O469">
        <f>VLOOKUP(B469,怪物抗性与玩家穿透!A$2:Q$74,4,0)</f>
        <v>31000</v>
      </c>
      <c r="P469">
        <f>VLOOKUP(B469,怪物抗性与玩家穿透!A$2:Q$74,5,0)</f>
        <v>10400</v>
      </c>
      <c r="Q469">
        <f t="shared" si="22"/>
        <v>10400</v>
      </c>
      <c r="R469">
        <f>ROUND(VLOOKUP(B469,[3]battleParameter.xml!$A$6:$E$107,5,0)*(I469/100)/(1-I469/100),0)</f>
        <v>0</v>
      </c>
      <c r="S469">
        <f>ROUND(VLOOKUP(B469,[3]battleParameter.xml!$A$6:$G$107,7,0)*(J469/100)/(1-J469/100),0)</f>
        <v>0</v>
      </c>
      <c r="T469">
        <f>ROUND(VLOOKUP(B469,[3]battleParameter.xml!$A$6:$Z$107,8,0)*(MIN(H469/100+0.2,0.99))/(1-MIN(H469/100+0.2,0.99)),0)</f>
        <v>3434</v>
      </c>
      <c r="U469">
        <v>0</v>
      </c>
      <c r="V469">
        <v>0</v>
      </c>
    </row>
    <row r="470" spans="1:22">
      <c r="A470" t="str">
        <f>[2]monster.xml!$D815</f>
        <v>火舞者</v>
      </c>
      <c r="B470">
        <f>[2]monster.xml!$C815</f>
        <v>96</v>
      </c>
      <c r="C470">
        <f t="shared" si="23"/>
        <v>121</v>
      </c>
      <c r="D470">
        <f>VLOOKUP(A470,怪物模型!A$15:Z$70,8,0)</f>
        <v>29</v>
      </c>
      <c r="E470">
        <f>VLOOKUP(A470,怪物模型!A$15:G$70,3,0)</f>
        <v>1</v>
      </c>
      <c r="F470">
        <f>VLOOKUP(A470,怪物模型!A$15:G$77,4,0)</f>
        <v>0.95</v>
      </c>
      <c r="G470">
        <v>1</v>
      </c>
      <c r="H470">
        <f>VLOOKUP(A470,怪物模型!A$15:G$77,5,0)</f>
        <v>13</v>
      </c>
      <c r="I470">
        <f>VLOOKUP(A470,怪物模型!A$15:G$77,6,0)</f>
        <v>0</v>
      </c>
      <c r="J470">
        <f>VLOOKUP(A470,怪物模型!A$15:G$77,7,0)</f>
        <v>0</v>
      </c>
      <c r="K470">
        <f>ROUND(VLOOKUP(C470,法师难度!A$1:C$135,3,0)/VLOOKUP(B470,怪物抗性与玩家穿透!A$2:Q$74,17,0)*F470,0)</f>
        <v>3573841</v>
      </c>
      <c r="L470">
        <f>IF(A470="卡雷",42,IF(A470="法力风暴",ROUND(K470*0.1,0),VLOOKUP(A470,怪物模型!$A$15:$I$70,9,0)*(1+(B470-30)/100)))</f>
        <v>1660.0000000000002</v>
      </c>
      <c r="M470">
        <f>ROUND(VLOOKUP(C470,法师难度!A$1:C$135,2,0)*0.91*E470,0)</f>
        <v>280197</v>
      </c>
      <c r="N470">
        <f t="shared" si="21"/>
        <v>336236</v>
      </c>
      <c r="O470">
        <f>VLOOKUP(B470,怪物抗性与玩家穿透!A$2:Q$74,4,0)</f>
        <v>31000</v>
      </c>
      <c r="P470">
        <f>VLOOKUP(B470,怪物抗性与玩家穿透!A$2:Q$74,5,0)</f>
        <v>10400</v>
      </c>
      <c r="Q470">
        <f t="shared" si="22"/>
        <v>10400</v>
      </c>
      <c r="R470">
        <f>ROUND(VLOOKUP(B470,[3]battleParameter.xml!$A$6:$E$107,5,0)*(I470/100)/(1-I470/100),0)</f>
        <v>0</v>
      </c>
      <c r="S470">
        <f>ROUND(VLOOKUP(B470,[3]battleParameter.xml!$A$6:$G$107,7,0)*(J470/100)/(1-J470/100),0)</f>
        <v>0</v>
      </c>
      <c r="T470">
        <f>ROUND(VLOOKUP(B470,[3]battleParameter.xml!$A$6:$Z$107,8,0)*(MIN(H470/100+0.2,0.99))/(1-MIN(H470/100+0.2,0.99)),0)</f>
        <v>3434</v>
      </c>
      <c r="U470">
        <v>0</v>
      </c>
      <c r="V470">
        <v>0</v>
      </c>
    </row>
    <row r="471" spans="1:22">
      <c r="A471" t="str">
        <f>[2]monster.xml!$D816</f>
        <v>血誓审判者</v>
      </c>
      <c r="B471">
        <f>[2]monster.xml!$C816</f>
        <v>96</v>
      </c>
      <c r="C471">
        <f t="shared" si="23"/>
        <v>122</v>
      </c>
      <c r="D471">
        <f>VLOOKUP(A471,怪物模型!A$15:Z$70,8,0)</f>
        <v>5</v>
      </c>
      <c r="E471">
        <f>VLOOKUP(A471,怪物模型!A$15:G$70,3,0)</f>
        <v>0.28000000000000003</v>
      </c>
      <c r="F471">
        <f>VLOOKUP(A471,怪物模型!A$15:G$77,4,0)</f>
        <v>0.45</v>
      </c>
      <c r="G471">
        <v>1</v>
      </c>
      <c r="H471">
        <f>VLOOKUP(A471,怪物模型!A$15:G$77,5,0)</f>
        <v>13</v>
      </c>
      <c r="I471">
        <f>VLOOKUP(A471,怪物模型!A$15:G$77,6,0)</f>
        <v>0</v>
      </c>
      <c r="J471">
        <f>VLOOKUP(A471,怪物模型!A$15:G$77,7,0)</f>
        <v>0</v>
      </c>
      <c r="K471">
        <f>ROUND(VLOOKUP(C471,法师难度!A$1:C$135,3,0)/VLOOKUP(B471,怪物抗性与玩家穿透!A$2:Q$74,17,0)*F471,0)</f>
        <v>1799964</v>
      </c>
      <c r="L471">
        <f>IF(A471="卡雷",42,IF(A471="法力风暴",ROUND(K471*0.1,0),VLOOKUP(A471,怪物模型!$A$15:$I$70,9,0)*(1+(B471-30)/100)))</f>
        <v>1660.0000000000002</v>
      </c>
      <c r="M471">
        <f>ROUND(VLOOKUP(C471,法师难度!A$1:C$135,2,0)*0.91*E471,0)</f>
        <v>85667</v>
      </c>
      <c r="N471">
        <f t="shared" si="21"/>
        <v>102800</v>
      </c>
      <c r="O471">
        <f>VLOOKUP(B471,怪物抗性与玩家穿透!A$2:Q$74,4,0)</f>
        <v>31000</v>
      </c>
      <c r="P471">
        <f>VLOOKUP(B471,怪物抗性与玩家穿透!A$2:Q$74,5,0)</f>
        <v>10400</v>
      </c>
      <c r="Q471">
        <f t="shared" si="22"/>
        <v>10400</v>
      </c>
      <c r="R471">
        <f>ROUND(VLOOKUP(B471,[3]battleParameter.xml!$A$6:$E$107,5,0)*(I471/100)/(1-I471/100),0)</f>
        <v>0</v>
      </c>
      <c r="S471">
        <f>ROUND(VLOOKUP(B471,[3]battleParameter.xml!$A$6:$G$107,7,0)*(J471/100)/(1-J471/100),0)</f>
        <v>0</v>
      </c>
      <c r="T471">
        <f>ROUND(VLOOKUP(B471,[3]battleParameter.xml!$A$6:$Z$107,8,0)*(MIN(H471/100+0.2,0.99))/(1-MIN(H471/100+0.2,0.99)),0)</f>
        <v>3434</v>
      </c>
      <c r="U471">
        <v>0</v>
      </c>
      <c r="V471">
        <v>0</v>
      </c>
    </row>
    <row r="472" spans="1:22">
      <c r="A472" t="str">
        <f>[2]monster.xml!$D817</f>
        <v>血誓预言者</v>
      </c>
      <c r="B472">
        <f>[2]monster.xml!$C817</f>
        <v>96</v>
      </c>
      <c r="C472">
        <f t="shared" si="23"/>
        <v>122</v>
      </c>
      <c r="D472">
        <f>VLOOKUP(A472,怪物模型!A$15:Z$70,8,0)</f>
        <v>2</v>
      </c>
      <c r="E472">
        <f>VLOOKUP(A472,怪物模型!A$15:G$70,3,0)</f>
        <v>0.3</v>
      </c>
      <c r="F472">
        <f>VLOOKUP(A472,怪物模型!A$15:G$77,4,0)</f>
        <v>0.42</v>
      </c>
      <c r="G472">
        <v>1</v>
      </c>
      <c r="H472">
        <f>VLOOKUP(A472,怪物模型!A$15:G$77,5,0)</f>
        <v>13</v>
      </c>
      <c r="I472">
        <f>VLOOKUP(A472,怪物模型!A$15:G$77,6,0)</f>
        <v>0</v>
      </c>
      <c r="J472">
        <f>VLOOKUP(A472,怪物模型!A$15:G$77,7,0)</f>
        <v>0</v>
      </c>
      <c r="K472">
        <f>ROUND(VLOOKUP(C472,法师难度!A$1:C$135,3,0)/VLOOKUP(B472,怪物抗性与玩家穿透!A$2:Q$74,17,0)*F472,0)</f>
        <v>1679966</v>
      </c>
      <c r="L472">
        <f>IF(A472="卡雷",42,IF(A472="法力风暴",ROUND(K472*0.1,0),VLOOKUP(A472,怪物模型!$A$15:$I$70,9,0)*(1+(B472-30)/100)))</f>
        <v>1328</v>
      </c>
      <c r="M472">
        <f>ROUND(VLOOKUP(C472,法师难度!A$1:C$135,2,0)*0.91*E472,0)</f>
        <v>91786</v>
      </c>
      <c r="N472">
        <f t="shared" si="21"/>
        <v>110143</v>
      </c>
      <c r="O472">
        <f>VLOOKUP(B472,怪物抗性与玩家穿透!A$2:Q$74,4,0)</f>
        <v>31000</v>
      </c>
      <c r="P472">
        <f>VLOOKUP(B472,怪物抗性与玩家穿透!A$2:Q$74,5,0)</f>
        <v>10400</v>
      </c>
      <c r="Q472">
        <f t="shared" si="22"/>
        <v>10400</v>
      </c>
      <c r="R472">
        <f>ROUND(VLOOKUP(B472,[3]battleParameter.xml!$A$6:$E$107,5,0)*(I472/100)/(1-I472/100),0)</f>
        <v>0</v>
      </c>
      <c r="S472">
        <f>ROUND(VLOOKUP(B472,[3]battleParameter.xml!$A$6:$G$107,7,0)*(J472/100)/(1-J472/100),0)</f>
        <v>0</v>
      </c>
      <c r="T472">
        <f>ROUND(VLOOKUP(B472,[3]battleParameter.xml!$A$6:$Z$107,8,0)*(MIN(H472/100+0.2,0.99))/(1-MIN(H472/100+0.2,0.99)),0)</f>
        <v>3434</v>
      </c>
      <c r="U472">
        <v>0</v>
      </c>
      <c r="V472">
        <v>0</v>
      </c>
    </row>
    <row r="473" spans="1:22">
      <c r="A473" t="str">
        <f>[2]monster.xml!$D818</f>
        <v>血誓召唤者</v>
      </c>
      <c r="B473">
        <f>[2]monster.xml!$C818</f>
        <v>96</v>
      </c>
      <c r="C473">
        <f t="shared" si="23"/>
        <v>122</v>
      </c>
      <c r="D473">
        <f>VLOOKUP(A473,怪物模型!A$15:Z$70,8,0)</f>
        <v>26</v>
      </c>
      <c r="E473">
        <f>VLOOKUP(A473,怪物模型!A$15:G$70,3,0)</f>
        <v>0.36</v>
      </c>
      <c r="F473">
        <f>VLOOKUP(A473,怪物模型!A$15:G$77,4,0)</f>
        <v>0.44</v>
      </c>
      <c r="G473">
        <v>1</v>
      </c>
      <c r="H473">
        <f>VLOOKUP(A473,怪物模型!A$15:G$77,5,0)</f>
        <v>13</v>
      </c>
      <c r="I473">
        <f>VLOOKUP(A473,怪物模型!A$15:G$77,6,0)</f>
        <v>0</v>
      </c>
      <c r="J473">
        <f>VLOOKUP(A473,怪物模型!A$15:G$77,7,0)</f>
        <v>0</v>
      </c>
      <c r="K473">
        <f>ROUND(VLOOKUP(C473,法师难度!A$1:C$135,3,0)/VLOOKUP(B473,怪物抗性与玩家穿透!A$2:Q$74,17,0)*F473,0)</f>
        <v>1759964</v>
      </c>
      <c r="L473">
        <f>IF(A473="卡雷",42,IF(A473="法力风暴",ROUND(K473*0.1,0),VLOOKUP(A473,怪物模型!$A$15:$I$70,9,0)*(1+(B473-30)/100)))</f>
        <v>1660.0000000000002</v>
      </c>
      <c r="M473">
        <f>ROUND(VLOOKUP(C473,法师难度!A$1:C$135,2,0)*0.91*E473,0)</f>
        <v>110143</v>
      </c>
      <c r="N473">
        <f t="shared" si="21"/>
        <v>132172</v>
      </c>
      <c r="O473">
        <f>VLOOKUP(B473,怪物抗性与玩家穿透!A$2:Q$74,4,0)</f>
        <v>31000</v>
      </c>
      <c r="P473">
        <f>VLOOKUP(B473,怪物抗性与玩家穿透!A$2:Q$74,5,0)</f>
        <v>10400</v>
      </c>
      <c r="Q473">
        <f t="shared" si="22"/>
        <v>10400</v>
      </c>
      <c r="R473">
        <f>ROUND(VLOOKUP(B473,[3]battleParameter.xml!$A$6:$E$107,5,0)*(I473/100)/(1-I473/100),0)</f>
        <v>0</v>
      </c>
      <c r="S473">
        <f>ROUND(VLOOKUP(B473,[3]battleParameter.xml!$A$6:$G$107,7,0)*(J473/100)/(1-J473/100),0)</f>
        <v>0</v>
      </c>
      <c r="T473">
        <f>ROUND(VLOOKUP(B473,[3]battleParameter.xml!$A$6:$Z$107,8,0)*(MIN(H473/100+0.2,0.99))/(1-MIN(H473/100+0.2,0.99)),0)</f>
        <v>3434</v>
      </c>
      <c r="U473">
        <v>0</v>
      </c>
      <c r="V473">
        <v>0</v>
      </c>
    </row>
    <row r="474" spans="1:22">
      <c r="A474" t="str">
        <f>[2]monster.xml!$D819</f>
        <v>血誓领主</v>
      </c>
      <c r="B474">
        <f>[2]monster.xml!$C819</f>
        <v>96</v>
      </c>
      <c r="C474">
        <f t="shared" si="23"/>
        <v>122</v>
      </c>
      <c r="D474">
        <f>VLOOKUP(A474,怪物模型!A$15:Z$70,8,0)</f>
        <v>14</v>
      </c>
      <c r="E474">
        <f>VLOOKUP(A474,怪物模型!A$15:G$70,3,0)</f>
        <v>0.36</v>
      </c>
      <c r="F474">
        <f>VLOOKUP(A474,怪物模型!A$15:G$77,4,0)</f>
        <v>0.43</v>
      </c>
      <c r="G474">
        <v>1</v>
      </c>
      <c r="H474">
        <f>VLOOKUP(A474,怪物模型!A$15:G$77,5,0)</f>
        <v>13</v>
      </c>
      <c r="I474">
        <f>VLOOKUP(A474,怪物模型!A$15:G$77,6,0)</f>
        <v>0</v>
      </c>
      <c r="J474">
        <f>VLOOKUP(A474,怪物模型!A$15:G$77,7,0)</f>
        <v>0</v>
      </c>
      <c r="K474">
        <f>ROUND(VLOOKUP(C474,法师难度!A$1:C$135,3,0)/VLOOKUP(B474,怪物抗性与玩家穿透!A$2:Q$74,17,0)*F474,0)</f>
        <v>1719965</v>
      </c>
      <c r="L474">
        <f>IF(A474="卡雷",42,IF(A474="法力风暴",ROUND(K474*0.1,0),VLOOKUP(A474,怪物模型!$A$15:$I$70,9,0)*(1+(B474-30)/100)))</f>
        <v>1660.0000000000002</v>
      </c>
      <c r="M474">
        <f>ROUND(VLOOKUP(C474,法师难度!A$1:C$135,2,0)*0.91*E474,0)</f>
        <v>110143</v>
      </c>
      <c r="N474">
        <f t="shared" si="21"/>
        <v>132172</v>
      </c>
      <c r="O474">
        <f>VLOOKUP(B474,怪物抗性与玩家穿透!A$2:Q$74,4,0)</f>
        <v>31000</v>
      </c>
      <c r="P474">
        <f>VLOOKUP(B474,怪物抗性与玩家穿透!A$2:Q$74,5,0)</f>
        <v>10400</v>
      </c>
      <c r="Q474">
        <f t="shared" si="22"/>
        <v>10400</v>
      </c>
      <c r="R474">
        <f>ROUND(VLOOKUP(B474,[3]battleParameter.xml!$A$6:$E$107,5,0)*(I474/100)/(1-I474/100),0)</f>
        <v>0</v>
      </c>
      <c r="S474">
        <f>ROUND(VLOOKUP(B474,[3]battleParameter.xml!$A$6:$G$107,7,0)*(J474/100)/(1-J474/100),0)</f>
        <v>0</v>
      </c>
      <c r="T474">
        <f>ROUND(VLOOKUP(B474,[3]battleParameter.xml!$A$6:$Z$107,8,0)*(MIN(H474/100+0.2,0.99))/(1-MIN(H474/100+0.2,0.99)),0)</f>
        <v>3434</v>
      </c>
      <c r="U474">
        <v>0</v>
      </c>
      <c r="V474">
        <v>0</v>
      </c>
    </row>
    <row r="475" spans="1:22">
      <c r="A475" t="str">
        <f>[2]monster.xml!$D820</f>
        <v>舞钢者拜伦</v>
      </c>
      <c r="B475">
        <f>[2]monster.xml!$C820</f>
        <v>97</v>
      </c>
      <c r="C475">
        <f t="shared" si="23"/>
        <v>123</v>
      </c>
      <c r="D475">
        <f>VLOOKUP(A475,怪物模型!A$15:Z$70,8,0)</f>
        <v>8</v>
      </c>
      <c r="E475">
        <f>VLOOKUP(A475,怪物模型!A$15:G$70,3,0)</f>
        <v>0.8</v>
      </c>
      <c r="F475">
        <f>VLOOKUP(A475,怪物模型!A$15:G$77,4,0)</f>
        <v>1</v>
      </c>
      <c r="G475">
        <v>1</v>
      </c>
      <c r="H475">
        <f>VLOOKUP(A475,怪物模型!A$15:G$77,5,0)</f>
        <v>13</v>
      </c>
      <c r="I475">
        <f>VLOOKUP(A475,怪物模型!A$15:G$77,6,0)</f>
        <v>0</v>
      </c>
      <c r="J475">
        <f>VLOOKUP(A475,怪物模型!A$15:G$77,7,0)</f>
        <v>0</v>
      </c>
      <c r="K475">
        <f>ROUND(VLOOKUP(C475,法师难度!A$1:C$135,3,0)/VLOOKUP(B475,怪物抗性与玩家穿透!A$2:Q$74,17,0)*F475,0)</f>
        <v>4346138</v>
      </c>
      <c r="L475">
        <f>IF(A475="卡雷",42,IF(A475="法力风暴",ROUND(K475*0.1,0),VLOOKUP(A475,怪物模型!$A$15:$I$70,9,0)*(1+(B475-30)/100)))</f>
        <v>1670</v>
      </c>
      <c r="M475">
        <f>ROUND(VLOOKUP(C475,法师难度!A$1:C$135,2,0)*0.91*E475,0)</f>
        <v>275209</v>
      </c>
      <c r="N475">
        <f t="shared" si="21"/>
        <v>330251</v>
      </c>
      <c r="O475">
        <f>VLOOKUP(B475,怪物抗性与玩家穿透!A$2:Q$74,4,0)</f>
        <v>32000</v>
      </c>
      <c r="P475">
        <f>VLOOKUP(B475,怪物抗性与玩家穿透!A$2:Q$74,5,0)</f>
        <v>10800</v>
      </c>
      <c r="Q475">
        <f t="shared" si="22"/>
        <v>10800</v>
      </c>
      <c r="R475">
        <f>ROUND(VLOOKUP(B475,[3]battleParameter.xml!$A$6:$E$107,5,0)*(I475/100)/(1-I475/100),0)</f>
        <v>0</v>
      </c>
      <c r="S475">
        <f>ROUND(VLOOKUP(B475,[3]battleParameter.xml!$A$6:$G$107,7,0)*(J475/100)/(1-J475/100),0)</f>
        <v>0</v>
      </c>
      <c r="T475">
        <f>ROUND(VLOOKUP(B475,[3]battleParameter.xml!$A$6:$Z$107,8,0)*(MIN(H475/100+0.2,0.99))/(1-MIN(H475/100+0.2,0.99)),0)</f>
        <v>3506</v>
      </c>
      <c r="U475">
        <v>0</v>
      </c>
      <c r="V475">
        <v>0</v>
      </c>
    </row>
    <row r="476" spans="1:22">
      <c r="A476" t="str">
        <f>[2]monster.xml!$D821</f>
        <v>风暴之王</v>
      </c>
      <c r="B476">
        <f>[2]monster.xml!$C821</f>
        <v>97</v>
      </c>
      <c r="C476">
        <f t="shared" si="23"/>
        <v>124</v>
      </c>
      <c r="D476">
        <f>VLOOKUP(A476,怪物模型!A$15:Z$70,8,0)</f>
        <v>6</v>
      </c>
      <c r="E476">
        <f>VLOOKUP(A476,怪物模型!A$15:G$70,3,0)</f>
        <v>0.8</v>
      </c>
      <c r="F476">
        <f>VLOOKUP(A476,怪物模型!A$15:G$77,4,0)</f>
        <v>0.92</v>
      </c>
      <c r="G476">
        <v>1</v>
      </c>
      <c r="H476">
        <f>VLOOKUP(A476,怪物模型!A$15:G$77,5,0)</f>
        <v>13</v>
      </c>
      <c r="I476">
        <f>VLOOKUP(A476,怪物模型!A$15:G$77,6,0)</f>
        <v>0</v>
      </c>
      <c r="J476">
        <f>VLOOKUP(A476,怪物模型!A$15:G$77,7,0)</f>
        <v>0</v>
      </c>
      <c r="K476">
        <f>ROUND(VLOOKUP(C476,法师难度!A$1:C$135,3,0)/VLOOKUP(B476,怪物抗性与玩家穿透!A$2:Q$74,17,0)*F476,0)</f>
        <v>4271742</v>
      </c>
      <c r="L476">
        <f>IF(A476="卡雷",42,IF(A476="法力风暴",ROUND(K476*0.1,0),VLOOKUP(A476,怪物模型!$A$15:$I$70,9,0)*(1+(B476-30)/100)))</f>
        <v>1670</v>
      </c>
      <c r="M476">
        <f>ROUND(VLOOKUP(C476,法师难度!A$1:C$135,2,0)*0.91*E476,0)</f>
        <v>300381</v>
      </c>
      <c r="N476">
        <f t="shared" si="21"/>
        <v>360457</v>
      </c>
      <c r="O476">
        <f>VLOOKUP(B476,怪物抗性与玩家穿透!A$2:Q$74,4,0)</f>
        <v>32000</v>
      </c>
      <c r="P476">
        <f>VLOOKUP(B476,怪物抗性与玩家穿透!A$2:Q$74,5,0)</f>
        <v>10800</v>
      </c>
      <c r="Q476">
        <f t="shared" si="22"/>
        <v>10800</v>
      </c>
      <c r="R476">
        <f>ROUND(VLOOKUP(B476,[3]battleParameter.xml!$A$6:$E$107,5,0)*(I476/100)/(1-I476/100),0)</f>
        <v>0</v>
      </c>
      <c r="S476">
        <f>ROUND(VLOOKUP(B476,[3]battleParameter.xml!$A$6:$G$107,7,0)*(J476/100)/(1-J476/100),0)</f>
        <v>0</v>
      </c>
      <c r="T476">
        <f>ROUND(VLOOKUP(B476,[3]battleParameter.xml!$A$6:$Z$107,8,0)*(MIN(H476/100+0.2,0.99))/(1-MIN(H476/100+0.2,0.99)),0)</f>
        <v>3506</v>
      </c>
      <c r="U476">
        <v>0</v>
      </c>
      <c r="V476">
        <v>0</v>
      </c>
    </row>
    <row r="477" spans="1:22">
      <c r="A477" t="str">
        <f>[2]monster.xml!$D822</f>
        <v>雷伊战争使者</v>
      </c>
      <c r="B477">
        <f>[2]monster.xml!$C822</f>
        <v>98</v>
      </c>
      <c r="C477">
        <f t="shared" si="23"/>
        <v>125</v>
      </c>
      <c r="D477">
        <f>VLOOKUP(A477,怪物模型!A$15:Z$70,8,0)</f>
        <v>7</v>
      </c>
      <c r="E477">
        <f>VLOOKUP(A477,怪物模型!A$15:G$70,3,0)</f>
        <v>1</v>
      </c>
      <c r="F477">
        <f>VLOOKUP(A477,怪物模型!A$15:G$77,4,0)</f>
        <v>1</v>
      </c>
      <c r="G477">
        <v>1</v>
      </c>
      <c r="H477">
        <f>VLOOKUP(A477,怪物模型!A$15:G$77,5,0)</f>
        <v>13</v>
      </c>
      <c r="I477">
        <f>VLOOKUP(A477,怪物模型!A$15:G$77,6,0)</f>
        <v>0</v>
      </c>
      <c r="J477">
        <f>VLOOKUP(A477,怪物模型!A$15:G$77,7,0)</f>
        <v>0</v>
      </c>
      <c r="K477">
        <f>ROUND(VLOOKUP(C477,法师难度!A$1:C$135,3,0)/VLOOKUP(B477,怪物抗性与玩家穿透!A$2:Q$74,17,0)*F477,0)</f>
        <v>4969896</v>
      </c>
      <c r="L477">
        <f>IF(A477="卡雷",42,IF(A477="法力风暴",ROUND(K477*0.1,0),VLOOKUP(A477,怪物模型!$A$15:$I$70,9,0)*(1+(B477-30)/100)))</f>
        <v>1680.0000000000002</v>
      </c>
      <c r="M477">
        <f>ROUND(VLOOKUP(C477,法师难度!A$1:C$135,2,0)*0.91*E477,0)</f>
        <v>409819</v>
      </c>
      <c r="N477">
        <f t="shared" si="21"/>
        <v>491783</v>
      </c>
      <c r="O477">
        <f>VLOOKUP(B477,怪物抗性与玩家穿透!A$2:Q$74,4,0)</f>
        <v>33000</v>
      </c>
      <c r="P477">
        <f>VLOOKUP(B477,怪物抗性与玩家穿透!A$2:Q$74,5,0)</f>
        <v>11200</v>
      </c>
      <c r="Q477">
        <f t="shared" si="22"/>
        <v>11200</v>
      </c>
      <c r="R477">
        <f>ROUND(VLOOKUP(B477,[3]battleParameter.xml!$A$6:$E$107,5,0)*(I477/100)/(1-I477/100),0)</f>
        <v>0</v>
      </c>
      <c r="S477">
        <f>ROUND(VLOOKUP(B477,[3]battleParameter.xml!$A$6:$G$107,7,0)*(J477/100)/(1-J477/100),0)</f>
        <v>0</v>
      </c>
      <c r="T477">
        <f>ROUND(VLOOKUP(B477,[3]battleParameter.xml!$A$6:$Z$107,8,0)*(MIN(H477/100+0.2,0.99))/(1-MIN(H477/100+0.2,0.99)),0)</f>
        <v>3578</v>
      </c>
      <c r="U477">
        <v>0</v>
      </c>
      <c r="V477">
        <v>0</v>
      </c>
    </row>
    <row r="478" spans="1:22">
      <c r="A478" t="str">
        <f>[2]monster.xml!$D823</f>
        <v>暴君泰伦</v>
      </c>
      <c r="B478">
        <f>[2]monster.xml!$C823</f>
        <v>99</v>
      </c>
      <c r="C478">
        <f t="shared" si="23"/>
        <v>126</v>
      </c>
      <c r="D478" t="str">
        <f>VLOOKUP(A478,怪物模型!A$15:Z$70,8,0)</f>
        <v>10,9</v>
      </c>
      <c r="E478">
        <f>VLOOKUP(A478,怪物模型!A$15:G$70,3,0)</f>
        <v>1.2</v>
      </c>
      <c r="F478">
        <f>VLOOKUP(A478,怪物模型!A$15:G$77,4,0)</f>
        <v>1.1499999999999999</v>
      </c>
      <c r="G478">
        <v>1</v>
      </c>
      <c r="H478">
        <f>VLOOKUP(A478,怪物模型!A$15:G$77,5,0)</f>
        <v>15</v>
      </c>
      <c r="I478">
        <f>VLOOKUP(A478,怪物模型!A$15:G$77,6,0)</f>
        <v>0</v>
      </c>
      <c r="J478">
        <f>VLOOKUP(A478,怪物模型!A$15:G$77,7,0)</f>
        <v>15</v>
      </c>
      <c r="K478">
        <f>ROUND(VLOOKUP(C478,法师难度!A$1:C$135,3,0)/VLOOKUP(B478,怪物抗性与玩家穿透!A$2:Q$74,17,0)*F478,0)</f>
        <v>6257494</v>
      </c>
      <c r="L478">
        <f>IF(A478="卡雷",42,IF(A478="法力风暴",ROUND(K478*0.1,0),VLOOKUP(A478,怪物模型!$A$15:$I$70,9,0)*(1+(B478-30)/100)))</f>
        <v>5070</v>
      </c>
      <c r="M478">
        <f>ROUND(VLOOKUP(C478,法师难度!A$1:C$135,2,0)*0.91*E478,0)</f>
        <v>552655</v>
      </c>
      <c r="N478">
        <f t="shared" si="21"/>
        <v>663186</v>
      </c>
      <c r="O478">
        <f>VLOOKUP(B478,怪物抗性与玩家穿透!A$2:Q$74,4,0)</f>
        <v>34000</v>
      </c>
      <c r="P478">
        <f>VLOOKUP(B478,怪物抗性与玩家穿透!A$2:Q$74,5,0)</f>
        <v>11600</v>
      </c>
      <c r="Q478">
        <f t="shared" si="22"/>
        <v>11600</v>
      </c>
      <c r="R478">
        <f>ROUND(VLOOKUP(B478,[3]battleParameter.xml!$A$6:$E$107,5,0)*(I478/100)/(1-I478/100),0)</f>
        <v>0</v>
      </c>
      <c r="S478">
        <f>ROUND(VLOOKUP(B478,[3]battleParameter.xml!$A$6:$G$107,7,0)*(J478/100)/(1-J478/100),0)</f>
        <v>5233</v>
      </c>
      <c r="T478">
        <f>ROUND(VLOOKUP(B478,[3]battleParameter.xml!$A$6:$Z$107,8,0)*(MIN(H478/100+0.2,0.99))/(1-MIN(H478/100+0.2,0.99)),0)</f>
        <v>3992</v>
      </c>
      <c r="U478">
        <v>0</v>
      </c>
      <c r="V478">
        <v>0</v>
      </c>
    </row>
    <row r="479" spans="1:22">
      <c r="A479" t="str">
        <f>[2]monster.xml!$D824</f>
        <v>影子武士</v>
      </c>
      <c r="B479">
        <f>[2]monster.xml!$C824</f>
        <v>100</v>
      </c>
      <c r="C479">
        <f t="shared" si="23"/>
        <v>127</v>
      </c>
      <c r="D479">
        <f>VLOOKUP(A479,怪物模型!A$15:Z$70,8,0)</f>
        <v>0</v>
      </c>
      <c r="E479">
        <f>VLOOKUP(A479,怪物模型!A$15:G$70,3,0)</f>
        <v>1</v>
      </c>
      <c r="F479">
        <f>VLOOKUP(A479,怪物模型!A$15:G$77,4,0)</f>
        <v>1</v>
      </c>
      <c r="G479">
        <v>1</v>
      </c>
      <c r="H479">
        <f>VLOOKUP(A479,怪物模型!A$15:G$77,5,0)</f>
        <v>30</v>
      </c>
      <c r="I479">
        <f>VLOOKUP(A479,怪物模型!A$15:G$77,6,0)</f>
        <v>0</v>
      </c>
      <c r="J479">
        <f>VLOOKUP(A479,怪物模型!A$15:G$77,7,0)</f>
        <v>0</v>
      </c>
      <c r="K479">
        <f>ROUND(VLOOKUP(C479,法师难度!A$1:C$135,3,0)/VLOOKUP(B479,怪物抗性与玩家穿透!A$2:Q$74,17,0)*F479,0)</f>
        <v>3702929</v>
      </c>
      <c r="L479">
        <f>IF(A479="卡雷",42,IF(A479="法力风暴",ROUND(K479*0.1,0),VLOOKUP(A479,怪物模型!$A$15:$I$70,9,0)*(1+(B479-30)/100)))</f>
        <v>1700</v>
      </c>
      <c r="M479">
        <f>ROUND(VLOOKUP(C479,法师难度!A$1:C$135,2,0)*0.91*E479,0)</f>
        <v>262240</v>
      </c>
      <c r="N479">
        <f t="shared" si="21"/>
        <v>314688</v>
      </c>
      <c r="O479">
        <f>VLOOKUP(B479,怪物抗性与玩家穿透!A$2:Q$74,4,0)</f>
        <v>35000</v>
      </c>
      <c r="P479">
        <f>VLOOKUP(B479,怪物抗性与玩家穿透!A$2:Q$74,5,0)</f>
        <v>12000</v>
      </c>
      <c r="Q479">
        <f t="shared" si="22"/>
        <v>12000</v>
      </c>
      <c r="R479">
        <f>ROUND(VLOOKUP(B479,[3]battleParameter.xml!$A$6:$E$107,5,0)*(I479/100)/(1-I479/100),0)</f>
        <v>0</v>
      </c>
      <c r="S479">
        <f>ROUND(VLOOKUP(B479,[3]battleParameter.xml!$A$6:$G$107,7,0)*(J479/100)/(1-J479/100),0)</f>
        <v>0</v>
      </c>
      <c r="T479">
        <f>ROUND(VLOOKUP(B479,[3]battleParameter.xml!$A$6:$Z$107,8,0)*(MIN(H479/100+0.2,0.99))/(1-MIN(H479/100+0.2,0.99)),0)</f>
        <v>7563</v>
      </c>
      <c r="U479">
        <v>0</v>
      </c>
      <c r="V479">
        <v>0</v>
      </c>
    </row>
    <row r="480" spans="1:22">
      <c r="A480" t="str">
        <f>[2]monster.xml!$D825</f>
        <v>拨弄的赛亚</v>
      </c>
      <c r="B480">
        <f>[2]monster.xml!$C825</f>
        <v>100</v>
      </c>
      <c r="C480">
        <f t="shared" si="23"/>
        <v>128</v>
      </c>
      <c r="D480" t="str">
        <f>VLOOKUP(A480,怪物模型!A$15:Z$70,8,0)</f>
        <v>17,18,8</v>
      </c>
      <c r="E480">
        <f>VLOOKUP(A480,怪物模型!A$15:G$70,3,0)</f>
        <v>1.2</v>
      </c>
      <c r="F480">
        <f>VLOOKUP(A480,怪物模型!A$15:G$77,4,0)</f>
        <v>1</v>
      </c>
      <c r="G480">
        <v>1</v>
      </c>
      <c r="H480">
        <f>VLOOKUP(A480,怪物模型!A$15:G$77,5,0)</f>
        <v>13</v>
      </c>
      <c r="I480">
        <f>VLOOKUP(A480,怪物模型!A$15:G$77,6,0)</f>
        <v>0</v>
      </c>
      <c r="J480">
        <f>VLOOKUP(A480,怪物模型!A$15:G$77,7,0)</f>
        <v>0</v>
      </c>
      <c r="K480">
        <f>ROUND(VLOOKUP(C480,法师难度!A$1:C$135,3,0)/VLOOKUP(B480,怪物抗性与玩家穿透!A$2:Q$74,17,0)*F480,0)</f>
        <v>3999909</v>
      </c>
      <c r="L480">
        <f>IF(A480="卡雷",42,IF(A480="法力风暴",ROUND(K480*0.1,0),VLOOKUP(A480,怪物模型!$A$15:$I$70,9,0)*(1+(B480-30)/100)))</f>
        <v>5100</v>
      </c>
      <c r="M480">
        <f>ROUND(VLOOKUP(C480,法师难度!A$1:C$135,2,0)*0.91*E480,0)</f>
        <v>358696</v>
      </c>
      <c r="N480">
        <f t="shared" si="21"/>
        <v>430435</v>
      </c>
      <c r="O480">
        <f>VLOOKUP(B480,怪物抗性与玩家穿透!A$2:Q$74,4,0)</f>
        <v>35000</v>
      </c>
      <c r="P480">
        <f>VLOOKUP(B480,怪物抗性与玩家穿透!A$2:Q$74,5,0)</f>
        <v>12000</v>
      </c>
      <c r="Q480">
        <f t="shared" si="22"/>
        <v>12000</v>
      </c>
      <c r="R480">
        <f>ROUND(VLOOKUP(B480,[3]battleParameter.xml!$A$6:$E$107,5,0)*(I480/100)/(1-I480/100),0)</f>
        <v>0</v>
      </c>
      <c r="S480">
        <f>ROUND(VLOOKUP(B480,[3]battleParameter.xml!$A$6:$G$107,7,0)*(J480/100)/(1-J480/100),0)</f>
        <v>0</v>
      </c>
      <c r="T480">
        <f>ROUND(VLOOKUP(B480,[3]battleParameter.xml!$A$6:$Z$107,8,0)*(MIN(H480/100+0.2,0.99))/(1-MIN(H480/100+0.2,0.99)),0)</f>
        <v>3725</v>
      </c>
      <c r="U480">
        <v>0</v>
      </c>
      <c r="V480">
        <v>0</v>
      </c>
    </row>
    <row r="481" spans="1:22">
      <c r="A481" t="str">
        <f>[2]monster.xml!$D826</f>
        <v>法力风暴</v>
      </c>
      <c r="B481">
        <f>[2]monster.xml!$C826</f>
        <v>101</v>
      </c>
      <c r="C481">
        <f t="shared" si="23"/>
        <v>129</v>
      </c>
      <c r="D481" t="str">
        <f>VLOOKUP(A481,怪物模型!A$15:Z$70,8,0)</f>
        <v>25,30</v>
      </c>
      <c r="E481">
        <f>VLOOKUP(A481,怪物模型!A$15:G$70,3,0)</f>
        <v>1.5</v>
      </c>
      <c r="F481">
        <f>VLOOKUP(A481,怪物模型!A$15:G$77,4,0)</f>
        <v>0.68</v>
      </c>
      <c r="G481">
        <v>1</v>
      </c>
      <c r="H481">
        <f>VLOOKUP(A481,怪物模型!A$15:G$77,5,0)</f>
        <v>13</v>
      </c>
      <c r="I481">
        <f>VLOOKUP(A481,怪物模型!A$15:G$77,6,0)</f>
        <v>0</v>
      </c>
      <c r="J481">
        <f>VLOOKUP(A481,怪物模型!A$15:G$77,7,0)</f>
        <v>0</v>
      </c>
      <c r="K481">
        <f>ROUND(VLOOKUP(C481,法师难度!A$1:C$135,3,0)/VLOOKUP(B481,怪物抗性与玩家穿透!A$2:Q$74,17,0)*F481,0)</f>
        <v>3005623</v>
      </c>
      <c r="L481">
        <f>IF(A481="卡雷",42,IF(A481="法力风暴",ROUND(K481*0.1,0),VLOOKUP(A481,怪物模型!$A$15:$I$70,9,0)*(1+(B481-30)/100)))</f>
        <v>300562</v>
      </c>
      <c r="M481">
        <f>ROUND(VLOOKUP(C481,法师难度!A$1:C$135,2,0)*0.91*E481,0)</f>
        <v>533864</v>
      </c>
      <c r="N481">
        <f t="shared" si="21"/>
        <v>640637</v>
      </c>
      <c r="O481">
        <f>VLOOKUP(B481,怪物抗性与玩家穿透!A$2:Q$74,4,0)</f>
        <v>36000</v>
      </c>
      <c r="P481">
        <f>VLOOKUP(B481,怪物抗性与玩家穿透!A$2:Q$74,5,0)</f>
        <v>12400</v>
      </c>
      <c r="Q481">
        <f t="shared" si="22"/>
        <v>12400</v>
      </c>
      <c r="R481">
        <f>ROUND(VLOOKUP(B481,[3]battleParameter.xml!$A$6:$E$107,5,0)*(I481/100)/(1-I481/100),0)</f>
        <v>0</v>
      </c>
      <c r="S481">
        <f>ROUND(VLOOKUP(B481,[3]battleParameter.xml!$A$6:$G$107,7,0)*(J481/100)/(1-J481/100),0)</f>
        <v>0</v>
      </c>
      <c r="T481">
        <f>ROUND(VLOOKUP(B481,[3]battleParameter.xml!$A$6:$Z$107,8,0)*(MIN(H481/100+0.2,0.99))/(1-MIN(H481/100+0.2,0.99)),0)</f>
        <v>3800</v>
      </c>
      <c r="U481">
        <v>0</v>
      </c>
      <c r="V481">
        <v>0</v>
      </c>
    </row>
    <row r="482" spans="1:22">
      <c r="A482" t="str">
        <f>[2]monster.xml!$D827</f>
        <v>火舞者</v>
      </c>
      <c r="B482">
        <f>[2]monster.xml!$C827</f>
        <v>101</v>
      </c>
      <c r="C482">
        <f t="shared" si="23"/>
        <v>130</v>
      </c>
      <c r="D482">
        <f>VLOOKUP(A482,怪物模型!A$15:Z$70,8,0)</f>
        <v>29</v>
      </c>
      <c r="E482">
        <f>VLOOKUP(A482,怪物模型!A$15:G$70,3,0)</f>
        <v>1</v>
      </c>
      <c r="F482">
        <f>VLOOKUP(A482,怪物模型!A$15:G$77,4,0)</f>
        <v>0.95</v>
      </c>
      <c r="G482">
        <v>1</v>
      </c>
      <c r="H482">
        <f>VLOOKUP(A482,怪物模型!A$15:G$77,5,0)</f>
        <v>13</v>
      </c>
      <c r="I482">
        <f>VLOOKUP(A482,怪物模型!A$15:G$77,6,0)</f>
        <v>0</v>
      </c>
      <c r="J482">
        <f>VLOOKUP(A482,怪物模型!A$15:G$77,7,0)</f>
        <v>0</v>
      </c>
      <c r="K482">
        <f>ROUND(VLOOKUP(C482,法师难度!A$1:C$135,3,0)/VLOOKUP(B482,怪物抗性与玩家穿透!A$2:Q$74,17,0)*F482,0)</f>
        <v>4464537</v>
      </c>
      <c r="L482">
        <f>IF(A482="卡雷",42,IF(A482="法力风暴",ROUND(K482*0.1,0),VLOOKUP(A482,怪物模型!$A$15:$I$70,9,0)*(1+(B482-30)/100)))</f>
        <v>1710</v>
      </c>
      <c r="M482">
        <f>ROUND(VLOOKUP(C482,法师难度!A$1:C$135,2,0)*0.91*E482,0)</f>
        <v>389748</v>
      </c>
      <c r="N482">
        <f t="shared" si="21"/>
        <v>467698</v>
      </c>
      <c r="O482">
        <f>VLOOKUP(B482,怪物抗性与玩家穿透!A$2:Q$74,4,0)</f>
        <v>36000</v>
      </c>
      <c r="P482">
        <f>VLOOKUP(B482,怪物抗性与玩家穿透!A$2:Q$74,5,0)</f>
        <v>12400</v>
      </c>
      <c r="Q482">
        <f t="shared" si="22"/>
        <v>12400</v>
      </c>
      <c r="R482">
        <f>ROUND(VLOOKUP(B482,[3]battleParameter.xml!$A$6:$E$107,5,0)*(I482/100)/(1-I482/100),0)</f>
        <v>0</v>
      </c>
      <c r="S482">
        <f>ROUND(VLOOKUP(B482,[3]battleParameter.xml!$A$6:$G$107,7,0)*(J482/100)/(1-J482/100),0)</f>
        <v>0</v>
      </c>
      <c r="T482">
        <f>ROUND(VLOOKUP(B482,[3]battleParameter.xml!$A$6:$Z$107,8,0)*(MIN(H482/100+0.2,0.99))/(1-MIN(H482/100+0.2,0.99)),0)</f>
        <v>3800</v>
      </c>
      <c r="U482">
        <v>0</v>
      </c>
      <c r="V482">
        <v>0</v>
      </c>
    </row>
    <row r="483" spans="1:22">
      <c r="A483" t="str">
        <f>[2]monster.xml!$D828</f>
        <v>血誓审判者</v>
      </c>
      <c r="B483">
        <f>[2]monster.xml!$C828</f>
        <v>101</v>
      </c>
      <c r="C483">
        <f t="shared" si="23"/>
        <v>131</v>
      </c>
      <c r="D483">
        <f>VLOOKUP(A483,怪物模型!A$15:Z$70,8,0)</f>
        <v>5</v>
      </c>
      <c r="E483">
        <f>VLOOKUP(A483,怪物模型!A$15:G$70,3,0)</f>
        <v>0.28000000000000003</v>
      </c>
      <c r="F483">
        <f>VLOOKUP(A483,怪物模型!A$15:G$77,4,0)</f>
        <v>0.45</v>
      </c>
      <c r="G483">
        <v>1</v>
      </c>
      <c r="H483">
        <f>VLOOKUP(A483,怪物模型!A$15:G$77,5,0)</f>
        <v>13</v>
      </c>
      <c r="I483">
        <f>VLOOKUP(A483,怪物模型!A$15:G$77,6,0)</f>
        <v>0</v>
      </c>
      <c r="J483">
        <f>VLOOKUP(A483,怪物模型!A$15:G$77,7,0)</f>
        <v>0</v>
      </c>
      <c r="K483">
        <f>ROUND(VLOOKUP(C483,法师难度!A$1:C$135,3,0)/VLOOKUP(B483,怪物抗性与玩家穿透!A$2:Q$74,17,0)*F483,0)</f>
        <v>2248498</v>
      </c>
      <c r="L483">
        <f>IF(A483="卡雷",42,IF(A483="法力风暴",ROUND(K483*0.1,0),VLOOKUP(A483,怪物模型!$A$15:$I$70,9,0)*(1+(B483-30)/100)))</f>
        <v>1710</v>
      </c>
      <c r="M483">
        <f>ROUND(VLOOKUP(C483,法师难度!A$1:C$135,2,0)*0.91*E483,0)</f>
        <v>119505</v>
      </c>
      <c r="N483">
        <f t="shared" si="21"/>
        <v>143406</v>
      </c>
      <c r="O483">
        <f>VLOOKUP(B483,怪物抗性与玩家穿透!A$2:Q$74,4,0)</f>
        <v>36000</v>
      </c>
      <c r="P483">
        <f>VLOOKUP(B483,怪物抗性与玩家穿透!A$2:Q$74,5,0)</f>
        <v>12400</v>
      </c>
      <c r="Q483">
        <f t="shared" si="22"/>
        <v>12400</v>
      </c>
      <c r="R483">
        <f>ROUND(VLOOKUP(B483,[3]battleParameter.xml!$A$6:$E$107,5,0)*(I483/100)/(1-I483/100),0)</f>
        <v>0</v>
      </c>
      <c r="S483">
        <f>ROUND(VLOOKUP(B483,[3]battleParameter.xml!$A$6:$G$107,7,0)*(J483/100)/(1-J483/100),0)</f>
        <v>0</v>
      </c>
      <c r="T483">
        <f>ROUND(VLOOKUP(B483,[3]battleParameter.xml!$A$6:$Z$107,8,0)*(MIN(H483/100+0.2,0.99))/(1-MIN(H483/100+0.2,0.99)),0)</f>
        <v>3800</v>
      </c>
      <c r="U483">
        <v>0</v>
      </c>
      <c r="V483">
        <v>0</v>
      </c>
    </row>
    <row r="484" spans="1:22">
      <c r="A484" t="str">
        <f>[2]monster.xml!$D829</f>
        <v>血誓预言者</v>
      </c>
      <c r="B484">
        <f>[2]monster.xml!$C829</f>
        <v>101</v>
      </c>
      <c r="C484">
        <f t="shared" si="23"/>
        <v>131</v>
      </c>
      <c r="D484">
        <f>VLOOKUP(A484,怪物模型!A$15:Z$70,8,0)</f>
        <v>2</v>
      </c>
      <c r="E484">
        <f>VLOOKUP(A484,怪物模型!A$15:G$70,3,0)</f>
        <v>0.3</v>
      </c>
      <c r="F484">
        <f>VLOOKUP(A484,怪物模型!A$15:G$77,4,0)</f>
        <v>0.42</v>
      </c>
      <c r="G484">
        <v>1</v>
      </c>
      <c r="H484">
        <f>VLOOKUP(A484,怪物模型!A$15:G$77,5,0)</f>
        <v>13</v>
      </c>
      <c r="I484">
        <f>VLOOKUP(A484,怪物模型!A$15:G$77,6,0)</f>
        <v>0</v>
      </c>
      <c r="J484">
        <f>VLOOKUP(A484,怪物模型!A$15:G$77,7,0)</f>
        <v>0</v>
      </c>
      <c r="K484">
        <f>ROUND(VLOOKUP(C484,法师难度!A$1:C$135,3,0)/VLOOKUP(B484,怪物抗性与玩家穿透!A$2:Q$74,17,0)*F484,0)</f>
        <v>2098598</v>
      </c>
      <c r="L484">
        <f>IF(A484="卡雷",42,IF(A484="法力风暴",ROUND(K484*0.1,0),VLOOKUP(A484,怪物模型!$A$15:$I$70,9,0)*(1+(B484-30)/100)))</f>
        <v>1368</v>
      </c>
      <c r="M484">
        <f>ROUND(VLOOKUP(C484,法师难度!A$1:C$135,2,0)*0.91*E484,0)</f>
        <v>128041</v>
      </c>
      <c r="N484">
        <f t="shared" si="21"/>
        <v>153649</v>
      </c>
      <c r="O484">
        <f>VLOOKUP(B484,怪物抗性与玩家穿透!A$2:Q$74,4,0)</f>
        <v>36000</v>
      </c>
      <c r="P484">
        <f>VLOOKUP(B484,怪物抗性与玩家穿透!A$2:Q$74,5,0)</f>
        <v>12400</v>
      </c>
      <c r="Q484">
        <f t="shared" si="22"/>
        <v>12400</v>
      </c>
      <c r="R484">
        <f>ROUND(VLOOKUP(B484,[3]battleParameter.xml!$A$6:$E$107,5,0)*(I484/100)/(1-I484/100),0)</f>
        <v>0</v>
      </c>
      <c r="S484">
        <f>ROUND(VLOOKUP(B484,[3]battleParameter.xml!$A$6:$G$107,7,0)*(J484/100)/(1-J484/100),0)</f>
        <v>0</v>
      </c>
      <c r="T484">
        <f>ROUND(VLOOKUP(B484,[3]battleParameter.xml!$A$6:$Z$107,8,0)*(MIN(H484/100+0.2,0.99))/(1-MIN(H484/100+0.2,0.99)),0)</f>
        <v>3800</v>
      </c>
      <c r="U484">
        <v>0</v>
      </c>
      <c r="V484">
        <v>0</v>
      </c>
    </row>
    <row r="485" spans="1:22">
      <c r="A485" t="str">
        <f>[2]monster.xml!$D830</f>
        <v>血誓召唤者</v>
      </c>
      <c r="B485">
        <f>[2]monster.xml!$C830</f>
        <v>101</v>
      </c>
      <c r="C485">
        <f t="shared" si="23"/>
        <v>131</v>
      </c>
      <c r="D485">
        <f>VLOOKUP(A485,怪物模型!A$15:Z$70,8,0)</f>
        <v>26</v>
      </c>
      <c r="E485">
        <f>VLOOKUP(A485,怪物模型!A$15:G$70,3,0)</f>
        <v>0.36</v>
      </c>
      <c r="F485">
        <f>VLOOKUP(A485,怪物模型!A$15:G$77,4,0)</f>
        <v>0.44</v>
      </c>
      <c r="G485">
        <v>1</v>
      </c>
      <c r="H485">
        <f>VLOOKUP(A485,怪物模型!A$15:G$77,5,0)</f>
        <v>13</v>
      </c>
      <c r="I485">
        <f>VLOOKUP(A485,怪物模型!A$15:G$77,6,0)</f>
        <v>0</v>
      </c>
      <c r="J485">
        <f>VLOOKUP(A485,怪物模型!A$15:G$77,7,0)</f>
        <v>0</v>
      </c>
      <c r="K485">
        <f>ROUND(VLOOKUP(C485,法师难度!A$1:C$135,3,0)/VLOOKUP(B485,怪物抗性与玩家穿透!A$2:Q$74,17,0)*F485,0)</f>
        <v>2198531</v>
      </c>
      <c r="L485">
        <f>IF(A485="卡雷",42,IF(A485="法力风暴",ROUND(K485*0.1,0),VLOOKUP(A485,怪物模型!$A$15:$I$70,9,0)*(1+(B485-30)/100)))</f>
        <v>1710</v>
      </c>
      <c r="M485">
        <f>ROUND(VLOOKUP(C485,法师难度!A$1:C$135,2,0)*0.91*E485,0)</f>
        <v>153650</v>
      </c>
      <c r="N485">
        <f t="shared" si="21"/>
        <v>184380</v>
      </c>
      <c r="O485">
        <f>VLOOKUP(B485,怪物抗性与玩家穿透!A$2:Q$74,4,0)</f>
        <v>36000</v>
      </c>
      <c r="P485">
        <f>VLOOKUP(B485,怪物抗性与玩家穿透!A$2:Q$74,5,0)</f>
        <v>12400</v>
      </c>
      <c r="Q485">
        <f t="shared" si="22"/>
        <v>12400</v>
      </c>
      <c r="R485">
        <f>ROUND(VLOOKUP(B485,[3]battleParameter.xml!$A$6:$E$107,5,0)*(I485/100)/(1-I485/100),0)</f>
        <v>0</v>
      </c>
      <c r="S485">
        <f>ROUND(VLOOKUP(B485,[3]battleParameter.xml!$A$6:$G$107,7,0)*(J485/100)/(1-J485/100),0)</f>
        <v>0</v>
      </c>
      <c r="T485">
        <f>ROUND(VLOOKUP(B485,[3]battleParameter.xml!$A$6:$Z$107,8,0)*(MIN(H485/100+0.2,0.99))/(1-MIN(H485/100+0.2,0.99)),0)</f>
        <v>3800</v>
      </c>
      <c r="U485">
        <v>0</v>
      </c>
      <c r="V485">
        <v>0</v>
      </c>
    </row>
    <row r="486" spans="1:22">
      <c r="A486" t="str">
        <f>[2]monster.xml!$D831</f>
        <v>血誓领主</v>
      </c>
      <c r="B486">
        <f>[2]monster.xml!$C831</f>
        <v>101</v>
      </c>
      <c r="C486">
        <f t="shared" si="23"/>
        <v>131</v>
      </c>
      <c r="D486">
        <f>VLOOKUP(A486,怪物模型!A$15:Z$70,8,0)</f>
        <v>14</v>
      </c>
      <c r="E486">
        <f>VLOOKUP(A486,怪物模型!A$15:G$70,3,0)</f>
        <v>0.36</v>
      </c>
      <c r="F486">
        <f>VLOOKUP(A486,怪物模型!A$15:G$77,4,0)</f>
        <v>0.43</v>
      </c>
      <c r="G486">
        <v>1</v>
      </c>
      <c r="H486">
        <f>VLOOKUP(A486,怪物模型!A$15:G$77,5,0)</f>
        <v>13</v>
      </c>
      <c r="I486">
        <f>VLOOKUP(A486,怪物模型!A$15:G$77,6,0)</f>
        <v>0</v>
      </c>
      <c r="J486">
        <f>VLOOKUP(A486,怪物模型!A$15:G$77,7,0)</f>
        <v>0</v>
      </c>
      <c r="K486">
        <f>ROUND(VLOOKUP(C486,法师难度!A$1:C$135,3,0)/VLOOKUP(B486,怪物抗性与玩家穿透!A$2:Q$74,17,0)*F486,0)</f>
        <v>2148565</v>
      </c>
      <c r="L486">
        <f>IF(A486="卡雷",42,IF(A486="法力风暴",ROUND(K486*0.1,0),VLOOKUP(A486,怪物模型!$A$15:$I$70,9,0)*(1+(B486-30)/100)))</f>
        <v>1710</v>
      </c>
      <c r="M486">
        <f>ROUND(VLOOKUP(C486,法师难度!A$1:C$135,2,0)*0.91*E486,0)</f>
        <v>153650</v>
      </c>
      <c r="N486">
        <f t="shared" si="21"/>
        <v>184380</v>
      </c>
      <c r="O486">
        <f>VLOOKUP(B486,怪物抗性与玩家穿透!A$2:Q$74,4,0)</f>
        <v>36000</v>
      </c>
      <c r="P486">
        <f>VLOOKUP(B486,怪物抗性与玩家穿透!A$2:Q$74,5,0)</f>
        <v>12400</v>
      </c>
      <c r="Q486">
        <f t="shared" si="22"/>
        <v>12400</v>
      </c>
      <c r="R486">
        <f>ROUND(VLOOKUP(B486,[3]battleParameter.xml!$A$6:$E$107,5,0)*(I486/100)/(1-I486/100),0)</f>
        <v>0</v>
      </c>
      <c r="S486">
        <f>ROUND(VLOOKUP(B486,[3]battleParameter.xml!$A$6:$G$107,7,0)*(J486/100)/(1-J486/100),0)</f>
        <v>0</v>
      </c>
      <c r="T486">
        <f>ROUND(VLOOKUP(B486,[3]battleParameter.xml!$A$6:$Z$107,8,0)*(MIN(H486/100+0.2,0.99))/(1-MIN(H486/100+0.2,0.99)),0)</f>
        <v>3800</v>
      </c>
      <c r="U486">
        <v>0</v>
      </c>
      <c r="V486">
        <v>0</v>
      </c>
    </row>
    <row r="487" spans="1:22">
      <c r="A487" t="str">
        <f>[2]monster.xml!$D832</f>
        <v>舞钢者拜伦</v>
      </c>
      <c r="B487">
        <f>[2]monster.xml!$C832</f>
        <v>102</v>
      </c>
      <c r="C487">
        <f t="shared" si="23"/>
        <v>132</v>
      </c>
      <c r="D487">
        <f>VLOOKUP(A487,怪物模型!A$15:Z$70,8,0)</f>
        <v>8</v>
      </c>
      <c r="E487">
        <f>VLOOKUP(A487,怪物模型!A$15:G$70,3,0)</f>
        <v>0.8</v>
      </c>
      <c r="F487">
        <f>VLOOKUP(A487,怪物模型!A$15:G$77,4,0)</f>
        <v>1</v>
      </c>
      <c r="G487">
        <v>1</v>
      </c>
      <c r="H487">
        <f>VLOOKUP(A487,怪物模型!A$15:G$77,5,0)</f>
        <v>13</v>
      </c>
      <c r="I487">
        <f>VLOOKUP(A487,怪物模型!A$15:G$77,6,0)</f>
        <v>0</v>
      </c>
      <c r="J487">
        <f>VLOOKUP(A487,怪物模型!A$15:G$77,7,0)</f>
        <v>0</v>
      </c>
      <c r="K487">
        <f>ROUND(VLOOKUP(C487,法师难度!A$1:C$135,3,0)/VLOOKUP(B487,怪物抗性与玩家穿透!A$2:Q$74,17,0)*F487,0)</f>
        <v>5438515</v>
      </c>
      <c r="L487">
        <f>IF(A487="卡雷",42,IF(A487="法力风暴",ROUND(K487*0.1,0),VLOOKUP(A487,怪物模型!$A$15:$I$70,9,0)*(1+(B487-30)/100)))</f>
        <v>1720</v>
      </c>
      <c r="M487">
        <f>ROUND(VLOOKUP(C487,法师难度!A$1:C$135,2,0)*0.91*E487,0)</f>
        <v>385400</v>
      </c>
      <c r="N487">
        <f t="shared" si="21"/>
        <v>462480</v>
      </c>
      <c r="O487">
        <f>VLOOKUP(B487,怪物抗性与玩家穿透!A$2:Q$74,4,0)</f>
        <v>37000</v>
      </c>
      <c r="P487">
        <f>VLOOKUP(B487,怪物抗性与玩家穿透!A$2:Q$74,5,0)</f>
        <v>12800</v>
      </c>
      <c r="Q487">
        <f t="shared" si="22"/>
        <v>12800</v>
      </c>
      <c r="R487">
        <f>ROUND(VLOOKUP(B487,[3]battleParameter.xml!$A$6:$E$107,5,0)*(I487/100)/(1-I487/100),0)</f>
        <v>0</v>
      </c>
      <c r="S487">
        <f>ROUND(VLOOKUP(B487,[3]battleParameter.xml!$A$6:$G$107,7,0)*(J487/100)/(1-J487/100),0)</f>
        <v>0</v>
      </c>
      <c r="T487">
        <f>ROUND(VLOOKUP(B487,[3]battleParameter.xml!$A$6:$Z$107,8,0)*(MIN(H487/100+0.2,0.99))/(1-MIN(H487/100+0.2,0.99)),0)</f>
        <v>3875</v>
      </c>
      <c r="U487">
        <v>0</v>
      </c>
      <c r="V487">
        <v>0</v>
      </c>
    </row>
    <row r="488" spans="1:22">
      <c r="A488" t="str">
        <f>[2]monster.xml!$D833</f>
        <v>风暴之王</v>
      </c>
      <c r="B488">
        <f>[2]monster.xml!$C833</f>
        <v>102</v>
      </c>
      <c r="C488">
        <f t="shared" si="23"/>
        <v>133</v>
      </c>
      <c r="D488">
        <f>VLOOKUP(A488,怪物模型!A$15:Z$70,8,0)</f>
        <v>6</v>
      </c>
      <c r="E488">
        <f>VLOOKUP(A488,怪物模型!A$15:G$70,3,0)</f>
        <v>0.8</v>
      </c>
      <c r="F488">
        <f>VLOOKUP(A488,怪物模型!A$15:G$77,4,0)</f>
        <v>0.92</v>
      </c>
      <c r="G488">
        <v>1</v>
      </c>
      <c r="H488">
        <f>VLOOKUP(A488,怪物模型!A$15:G$77,5,0)</f>
        <v>13</v>
      </c>
      <c r="I488">
        <f>VLOOKUP(A488,怪物模型!A$15:G$77,6,0)</f>
        <v>0</v>
      </c>
      <c r="J488">
        <f>VLOOKUP(A488,怪物模型!A$15:G$77,7,0)</f>
        <v>0</v>
      </c>
      <c r="K488">
        <f>ROUND(VLOOKUP(C488,法师难度!A$1:C$135,3,0)/VLOOKUP(B488,怪物抗性与玩家穿透!A$2:Q$74,17,0)*F488,0)</f>
        <v>5345287</v>
      </c>
      <c r="L488">
        <f>IF(A488="卡雷",42,IF(A488="法力风暴",ROUND(K488*0.1,0),VLOOKUP(A488,怪物模型!$A$15:$I$70,9,0)*(1+(B488-30)/100)))</f>
        <v>1720</v>
      </c>
      <c r="M488">
        <f>ROUND(VLOOKUP(C488,法师难度!A$1:C$135,2,0)*0.91*E488,0)</f>
        <v>421548</v>
      </c>
      <c r="N488">
        <f t="shared" si="21"/>
        <v>505858</v>
      </c>
      <c r="O488">
        <f>VLOOKUP(B488,怪物抗性与玩家穿透!A$2:Q$74,4,0)</f>
        <v>37000</v>
      </c>
      <c r="P488">
        <f>VLOOKUP(B488,怪物抗性与玩家穿透!A$2:Q$74,5,0)</f>
        <v>12800</v>
      </c>
      <c r="Q488">
        <f t="shared" si="22"/>
        <v>12800</v>
      </c>
      <c r="R488">
        <f>ROUND(VLOOKUP(B488,[3]battleParameter.xml!$A$6:$E$107,5,0)*(I488/100)/(1-I488/100),0)</f>
        <v>0</v>
      </c>
      <c r="S488">
        <f>ROUND(VLOOKUP(B488,[3]battleParameter.xml!$A$6:$G$107,7,0)*(J488/100)/(1-J488/100),0)</f>
        <v>0</v>
      </c>
      <c r="T488">
        <f>ROUND(VLOOKUP(B488,[3]battleParameter.xml!$A$6:$Z$107,8,0)*(MIN(H488/100+0.2,0.99))/(1-MIN(H488/100+0.2,0.99)),0)</f>
        <v>3875</v>
      </c>
      <c r="U488">
        <v>0</v>
      </c>
      <c r="V488">
        <v>0</v>
      </c>
    </row>
    <row r="489" spans="1:22">
      <c r="A489" t="str">
        <f>[2]monster.xml!$D834</f>
        <v>雷伊战争使者</v>
      </c>
      <c r="B489">
        <f>[2]monster.xml!$C834</f>
        <v>102</v>
      </c>
      <c r="C489">
        <f t="shared" si="23"/>
        <v>134</v>
      </c>
      <c r="D489">
        <f>VLOOKUP(A489,怪物模型!A$15:Z$70,8,0)</f>
        <v>7</v>
      </c>
      <c r="E489">
        <f>VLOOKUP(A489,怪物模型!A$15:G$70,3,0)</f>
        <v>1</v>
      </c>
      <c r="F489">
        <f>VLOOKUP(A489,怪物模型!A$15:G$77,4,0)</f>
        <v>1</v>
      </c>
      <c r="G489">
        <v>1</v>
      </c>
      <c r="H489">
        <f>VLOOKUP(A489,怪物模型!A$15:G$77,5,0)</f>
        <v>13</v>
      </c>
      <c r="I489">
        <f>VLOOKUP(A489,怪物模型!A$15:G$77,6,0)</f>
        <v>0</v>
      </c>
      <c r="J489">
        <f>VLOOKUP(A489,怪物模型!A$15:G$77,7,0)</f>
        <v>0</v>
      </c>
      <c r="K489">
        <f>ROUND(VLOOKUP(C489,法师难度!A$1:C$135,3,0)/VLOOKUP(B489,怪物抗性与玩家穿透!A$2:Q$74,17,0)*F489,0)</f>
        <v>6207062</v>
      </c>
      <c r="L489">
        <f>IF(A489="卡雷",42,IF(A489="法力风暴",ROUND(K489*0.1,0),VLOOKUP(A489,怪物模型!$A$15:$I$70,9,0)*(1+(B489-30)/100)))</f>
        <v>1720</v>
      </c>
      <c r="M489">
        <f>ROUND(VLOOKUP(C489,法师难度!A$1:C$135,2,0)*0.91*E489,0)</f>
        <v>576358</v>
      </c>
      <c r="N489">
        <f t="shared" si="21"/>
        <v>691630</v>
      </c>
      <c r="O489">
        <f>VLOOKUP(B489,怪物抗性与玩家穿透!A$2:Q$74,4,0)</f>
        <v>37000</v>
      </c>
      <c r="P489">
        <f>VLOOKUP(B489,怪物抗性与玩家穿透!A$2:Q$74,5,0)</f>
        <v>12800</v>
      </c>
      <c r="Q489">
        <f t="shared" si="22"/>
        <v>12800</v>
      </c>
      <c r="R489">
        <f>ROUND(VLOOKUP(B489,[3]battleParameter.xml!$A$6:$E$107,5,0)*(I489/100)/(1-I489/100),0)</f>
        <v>0</v>
      </c>
      <c r="S489">
        <f>ROUND(VLOOKUP(B489,[3]battleParameter.xml!$A$6:$G$107,7,0)*(J489/100)/(1-J489/100),0)</f>
        <v>0</v>
      </c>
      <c r="T489">
        <f>ROUND(VLOOKUP(B489,[3]battleParameter.xml!$A$6:$Z$107,8,0)*(MIN(H489/100+0.2,0.99))/(1-MIN(H489/100+0.2,0.99)),0)</f>
        <v>3875</v>
      </c>
      <c r="U489">
        <v>0</v>
      </c>
      <c r="V489">
        <v>0</v>
      </c>
    </row>
    <row r="490" spans="1:22">
      <c r="A490" t="str">
        <f>[2]monster.xml!$D835</f>
        <v>暴君泰伦</v>
      </c>
      <c r="B490">
        <f>[2]monster.xml!$C835</f>
        <v>102</v>
      </c>
      <c r="C490">
        <f t="shared" si="23"/>
        <v>135</v>
      </c>
      <c r="D490" t="str">
        <f>VLOOKUP(A490,怪物模型!A$15:Z$70,8,0)</f>
        <v>10,9</v>
      </c>
      <c r="E490">
        <f>VLOOKUP(A490,怪物模型!A$15:G$70,3,0)</f>
        <v>1.2</v>
      </c>
      <c r="F490">
        <f>VLOOKUP(A490,怪物模型!A$15:G$77,4,0)</f>
        <v>1.1499999999999999</v>
      </c>
      <c r="G490">
        <v>1</v>
      </c>
      <c r="H490">
        <f>VLOOKUP(A490,怪物模型!A$15:G$77,5,0)</f>
        <v>15</v>
      </c>
      <c r="I490">
        <f>VLOOKUP(A490,怪物模型!A$15:G$77,6,0)</f>
        <v>0</v>
      </c>
      <c r="J490">
        <f>VLOOKUP(A490,怪物模型!A$15:G$77,7,0)</f>
        <v>15</v>
      </c>
      <c r="K490">
        <f>ROUND(VLOOKUP(C490,法师难度!A$1:C$135,3,0)/VLOOKUP(B490,怪物抗性与玩家穿透!A$2:Q$74,17,0)*F490,0)</f>
        <v>7795688</v>
      </c>
      <c r="L490">
        <f>IF(A490="卡雷",42,IF(A490="法力风暴",ROUND(K490*0.1,0),VLOOKUP(A490,怪物模型!$A$15:$I$70,9,0)*(1+(B490-30)/100)))</f>
        <v>5160</v>
      </c>
      <c r="M490">
        <f>ROUND(VLOOKUP(C490,法师难度!A$1:C$135,2,0)*0.91*E490,0)</f>
        <v>779448</v>
      </c>
      <c r="N490">
        <f t="shared" si="21"/>
        <v>935338</v>
      </c>
      <c r="O490">
        <f>VLOOKUP(B490,怪物抗性与玩家穿透!A$2:Q$74,4,0)</f>
        <v>37000</v>
      </c>
      <c r="P490">
        <f>VLOOKUP(B490,怪物抗性与玩家穿透!A$2:Q$74,5,0)</f>
        <v>12800</v>
      </c>
      <c r="Q490">
        <f t="shared" si="22"/>
        <v>12800</v>
      </c>
      <c r="R490">
        <f>ROUND(VLOOKUP(B490,[3]battleParameter.xml!$A$6:$E$107,5,0)*(I490/100)/(1-I490/100),0)</f>
        <v>0</v>
      </c>
      <c r="S490">
        <f>ROUND(VLOOKUP(B490,[3]battleParameter.xml!$A$6:$G$107,7,0)*(J490/100)/(1-J490/100),0)</f>
        <v>5554</v>
      </c>
      <c r="T490">
        <f>ROUND(VLOOKUP(B490,[3]battleParameter.xml!$A$6:$Z$107,8,0)*(MIN(H490/100+0.2,0.99))/(1-MIN(H490/100+0.2,0.99)),0)</f>
        <v>4236</v>
      </c>
      <c r="U490">
        <v>0</v>
      </c>
      <c r="V49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战士难度</vt:lpstr>
      <vt:lpstr>猎人难度</vt:lpstr>
      <vt:lpstr>法师难度</vt:lpstr>
      <vt:lpstr>怪物抗性与玩家穿透</vt:lpstr>
      <vt:lpstr>怪物模型</vt:lpstr>
      <vt:lpstr>怪物生成器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2014-10-31T17:07:24Z</dcterms:modified>
</cp:coreProperties>
</file>