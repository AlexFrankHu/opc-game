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技能信息" sheetId="2" r:id="rId2"/>
    <sheet name="等级参数" sheetId="3" r:id="rId3"/>
  </sheets>
  <calcPr calcId="124519"/>
</workbook>
</file>

<file path=xl/calcChain.xml><?xml version="1.0" encoding="utf-8"?>
<calcChain xmlns="http://schemas.openxmlformats.org/spreadsheetml/2006/main">
  <c r="B3" i="1"/>
  <c r="I111" i="3"/>
  <c r="K15" i="1"/>
  <c r="K14"/>
  <c r="K13"/>
  <c r="K12"/>
  <c r="K11"/>
  <c r="K10"/>
  <c r="G4"/>
  <c r="C5" l="1"/>
  <c r="C25"/>
  <c r="D4"/>
  <c r="B4"/>
  <c r="F4"/>
  <c r="D7"/>
  <c r="E7"/>
  <c r="F7"/>
  <c r="G7"/>
  <c r="B7"/>
  <c r="C7"/>
  <c r="B5"/>
  <c r="C6"/>
  <c r="D6"/>
  <c r="E6"/>
  <c r="D5"/>
  <c r="E5"/>
  <c r="C4"/>
  <c r="E4"/>
  <c r="B6"/>
  <c r="J3"/>
  <c r="G21"/>
  <c r="F21"/>
  <c r="E21"/>
  <c r="C21"/>
  <c r="F8" s="1"/>
  <c r="D21"/>
  <c r="G25"/>
  <c r="F25"/>
  <c r="E25"/>
  <c r="D25"/>
  <c r="F103" i="3"/>
  <c r="E103"/>
  <c r="G103" s="1"/>
  <c r="D103"/>
  <c r="G102"/>
  <c r="F102"/>
  <c r="E102"/>
  <c r="D102"/>
  <c r="B102"/>
  <c r="H102" s="1"/>
  <c r="F101"/>
  <c r="E101"/>
  <c r="G101" s="1"/>
  <c r="D101"/>
  <c r="H100"/>
  <c r="G100"/>
  <c r="F100"/>
  <c r="E100"/>
  <c r="D100"/>
  <c r="B100"/>
  <c r="E99"/>
  <c r="G99" s="1"/>
  <c r="D99"/>
  <c r="E98"/>
  <c r="F98" s="1"/>
  <c r="D98"/>
  <c r="E97"/>
  <c r="G97" s="1"/>
  <c r="D97"/>
  <c r="F96"/>
  <c r="E96"/>
  <c r="G96" s="1"/>
  <c r="D96"/>
  <c r="F95"/>
  <c r="E95"/>
  <c r="G95" s="1"/>
  <c r="D95"/>
  <c r="G94"/>
  <c r="F94"/>
  <c r="E94"/>
  <c r="D94"/>
  <c r="B94"/>
  <c r="H94" s="1"/>
  <c r="F93"/>
  <c r="E93"/>
  <c r="G93" s="1"/>
  <c r="D93"/>
  <c r="H92"/>
  <c r="G92"/>
  <c r="F92"/>
  <c r="E92"/>
  <c r="D92"/>
  <c r="B92"/>
  <c r="F91"/>
  <c r="E91"/>
  <c r="G91" s="1"/>
  <c r="D91"/>
  <c r="E90"/>
  <c r="F90" s="1"/>
  <c r="D90"/>
  <c r="E89"/>
  <c r="G89" s="1"/>
  <c r="D89"/>
  <c r="F88"/>
  <c r="E88"/>
  <c r="G88" s="1"/>
  <c r="D88"/>
  <c r="F87"/>
  <c r="E87"/>
  <c r="G87" s="1"/>
  <c r="D87"/>
  <c r="G86"/>
  <c r="F86"/>
  <c r="E86"/>
  <c r="D86"/>
  <c r="B86"/>
  <c r="H86" s="1"/>
  <c r="F85"/>
  <c r="E85"/>
  <c r="G85" s="1"/>
  <c r="D85"/>
  <c r="H84"/>
  <c r="G84"/>
  <c r="F84"/>
  <c r="E84"/>
  <c r="D84"/>
  <c r="B84"/>
  <c r="F83"/>
  <c r="E83"/>
  <c r="G83" s="1"/>
  <c r="D83"/>
  <c r="E82"/>
  <c r="F82" s="1"/>
  <c r="D82"/>
  <c r="E81"/>
  <c r="G81" s="1"/>
  <c r="D81"/>
  <c r="F80"/>
  <c r="E80"/>
  <c r="G80" s="1"/>
  <c r="D80"/>
  <c r="F79"/>
  <c r="E79"/>
  <c r="G79" s="1"/>
  <c r="D79"/>
  <c r="G78"/>
  <c r="F78"/>
  <c r="E78"/>
  <c r="D78"/>
  <c r="B78"/>
  <c r="H78" s="1"/>
  <c r="F77"/>
  <c r="E77"/>
  <c r="G77" s="1"/>
  <c r="D77"/>
  <c r="H76"/>
  <c r="G76"/>
  <c r="F76"/>
  <c r="E76"/>
  <c r="D76"/>
  <c r="B76"/>
  <c r="F75"/>
  <c r="E75"/>
  <c r="G75" s="1"/>
  <c r="D75"/>
  <c r="E74"/>
  <c r="F74" s="1"/>
  <c r="D74"/>
  <c r="E73"/>
  <c r="G73" s="1"/>
  <c r="D73"/>
  <c r="F72"/>
  <c r="E72"/>
  <c r="G72" s="1"/>
  <c r="D72"/>
  <c r="F71"/>
  <c r="E71"/>
  <c r="G71" s="1"/>
  <c r="D71"/>
  <c r="C71"/>
  <c r="B71"/>
  <c r="H71" s="1"/>
  <c r="E70"/>
  <c r="F70" s="1"/>
  <c r="D70"/>
  <c r="C70"/>
  <c r="H69"/>
  <c r="G69"/>
  <c r="F69"/>
  <c r="E69"/>
  <c r="D69"/>
  <c r="C69"/>
  <c r="B69"/>
  <c r="F68"/>
  <c r="E68"/>
  <c r="G68" s="1"/>
  <c r="D68"/>
  <c r="C68"/>
  <c r="B68"/>
  <c r="H68" s="1"/>
  <c r="F67"/>
  <c r="E67"/>
  <c r="G67" s="1"/>
  <c r="D67"/>
  <c r="C67"/>
  <c r="B67"/>
  <c r="H67" s="1"/>
  <c r="E66"/>
  <c r="F66" s="1"/>
  <c r="D66"/>
  <c r="C66"/>
  <c r="E65"/>
  <c r="F65" s="1"/>
  <c r="D65"/>
  <c r="C65"/>
  <c r="G64"/>
  <c r="F64"/>
  <c r="E64"/>
  <c r="D64"/>
  <c r="C64"/>
  <c r="B64"/>
  <c r="H64" s="1"/>
  <c r="F63"/>
  <c r="E63"/>
  <c r="G63" s="1"/>
  <c r="D63"/>
  <c r="C63"/>
  <c r="B63"/>
  <c r="H63" s="1"/>
  <c r="E62"/>
  <c r="F62" s="1"/>
  <c r="D62"/>
  <c r="C62"/>
  <c r="F61"/>
  <c r="E61"/>
  <c r="G61" s="1"/>
  <c r="D61"/>
  <c r="C61"/>
  <c r="B61"/>
  <c r="H61" s="1"/>
  <c r="G60"/>
  <c r="F60"/>
  <c r="E60"/>
  <c r="D60"/>
  <c r="C60"/>
  <c r="B60"/>
  <c r="H60" s="1"/>
  <c r="E59"/>
  <c r="G59" s="1"/>
  <c r="D59"/>
  <c r="C59"/>
  <c r="E58"/>
  <c r="F58" s="1"/>
  <c r="D58"/>
  <c r="C58"/>
  <c r="G57"/>
  <c r="F57"/>
  <c r="E57"/>
  <c r="D57"/>
  <c r="C57"/>
  <c r="B57"/>
  <c r="H57" s="1"/>
  <c r="E56"/>
  <c r="F56" s="1"/>
  <c r="D56"/>
  <c r="C56"/>
  <c r="F55"/>
  <c r="E55"/>
  <c r="G55" s="1"/>
  <c r="D55"/>
  <c r="C55"/>
  <c r="B55"/>
  <c r="H55" s="1"/>
  <c r="E54"/>
  <c r="F54" s="1"/>
  <c r="D54"/>
  <c r="C54"/>
  <c r="H53"/>
  <c r="G53"/>
  <c r="F53"/>
  <c r="E53"/>
  <c r="D53"/>
  <c r="C53"/>
  <c r="B53"/>
  <c r="F52"/>
  <c r="E52"/>
  <c r="G52" s="1"/>
  <c r="D52"/>
  <c r="C52"/>
  <c r="B52"/>
  <c r="H52" s="1"/>
  <c r="F51"/>
  <c r="E51"/>
  <c r="G51" s="1"/>
  <c r="D51"/>
  <c r="C51"/>
  <c r="B51"/>
  <c r="H51" s="1"/>
  <c r="E50"/>
  <c r="F50" s="1"/>
  <c r="D50"/>
  <c r="C50"/>
  <c r="E49"/>
  <c r="F49" s="1"/>
  <c r="D49"/>
  <c r="C49"/>
  <c r="G48"/>
  <c r="F48"/>
  <c r="E48"/>
  <c r="D48"/>
  <c r="C48"/>
  <c r="B48"/>
  <c r="H48" s="1"/>
  <c r="F47"/>
  <c r="E47"/>
  <c r="G47" s="1"/>
  <c r="D47"/>
  <c r="C47"/>
  <c r="B47"/>
  <c r="H47" s="1"/>
  <c r="E46"/>
  <c r="F46" s="1"/>
  <c r="D46"/>
  <c r="C46"/>
  <c r="F45"/>
  <c r="E45"/>
  <c r="G45" s="1"/>
  <c r="D45"/>
  <c r="C45"/>
  <c r="B45"/>
  <c r="H45" s="1"/>
  <c r="G44"/>
  <c r="F44"/>
  <c r="E44"/>
  <c r="D44"/>
  <c r="C44"/>
  <c r="B44"/>
  <c r="H44" s="1"/>
  <c r="E43"/>
  <c r="G43" s="1"/>
  <c r="D43"/>
  <c r="C43"/>
  <c r="E42"/>
  <c r="F42" s="1"/>
  <c r="D42"/>
  <c r="C42"/>
  <c r="G41"/>
  <c r="F41"/>
  <c r="E41"/>
  <c r="D41"/>
  <c r="C41"/>
  <c r="B41"/>
  <c r="H41" s="1"/>
  <c r="E40"/>
  <c r="F40" s="1"/>
  <c r="D40"/>
  <c r="C40"/>
  <c r="F39"/>
  <c r="E39"/>
  <c r="G39" s="1"/>
  <c r="D39"/>
  <c r="C39"/>
  <c r="B39"/>
  <c r="H39" s="1"/>
  <c r="E38"/>
  <c r="F38" s="1"/>
  <c r="D38"/>
  <c r="C38"/>
  <c r="H37"/>
  <c r="G37"/>
  <c r="F37"/>
  <c r="E37"/>
  <c r="D37"/>
  <c r="C37"/>
  <c r="B37"/>
  <c r="F36"/>
  <c r="E36"/>
  <c r="G36" s="1"/>
  <c r="D36"/>
  <c r="C36"/>
  <c r="B36"/>
  <c r="H36" s="1"/>
  <c r="F35"/>
  <c r="E35"/>
  <c r="G35" s="1"/>
  <c r="D35"/>
  <c r="C35"/>
  <c r="B35"/>
  <c r="H35" s="1"/>
  <c r="E34"/>
  <c r="F34" s="1"/>
  <c r="D34"/>
  <c r="C34"/>
  <c r="E33"/>
  <c r="F33" s="1"/>
  <c r="D33"/>
  <c r="C33"/>
  <c r="G32"/>
  <c r="F32"/>
  <c r="E32"/>
  <c r="D32"/>
  <c r="C32"/>
  <c r="B32"/>
  <c r="H32" s="1"/>
  <c r="F31"/>
  <c r="E31"/>
  <c r="G31" s="1"/>
  <c r="D31"/>
  <c r="C31"/>
  <c r="B31"/>
  <c r="H31" s="1"/>
  <c r="E30"/>
  <c r="F30" s="1"/>
  <c r="D30"/>
  <c r="C30"/>
  <c r="F29"/>
  <c r="E29"/>
  <c r="G29" s="1"/>
  <c r="D29"/>
  <c r="C29"/>
  <c r="B29"/>
  <c r="H29" s="1"/>
  <c r="G28"/>
  <c r="F28"/>
  <c r="E28"/>
  <c r="D28"/>
  <c r="C28"/>
  <c r="B28"/>
  <c r="H28" s="1"/>
  <c r="E27"/>
  <c r="G27" s="1"/>
  <c r="D27"/>
  <c r="C27"/>
  <c r="E26"/>
  <c r="F26" s="1"/>
  <c r="D26"/>
  <c r="C26"/>
  <c r="G25"/>
  <c r="F25"/>
  <c r="E25"/>
  <c r="D25"/>
  <c r="C25"/>
  <c r="B25"/>
  <c r="H25" s="1"/>
  <c r="E24"/>
  <c r="F24" s="1"/>
  <c r="D24"/>
  <c r="C24"/>
  <c r="F23"/>
  <c r="E23"/>
  <c r="G23" s="1"/>
  <c r="D23"/>
  <c r="C23"/>
  <c r="B23"/>
  <c r="H23" s="1"/>
  <c r="E22"/>
  <c r="F22" s="1"/>
  <c r="D22"/>
  <c r="C22"/>
  <c r="H21"/>
  <c r="G21"/>
  <c r="F21"/>
  <c r="E21"/>
  <c r="D21"/>
  <c r="C21"/>
  <c r="B21"/>
  <c r="F20"/>
  <c r="E20"/>
  <c r="G20" s="1"/>
  <c r="D20"/>
  <c r="C20"/>
  <c r="B20"/>
  <c r="H20" s="1"/>
  <c r="F19"/>
  <c r="E19"/>
  <c r="G19" s="1"/>
  <c r="D19"/>
  <c r="C19"/>
  <c r="B19"/>
  <c r="H19" s="1"/>
  <c r="E18"/>
  <c r="F18" s="1"/>
  <c r="D18"/>
  <c r="C18"/>
  <c r="E17"/>
  <c r="F17" s="1"/>
  <c r="D17"/>
  <c r="C17"/>
  <c r="G16"/>
  <c r="F16"/>
  <c r="E16"/>
  <c r="D16"/>
  <c r="C16"/>
  <c r="B16"/>
  <c r="H16" s="1"/>
  <c r="F15"/>
  <c r="E15"/>
  <c r="G15" s="1"/>
  <c r="D15"/>
  <c r="C15"/>
  <c r="B15"/>
  <c r="H15" s="1"/>
  <c r="E14"/>
  <c r="F14" s="1"/>
  <c r="D14"/>
  <c r="C14"/>
  <c r="F13"/>
  <c r="E13"/>
  <c r="G13" s="1"/>
  <c r="D13"/>
  <c r="C13"/>
  <c r="B13"/>
  <c r="H13" s="1"/>
  <c r="G12"/>
  <c r="F12"/>
  <c r="E12"/>
  <c r="D12"/>
  <c r="C12"/>
  <c r="B12"/>
  <c r="H12" s="1"/>
  <c r="E11"/>
  <c r="G11" s="1"/>
  <c r="D11"/>
  <c r="C11"/>
  <c r="E10"/>
  <c r="F10" s="1"/>
  <c r="D10"/>
  <c r="C10"/>
  <c r="G9"/>
  <c r="F9"/>
  <c r="E9"/>
  <c r="D9"/>
  <c r="C9"/>
  <c r="B9"/>
  <c r="H9" s="1"/>
  <c r="E8"/>
  <c r="F8" s="1"/>
  <c r="D8"/>
  <c r="C8"/>
  <c r="F7"/>
  <c r="E7"/>
  <c r="G7" s="1"/>
  <c r="D7"/>
  <c r="C7"/>
  <c r="B7"/>
  <c r="H7" s="1"/>
  <c r="E6"/>
  <c r="F6" s="1"/>
  <c r="D6"/>
  <c r="C6"/>
  <c r="H5"/>
  <c r="G5"/>
  <c r="F5"/>
  <c r="E5"/>
  <c r="D5"/>
  <c r="C5"/>
  <c r="B5"/>
  <c r="F4"/>
  <c r="E4"/>
  <c r="G4" s="1"/>
  <c r="D4"/>
  <c r="C4"/>
  <c r="B4"/>
  <c r="H4" s="1"/>
  <c r="F3"/>
  <c r="E3"/>
  <c r="G3" s="1"/>
  <c r="D3"/>
  <c r="C3"/>
  <c r="B3"/>
  <c r="H3" s="1"/>
  <c r="E2"/>
  <c r="F2" s="1"/>
  <c r="D2"/>
  <c r="C2"/>
  <c r="C3" i="1" l="1"/>
  <c r="D3"/>
  <c r="E11"/>
  <c r="D11"/>
  <c r="C11"/>
  <c r="B11"/>
  <c r="E13"/>
  <c r="D12"/>
  <c r="G9"/>
  <c r="F14"/>
  <c r="G8"/>
  <c r="G10" s="1"/>
  <c r="D13"/>
  <c r="C12"/>
  <c r="F12"/>
  <c r="G12"/>
  <c r="E8"/>
  <c r="E10" s="1"/>
  <c r="F10"/>
  <c r="C9"/>
  <c r="F11"/>
  <c r="F3"/>
  <c r="G3"/>
  <c r="E3"/>
  <c r="B8"/>
  <c r="B10" s="1"/>
  <c r="G11"/>
  <c r="F9"/>
  <c r="G14"/>
  <c r="F13"/>
  <c r="D14"/>
  <c r="E9"/>
  <c r="B12"/>
  <c r="E12"/>
  <c r="G13"/>
  <c r="C13"/>
  <c r="E14"/>
  <c r="C14"/>
  <c r="B14"/>
  <c r="B13"/>
  <c r="C8"/>
  <c r="C10" s="1"/>
  <c r="B9"/>
  <c r="D9"/>
  <c r="D8"/>
  <c r="D10" s="1"/>
  <c r="G8" i="3"/>
  <c r="G17"/>
  <c r="G24"/>
  <c r="G33"/>
  <c r="G40"/>
  <c r="G49"/>
  <c r="G56"/>
  <c r="G65"/>
  <c r="B74"/>
  <c r="H74" s="1"/>
  <c r="G74"/>
  <c r="B82"/>
  <c r="H82" s="1"/>
  <c r="G82"/>
  <c r="B90"/>
  <c r="H90" s="1"/>
  <c r="G90"/>
  <c r="B98"/>
  <c r="H98" s="1"/>
  <c r="G98"/>
  <c r="F99"/>
  <c r="B8"/>
  <c r="H8" s="1"/>
  <c r="B11"/>
  <c r="H11" s="1"/>
  <c r="F11"/>
  <c r="B17"/>
  <c r="H17" s="1"/>
  <c r="B24"/>
  <c r="H24" s="1"/>
  <c r="B27"/>
  <c r="H27" s="1"/>
  <c r="F27"/>
  <c r="B33"/>
  <c r="H33" s="1"/>
  <c r="B40"/>
  <c r="H40" s="1"/>
  <c r="B43"/>
  <c r="H43" s="1"/>
  <c r="F43"/>
  <c r="B49"/>
  <c r="H49" s="1"/>
  <c r="B56"/>
  <c r="H56" s="1"/>
  <c r="B59"/>
  <c r="H59" s="1"/>
  <c r="F59"/>
  <c r="B65"/>
  <c r="H65" s="1"/>
  <c r="B72"/>
  <c r="H72" s="1"/>
  <c r="F73"/>
  <c r="B80"/>
  <c r="H80" s="1"/>
  <c r="F81"/>
  <c r="B88"/>
  <c r="H88" s="1"/>
  <c r="F89"/>
  <c r="B96"/>
  <c r="H96" s="1"/>
  <c r="F97"/>
  <c r="G2"/>
  <c r="G6"/>
  <c r="G10"/>
  <c r="G14"/>
  <c r="G18"/>
  <c r="G22"/>
  <c r="G26"/>
  <c r="G30"/>
  <c r="G34"/>
  <c r="G38"/>
  <c r="G42"/>
  <c r="G46"/>
  <c r="G50"/>
  <c r="G54"/>
  <c r="G58"/>
  <c r="G62"/>
  <c r="G66"/>
  <c r="G70"/>
  <c r="B2"/>
  <c r="H2" s="1"/>
  <c r="B6"/>
  <c r="H6" s="1"/>
  <c r="B10"/>
  <c r="H10" s="1"/>
  <c r="B14"/>
  <c r="H14" s="1"/>
  <c r="B18"/>
  <c r="H18" s="1"/>
  <c r="B22"/>
  <c r="H22" s="1"/>
  <c r="B26"/>
  <c r="H26" s="1"/>
  <c r="B30"/>
  <c r="H30" s="1"/>
  <c r="B34"/>
  <c r="H34" s="1"/>
  <c r="B38"/>
  <c r="H38" s="1"/>
  <c r="B42"/>
  <c r="H42" s="1"/>
  <c r="B46"/>
  <c r="H46" s="1"/>
  <c r="B50"/>
  <c r="H50" s="1"/>
  <c r="B54"/>
  <c r="H54" s="1"/>
  <c r="B58"/>
  <c r="H58" s="1"/>
  <c r="B62"/>
  <c r="H62" s="1"/>
  <c r="B66"/>
  <c r="H66" s="1"/>
  <c r="B70"/>
  <c r="H70" s="1"/>
  <c r="B73"/>
  <c r="H73" s="1"/>
  <c r="B75"/>
  <c r="H75" s="1"/>
  <c r="B77"/>
  <c r="H77" s="1"/>
  <c r="B79"/>
  <c r="H79" s="1"/>
  <c r="B81"/>
  <c r="H81" s="1"/>
  <c r="B83"/>
  <c r="H83" s="1"/>
  <c r="B85"/>
  <c r="H85" s="1"/>
  <c r="B87"/>
  <c r="H87" s="1"/>
  <c r="B89"/>
  <c r="H89" s="1"/>
  <c r="B91"/>
  <c r="H91" s="1"/>
  <c r="B93"/>
  <c r="H93" s="1"/>
  <c r="B95"/>
  <c r="H95" s="1"/>
  <c r="B97"/>
  <c r="H97" s="1"/>
  <c r="B99"/>
  <c r="H99" s="1"/>
  <c r="B101"/>
  <c r="H101" s="1"/>
  <c r="B103"/>
  <c r="H103" s="1"/>
  <c r="B15" i="1" l="1"/>
  <c r="D15"/>
  <c r="E15"/>
  <c r="C15"/>
  <c r="G15"/>
  <c r="F15"/>
  <c r="J6" l="1"/>
</calcChain>
</file>

<file path=xl/sharedStrings.xml><?xml version="1.0" encoding="utf-8"?>
<sst xmlns="http://schemas.openxmlformats.org/spreadsheetml/2006/main" count="159" uniqueCount="144">
  <si>
    <t>名称</t>
  </si>
  <si>
    <t>开启等级</t>
  </si>
  <si>
    <t>消耗MP</t>
  </si>
  <si>
    <t>技能描述</t>
  </si>
  <si>
    <t>对一名敌人造成200%的物理伤害</t>
  </si>
  <si>
    <t>恢复我方生命值最低的一人10%的最大生命值</t>
  </si>
  <si>
    <t>增加我方三人30%的伤害，50%的护甲，持续3回合</t>
  </si>
  <si>
    <t>雷霆一击</t>
  </si>
  <si>
    <t>对3名敌人造成100%的物理伤害，并且50%的概率使其晕眩1回合</t>
  </si>
  <si>
    <t>捍卫</t>
  </si>
  <si>
    <t>提升自己的防御，之后2回合受到的伤害减少60%,并使怪物优先攻击你</t>
  </si>
  <si>
    <t>致死打击</t>
  </si>
  <si>
    <t>对一名敌人进行一次普通攻击，50%概率使其在2回合内无法回复生命</t>
  </si>
  <si>
    <t>对一名敌人造成150%的物理伤害，并使其晕眩1回合</t>
  </si>
  <si>
    <t>剑刃风暴</t>
  </si>
  <si>
    <t>对三名敌人造成200%的物理伤害</t>
  </si>
  <si>
    <t>狂暴</t>
  </si>
  <si>
    <t>使自己狂暴，3回合内普通攻击100%暴击且免疫所有不良状态</t>
  </si>
  <si>
    <t>毒蛇钉刺</t>
  </si>
  <si>
    <t>进行一次普通攻击，50%概率使其中毒2回合，每回合减少当前生命值的4%</t>
  </si>
  <si>
    <t>震荡射击</t>
  </si>
  <si>
    <t>对一名敌人进行一次普通攻击，50%的概率使其晕眩1回合</t>
  </si>
  <si>
    <t>对一名敌人造成100%的魔法伤害，并回复等值的生命值</t>
  </si>
  <si>
    <t>多重射击</t>
  </si>
  <si>
    <t>随机进行普通攻击两次，可作用于同一个敌人</t>
  </si>
  <si>
    <t>奥术射击</t>
  </si>
  <si>
    <t>使自己之后3回合普通攻击附加伤害50%的魔法伤害</t>
  </si>
  <si>
    <t>驱散射击</t>
  </si>
  <si>
    <t>对一名敌人进行一次普通攻击，降低对手70%的命中3回合</t>
  </si>
  <si>
    <t>雄鹰守护</t>
  </si>
  <si>
    <t>提升自己的100%的伤害，持续2回合</t>
  </si>
  <si>
    <t>眼镜蛇射击</t>
  </si>
  <si>
    <t>使三名敌人中毒3回合，每回合减少当前生命值的4%</t>
  </si>
  <si>
    <t>沉默射击</t>
  </si>
  <si>
    <t>对一名敌人进行一次普通攻击，50%概率使其无法使用法术3回合</t>
  </si>
  <si>
    <t>伪装</t>
  </si>
  <si>
    <t>使自己进入隐形状态，只会受到范围攻击伤害，持续2回合</t>
  </si>
  <si>
    <t>火焰冲击</t>
  </si>
  <si>
    <t>对一名敌人造成200%的魔法伤害</t>
  </si>
  <si>
    <t>对一名敌人造成150%的魔法伤害，降低其50%的伤害1回合</t>
  </si>
  <si>
    <t>冰甲术</t>
  </si>
  <si>
    <t>给我方两人套上冰甲，3回合内受到普通攻击时80%的概率冻结攻击方1回合</t>
  </si>
  <si>
    <t>魔爆术</t>
  </si>
  <si>
    <t>对三名敌人造成150%的魔法伤害</t>
  </si>
  <si>
    <t>暴风雪</t>
  </si>
  <si>
    <t>对三名敌人造成100%的魔法伤害，50%降低其50%的伤害2回合</t>
  </si>
  <si>
    <t>魔法护盾</t>
  </si>
  <si>
    <t>给自己施加魔法护盾，每1点魔法值抵消5点伤害，持续2回合</t>
  </si>
  <si>
    <t>奥术冲击</t>
  </si>
  <si>
    <t>造成175%的魔法伤害，每次施放会提高奥术冲击125%魔法伤害和500魔法消耗</t>
  </si>
  <si>
    <t>冥想</t>
  </si>
  <si>
    <t>回复自己12%的最大魔法值</t>
  </si>
  <si>
    <t>烈焰风暴</t>
  </si>
  <si>
    <t>立刻对三名敌人造成100%的魔法伤害，之后3回合每回合造成50%的魔法伤害</t>
  </si>
  <si>
    <t>炎爆术</t>
  </si>
  <si>
    <t>对一个敌人造成300%的魔法伤害</t>
  </si>
  <si>
    <t>技能类型</t>
    <phoneticPr fontId="1" type="noConversion"/>
  </si>
  <si>
    <t>对一名敌人进行一次普通攻击，50%概率降低其80%的护甲2回合</t>
    <phoneticPr fontId="1" type="noConversion"/>
  </si>
  <si>
    <t>技能倍数</t>
    <phoneticPr fontId="1" type="noConversion"/>
  </si>
  <si>
    <t>回合1</t>
    <phoneticPr fontId="1" type="noConversion"/>
  </si>
  <si>
    <t>回合2</t>
    <phoneticPr fontId="1" type="noConversion"/>
  </si>
  <si>
    <t>回合3</t>
    <phoneticPr fontId="1" type="noConversion"/>
  </si>
  <si>
    <t>回合4</t>
    <phoneticPr fontId="1" type="noConversion"/>
  </si>
  <si>
    <t>普攻回合1</t>
    <phoneticPr fontId="1" type="noConversion"/>
  </si>
  <si>
    <t>普攻回合2</t>
    <phoneticPr fontId="1" type="noConversion"/>
  </si>
  <si>
    <t>暴击几率</t>
    <phoneticPr fontId="1" type="noConversion"/>
  </si>
  <si>
    <t>命中几率</t>
    <phoneticPr fontId="1" type="noConversion"/>
  </si>
  <si>
    <t>目标属性</t>
    <phoneticPr fontId="1" type="noConversion"/>
  </si>
  <si>
    <t>闪躲</t>
    <phoneticPr fontId="1" type="noConversion"/>
  </si>
  <si>
    <t>护甲</t>
    <phoneticPr fontId="1" type="noConversion"/>
  </si>
  <si>
    <t>物抗</t>
    <phoneticPr fontId="1" type="noConversion"/>
  </si>
  <si>
    <t>魔抗</t>
    <phoneticPr fontId="1" type="noConversion"/>
  </si>
  <si>
    <t>韧性</t>
    <phoneticPr fontId="1" type="noConversion"/>
  </si>
  <si>
    <t>护甲穿透</t>
    <phoneticPr fontId="1" type="noConversion"/>
  </si>
  <si>
    <t>物抗穿透</t>
    <phoneticPr fontId="1" type="noConversion"/>
  </si>
  <si>
    <t>魔抗穿透</t>
    <phoneticPr fontId="1" type="noConversion"/>
  </si>
  <si>
    <t>命中</t>
    <phoneticPr fontId="1" type="noConversion"/>
  </si>
  <si>
    <t>等级</t>
    <phoneticPr fontId="1" type="noConversion"/>
  </si>
  <si>
    <t>基础属性</t>
    <phoneticPr fontId="1" type="noConversion"/>
  </si>
  <si>
    <t>暴击</t>
    <phoneticPr fontId="1" type="noConversion"/>
  </si>
  <si>
    <t>暴伤</t>
    <phoneticPr fontId="1" type="noConversion"/>
  </si>
  <si>
    <t>类型1</t>
    <phoneticPr fontId="1" type="noConversion"/>
  </si>
  <si>
    <t>类型2</t>
    <phoneticPr fontId="1" type="noConversion"/>
  </si>
  <si>
    <t>物理技能伤害</t>
    <phoneticPr fontId="1" type="noConversion"/>
  </si>
  <si>
    <t>普通攻击伤害</t>
    <phoneticPr fontId="1" type="noConversion"/>
  </si>
  <si>
    <t>类型3</t>
    <phoneticPr fontId="1" type="noConversion"/>
  </si>
  <si>
    <t>BUFF</t>
    <phoneticPr fontId="1" type="noConversion"/>
  </si>
  <si>
    <t>类型4</t>
    <phoneticPr fontId="1" type="noConversion"/>
  </si>
  <si>
    <t>狂暴</t>
    <phoneticPr fontId="1" type="noConversion"/>
  </si>
  <si>
    <t>类型5</t>
    <phoneticPr fontId="1" type="noConversion"/>
  </si>
  <si>
    <t>类型6</t>
    <phoneticPr fontId="1" type="noConversion"/>
  </si>
  <si>
    <t>魔法技能伤害</t>
    <phoneticPr fontId="1" type="noConversion"/>
  </si>
  <si>
    <t>魔法普攻伤害</t>
    <phoneticPr fontId="1" type="noConversion"/>
  </si>
  <si>
    <t>BUFF时间</t>
    <phoneticPr fontId="1" type="noConversion"/>
  </si>
  <si>
    <t>类型7</t>
    <phoneticPr fontId="1" type="noConversion"/>
  </si>
  <si>
    <t>魔箭</t>
    <phoneticPr fontId="1" type="noConversion"/>
  </si>
  <si>
    <t>护甲修正参数</t>
    <phoneticPr fontId="1" type="noConversion"/>
  </si>
  <si>
    <t>物抗修正参数</t>
    <phoneticPr fontId="1" type="noConversion"/>
  </si>
  <si>
    <t>魔抗修正参数</t>
    <phoneticPr fontId="1" type="noConversion"/>
  </si>
  <si>
    <t>暴击修正参数</t>
    <phoneticPr fontId="1" type="noConversion"/>
  </si>
  <si>
    <t>韧性修正参数</t>
    <phoneticPr fontId="1" type="noConversion"/>
  </si>
  <si>
    <t>命中修正参数</t>
    <phoneticPr fontId="1" type="noConversion"/>
  </si>
  <si>
    <t>闪避修正参数</t>
    <phoneticPr fontId="1" type="noConversion"/>
  </si>
  <si>
    <t>护甲穿透</t>
    <phoneticPr fontId="1" type="noConversion"/>
  </si>
  <si>
    <t>物抗穿透</t>
    <phoneticPr fontId="1" type="noConversion"/>
  </si>
  <si>
    <t>魔抗穿透</t>
    <phoneticPr fontId="1" type="noConversion"/>
  </si>
  <si>
    <t>等级</t>
    <phoneticPr fontId="1" type="noConversion"/>
  </si>
  <si>
    <t>换算系数</t>
    <phoneticPr fontId="1" type="noConversion"/>
  </si>
  <si>
    <t>最终伤害倍数</t>
    <phoneticPr fontId="1" type="noConversion"/>
  </si>
  <si>
    <t>暴击伤害</t>
    <phoneticPr fontId="1" type="noConversion"/>
  </si>
  <si>
    <t>基础暴伤</t>
    <phoneticPr fontId="1" type="noConversion"/>
  </si>
  <si>
    <t>BUFF倍数</t>
    <phoneticPr fontId="1" type="noConversion"/>
  </si>
  <si>
    <t>伤害倍数</t>
    <phoneticPr fontId="1" type="noConversion"/>
  </si>
  <si>
    <t>BUFF倍数</t>
    <phoneticPr fontId="1" type="noConversion"/>
  </si>
  <si>
    <t>BUFF轮数</t>
    <phoneticPr fontId="1" type="noConversion"/>
  </si>
  <si>
    <t>普攻</t>
    <phoneticPr fontId="1" type="noConversion"/>
  </si>
  <si>
    <t>有效回合数</t>
    <phoneticPr fontId="1" type="noConversion"/>
  </si>
  <si>
    <t>技能类型</t>
    <phoneticPr fontId="1" type="noConversion"/>
  </si>
  <si>
    <t>职业</t>
    <phoneticPr fontId="1" type="noConversion"/>
  </si>
  <si>
    <t>法师</t>
    <phoneticPr fontId="1" type="noConversion"/>
  </si>
  <si>
    <t>战士</t>
    <phoneticPr fontId="1" type="noConversion"/>
  </si>
  <si>
    <t>猎人</t>
    <phoneticPr fontId="1" type="noConversion"/>
  </si>
  <si>
    <t>攻击类型</t>
    <phoneticPr fontId="1" type="noConversion"/>
  </si>
  <si>
    <t>魔箭BUFF倍数</t>
    <phoneticPr fontId="1" type="noConversion"/>
  </si>
  <si>
    <t>狂暴暴击修正</t>
    <phoneticPr fontId="1" type="noConversion"/>
  </si>
  <si>
    <t>每回合输出</t>
    <phoneticPr fontId="1" type="noConversion"/>
  </si>
  <si>
    <t>自变量</t>
    <phoneticPr fontId="1" type="noConversion"/>
  </si>
  <si>
    <t>起始</t>
    <phoneticPr fontId="1" type="noConversion"/>
  </si>
  <si>
    <t>步进</t>
    <phoneticPr fontId="1" type="noConversion"/>
  </si>
  <si>
    <t>次数</t>
    <phoneticPr fontId="1" type="noConversion"/>
  </si>
  <si>
    <t>变化值</t>
    <phoneticPr fontId="1" type="noConversion"/>
  </si>
  <si>
    <t>命中</t>
    <phoneticPr fontId="1" type="noConversion"/>
  </si>
  <si>
    <t>护甲穿透</t>
    <phoneticPr fontId="1" type="noConversion"/>
  </si>
  <si>
    <t>物抗穿透</t>
    <phoneticPr fontId="1" type="noConversion"/>
  </si>
  <si>
    <t>魔抗穿透</t>
    <phoneticPr fontId="1" type="noConversion"/>
  </si>
  <si>
    <t>暴伤</t>
    <phoneticPr fontId="1" type="noConversion"/>
  </si>
  <si>
    <t>破甲攻击</t>
    <phoneticPr fontId="1" type="noConversion"/>
  </si>
  <si>
    <t>吸取生命</t>
    <phoneticPr fontId="1" type="noConversion"/>
  </si>
  <si>
    <t>冰霜新星</t>
    <phoneticPr fontId="1" type="noConversion"/>
  </si>
  <si>
    <t>战斗怒吼</t>
    <phoneticPr fontId="1" type="noConversion"/>
  </si>
  <si>
    <t>风暴之锤</t>
    <phoneticPr fontId="1" type="noConversion"/>
  </si>
  <si>
    <t>破甲攻击</t>
    <phoneticPr fontId="1" type="noConversion"/>
  </si>
  <si>
    <t>英勇打击</t>
    <phoneticPr fontId="1" type="noConversion"/>
  </si>
  <si>
    <t>战地急救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</si>
</sst>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3" fillId="2" borderId="0" xfId="1">
      <alignment vertical="center"/>
    </xf>
  </cellXfs>
  <cellStyles count="2">
    <cellStyle name="常规" xfId="0" builtinId="0"/>
    <cellStyle name="好" xfId="1" builtinId="2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scatterChart>
        <c:scatterStyle val="smoothMarker"/>
        <c:ser>
          <c:idx val="0"/>
          <c:order val="0"/>
          <c:tx>
            <c:strRef>
              <c:f>Sheet1!$J$10</c:f>
              <c:strCache>
                <c:ptCount val="1"/>
                <c:pt idx="0">
                  <c:v>暴击</c:v>
                </c:pt>
              </c:strCache>
            </c:strRef>
          </c:tx>
          <c:marker>
            <c:symbol val="none"/>
          </c:marker>
          <c:xVal>
            <c:numRef>
              <c:f>Sheet1!$T$2:$T$101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Sheet1!$U$2:$U$101</c:f>
              <c:numCache>
                <c:formatCode>General</c:formatCode>
                <c:ptCount val="100"/>
                <c:pt idx="0">
                  <c:v>0.40425110369827888</c:v>
                </c:pt>
                <c:pt idx="1">
                  <c:v>0.40425110369827888</c:v>
                </c:pt>
                <c:pt idx="2">
                  <c:v>0.40425110369827888</c:v>
                </c:pt>
                <c:pt idx="3">
                  <c:v>0.40425110369827888</c:v>
                </c:pt>
                <c:pt idx="4">
                  <c:v>0.40425110369827888</c:v>
                </c:pt>
                <c:pt idx="5">
                  <c:v>0.40425110369827888</c:v>
                </c:pt>
                <c:pt idx="6">
                  <c:v>0.40425110369827888</c:v>
                </c:pt>
                <c:pt idx="7">
                  <c:v>0.40425110369827888</c:v>
                </c:pt>
                <c:pt idx="8">
                  <c:v>0.40425110369827888</c:v>
                </c:pt>
                <c:pt idx="9">
                  <c:v>0.40425110369827888</c:v>
                </c:pt>
                <c:pt idx="10">
                  <c:v>0.40425110369827888</c:v>
                </c:pt>
                <c:pt idx="11">
                  <c:v>0.40425110369827888</c:v>
                </c:pt>
                <c:pt idx="12">
                  <c:v>0.40425110369827888</c:v>
                </c:pt>
                <c:pt idx="13">
                  <c:v>0.40425110369827888</c:v>
                </c:pt>
                <c:pt idx="14">
                  <c:v>0.40425110369827888</c:v>
                </c:pt>
                <c:pt idx="15">
                  <c:v>0.40425110369827888</c:v>
                </c:pt>
                <c:pt idx="16">
                  <c:v>0.40425110369827888</c:v>
                </c:pt>
                <c:pt idx="17">
                  <c:v>0.40425110369827888</c:v>
                </c:pt>
                <c:pt idx="18">
                  <c:v>0.40425110369827888</c:v>
                </c:pt>
                <c:pt idx="19">
                  <c:v>0.40425110369827888</c:v>
                </c:pt>
                <c:pt idx="20">
                  <c:v>0.40425110369827888</c:v>
                </c:pt>
                <c:pt idx="21">
                  <c:v>0.40425110369827888</c:v>
                </c:pt>
                <c:pt idx="22">
                  <c:v>0.40425110369827888</c:v>
                </c:pt>
                <c:pt idx="23">
                  <c:v>0.40425110369827888</c:v>
                </c:pt>
                <c:pt idx="24">
                  <c:v>0.40425110369827888</c:v>
                </c:pt>
                <c:pt idx="25">
                  <c:v>0.40425110369827888</c:v>
                </c:pt>
                <c:pt idx="26">
                  <c:v>0.40425110369827888</c:v>
                </c:pt>
                <c:pt idx="27">
                  <c:v>0.40425110369827888</c:v>
                </c:pt>
                <c:pt idx="28">
                  <c:v>0.40425110369827888</c:v>
                </c:pt>
                <c:pt idx="29">
                  <c:v>0.40425110369827888</c:v>
                </c:pt>
                <c:pt idx="30">
                  <c:v>0.40425110369827888</c:v>
                </c:pt>
                <c:pt idx="31">
                  <c:v>0.40425110369827888</c:v>
                </c:pt>
                <c:pt idx="32">
                  <c:v>0.40425110369827888</c:v>
                </c:pt>
                <c:pt idx="33">
                  <c:v>0.40425110369827888</c:v>
                </c:pt>
                <c:pt idx="34">
                  <c:v>0.40425110369827888</c:v>
                </c:pt>
                <c:pt idx="35">
                  <c:v>0.40425110369827888</c:v>
                </c:pt>
                <c:pt idx="36">
                  <c:v>0.40425110369827888</c:v>
                </c:pt>
                <c:pt idx="37">
                  <c:v>0.40425110369827888</c:v>
                </c:pt>
                <c:pt idx="38">
                  <c:v>0.40425110369827888</c:v>
                </c:pt>
                <c:pt idx="39">
                  <c:v>0.40425110369827888</c:v>
                </c:pt>
                <c:pt idx="40">
                  <c:v>0.40425110369827888</c:v>
                </c:pt>
                <c:pt idx="41">
                  <c:v>0.40425110369827888</c:v>
                </c:pt>
                <c:pt idx="42">
                  <c:v>0.40425110369827888</c:v>
                </c:pt>
                <c:pt idx="43">
                  <c:v>0.40425110369827888</c:v>
                </c:pt>
                <c:pt idx="44">
                  <c:v>0.40425110369827888</c:v>
                </c:pt>
                <c:pt idx="45">
                  <c:v>0.40425110369827888</c:v>
                </c:pt>
                <c:pt idx="46">
                  <c:v>0.40425110369827888</c:v>
                </c:pt>
                <c:pt idx="47">
                  <c:v>0.40425110369827888</c:v>
                </c:pt>
                <c:pt idx="48">
                  <c:v>0.40425110369827888</c:v>
                </c:pt>
                <c:pt idx="49">
                  <c:v>0.40425110369827888</c:v>
                </c:pt>
                <c:pt idx="50">
                  <c:v>0.40425110369827888</c:v>
                </c:pt>
                <c:pt idx="51">
                  <c:v>0.40425110369827888</c:v>
                </c:pt>
                <c:pt idx="52">
                  <c:v>0.40425110369827888</c:v>
                </c:pt>
                <c:pt idx="53">
                  <c:v>0.40425110369827888</c:v>
                </c:pt>
                <c:pt idx="54">
                  <c:v>0.40425110369827888</c:v>
                </c:pt>
                <c:pt idx="55">
                  <c:v>0.40425110369827888</c:v>
                </c:pt>
                <c:pt idx="56">
                  <c:v>0.40425110369827888</c:v>
                </c:pt>
                <c:pt idx="57">
                  <c:v>0.40425110369827888</c:v>
                </c:pt>
                <c:pt idx="58">
                  <c:v>0.40425110369827888</c:v>
                </c:pt>
                <c:pt idx="59">
                  <c:v>0.40425110369827888</c:v>
                </c:pt>
                <c:pt idx="60">
                  <c:v>0.40425110369827888</c:v>
                </c:pt>
                <c:pt idx="61">
                  <c:v>0.40425110369827888</c:v>
                </c:pt>
                <c:pt idx="62">
                  <c:v>0.40425110369827888</c:v>
                </c:pt>
                <c:pt idx="63">
                  <c:v>0.40425110369827888</c:v>
                </c:pt>
                <c:pt idx="64">
                  <c:v>0.40425110369827888</c:v>
                </c:pt>
                <c:pt idx="65">
                  <c:v>0.40425110369827888</c:v>
                </c:pt>
                <c:pt idx="66">
                  <c:v>0.40425110369827888</c:v>
                </c:pt>
                <c:pt idx="67">
                  <c:v>0.40425110369827888</c:v>
                </c:pt>
                <c:pt idx="68">
                  <c:v>0.40425110369827888</c:v>
                </c:pt>
                <c:pt idx="69">
                  <c:v>0.40425110369827888</c:v>
                </c:pt>
                <c:pt idx="70">
                  <c:v>0.40425110369827888</c:v>
                </c:pt>
                <c:pt idx="71">
                  <c:v>0.40425110369827888</c:v>
                </c:pt>
                <c:pt idx="72">
                  <c:v>0.40425110369827888</c:v>
                </c:pt>
                <c:pt idx="73">
                  <c:v>0.40425110369827888</c:v>
                </c:pt>
                <c:pt idx="74">
                  <c:v>0.40425110369827888</c:v>
                </c:pt>
                <c:pt idx="75">
                  <c:v>0.40425110369827888</c:v>
                </c:pt>
                <c:pt idx="76">
                  <c:v>0.40425110369827888</c:v>
                </c:pt>
                <c:pt idx="77">
                  <c:v>0.40425110369827888</c:v>
                </c:pt>
                <c:pt idx="78">
                  <c:v>0.40425110369827888</c:v>
                </c:pt>
                <c:pt idx="79">
                  <c:v>0.40425110369827888</c:v>
                </c:pt>
                <c:pt idx="80">
                  <c:v>0.40425110369827888</c:v>
                </c:pt>
                <c:pt idx="81">
                  <c:v>0.40425110369827888</c:v>
                </c:pt>
                <c:pt idx="82">
                  <c:v>0.40425110369827888</c:v>
                </c:pt>
                <c:pt idx="83">
                  <c:v>0.40425110369827888</c:v>
                </c:pt>
                <c:pt idx="84">
                  <c:v>0.40425110369827888</c:v>
                </c:pt>
                <c:pt idx="85">
                  <c:v>0.40425110369827888</c:v>
                </c:pt>
                <c:pt idx="86">
                  <c:v>0.40425110369827888</c:v>
                </c:pt>
                <c:pt idx="87">
                  <c:v>0.40425110369827888</c:v>
                </c:pt>
                <c:pt idx="88">
                  <c:v>0.40425110369827888</c:v>
                </c:pt>
                <c:pt idx="89">
                  <c:v>0.40425110369827888</c:v>
                </c:pt>
                <c:pt idx="90">
                  <c:v>0.40425110369827888</c:v>
                </c:pt>
                <c:pt idx="91">
                  <c:v>0.40425110369827888</c:v>
                </c:pt>
                <c:pt idx="92">
                  <c:v>0.40425110369827888</c:v>
                </c:pt>
                <c:pt idx="93">
                  <c:v>0.40425110369827888</c:v>
                </c:pt>
                <c:pt idx="94">
                  <c:v>0.40425110369827888</c:v>
                </c:pt>
                <c:pt idx="95">
                  <c:v>0.40425110369827888</c:v>
                </c:pt>
                <c:pt idx="96">
                  <c:v>0.40425110369827888</c:v>
                </c:pt>
                <c:pt idx="97">
                  <c:v>0.40425110369827888</c:v>
                </c:pt>
                <c:pt idx="98">
                  <c:v>0.40425110369827888</c:v>
                </c:pt>
                <c:pt idx="99">
                  <c:v>0.40425110369827888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Sheet1!$V$1</c:f>
              <c:strCache>
                <c:ptCount val="1"/>
                <c:pt idx="0">
                  <c:v>命中</c:v>
                </c:pt>
              </c:strCache>
            </c:strRef>
          </c:tx>
          <c:marker>
            <c:symbol val="none"/>
          </c:marker>
          <c:yVal>
            <c:numRef>
              <c:f>Sheet1!$V$2:$V$101</c:f>
              <c:numCache>
                <c:formatCode>General</c:formatCode>
                <c:ptCount val="100"/>
                <c:pt idx="0">
                  <c:v>0.40425110369827888</c:v>
                </c:pt>
                <c:pt idx="1">
                  <c:v>0.40425110369827888</c:v>
                </c:pt>
                <c:pt idx="2">
                  <c:v>0.40425110369827888</c:v>
                </c:pt>
                <c:pt idx="3">
                  <c:v>0.40425110369827888</c:v>
                </c:pt>
                <c:pt idx="4">
                  <c:v>0.40425110369827888</c:v>
                </c:pt>
                <c:pt idx="5">
                  <c:v>0.40425110369827888</c:v>
                </c:pt>
                <c:pt idx="6">
                  <c:v>0.40425110369827888</c:v>
                </c:pt>
                <c:pt idx="7">
                  <c:v>0.40425110369827888</c:v>
                </c:pt>
                <c:pt idx="8">
                  <c:v>0.40425110369827888</c:v>
                </c:pt>
                <c:pt idx="9">
                  <c:v>0.40425110369827888</c:v>
                </c:pt>
                <c:pt idx="10">
                  <c:v>0.40425110369827888</c:v>
                </c:pt>
                <c:pt idx="11">
                  <c:v>0.40425110369827888</c:v>
                </c:pt>
                <c:pt idx="12">
                  <c:v>0.40425110369827888</c:v>
                </c:pt>
                <c:pt idx="13">
                  <c:v>0.40425110369827888</c:v>
                </c:pt>
                <c:pt idx="14">
                  <c:v>0.40425110369827888</c:v>
                </c:pt>
                <c:pt idx="15">
                  <c:v>0.40425110369827888</c:v>
                </c:pt>
                <c:pt idx="16">
                  <c:v>0.40425110369827888</c:v>
                </c:pt>
                <c:pt idx="17">
                  <c:v>0.40425110369827888</c:v>
                </c:pt>
                <c:pt idx="18">
                  <c:v>0.40425110369827888</c:v>
                </c:pt>
                <c:pt idx="19">
                  <c:v>0.40425110369827888</c:v>
                </c:pt>
                <c:pt idx="20">
                  <c:v>0.40425110369827888</c:v>
                </c:pt>
                <c:pt idx="21">
                  <c:v>0.40425110369827888</c:v>
                </c:pt>
                <c:pt idx="22">
                  <c:v>0.40425110369827888</c:v>
                </c:pt>
                <c:pt idx="23">
                  <c:v>0.40425110369827888</c:v>
                </c:pt>
                <c:pt idx="24">
                  <c:v>0.40425110369827888</c:v>
                </c:pt>
                <c:pt idx="25">
                  <c:v>0.40425110369827888</c:v>
                </c:pt>
                <c:pt idx="26">
                  <c:v>0.40425110369827888</c:v>
                </c:pt>
                <c:pt idx="27">
                  <c:v>0.40425110369827888</c:v>
                </c:pt>
                <c:pt idx="28">
                  <c:v>0.40425110369827888</c:v>
                </c:pt>
                <c:pt idx="29">
                  <c:v>0.40425110369827888</c:v>
                </c:pt>
                <c:pt idx="30">
                  <c:v>0.40425110369827888</c:v>
                </c:pt>
                <c:pt idx="31">
                  <c:v>0.40425110369827888</c:v>
                </c:pt>
                <c:pt idx="32">
                  <c:v>0.40425110369827888</c:v>
                </c:pt>
                <c:pt idx="33">
                  <c:v>0.40425110369827888</c:v>
                </c:pt>
                <c:pt idx="34">
                  <c:v>0.40425110369827888</c:v>
                </c:pt>
                <c:pt idx="35">
                  <c:v>0.40425110369827888</c:v>
                </c:pt>
                <c:pt idx="36">
                  <c:v>0.40425110369827888</c:v>
                </c:pt>
                <c:pt idx="37">
                  <c:v>0.40425110369827888</c:v>
                </c:pt>
                <c:pt idx="38">
                  <c:v>0.40425110369827888</c:v>
                </c:pt>
                <c:pt idx="39">
                  <c:v>0.40425110369827888</c:v>
                </c:pt>
                <c:pt idx="40">
                  <c:v>0.40425110369827888</c:v>
                </c:pt>
                <c:pt idx="41">
                  <c:v>0.40425110369827888</c:v>
                </c:pt>
                <c:pt idx="42">
                  <c:v>0.40425110369827888</c:v>
                </c:pt>
                <c:pt idx="43">
                  <c:v>0.40425110369827888</c:v>
                </c:pt>
                <c:pt idx="44">
                  <c:v>0.40425110369827888</c:v>
                </c:pt>
                <c:pt idx="45">
                  <c:v>0.40425110369827888</c:v>
                </c:pt>
                <c:pt idx="46">
                  <c:v>0.40425110369827888</c:v>
                </c:pt>
                <c:pt idx="47">
                  <c:v>0.40425110369827888</c:v>
                </c:pt>
                <c:pt idx="48">
                  <c:v>0.40425110369827888</c:v>
                </c:pt>
                <c:pt idx="49">
                  <c:v>0.40425110369827888</c:v>
                </c:pt>
                <c:pt idx="50">
                  <c:v>0.40425110369827888</c:v>
                </c:pt>
                <c:pt idx="51">
                  <c:v>0.40425110369827888</c:v>
                </c:pt>
                <c:pt idx="52">
                  <c:v>0.40425110369827888</c:v>
                </c:pt>
                <c:pt idx="53">
                  <c:v>0.40425110369827888</c:v>
                </c:pt>
                <c:pt idx="54">
                  <c:v>0.40425110369827888</c:v>
                </c:pt>
                <c:pt idx="55">
                  <c:v>0.40425110369827888</c:v>
                </c:pt>
                <c:pt idx="56">
                  <c:v>0.40425110369827888</c:v>
                </c:pt>
                <c:pt idx="57">
                  <c:v>0.40425110369827888</c:v>
                </c:pt>
                <c:pt idx="58">
                  <c:v>0.40425110369827888</c:v>
                </c:pt>
                <c:pt idx="59">
                  <c:v>0.40425110369827888</c:v>
                </c:pt>
                <c:pt idx="60">
                  <c:v>0.40425110369827888</c:v>
                </c:pt>
                <c:pt idx="61">
                  <c:v>0.40425110369827888</c:v>
                </c:pt>
                <c:pt idx="62">
                  <c:v>0.40425110369827888</c:v>
                </c:pt>
                <c:pt idx="63">
                  <c:v>0.40425110369827888</c:v>
                </c:pt>
                <c:pt idx="64">
                  <c:v>0.40425110369827888</c:v>
                </c:pt>
                <c:pt idx="65">
                  <c:v>0.40425110369827888</c:v>
                </c:pt>
                <c:pt idx="66">
                  <c:v>0.40425110369827888</c:v>
                </c:pt>
                <c:pt idx="67">
                  <c:v>0.40425110369827888</c:v>
                </c:pt>
                <c:pt idx="68">
                  <c:v>0.40425110369827888</c:v>
                </c:pt>
                <c:pt idx="69">
                  <c:v>0.40425110369827888</c:v>
                </c:pt>
                <c:pt idx="70">
                  <c:v>0.40425110369827888</c:v>
                </c:pt>
                <c:pt idx="71">
                  <c:v>0.40425110369827888</c:v>
                </c:pt>
                <c:pt idx="72">
                  <c:v>0.40425110369827888</c:v>
                </c:pt>
                <c:pt idx="73">
                  <c:v>0.40425110369827888</c:v>
                </c:pt>
                <c:pt idx="74">
                  <c:v>0.40425110369827888</c:v>
                </c:pt>
                <c:pt idx="75">
                  <c:v>0.40425110369827888</c:v>
                </c:pt>
                <c:pt idx="76">
                  <c:v>0.40425110369827888</c:v>
                </c:pt>
                <c:pt idx="77">
                  <c:v>0.40425110369827888</c:v>
                </c:pt>
                <c:pt idx="78">
                  <c:v>0.40425110369827888</c:v>
                </c:pt>
                <c:pt idx="79">
                  <c:v>0.40425110369827888</c:v>
                </c:pt>
                <c:pt idx="80">
                  <c:v>0.40425110369827888</c:v>
                </c:pt>
                <c:pt idx="81">
                  <c:v>0.40425110369827888</c:v>
                </c:pt>
                <c:pt idx="82">
                  <c:v>0.40425110369827888</c:v>
                </c:pt>
                <c:pt idx="83">
                  <c:v>0.40425110369827888</c:v>
                </c:pt>
                <c:pt idx="84">
                  <c:v>0.40425110369827888</c:v>
                </c:pt>
                <c:pt idx="85">
                  <c:v>0.40425110369827888</c:v>
                </c:pt>
                <c:pt idx="86">
                  <c:v>0.40425110369827888</c:v>
                </c:pt>
                <c:pt idx="87">
                  <c:v>0.40425110369827888</c:v>
                </c:pt>
                <c:pt idx="88">
                  <c:v>0.40425110369827888</c:v>
                </c:pt>
                <c:pt idx="89">
                  <c:v>0.40425110369827888</c:v>
                </c:pt>
                <c:pt idx="90">
                  <c:v>0.40425110369827888</c:v>
                </c:pt>
                <c:pt idx="91">
                  <c:v>0.40425110369827888</c:v>
                </c:pt>
                <c:pt idx="92">
                  <c:v>0.40425110369827888</c:v>
                </c:pt>
                <c:pt idx="93">
                  <c:v>0.40425110369827888</c:v>
                </c:pt>
                <c:pt idx="94">
                  <c:v>0.40425110369827888</c:v>
                </c:pt>
                <c:pt idx="95">
                  <c:v>0.40425110369827888</c:v>
                </c:pt>
                <c:pt idx="96">
                  <c:v>0.40425110369827888</c:v>
                </c:pt>
                <c:pt idx="97">
                  <c:v>0.40425110369827888</c:v>
                </c:pt>
                <c:pt idx="98">
                  <c:v>0.40425110369827888</c:v>
                </c:pt>
                <c:pt idx="99">
                  <c:v>0.40425110369827888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Sheet1!$W$1</c:f>
              <c:strCache>
                <c:ptCount val="1"/>
                <c:pt idx="0">
                  <c:v>护甲穿透</c:v>
                </c:pt>
              </c:strCache>
            </c:strRef>
          </c:tx>
          <c:marker>
            <c:symbol val="none"/>
          </c:marker>
          <c:yVal>
            <c:numRef>
              <c:f>Sheet1!$W$2:$W$101</c:f>
              <c:numCache>
                <c:formatCode>General</c:formatCode>
                <c:ptCount val="100"/>
                <c:pt idx="0">
                  <c:v>0.40425110369827888</c:v>
                </c:pt>
                <c:pt idx="1">
                  <c:v>0.40745406349317892</c:v>
                </c:pt>
                <c:pt idx="2">
                  <c:v>0.41061886191402408</c:v>
                </c:pt>
                <c:pt idx="3">
                  <c:v>0.41374617692737514</c:v>
                </c:pt>
                <c:pt idx="4">
                  <c:v>0.4168366705348634</c:v>
                </c:pt>
                <c:pt idx="5">
                  <c:v>0.41989098924037338</c:v>
                </c:pt>
                <c:pt idx="6">
                  <c:v>0.42290976450091466</c:v>
                </c:pt>
                <c:pt idx="7">
                  <c:v>0.42589361316184549</c:v>
                </c:pt>
                <c:pt idx="8">
                  <c:v>0.42884313787707595</c:v>
                </c:pt>
                <c:pt idx="9">
                  <c:v>0.43175892751485334</c:v>
                </c:pt>
                <c:pt idx="10">
                  <c:v>0.43464155754970407</c:v>
                </c:pt>
                <c:pt idx="11">
                  <c:v>0.43749159044107699</c:v>
                </c:pt>
                <c:pt idx="12">
                  <c:v>0.44030957599921594</c:v>
                </c:pt>
                <c:pt idx="13">
                  <c:v>0.44309605173875838</c:v>
                </c:pt>
                <c:pt idx="14">
                  <c:v>0.44585154322053772</c:v>
                </c:pt>
                <c:pt idx="15">
                  <c:v>0.44857656438204763</c:v>
                </c:pt>
                <c:pt idx="16">
                  <c:v>0.45127161785700354</c:v>
                </c:pt>
                <c:pt idx="17">
                  <c:v>0.45393719528441823</c:v>
                </c:pt>
                <c:pt idx="18">
                  <c:v>0.45657377760759238</c:v>
                </c:pt>
                <c:pt idx="19">
                  <c:v>0.45918183536340101</c:v>
                </c:pt>
                <c:pt idx="20">
                  <c:v>0.46176182896224005</c:v>
                </c:pt>
                <c:pt idx="21">
                  <c:v>0.46431420895898523</c:v>
                </c:pt>
                <c:pt idx="22">
                  <c:v>0.46683941631529702</c:v>
                </c:pt>
                <c:pt idx="23">
                  <c:v>0.46933788265359144</c:v>
                </c:pt>
                <c:pt idx="24">
                  <c:v>0.47181003050298709</c:v>
                </c:pt>
                <c:pt idx="25">
                  <c:v>0.47425627353751776</c:v>
                </c:pt>
                <c:pt idx="26">
                  <c:v>0.47667701680689845</c:v>
                </c:pt>
                <c:pt idx="27">
                  <c:v>0.47907265696010942</c:v>
                </c:pt>
                <c:pt idx="28">
                  <c:v>0.4814435824620632</c:v>
                </c:pt>
                <c:pt idx="29">
                  <c:v>0.48379017380359862</c:v>
                </c:pt>
                <c:pt idx="30">
                  <c:v>0.48611280370504195</c:v>
                </c:pt>
                <c:pt idx="31">
                  <c:v>0.48841183731356452</c:v>
                </c:pt>
                <c:pt idx="32">
                  <c:v>0.49068763239455571</c:v>
                </c:pt>
                <c:pt idx="33">
                  <c:v>0.49294053951722139</c:v>
                </c:pt>
                <c:pt idx="34">
                  <c:v>0.49517090223461147</c:v>
                </c:pt>
                <c:pt idx="35">
                  <c:v>0.49737905725826859</c:v>
                </c:pt>
                <c:pt idx="36">
                  <c:v>0.49956533462768743</c:v>
                </c:pt>
                <c:pt idx="37">
                  <c:v>0.50173005787475955</c:v>
                </c:pt>
                <c:pt idx="38">
                  <c:v>0.50387354418338193</c:v>
                </c:pt>
                <c:pt idx="39">
                  <c:v>0.50599610454438715</c:v>
                </c:pt>
                <c:pt idx="40">
                  <c:v>0.50809804390596103</c:v>
                </c:pt>
                <c:pt idx="41">
                  <c:v>0.5101796613196955</c:v>
                </c:pt>
                <c:pt idx="42">
                  <c:v>0.5122412500824266</c:v>
                </c:pt>
                <c:pt idx="43">
                  <c:v>0.51428309787399784</c:v>
                </c:pt>
                <c:pt idx="44">
                  <c:v>0.51630548689108502</c:v>
                </c:pt>
                <c:pt idx="45">
                  <c:v>0.51830869397721213</c:v>
                </c:pt>
                <c:pt idx="46">
                  <c:v>0.52029299074908719</c:v>
                </c:pt>
                <c:pt idx="47">
                  <c:v>0.52225864371937503</c:v>
                </c:pt>
                <c:pt idx="48">
                  <c:v>0.52420591441602626</c:v>
                </c:pt>
                <c:pt idx="49">
                  <c:v>0.52613505949827533</c:v>
                </c:pt>
                <c:pt idx="50">
                  <c:v>0.52804633086941188</c:v>
                </c:pt>
                <c:pt idx="51">
                  <c:v>0.52993997578643526</c:v>
                </c:pt>
                <c:pt idx="52">
                  <c:v>0.53181623696668567</c:v>
                </c:pt>
                <c:pt idx="53">
                  <c:v>0.53367535269155453</c:v>
                </c:pt>
                <c:pt idx="54">
                  <c:v>0.5355175569073638</c:v>
                </c:pt>
                <c:pt idx="55">
                  <c:v>0.53734307932350478</c:v>
                </c:pt>
                <c:pt idx="56">
                  <c:v>0.53915214550792356</c:v>
                </c:pt>
                <c:pt idx="57">
                  <c:v>0.5409449769800343</c:v>
                </c:pt>
                <c:pt idx="58">
                  <c:v>0.54272179130114351</c:v>
                </c:pt>
                <c:pt idx="59">
                  <c:v>0.5444828021624617</c:v>
                </c:pt>
                <c:pt idx="60">
                  <c:v>0.54622821947077571</c:v>
                </c:pt>
                <c:pt idx="61">
                  <c:v>0.547958249431857</c:v>
                </c:pt>
                <c:pt idx="62">
                  <c:v>0.54967309463167147</c:v>
                </c:pt>
                <c:pt idx="63">
                  <c:v>0.55137295411546283</c:v>
                </c:pt>
                <c:pt idx="64">
                  <c:v>0.55305802346476962</c:v>
                </c:pt>
                <c:pt idx="65">
                  <c:v>0.55472849487244102</c:v>
                </c:pt>
                <c:pt idx="66">
                  <c:v>0.556384557215713</c:v>
                </c:pt>
                <c:pt idx="67">
                  <c:v>0.55802639612739924</c:v>
                </c:pt>
                <c:pt idx="68">
                  <c:v>0.55965419406525729</c:v>
                </c:pt>
                <c:pt idx="69">
                  <c:v>0.56126813037958179</c:v>
                </c:pt>
                <c:pt idx="70">
                  <c:v>0.56286838137907869</c:v>
                </c:pt>
                <c:pt idx="71">
                  <c:v>0.56445512039507062</c:v>
                </c:pt>
                <c:pt idx="72">
                  <c:v>0.56602851784408281</c:v>
                </c:pt>
                <c:pt idx="73">
                  <c:v>0.56758874128885672</c:v>
                </c:pt>
                <c:pt idx="74">
                  <c:v>0.56913595549783746</c:v>
                </c:pt>
                <c:pt idx="75">
                  <c:v>0.57067032250317995</c:v>
                </c:pt>
                <c:pt idx="76">
                  <c:v>0.57219200165731499</c:v>
                </c:pt>
                <c:pt idx="77">
                  <c:v>0.57370114968811892</c:v>
                </c:pt>
                <c:pt idx="78">
                  <c:v>0.57519792075272569</c:v>
                </c:pt>
                <c:pt idx="79">
                  <c:v>0.57668246649001975</c:v>
                </c:pt>
                <c:pt idx="80">
                  <c:v>0.57815493607184776</c:v>
                </c:pt>
                <c:pt idx="81">
                  <c:v>0.57961547625298804</c:v>
                </c:pt>
                <c:pt idx="82">
                  <c:v>0.58106423141990593</c:v>
                </c:pt>
                <c:pt idx="83">
                  <c:v>0.5825013436383385</c:v>
                </c:pt>
                <c:pt idx="84">
                  <c:v>0.58392695269973327</c:v>
                </c:pt>
                <c:pt idx="85">
                  <c:v>0.58534119616657765</c:v>
                </c:pt>
                <c:pt idx="86">
                  <c:v>0.58674420941664751</c:v>
                </c:pt>
                <c:pt idx="87">
                  <c:v>0.58813612568620832</c:v>
                </c:pt>
                <c:pt idx="88">
                  <c:v>0.58951707611219151</c:v>
                </c:pt>
                <c:pt idx="89">
                  <c:v>0.59088718977338073</c:v>
                </c:pt>
                <c:pt idx="90">
                  <c:v>0.5922465937306316</c:v>
                </c:pt>
                <c:pt idx="91">
                  <c:v>0.59359541306615138</c:v>
                </c:pt>
                <c:pt idx="92">
                  <c:v>0.59493377092186517</c:v>
                </c:pt>
                <c:pt idx="93">
                  <c:v>0.59626178853689304</c:v>
                </c:pt>
                <c:pt idx="94">
                  <c:v>0.59757958528416144</c:v>
                </c:pt>
                <c:pt idx="95">
                  <c:v>0.59888727870617253</c:v>
                </c:pt>
                <c:pt idx="96">
                  <c:v>0.60018498454995417</c:v>
                </c:pt>
                <c:pt idx="97">
                  <c:v>0.60147281680121234</c:v>
                </c:pt>
                <c:pt idx="98">
                  <c:v>0.60275088771770635</c:v>
                </c:pt>
                <c:pt idx="99">
                  <c:v>0.60401930786186864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Sheet1!$X$1</c:f>
              <c:strCache>
                <c:ptCount val="1"/>
                <c:pt idx="0">
                  <c:v>物抗穿透</c:v>
                </c:pt>
              </c:strCache>
            </c:strRef>
          </c:tx>
          <c:marker>
            <c:symbol val="none"/>
          </c:marker>
          <c:yVal>
            <c:numRef>
              <c:f>Sheet1!$X$2:$X$101</c:f>
              <c:numCache>
                <c:formatCode>General</c:formatCode>
                <c:ptCount val="100"/>
                <c:pt idx="0">
                  <c:v>0.40425110369827888</c:v>
                </c:pt>
                <c:pt idx="1">
                  <c:v>0.40780248789563556</c:v>
                </c:pt>
                <c:pt idx="2">
                  <c:v>0.41130378896615849</c:v>
                </c:pt>
                <c:pt idx="3">
                  <c:v>0.41475605893207401</c:v>
                </c:pt>
                <c:pt idx="4">
                  <c:v>0.41816032055611008</c:v>
                </c:pt>
                <c:pt idx="5">
                  <c:v>0.4215175683517024</c:v>
                </c:pt>
                <c:pt idx="6">
                  <c:v>0.42482876955163262</c:v>
                </c:pt>
                <c:pt idx="7">
                  <c:v>0.42809486503708116</c:v>
                </c:pt>
                <c:pt idx="8">
                  <c:v>0.4313167702289723</c:v>
                </c:pt>
                <c:pt idx="9">
                  <c:v>0.43449537594337884</c:v>
                </c:pt>
                <c:pt idx="10">
                  <c:v>0.43763154921267322</c:v>
                </c:pt>
                <c:pt idx="11">
                  <c:v>0.44072613407400785</c:v>
                </c:pt>
                <c:pt idx="12">
                  <c:v>0.44377995232663747</c:v>
                </c:pt>
                <c:pt idx="13">
                  <c:v>0.4467938042595036</c:v>
                </c:pt>
                <c:pt idx="14">
                  <c:v>0.44976846935044257</c:v>
                </c:pt>
                <c:pt idx="15">
                  <c:v>0.45270470693829223</c:v>
                </c:pt>
                <c:pt idx="16">
                  <c:v>0.45560325686912106</c:v>
                </c:pt>
                <c:pt idx="17">
                  <c:v>0.45846484011773048</c:v>
                </c:pt>
                <c:pt idx="18">
                  <c:v>0.46129015938552986</c:v>
                </c:pt>
                <c:pt idx="19">
                  <c:v>0.4640798996758243</c:v>
                </c:pt>
                <c:pt idx="20">
                  <c:v>0.46683472884750443</c:v>
                </c:pt>
                <c:pt idx="21">
                  <c:v>0.46955529814807934</c:v>
                </c:pt>
                <c:pt idx="22">
                  <c:v>0.47224224272694493</c:v>
                </c:pt>
                <c:pt idx="23">
                  <c:v>0.47489618212973805</c:v>
                </c:pt>
                <c:pt idx="24">
                  <c:v>0.4775177207745851</c:v>
                </c:pt>
                <c:pt idx="25">
                  <c:v>0.48010744841101305</c:v>
                </c:pt>
                <c:pt idx="26">
                  <c:v>0.48266594056225548</c:v>
                </c:pt>
                <c:pt idx="27">
                  <c:v>0.48519375895164996</c:v>
                </c:pt>
                <c:pt idx="28">
                  <c:v>0.48769145191379115</c:v>
                </c:pt>
                <c:pt idx="29">
                  <c:v>0.49015955479107065</c:v>
                </c:pt>
                <c:pt idx="30">
                  <c:v>0.49259859031620601</c:v>
                </c:pt>
                <c:pt idx="31">
                  <c:v>0.49500906898133501</c:v>
                </c:pt>
                <c:pt idx="32">
                  <c:v>0.49739148939421929</c:v>
                </c:pt>
                <c:pt idx="33">
                  <c:v>0.49974633862208262</c:v>
                </c:pt>
                <c:pt idx="34">
                  <c:v>0.50207409252357937</c:v>
                </c:pt>
                <c:pt idx="35">
                  <c:v>0.50437521606936975</c:v>
                </c:pt>
                <c:pt idx="36">
                  <c:v>0.50665016365175541</c:v>
                </c:pt>
                <c:pt idx="37">
                  <c:v>0.50889937938380836</c:v>
                </c:pt>
                <c:pt idx="38">
                  <c:v>0.51112329738840567</c:v>
                </c:pt>
                <c:pt idx="39">
                  <c:v>0.51332234207756722</c:v>
                </c:pt>
                <c:pt idx="40">
                  <c:v>0.51549692842247208</c:v>
                </c:pt>
                <c:pt idx="41">
                  <c:v>0.51764746221451541</c:v>
                </c:pt>
                <c:pt idx="42">
                  <c:v>0.51977434031775138</c:v>
                </c:pt>
                <c:pt idx="43">
                  <c:v>0.52187795091304867</c:v>
                </c:pt>
                <c:pt idx="44">
                  <c:v>0.52395867373427973</c:v>
                </c:pt>
                <c:pt idx="45">
                  <c:v>0.52601688029684013</c:v>
                </c:pt>
                <c:pt idx="46">
                  <c:v>0.52805293411878984</c:v>
                </c:pt>
                <c:pt idx="47">
                  <c:v>0.53006719093489241</c:v>
                </c:pt>
                <c:pt idx="48">
                  <c:v>0.5320599989038165</c:v>
                </c:pt>
                <c:pt idx="49">
                  <c:v>0.53403169880875256</c:v>
                </c:pt>
                <c:pt idx="50">
                  <c:v>0.53598262425168952</c:v>
                </c:pt>
                <c:pt idx="51">
                  <c:v>0.53791310184158181</c:v>
                </c:pt>
                <c:pt idx="52">
                  <c:v>0.53982345137663112</c:v>
                </c:pt>
                <c:pt idx="53">
                  <c:v>0.54171398602089516</c:v>
                </c:pt>
                <c:pt idx="54">
                  <c:v>0.5435850124754309</c:v>
                </c:pt>
                <c:pt idx="55">
                  <c:v>0.5454368311441653</c:v>
                </c:pt>
                <c:pt idx="56">
                  <c:v>0.54726973629468478</c:v>
                </c:pt>
                <c:pt idx="57">
                  <c:v>0.54908401621412239</c:v>
                </c:pt>
                <c:pt idx="58">
                  <c:v>0.55087995336031714</c:v>
                </c:pt>
                <c:pt idx="59">
                  <c:v>0.5526578245084115</c:v>
                </c:pt>
                <c:pt idx="60">
                  <c:v>0.55441790089304765</c:v>
                </c:pt>
                <c:pt idx="61">
                  <c:v>0.55616044834631406</c:v>
                </c:pt>
                <c:pt idx="62">
                  <c:v>0.55788572743159148</c:v>
                </c:pt>
                <c:pt idx="63">
                  <c:v>0.5595939935734402</c:v>
                </c:pt>
                <c:pt idx="64">
                  <c:v>0.56128549718366261</c:v>
                </c:pt>
                <c:pt idx="65">
                  <c:v>0.56296048378367325</c:v>
                </c:pt>
                <c:pt idx="66">
                  <c:v>0.56461919412330164</c:v>
                </c:pt>
                <c:pt idx="67">
                  <c:v>0.56626186429614855</c:v>
                </c:pt>
                <c:pt idx="68">
                  <c:v>0.56788872585161132</c:v>
                </c:pt>
                <c:pt idx="69">
                  <c:v>0.56950000590369187</c:v>
                </c:pt>
                <c:pt idx="70">
                  <c:v>0.57109592723669134</c:v>
                </c:pt>
                <c:pt idx="71">
                  <c:v>0.57267670840789675</c:v>
                </c:pt>
                <c:pt idx="72">
                  <c:v>0.57424256384736139</c:v>
                </c:pt>
                <c:pt idx="73">
                  <c:v>0.57579370395486906</c:v>
                </c:pt>
                <c:pt idx="74">
                  <c:v>0.57733033519417876</c:v>
                </c:pt>
                <c:pt idx="75">
                  <c:v>0.57885266018463799</c:v>
                </c:pt>
                <c:pt idx="76">
                  <c:v>0.5803608777902467</c:v>
                </c:pt>
                <c:pt idx="77">
                  <c:v>0.5818551832062594</c:v>
                </c:pt>
                <c:pt idx="78">
                  <c:v>0.58333576804339971</c:v>
                </c:pt>
                <c:pt idx="79">
                  <c:v>0.5848028204097665</c:v>
                </c:pt>
                <c:pt idx="80">
                  <c:v>0.58625652499050407</c:v>
                </c:pt>
                <c:pt idx="81">
                  <c:v>0.58769706312530878</c:v>
                </c:pt>
                <c:pt idx="82">
                  <c:v>0.589124612883837</c:v>
                </c:pt>
                <c:pt idx="83">
                  <c:v>0.59053934913908457</c:v>
                </c:pt>
                <c:pt idx="84">
                  <c:v>0.59194144363879841</c:v>
                </c:pt>
                <c:pt idx="85">
                  <c:v>0.59333106507498146</c:v>
                </c:pt>
                <c:pt idx="86">
                  <c:v>0.59470837915155261</c:v>
                </c:pt>
                <c:pt idx="87">
                  <c:v>0.59607354865021511</c:v>
                </c:pt>
                <c:pt idx="88">
                  <c:v>0.59742673349459186</c:v>
                </c:pt>
                <c:pt idx="89">
                  <c:v>0.59876809081267657</c:v>
                </c:pt>
                <c:pt idx="90">
                  <c:v>0.60009777499765793</c:v>
                </c:pt>
                <c:pt idx="91">
                  <c:v>0.60141593776715929</c:v>
                </c:pt>
                <c:pt idx="92">
                  <c:v>0.60272272822094775</c:v>
                </c:pt>
                <c:pt idx="93">
                  <c:v>0.6040182928971537</c:v>
                </c:pt>
                <c:pt idx="94">
                  <c:v>0.6053027758270495</c:v>
                </c:pt>
                <c:pt idx="95">
                  <c:v>0.60657631858842809</c:v>
                </c:pt>
                <c:pt idx="96">
                  <c:v>0.60783906035762303</c:v>
                </c:pt>
                <c:pt idx="97">
                  <c:v>0.60909113796021042</c:v>
                </c:pt>
                <c:pt idx="98">
                  <c:v>0.61033268592043255</c:v>
                </c:pt>
                <c:pt idx="99">
                  <c:v>0.61156383650937929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Sheet1!$Y$1</c:f>
              <c:strCache>
                <c:ptCount val="1"/>
                <c:pt idx="0">
                  <c:v>魔抗穿透</c:v>
                </c:pt>
              </c:strCache>
            </c:strRef>
          </c:tx>
          <c:marker>
            <c:symbol val="none"/>
          </c:marker>
          <c:yVal>
            <c:numRef>
              <c:f>Sheet1!$Y$2:$Y$101</c:f>
              <c:numCache>
                <c:formatCode>General</c:formatCode>
                <c:ptCount val="100"/>
                <c:pt idx="0">
                  <c:v>0.40425110369827888</c:v>
                </c:pt>
                <c:pt idx="1">
                  <c:v>0.40425110369827888</c:v>
                </c:pt>
                <c:pt idx="2">
                  <c:v>0.40425110369827888</c:v>
                </c:pt>
                <c:pt idx="3">
                  <c:v>0.40425110369827888</c:v>
                </c:pt>
                <c:pt idx="4">
                  <c:v>0.40425110369827888</c:v>
                </c:pt>
                <c:pt idx="5">
                  <c:v>0.40425110369827888</c:v>
                </c:pt>
                <c:pt idx="6">
                  <c:v>0.40425110369827888</c:v>
                </c:pt>
                <c:pt idx="7">
                  <c:v>0.40425110369827888</c:v>
                </c:pt>
                <c:pt idx="8">
                  <c:v>0.40425110369827888</c:v>
                </c:pt>
                <c:pt idx="9">
                  <c:v>0.40425110369827888</c:v>
                </c:pt>
                <c:pt idx="10">
                  <c:v>0.40425110369827888</c:v>
                </c:pt>
                <c:pt idx="11">
                  <c:v>0.40425110369827888</c:v>
                </c:pt>
                <c:pt idx="12">
                  <c:v>0.40425110369827888</c:v>
                </c:pt>
                <c:pt idx="13">
                  <c:v>0.40425110369827888</c:v>
                </c:pt>
                <c:pt idx="14">
                  <c:v>0.40425110369827888</c:v>
                </c:pt>
                <c:pt idx="15">
                  <c:v>0.40425110369827888</c:v>
                </c:pt>
                <c:pt idx="16">
                  <c:v>0.40425110369827888</c:v>
                </c:pt>
                <c:pt idx="17">
                  <c:v>0.40425110369827888</c:v>
                </c:pt>
                <c:pt idx="18">
                  <c:v>0.40425110369827888</c:v>
                </c:pt>
                <c:pt idx="19">
                  <c:v>0.40425110369827888</c:v>
                </c:pt>
                <c:pt idx="20">
                  <c:v>0.40425110369827888</c:v>
                </c:pt>
                <c:pt idx="21">
                  <c:v>0.40425110369827888</c:v>
                </c:pt>
                <c:pt idx="22">
                  <c:v>0.40425110369827888</c:v>
                </c:pt>
                <c:pt idx="23">
                  <c:v>0.40425110369827888</c:v>
                </c:pt>
                <c:pt idx="24">
                  <c:v>0.40425110369827888</c:v>
                </c:pt>
                <c:pt idx="25">
                  <c:v>0.40425110369827888</c:v>
                </c:pt>
                <c:pt idx="26">
                  <c:v>0.40425110369827888</c:v>
                </c:pt>
                <c:pt idx="27">
                  <c:v>0.40425110369827888</c:v>
                </c:pt>
                <c:pt idx="28">
                  <c:v>0.40425110369827888</c:v>
                </c:pt>
                <c:pt idx="29">
                  <c:v>0.40425110369827888</c:v>
                </c:pt>
                <c:pt idx="30">
                  <c:v>0.40425110369827888</c:v>
                </c:pt>
                <c:pt idx="31">
                  <c:v>0.40425110369827888</c:v>
                </c:pt>
                <c:pt idx="32">
                  <c:v>0.40425110369827888</c:v>
                </c:pt>
                <c:pt idx="33">
                  <c:v>0.40425110369827888</c:v>
                </c:pt>
                <c:pt idx="34">
                  <c:v>0.40425110369827888</c:v>
                </c:pt>
                <c:pt idx="35">
                  <c:v>0.40425110369827888</c:v>
                </c:pt>
                <c:pt idx="36">
                  <c:v>0.40425110369827888</c:v>
                </c:pt>
                <c:pt idx="37">
                  <c:v>0.40425110369827888</c:v>
                </c:pt>
                <c:pt idx="38">
                  <c:v>0.40425110369827888</c:v>
                </c:pt>
                <c:pt idx="39">
                  <c:v>0.40425110369827888</c:v>
                </c:pt>
                <c:pt idx="40">
                  <c:v>0.40425110369827888</c:v>
                </c:pt>
                <c:pt idx="41">
                  <c:v>0.40425110369827888</c:v>
                </c:pt>
                <c:pt idx="42">
                  <c:v>0.40425110369827888</c:v>
                </c:pt>
                <c:pt idx="43">
                  <c:v>0.40425110369827888</c:v>
                </c:pt>
                <c:pt idx="44">
                  <c:v>0.40425110369827888</c:v>
                </c:pt>
                <c:pt idx="45">
                  <c:v>0.40425110369827888</c:v>
                </c:pt>
                <c:pt idx="46">
                  <c:v>0.40425110369827888</c:v>
                </c:pt>
                <c:pt idx="47">
                  <c:v>0.40425110369827888</c:v>
                </c:pt>
                <c:pt idx="48">
                  <c:v>0.40425110369827888</c:v>
                </c:pt>
                <c:pt idx="49">
                  <c:v>0.40425110369827888</c:v>
                </c:pt>
                <c:pt idx="50">
                  <c:v>0.40425110369827888</c:v>
                </c:pt>
                <c:pt idx="51">
                  <c:v>0.40425110369827888</c:v>
                </c:pt>
                <c:pt idx="52">
                  <c:v>0.40425110369827888</c:v>
                </c:pt>
                <c:pt idx="53">
                  <c:v>0.40425110369827888</c:v>
                </c:pt>
                <c:pt idx="54">
                  <c:v>0.40425110369827888</c:v>
                </c:pt>
                <c:pt idx="55">
                  <c:v>0.40425110369827888</c:v>
                </c:pt>
                <c:pt idx="56">
                  <c:v>0.40425110369827888</c:v>
                </c:pt>
                <c:pt idx="57">
                  <c:v>0.40425110369827888</c:v>
                </c:pt>
                <c:pt idx="58">
                  <c:v>0.40425110369827888</c:v>
                </c:pt>
                <c:pt idx="59">
                  <c:v>0.40425110369827888</c:v>
                </c:pt>
                <c:pt idx="60">
                  <c:v>0.40425110369827888</c:v>
                </c:pt>
                <c:pt idx="61">
                  <c:v>0.40425110369827888</c:v>
                </c:pt>
                <c:pt idx="62">
                  <c:v>0.40425110369827888</c:v>
                </c:pt>
                <c:pt idx="63">
                  <c:v>0.40425110369827888</c:v>
                </c:pt>
                <c:pt idx="64">
                  <c:v>0.40425110369827888</c:v>
                </c:pt>
                <c:pt idx="65">
                  <c:v>0.40425110369827888</c:v>
                </c:pt>
                <c:pt idx="66">
                  <c:v>0.40425110369827888</c:v>
                </c:pt>
                <c:pt idx="67">
                  <c:v>0.40425110369827888</c:v>
                </c:pt>
                <c:pt idx="68">
                  <c:v>0.40425110369827888</c:v>
                </c:pt>
                <c:pt idx="69">
                  <c:v>0.40425110369827888</c:v>
                </c:pt>
                <c:pt idx="70">
                  <c:v>0.40425110369827888</c:v>
                </c:pt>
                <c:pt idx="71">
                  <c:v>0.40425110369827888</c:v>
                </c:pt>
                <c:pt idx="72">
                  <c:v>0.40425110369827888</c:v>
                </c:pt>
                <c:pt idx="73">
                  <c:v>0.40425110369827888</c:v>
                </c:pt>
                <c:pt idx="74">
                  <c:v>0.40425110369827888</c:v>
                </c:pt>
                <c:pt idx="75">
                  <c:v>0.40425110369827888</c:v>
                </c:pt>
                <c:pt idx="76">
                  <c:v>0.40425110369827888</c:v>
                </c:pt>
                <c:pt idx="77">
                  <c:v>0.40425110369827888</c:v>
                </c:pt>
                <c:pt idx="78">
                  <c:v>0.40425110369827888</c:v>
                </c:pt>
                <c:pt idx="79">
                  <c:v>0.40425110369827888</c:v>
                </c:pt>
                <c:pt idx="80">
                  <c:v>0.40425110369827888</c:v>
                </c:pt>
                <c:pt idx="81">
                  <c:v>0.40425110369827888</c:v>
                </c:pt>
                <c:pt idx="82">
                  <c:v>0.40425110369827888</c:v>
                </c:pt>
                <c:pt idx="83">
                  <c:v>0.40425110369827888</c:v>
                </c:pt>
                <c:pt idx="84">
                  <c:v>0.40425110369827888</c:v>
                </c:pt>
                <c:pt idx="85">
                  <c:v>0.40425110369827888</c:v>
                </c:pt>
                <c:pt idx="86">
                  <c:v>0.40425110369827888</c:v>
                </c:pt>
                <c:pt idx="87">
                  <c:v>0.40425110369827888</c:v>
                </c:pt>
                <c:pt idx="88">
                  <c:v>0.40425110369827888</c:v>
                </c:pt>
                <c:pt idx="89">
                  <c:v>0.40425110369827888</c:v>
                </c:pt>
                <c:pt idx="90">
                  <c:v>0.40425110369827888</c:v>
                </c:pt>
                <c:pt idx="91">
                  <c:v>0.40425110369827888</c:v>
                </c:pt>
                <c:pt idx="92">
                  <c:v>0.40425110369827888</c:v>
                </c:pt>
                <c:pt idx="93">
                  <c:v>0.40425110369827888</c:v>
                </c:pt>
                <c:pt idx="94">
                  <c:v>0.40425110369827888</c:v>
                </c:pt>
                <c:pt idx="95">
                  <c:v>0.40425110369827888</c:v>
                </c:pt>
                <c:pt idx="96">
                  <c:v>0.40425110369827888</c:v>
                </c:pt>
                <c:pt idx="97">
                  <c:v>0.40425110369827888</c:v>
                </c:pt>
                <c:pt idx="98">
                  <c:v>0.40425110369827888</c:v>
                </c:pt>
                <c:pt idx="99">
                  <c:v>0.40425110369827888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Sheet1!$Z$1</c:f>
              <c:strCache>
                <c:ptCount val="1"/>
                <c:pt idx="0">
                  <c:v>暴伤</c:v>
                </c:pt>
              </c:strCache>
            </c:strRef>
          </c:tx>
          <c:marker>
            <c:symbol val="none"/>
          </c:marker>
          <c:yVal>
            <c:numRef>
              <c:f>Sheet1!$Z$2:$Z$101</c:f>
              <c:numCache>
                <c:formatCode>General</c:formatCode>
                <c:ptCount val="100"/>
                <c:pt idx="0">
                  <c:v>0.40425110369827888</c:v>
                </c:pt>
                <c:pt idx="1">
                  <c:v>0.40627235921677018</c:v>
                </c:pt>
                <c:pt idx="2">
                  <c:v>0.40829361473526171</c:v>
                </c:pt>
                <c:pt idx="3">
                  <c:v>0.41031487025375302</c:v>
                </c:pt>
                <c:pt idx="4">
                  <c:v>0.41233612577224443</c:v>
                </c:pt>
                <c:pt idx="5">
                  <c:v>0.41435738129073579</c:v>
                </c:pt>
                <c:pt idx="6">
                  <c:v>0.41637863680922726</c:v>
                </c:pt>
                <c:pt idx="7">
                  <c:v>0.41839989232771863</c:v>
                </c:pt>
                <c:pt idx="8">
                  <c:v>0.42042114784621004</c:v>
                </c:pt>
                <c:pt idx="9">
                  <c:v>0.4224424033647014</c:v>
                </c:pt>
                <c:pt idx="10">
                  <c:v>0.42446365888319287</c:v>
                </c:pt>
                <c:pt idx="11">
                  <c:v>0.42648491440168423</c:v>
                </c:pt>
                <c:pt idx="12">
                  <c:v>0.42850616992017565</c:v>
                </c:pt>
                <c:pt idx="13">
                  <c:v>0.43052742543866696</c:v>
                </c:pt>
                <c:pt idx="14">
                  <c:v>0.43254868095715848</c:v>
                </c:pt>
                <c:pt idx="15">
                  <c:v>0.43456993647564979</c:v>
                </c:pt>
                <c:pt idx="16">
                  <c:v>0.4365911919941412</c:v>
                </c:pt>
                <c:pt idx="17">
                  <c:v>0.43861244751263251</c:v>
                </c:pt>
                <c:pt idx="18">
                  <c:v>0.44063370303112404</c:v>
                </c:pt>
                <c:pt idx="19">
                  <c:v>0.44265495854961534</c:v>
                </c:pt>
                <c:pt idx="20">
                  <c:v>0.44467621406810676</c:v>
                </c:pt>
                <c:pt idx="21">
                  <c:v>0.44669746958659812</c:v>
                </c:pt>
                <c:pt idx="22">
                  <c:v>0.44871872510508959</c:v>
                </c:pt>
                <c:pt idx="23">
                  <c:v>0.45073998062358095</c:v>
                </c:pt>
                <c:pt idx="24">
                  <c:v>0.45276123614207237</c:v>
                </c:pt>
                <c:pt idx="25">
                  <c:v>0.45478249166056373</c:v>
                </c:pt>
                <c:pt idx="26">
                  <c:v>0.4568037471790552</c:v>
                </c:pt>
                <c:pt idx="27">
                  <c:v>0.45882500269754656</c:v>
                </c:pt>
                <c:pt idx="28">
                  <c:v>0.46084625821603797</c:v>
                </c:pt>
                <c:pt idx="29">
                  <c:v>0.46286751373452928</c:v>
                </c:pt>
                <c:pt idx="30">
                  <c:v>0.46488876925302081</c:v>
                </c:pt>
                <c:pt idx="31">
                  <c:v>0.46691002477151211</c:v>
                </c:pt>
                <c:pt idx="32">
                  <c:v>0.46893128029000353</c:v>
                </c:pt>
                <c:pt idx="33">
                  <c:v>0.47095253580849494</c:v>
                </c:pt>
                <c:pt idx="34">
                  <c:v>0.47297379132698636</c:v>
                </c:pt>
                <c:pt idx="35">
                  <c:v>0.47499504684547766</c:v>
                </c:pt>
                <c:pt idx="36">
                  <c:v>0.47701630236396908</c:v>
                </c:pt>
                <c:pt idx="37">
                  <c:v>0.4790375578824605</c:v>
                </c:pt>
                <c:pt idx="38">
                  <c:v>0.48105881340095191</c:v>
                </c:pt>
                <c:pt idx="39">
                  <c:v>0.48308006891944327</c:v>
                </c:pt>
                <c:pt idx="40">
                  <c:v>0.48510132443793469</c:v>
                </c:pt>
                <c:pt idx="41">
                  <c:v>0.4871225799564261</c:v>
                </c:pt>
                <c:pt idx="42">
                  <c:v>0.48914383547491752</c:v>
                </c:pt>
                <c:pt idx="43">
                  <c:v>0.49116509099340888</c:v>
                </c:pt>
                <c:pt idx="44">
                  <c:v>0.4931863465119003</c:v>
                </c:pt>
                <c:pt idx="45">
                  <c:v>0.49520760203039171</c:v>
                </c:pt>
                <c:pt idx="46">
                  <c:v>0.49722885754888313</c:v>
                </c:pt>
                <c:pt idx="47">
                  <c:v>0.49925011306737443</c:v>
                </c:pt>
                <c:pt idx="48">
                  <c:v>0.50127136858586585</c:v>
                </c:pt>
                <c:pt idx="49">
                  <c:v>0.50329262410435727</c:v>
                </c:pt>
                <c:pt idx="50">
                  <c:v>0.50531387962284868</c:v>
                </c:pt>
                <c:pt idx="51">
                  <c:v>0.50733513514133999</c:v>
                </c:pt>
                <c:pt idx="52">
                  <c:v>0.5093563906598314</c:v>
                </c:pt>
                <c:pt idx="53">
                  <c:v>0.51137764617832282</c:v>
                </c:pt>
                <c:pt idx="54">
                  <c:v>0.51339890169681424</c:v>
                </c:pt>
                <c:pt idx="55">
                  <c:v>0.51542015721530565</c:v>
                </c:pt>
                <c:pt idx="56">
                  <c:v>0.51744141273379696</c:v>
                </c:pt>
                <c:pt idx="57">
                  <c:v>0.51946266825228848</c:v>
                </c:pt>
                <c:pt idx="58">
                  <c:v>0.52148392377077979</c:v>
                </c:pt>
                <c:pt idx="59">
                  <c:v>0.52350517928927121</c:v>
                </c:pt>
                <c:pt idx="60">
                  <c:v>0.52552643480776262</c:v>
                </c:pt>
                <c:pt idx="61">
                  <c:v>0.52754769032625404</c:v>
                </c:pt>
                <c:pt idx="62">
                  <c:v>0.52956894584474545</c:v>
                </c:pt>
                <c:pt idx="63">
                  <c:v>0.53159020136323687</c:v>
                </c:pt>
                <c:pt idx="64">
                  <c:v>0.53361145688172817</c:v>
                </c:pt>
                <c:pt idx="65">
                  <c:v>0.53563271240021959</c:v>
                </c:pt>
                <c:pt idx="66">
                  <c:v>0.53765396791871101</c:v>
                </c:pt>
                <c:pt idx="67">
                  <c:v>0.53967522343720242</c:v>
                </c:pt>
                <c:pt idx="68">
                  <c:v>0.54169647895569373</c:v>
                </c:pt>
                <c:pt idx="69">
                  <c:v>0.54371773447418514</c:v>
                </c:pt>
                <c:pt idx="70">
                  <c:v>0.54573898999267656</c:v>
                </c:pt>
                <c:pt idx="71">
                  <c:v>0.54776024551116798</c:v>
                </c:pt>
                <c:pt idx="72">
                  <c:v>0.54978150102965939</c:v>
                </c:pt>
                <c:pt idx="73">
                  <c:v>0.5518027565481507</c:v>
                </c:pt>
                <c:pt idx="74">
                  <c:v>0.55382401206664211</c:v>
                </c:pt>
                <c:pt idx="75">
                  <c:v>0.55584526758513353</c:v>
                </c:pt>
                <c:pt idx="76">
                  <c:v>0.55786652310362472</c:v>
                </c:pt>
                <c:pt idx="77">
                  <c:v>0.55988777862211625</c:v>
                </c:pt>
                <c:pt idx="78">
                  <c:v>0.56190903414060744</c:v>
                </c:pt>
                <c:pt idx="79">
                  <c:v>0.56393028965909897</c:v>
                </c:pt>
                <c:pt idx="80">
                  <c:v>0.56595154517759028</c:v>
                </c:pt>
                <c:pt idx="81">
                  <c:v>0.56797280069608169</c:v>
                </c:pt>
                <c:pt idx="82">
                  <c:v>0.569994056214573</c:v>
                </c:pt>
                <c:pt idx="83">
                  <c:v>0.57201531173306441</c:v>
                </c:pt>
                <c:pt idx="84">
                  <c:v>0.57403656725155572</c:v>
                </c:pt>
                <c:pt idx="85">
                  <c:v>0.57605782277004702</c:v>
                </c:pt>
                <c:pt idx="86">
                  <c:v>0.57807907828853844</c:v>
                </c:pt>
                <c:pt idx="87">
                  <c:v>0.58010033380702986</c:v>
                </c:pt>
                <c:pt idx="88">
                  <c:v>0.58212158932552116</c:v>
                </c:pt>
                <c:pt idx="89">
                  <c:v>0.58414284484401269</c:v>
                </c:pt>
                <c:pt idx="90">
                  <c:v>0.58616410036250388</c:v>
                </c:pt>
                <c:pt idx="91">
                  <c:v>0.5881853558809953</c:v>
                </c:pt>
                <c:pt idx="92">
                  <c:v>0.5902066113994866</c:v>
                </c:pt>
                <c:pt idx="93">
                  <c:v>0.59222786691797813</c:v>
                </c:pt>
                <c:pt idx="94">
                  <c:v>0.59424912243646943</c:v>
                </c:pt>
                <c:pt idx="95">
                  <c:v>0.59627037795496074</c:v>
                </c:pt>
                <c:pt idx="96">
                  <c:v>0.59829163347345204</c:v>
                </c:pt>
                <c:pt idx="97">
                  <c:v>0.60031288899194346</c:v>
                </c:pt>
                <c:pt idx="98">
                  <c:v>0.60233414451043488</c:v>
                </c:pt>
                <c:pt idx="99">
                  <c:v>0.60435540002892618</c:v>
                </c:pt>
              </c:numCache>
            </c:numRef>
          </c:yVal>
          <c:smooth val="1"/>
        </c:ser>
        <c:axId val="55007872"/>
        <c:axId val="55017856"/>
      </c:scatterChart>
      <c:valAx>
        <c:axId val="55007872"/>
        <c:scaling>
          <c:orientation val="minMax"/>
        </c:scaling>
        <c:axPos val="b"/>
        <c:numFmt formatCode="General" sourceLinked="1"/>
        <c:majorTickMark val="none"/>
        <c:tickLblPos val="nextTo"/>
        <c:crossAx val="55017856"/>
        <c:crosses val="autoZero"/>
        <c:crossBetween val="midCat"/>
      </c:valAx>
      <c:valAx>
        <c:axId val="550178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DPS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5007872"/>
        <c:crosses val="autoZero"/>
        <c:crossBetween val="midCat"/>
      </c:valAx>
    </c:plotArea>
    <c:legend>
      <c:legendPos val="r"/>
      <c:legendEntry>
        <c:idx val="-1"/>
        <c:delete val="1"/>
      </c:legendEntry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352425</xdr:colOff>
      <xdr:row>17</xdr:row>
      <xdr:rowOff>66675</xdr:rowOff>
    </xdr:from>
    <xdr:to>
      <xdr:col>19</xdr:col>
      <xdr:colOff>123825</xdr:colOff>
      <xdr:row>33</xdr:row>
      <xdr:rowOff>66675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201"/>
  <sheetViews>
    <sheetView tabSelected="1" workbookViewId="0">
      <selection activeCell="C24" sqref="C24"/>
    </sheetView>
  </sheetViews>
  <sheetFormatPr defaultRowHeight="13.5"/>
  <cols>
    <col min="1" max="1" width="13.25" customWidth="1"/>
    <col min="10" max="10" width="11.375" customWidth="1"/>
  </cols>
  <sheetData>
    <row r="1" spans="1:26"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T1" t="s">
        <v>130</v>
      </c>
      <c r="U1" t="s">
        <v>79</v>
      </c>
      <c r="V1" t="s">
        <v>131</v>
      </c>
      <c r="W1" t="s">
        <v>132</v>
      </c>
      <c r="X1" t="s">
        <v>133</v>
      </c>
      <c r="Y1" t="s">
        <v>134</v>
      </c>
      <c r="Z1" t="s">
        <v>135</v>
      </c>
    </row>
    <row r="2" spans="1:26">
      <c r="B2" t="s">
        <v>88</v>
      </c>
      <c r="C2" t="s">
        <v>136</v>
      </c>
      <c r="F2" t="s">
        <v>115</v>
      </c>
      <c r="G2" t="s">
        <v>115</v>
      </c>
      <c r="J2" t="s">
        <v>116</v>
      </c>
      <c r="K2" t="s">
        <v>110</v>
      </c>
      <c r="L2" t="s">
        <v>118</v>
      </c>
      <c r="P2" t="s">
        <v>120</v>
      </c>
      <c r="Q2" t="s">
        <v>121</v>
      </c>
      <c r="R2" t="s">
        <v>119</v>
      </c>
      <c r="T2">
        <v>1</v>
      </c>
      <c r="U2">
        <v>0.40425110369827888</v>
      </c>
      <c r="V2">
        <v>0.40425110369827888</v>
      </c>
      <c r="W2">
        <v>0.40425110369827888</v>
      </c>
      <c r="X2">
        <v>0.40425110369827888</v>
      </c>
      <c r="Y2">
        <v>0.40425110369827888</v>
      </c>
      <c r="Z2">
        <v>0.40425110369827888</v>
      </c>
    </row>
    <row r="3" spans="1:26">
      <c r="A3" t="s">
        <v>112</v>
      </c>
      <c r="B3">
        <f>VLOOKUP(B2,技能信息!$A2:$H32,5,0)</f>
        <v>0</v>
      </c>
      <c r="C3">
        <f>VLOOKUP(C2,技能信息!$A2:$H32,5,0)*IF(B6+3&gt;=J3-2,1+B5,1)</f>
        <v>1</v>
      </c>
      <c r="D3">
        <f>VLOOKUP(D2,技能信息!$A2:$H32,5,0)*IF(B6+2&gt;=J3-2,1+B5,1)*IF(C6+3&gt;=J3-2,1+C5,1)</f>
        <v>0</v>
      </c>
      <c r="E3">
        <f>VLOOKUP(E2,技能信息!$A2:$H32,5,0)*IF(B6+1&gt;=J3-2,1+B5,1)*IF(C6+2&gt;=J3-2,1+C5,1)*IF(D6+3&gt;=J3-2,1+D5,1)</f>
        <v>0</v>
      </c>
      <c r="F3">
        <f>IF(B6&gt;=J3-2,1+B5,1)*IF(C6+1&gt;=J3-2,1+C5,1)*IF(D6+2&gt;=J3-2,1+D5,1)*IF(E6+3&gt;=J3-2,1+E5,1)</f>
        <v>1</v>
      </c>
      <c r="G3">
        <f>IF(B6-1&gt;=J3-2,1+B5,1)*IF(C6&gt;=J3-2,1+C5,1)*IF(D6+1&gt;=J3-2,1+D5,1)*IF(E6+2&gt;=J3-2,1+E5,1)</f>
        <v>1</v>
      </c>
      <c r="J3">
        <f>COUNTA(B2:G2)</f>
        <v>4</v>
      </c>
      <c r="K3">
        <v>1.8</v>
      </c>
      <c r="L3" t="s">
        <v>120</v>
      </c>
      <c r="O3" t="s">
        <v>122</v>
      </c>
      <c r="P3">
        <v>2</v>
      </c>
      <c r="Q3">
        <v>2</v>
      </c>
      <c r="R3">
        <v>6</v>
      </c>
      <c r="T3">
        <v>2</v>
      </c>
      <c r="U3">
        <v>0.40425110369827888</v>
      </c>
      <c r="V3">
        <v>0.40425110369827888</v>
      </c>
      <c r="W3">
        <v>0.40745406349317892</v>
      </c>
      <c r="X3">
        <v>0.40780248789563556</v>
      </c>
      <c r="Y3">
        <v>0.40425110369827888</v>
      </c>
      <c r="Z3">
        <v>0.40627235921677018</v>
      </c>
    </row>
    <row r="4" spans="1:26">
      <c r="A4" t="s">
        <v>117</v>
      </c>
      <c r="B4">
        <f>VLOOKUP(B2,技能信息!$A2:$H32,4,0)</f>
        <v>4</v>
      </c>
      <c r="C4">
        <f>VLOOKUP(C2,技能信息!$A2:$H32,4,0)</f>
        <v>2</v>
      </c>
      <c r="D4">
        <f>VLOOKUP(D2,技能信息!$A2:$H32,4,0)</f>
        <v>0</v>
      </c>
      <c r="E4">
        <f>VLOOKUP(E2,技能信息!$A2:$H32,4,0)</f>
        <v>0</v>
      </c>
      <c r="F4">
        <f>HLOOKUP($L$3,$P$2:$R$3,2,0)</f>
        <v>2</v>
      </c>
      <c r="G4">
        <f>HLOOKUP($L$3,$P$2:$R$3,2,0)</f>
        <v>2</v>
      </c>
      <c r="T4">
        <v>3</v>
      </c>
      <c r="U4">
        <v>0.40425110369827888</v>
      </c>
      <c r="V4">
        <v>0.40425110369827888</v>
      </c>
      <c r="W4">
        <v>0.41061886191402408</v>
      </c>
      <c r="X4">
        <v>0.41130378896615849</v>
      </c>
      <c r="Y4">
        <v>0.40425110369827888</v>
      </c>
      <c r="Z4">
        <v>0.40829361473526171</v>
      </c>
    </row>
    <row r="5" spans="1:26">
      <c r="A5" t="s">
        <v>111</v>
      </c>
      <c r="B5">
        <f>VLOOKUP(B2,技能信息!$A2:$H32,6,0)</f>
        <v>0</v>
      </c>
      <c r="C5">
        <f>VLOOKUP(C2,技能信息!$A2:$H32,6,0)</f>
        <v>0</v>
      </c>
      <c r="D5">
        <f>VLOOKUP(D2,技能信息!$A2:$H32,6,0)</f>
        <v>0</v>
      </c>
      <c r="E5">
        <f>VLOOKUP(E2,技能信息!$A2:$H32,6,0)</f>
        <v>0</v>
      </c>
      <c r="F5">
        <v>0</v>
      </c>
      <c r="G5">
        <v>0</v>
      </c>
      <c r="J5" t="s">
        <v>125</v>
      </c>
      <c r="O5" t="s">
        <v>81</v>
      </c>
      <c r="P5" t="s">
        <v>83</v>
      </c>
      <c r="T5">
        <v>4</v>
      </c>
      <c r="U5">
        <v>0.40425110369827888</v>
      </c>
      <c r="V5">
        <v>0.40425110369827888</v>
      </c>
      <c r="W5">
        <v>0.41374617692737514</v>
      </c>
      <c r="X5">
        <v>0.41475605893207401</v>
      </c>
      <c r="Y5">
        <v>0.40425110369827888</v>
      </c>
      <c r="Z5">
        <v>0.41031487025375302</v>
      </c>
    </row>
    <row r="6" spans="1:26">
      <c r="A6" t="s">
        <v>114</v>
      </c>
      <c r="B6">
        <f>VLOOKUP(B2,技能信息!$A2:$H32,7,0)</f>
        <v>0</v>
      </c>
      <c r="C6">
        <f>VLOOKUP(C2,技能信息!$A2:$H32,7,0)</f>
        <v>0</v>
      </c>
      <c r="D6">
        <f>VLOOKUP(D2,技能信息!$A2:$H32,7,0)</f>
        <v>0</v>
      </c>
      <c r="E6">
        <f>VLOOKUP(E2,技能信息!$A2:$H32,7,0)</f>
        <v>0</v>
      </c>
      <c r="F6">
        <v>0</v>
      </c>
      <c r="G6">
        <v>0</v>
      </c>
      <c r="J6">
        <f>SUM(B15:G15)/J3</f>
        <v>1.3085264133456902</v>
      </c>
      <c r="O6" t="s">
        <v>82</v>
      </c>
      <c r="P6" t="s">
        <v>84</v>
      </c>
      <c r="T6">
        <v>5</v>
      </c>
      <c r="U6">
        <v>0.40425110369827888</v>
      </c>
      <c r="V6">
        <v>0.40425110369827888</v>
      </c>
      <c r="W6">
        <v>0.4168366705348634</v>
      </c>
      <c r="X6">
        <v>0.41816032055611008</v>
      </c>
      <c r="Y6">
        <v>0.40425110369827888</v>
      </c>
      <c r="Z6">
        <v>0.41233612577224443</v>
      </c>
    </row>
    <row r="7" spans="1:26">
      <c r="A7" t="s">
        <v>109</v>
      </c>
      <c r="B7">
        <f t="shared" ref="B7:G7" si="0">$K$3+$H$20</f>
        <v>2.8</v>
      </c>
      <c r="C7">
        <f t="shared" si="0"/>
        <v>2.8</v>
      </c>
      <c r="D7">
        <f t="shared" si="0"/>
        <v>2.8</v>
      </c>
      <c r="E7">
        <f t="shared" si="0"/>
        <v>2.8</v>
      </c>
      <c r="F7">
        <f t="shared" si="0"/>
        <v>2.8</v>
      </c>
      <c r="G7">
        <f t="shared" si="0"/>
        <v>2.8</v>
      </c>
      <c r="O7" t="s">
        <v>85</v>
      </c>
      <c r="P7" t="s">
        <v>86</v>
      </c>
      <c r="T7">
        <v>6</v>
      </c>
      <c r="U7">
        <v>0.40425110369827888</v>
      </c>
      <c r="V7">
        <v>0.40425110369827888</v>
      </c>
      <c r="W7">
        <v>0.41989098924037338</v>
      </c>
      <c r="X7">
        <v>0.4215175683517024</v>
      </c>
      <c r="Y7">
        <v>0.40425110369827888</v>
      </c>
      <c r="Z7">
        <v>0.41435738129073579</v>
      </c>
    </row>
    <row r="8" spans="1:26">
      <c r="A8" t="s">
        <v>65</v>
      </c>
      <c r="B8">
        <f>MIN(MAX(IF(OR(IF(B4=2,TRUE,FALSE),IF(B4=6,TRUE,FALSE)),$C20/($C20+$C21)-$G24/($G24+$G25),0),0),1)</f>
        <v>0</v>
      </c>
      <c r="C8">
        <f>MIN(MAX(IF(OR(IF(C4=2,TRUE,FALSE),IF(C4=6,TRUE,FALSE)),$C20/($C20+$C21)-$G24/($G24+$G25),0),0),1)</f>
        <v>0</v>
      </c>
      <c r="D8">
        <f>MIN(MAX(IF(OR(IF(D4=2,TRUE,FALSE),IF(D4=6,TRUE,FALSE)),$C20/($C20+$C21)-$G24/($G24+$G25),0),0),1)</f>
        <v>0</v>
      </c>
      <c r="E8">
        <f>MIN(MAX(IF(OR(IF(E4=2,TRUE,FALSE),IF(E4=6,TRUE,FALSE)),$C20/($C20+$C21)-$G24/($G24+$G25),0),0),1)</f>
        <v>0</v>
      </c>
      <c r="F8">
        <f>MIN(MAX($C20/($C20+$C21)-$G24/($G24+$G25),0),1)</f>
        <v>0</v>
      </c>
      <c r="G8">
        <f>MIN(MAX($C20/($C20+$C21)-$G24/($G24+$G25),0),1)</f>
        <v>0</v>
      </c>
      <c r="O8" t="s">
        <v>87</v>
      </c>
      <c r="P8" t="s">
        <v>88</v>
      </c>
      <c r="T8">
        <v>7</v>
      </c>
      <c r="U8">
        <v>0.40425110369827888</v>
      </c>
      <c r="V8">
        <v>0.40425110369827888</v>
      </c>
      <c r="W8">
        <v>0.42290976450091466</v>
      </c>
      <c r="X8">
        <v>0.42482876955163262</v>
      </c>
      <c r="Y8">
        <v>0.40425110369827888</v>
      </c>
      <c r="Z8">
        <v>0.41637863680922726</v>
      </c>
    </row>
    <row r="9" spans="1:26">
      <c r="A9" t="s">
        <v>66</v>
      </c>
      <c r="B9">
        <f>MIN(MAX(IF(OR(IF(B4=2,TRUE,FALSE),IF(B4=6,TRUE,FALSE)),1+$D$20/($D$20+$D$21)-$F$24/($F$24+$F$25),1),0.1),1)</f>
        <v>1</v>
      </c>
      <c r="C9">
        <f t="shared" ref="C9:E9" si="1">MIN(MAX(IF(OR(IF(C4=2,TRUE,FALSE),IF(C4=6,TRUE,FALSE)),1+$D$20/($D$20+$D$21)-$F$24/($F$24+$F$25),1),0.1),1)</f>
        <v>1</v>
      </c>
      <c r="D9">
        <f t="shared" si="1"/>
        <v>1</v>
      </c>
      <c r="E9">
        <f t="shared" si="1"/>
        <v>1</v>
      </c>
      <c r="F9">
        <f>MAX(MIN(1,1+$D$20/($D$20+$D$21)-$F$24/($F$24+$F$25)),0.1)</f>
        <v>1</v>
      </c>
      <c r="G9">
        <f>MAX(MIN(1,1+$D$20/($D$20+$D$21)-$F$24/($F$24+$F$25)),0.1)</f>
        <v>1</v>
      </c>
      <c r="J9" t="s">
        <v>126</v>
      </c>
      <c r="K9" t="s">
        <v>127</v>
      </c>
      <c r="L9" t="s">
        <v>128</v>
      </c>
      <c r="M9" t="s">
        <v>129</v>
      </c>
      <c r="O9" t="s">
        <v>89</v>
      </c>
      <c r="P9" t="s">
        <v>91</v>
      </c>
      <c r="T9">
        <v>8</v>
      </c>
      <c r="U9">
        <v>0.40425110369827888</v>
      </c>
      <c r="V9">
        <v>0.40425110369827888</v>
      </c>
      <c r="W9">
        <v>0.42589361316184549</v>
      </c>
      <c r="X9">
        <v>0.42809486503708116</v>
      </c>
      <c r="Y9">
        <v>0.40425110369827888</v>
      </c>
      <c r="Z9">
        <v>0.41839989232771863</v>
      </c>
    </row>
    <row r="10" spans="1:26">
      <c r="A10" t="s">
        <v>124</v>
      </c>
      <c r="B10">
        <f>IF(OR(IF(B4=2,TRUE,FALSE),IF(B4=6,TRUE,FALSE)),IF(IF(ISNA(MATCH(4,$B$4:$E$4,0)),100,MATCH(4,$B$4:$E$4,0))&lt;2,1,B8),B8)</f>
        <v>0</v>
      </c>
      <c r="C10">
        <f>IF(OR(IF(C4=2,TRUE,FALSE),IF(C4=6,TRUE,FALSE)),IF(IF(ISNA(MATCH(4,$B$4:$E$4,0)),100,MATCH(4,$B$4:$E$4,0))&lt;2,1,C8),C8)</f>
        <v>1</v>
      </c>
      <c r="D10">
        <f t="shared" ref="D10:G10" si="2">IF(OR(IF(D4=2,TRUE,FALSE),IF(D4=6,TRUE,FALSE)),IF(IF(ISNA(MATCH(4,$B$4:$E$4,0)),100,MATCH(4,$B$4:$E$4,0))&lt;2,1,D8),D8)</f>
        <v>0</v>
      </c>
      <c r="E10">
        <f t="shared" si="2"/>
        <v>0</v>
      </c>
      <c r="F10">
        <f t="shared" si="2"/>
        <v>1</v>
      </c>
      <c r="G10">
        <f t="shared" si="2"/>
        <v>1</v>
      </c>
      <c r="J10" t="s">
        <v>79</v>
      </c>
      <c r="K10">
        <f>C20</f>
        <v>0</v>
      </c>
      <c r="L10">
        <v>400</v>
      </c>
      <c r="M10">
        <v>100</v>
      </c>
      <c r="O10" t="s">
        <v>90</v>
      </c>
      <c r="P10" t="s">
        <v>92</v>
      </c>
      <c r="T10">
        <v>9</v>
      </c>
      <c r="U10">
        <v>0.40425110369827888</v>
      </c>
      <c r="V10">
        <v>0.40425110369827888</v>
      </c>
      <c r="W10">
        <v>0.42884313787707595</v>
      </c>
      <c r="X10">
        <v>0.4313167702289723</v>
      </c>
      <c r="Y10">
        <v>0.40425110369827888</v>
      </c>
      <c r="Z10">
        <v>0.42042114784621004</v>
      </c>
    </row>
    <row r="11" spans="1:26">
      <c r="A11" t="s">
        <v>123</v>
      </c>
      <c r="B11">
        <f>IF(C4=2,IF(IF(ISNA(MATCH(7,$B$4:$E$4,0)),100,MATCH(7,$B$4:$E$4,0))=J3-2,0.5,0),0)</f>
        <v>0</v>
      </c>
      <c r="C11">
        <f>IF(C4=2,IF(AND(B2=技能信息!$A16,J3&gt;3),0.5,0),0)</f>
        <v>0</v>
      </c>
      <c r="D11">
        <f>IF(D4=2,IF(AND(OR(C2=技能信息!$A16,B2=技能信息!$A16),J3&gt;4),0.5,0),0)</f>
        <v>0</v>
      </c>
      <c r="E11">
        <f>IF(E4=2,IF(AND(OR(D2=技能信息!$A16,C2=技能信息!$A16,B2=技能信息!$A16),J3&gt;5),0.5,0),0)</f>
        <v>0</v>
      </c>
      <c r="F11">
        <f>IF(3-(J3-2-IF(ISNA(MATCH(7,$B$4:$E$4,0)),-100,MATCH(7,$B$4:$E$4,0)))&gt;0,0.5,0)</f>
        <v>0</v>
      </c>
      <c r="G11">
        <f>IF(2-(J3-2-IF(ISNA(MATCH(7,$B$4:$E$4,0)),-100,MATCH(7,$B$4:$E$4,0)))&gt;0,0.5,0)</f>
        <v>0</v>
      </c>
      <c r="J11" t="s">
        <v>131</v>
      </c>
      <c r="K11">
        <f>D20</f>
        <v>0</v>
      </c>
      <c r="L11">
        <v>200</v>
      </c>
      <c r="M11">
        <v>100</v>
      </c>
      <c r="O11" t="s">
        <v>94</v>
      </c>
      <c r="P11" t="s">
        <v>95</v>
      </c>
      <c r="T11">
        <v>10</v>
      </c>
      <c r="U11">
        <v>0.40425110369827888</v>
      </c>
      <c r="V11">
        <v>0.40425110369827888</v>
      </c>
      <c r="W11">
        <v>0.43175892751485334</v>
      </c>
      <c r="X11">
        <v>0.43449537594337884</v>
      </c>
      <c r="Y11">
        <v>0.40425110369827888</v>
      </c>
      <c r="Z11">
        <v>0.4224424033647014</v>
      </c>
    </row>
    <row r="12" spans="1:26">
      <c r="A12" t="s">
        <v>69</v>
      </c>
      <c r="B12">
        <f t="shared" ref="B12:G12" si="3">$C$24*(1-$E$20/($E$21+$E$20))/($C$24*(1-$E$20/($E$21+$E$20))+$C$25)</f>
        <v>0.24841634579555336</v>
      </c>
      <c r="C12">
        <f t="shared" si="3"/>
        <v>0.24841634579555336</v>
      </c>
      <c r="D12">
        <f t="shared" si="3"/>
        <v>0.24841634579555336</v>
      </c>
      <c r="E12">
        <f t="shared" si="3"/>
        <v>0.24841634579555336</v>
      </c>
      <c r="F12">
        <f t="shared" si="3"/>
        <v>0.24841634579555336</v>
      </c>
      <c r="G12">
        <f t="shared" si="3"/>
        <v>0.24841634579555336</v>
      </c>
      <c r="J12" t="s">
        <v>132</v>
      </c>
      <c r="K12">
        <f>E20</f>
        <v>0</v>
      </c>
      <c r="L12">
        <v>1.4</v>
      </c>
      <c r="M12">
        <v>100</v>
      </c>
      <c r="T12">
        <v>11</v>
      </c>
      <c r="U12">
        <v>0.40425110369827888</v>
      </c>
      <c r="V12">
        <v>0.40425110369827888</v>
      </c>
      <c r="W12">
        <v>0.43464155754970407</v>
      </c>
      <c r="X12">
        <v>0.43763154921267322</v>
      </c>
      <c r="Y12">
        <v>0.40425110369827888</v>
      </c>
      <c r="Z12">
        <v>0.42446365888319287</v>
      </c>
    </row>
    <row r="13" spans="1:26">
      <c r="A13" t="s">
        <v>70</v>
      </c>
      <c r="B13">
        <f t="shared" ref="B13:G13" si="4">$D$24*(1-$F$20/($F$21+$F$20))/($D$24*(1-$F$20/($F$21+$F$20))+$D$25)</f>
        <v>0.17094017094017094</v>
      </c>
      <c r="C13">
        <f t="shared" si="4"/>
        <v>0.17094017094017094</v>
      </c>
      <c r="D13">
        <f t="shared" si="4"/>
        <v>0.17094017094017094</v>
      </c>
      <c r="E13">
        <f t="shared" si="4"/>
        <v>0.17094017094017094</v>
      </c>
      <c r="F13">
        <f t="shared" si="4"/>
        <v>0.17094017094017094</v>
      </c>
      <c r="G13">
        <f t="shared" si="4"/>
        <v>0.17094017094017094</v>
      </c>
      <c r="J13" t="s">
        <v>133</v>
      </c>
      <c r="K13">
        <f>F20</f>
        <v>0</v>
      </c>
      <c r="L13">
        <v>1.6</v>
      </c>
      <c r="M13">
        <v>100</v>
      </c>
      <c r="T13">
        <v>12</v>
      </c>
      <c r="U13">
        <v>0.40425110369827888</v>
      </c>
      <c r="V13">
        <v>0.40425110369827888</v>
      </c>
      <c r="W13">
        <v>0.43749159044107699</v>
      </c>
      <c r="X13">
        <v>0.44072613407400785</v>
      </c>
      <c r="Y13">
        <v>0.40425110369827888</v>
      </c>
      <c r="Z13">
        <v>0.42648491440168423</v>
      </c>
    </row>
    <row r="14" spans="1:26">
      <c r="A14" t="s">
        <v>71</v>
      </c>
      <c r="B14">
        <f t="shared" ref="B14:G14" si="5">$E$24*(1-$G$20/($G$21+$G$20))/($E$24*(1-$G$20/($G$21+$G$20))+$E$25)</f>
        <v>0</v>
      </c>
      <c r="C14">
        <f t="shared" si="5"/>
        <v>0</v>
      </c>
      <c r="D14">
        <f t="shared" si="5"/>
        <v>0</v>
      </c>
      <c r="E14">
        <f t="shared" si="5"/>
        <v>0</v>
      </c>
      <c r="F14">
        <f t="shared" si="5"/>
        <v>0</v>
      </c>
      <c r="G14">
        <f t="shared" si="5"/>
        <v>0</v>
      </c>
      <c r="J14" t="s">
        <v>134</v>
      </c>
      <c r="K14">
        <f>G20</f>
        <v>0</v>
      </c>
      <c r="L14">
        <v>1.6</v>
      </c>
      <c r="M14">
        <v>100</v>
      </c>
      <c r="T14">
        <v>13</v>
      </c>
      <c r="U14">
        <v>0.40425110369827888</v>
      </c>
      <c r="V14">
        <v>0.40425110369827888</v>
      </c>
      <c r="W14">
        <v>0.44030957599921594</v>
      </c>
      <c r="X14">
        <v>0.44377995232663747</v>
      </c>
      <c r="Y14">
        <v>0.40425110369827888</v>
      </c>
      <c r="Z14">
        <v>0.42850616992017565</v>
      </c>
    </row>
    <row r="15" spans="1:26">
      <c r="A15" t="s">
        <v>108</v>
      </c>
      <c r="B15">
        <f>B3*(1+B10*(B7-1))*(1*IF(OR(B4=5,B4=6),1-B14,1-B13)+B11*(1-B14))*(1-B12)*B9</f>
        <v>0</v>
      </c>
      <c r="C15">
        <f>C3*(1+C10*(C7-1))*(1*IF(OR(C4=5,C4=6),1-C14,1-C13)+C11*(1-C14))*(1-C12)*C9</f>
        <v>1.7447018844609203</v>
      </c>
      <c r="D15">
        <f t="shared" ref="D15:G15" si="6">D3*(1+D10*(D7-1))*(1*IF(OR(D4=5,D4=6),1-D14,1-D13)+D11*(1-D14))*(1-D12)*D9</f>
        <v>0</v>
      </c>
      <c r="E15">
        <f t="shared" si="6"/>
        <v>0</v>
      </c>
      <c r="F15">
        <f t="shared" si="6"/>
        <v>1.7447018844609203</v>
      </c>
      <c r="G15">
        <f t="shared" si="6"/>
        <v>1.7447018844609203</v>
      </c>
      <c r="J15" t="s">
        <v>135</v>
      </c>
      <c r="K15">
        <f>H20</f>
        <v>1</v>
      </c>
      <c r="L15">
        <v>1.4E-2</v>
      </c>
      <c r="M15">
        <v>100</v>
      </c>
      <c r="T15">
        <v>14</v>
      </c>
      <c r="U15">
        <v>0.40425110369827888</v>
      </c>
      <c r="V15">
        <v>0.40425110369827888</v>
      </c>
      <c r="W15">
        <v>0.44309605173875838</v>
      </c>
      <c r="X15">
        <v>0.4467938042595036</v>
      </c>
      <c r="Y15">
        <v>0.40425110369827888</v>
      </c>
      <c r="Z15">
        <v>0.43052742543866696</v>
      </c>
    </row>
    <row r="16" spans="1:26">
      <c r="T16">
        <v>15</v>
      </c>
      <c r="U16">
        <v>0.40425110369827888</v>
      </c>
      <c r="V16">
        <v>0.40425110369827888</v>
      </c>
      <c r="W16">
        <v>0.44585154322053772</v>
      </c>
      <c r="X16">
        <v>0.44976846935044257</v>
      </c>
      <c r="Y16">
        <v>0.40425110369827888</v>
      </c>
      <c r="Z16">
        <v>0.43254868095715848</v>
      </c>
    </row>
    <row r="17" spans="1:26">
      <c r="T17">
        <v>16</v>
      </c>
      <c r="U17">
        <v>0.40425110369827888</v>
      </c>
      <c r="V17">
        <v>0.40425110369827888</v>
      </c>
      <c r="W17">
        <v>0.44857656438204763</v>
      </c>
      <c r="X17">
        <v>0.45270470693829223</v>
      </c>
      <c r="Y17">
        <v>0.40425110369827888</v>
      </c>
      <c r="Z17">
        <v>0.43456993647564979</v>
      </c>
    </row>
    <row r="18" spans="1:26">
      <c r="T18">
        <v>17</v>
      </c>
      <c r="U18">
        <v>0.40425110369827888</v>
      </c>
      <c r="V18">
        <v>0.40425110369827888</v>
      </c>
      <c r="W18">
        <v>0.45127161785700354</v>
      </c>
      <c r="X18">
        <v>0.45560325686912106</v>
      </c>
      <c r="Y18">
        <v>0.40425110369827888</v>
      </c>
      <c r="Z18">
        <v>0.4365911919941412</v>
      </c>
    </row>
    <row r="19" spans="1:26">
      <c r="A19" t="s">
        <v>78</v>
      </c>
      <c r="B19" t="s">
        <v>77</v>
      </c>
      <c r="C19" t="s">
        <v>79</v>
      </c>
      <c r="D19" t="s">
        <v>76</v>
      </c>
      <c r="E19" t="s">
        <v>73</v>
      </c>
      <c r="F19" t="s">
        <v>74</v>
      </c>
      <c r="G19" t="s">
        <v>75</v>
      </c>
      <c r="H19" t="s">
        <v>80</v>
      </c>
      <c r="T19">
        <v>18</v>
      </c>
      <c r="U19">
        <v>0.40425110369827888</v>
      </c>
      <c r="V19">
        <v>0.40425110369827888</v>
      </c>
      <c r="W19">
        <v>0.45393719528441823</v>
      </c>
      <c r="X19">
        <v>0.45846484011773048</v>
      </c>
      <c r="Y19">
        <v>0.40425110369827888</v>
      </c>
      <c r="Z19">
        <v>0.43861244751263251</v>
      </c>
    </row>
    <row r="20" spans="1:26">
      <c r="B20">
        <v>100</v>
      </c>
      <c r="C20">
        <v>0</v>
      </c>
      <c r="D20">
        <v>0</v>
      </c>
      <c r="E20">
        <v>0</v>
      </c>
      <c r="F20">
        <v>0</v>
      </c>
      <c r="G20">
        <v>0</v>
      </c>
      <c r="H20">
        <v>1</v>
      </c>
      <c r="T20">
        <v>19</v>
      </c>
      <c r="U20">
        <v>0.40425110369827888</v>
      </c>
      <c r="V20">
        <v>0.40425110369827888</v>
      </c>
      <c r="W20">
        <v>0.45657377760759238</v>
      </c>
      <c r="X20">
        <v>0.46129015938552986</v>
      </c>
      <c r="Y20">
        <v>0.40425110369827888</v>
      </c>
      <c r="Z20">
        <v>0.44063370303112404</v>
      </c>
    </row>
    <row r="21" spans="1:26">
      <c r="A21" t="s">
        <v>107</v>
      </c>
      <c r="C21">
        <f>VLOOKUP($B$24,等级参数!$A$2:$K$103,5,0)</f>
        <v>30255</v>
      </c>
      <c r="D21">
        <f>VLOOKUP($B$24,等级参数!$A$2:$K$103,2,0)</f>
        <v>30255</v>
      </c>
      <c r="E21">
        <f>VLOOKUP($B$24,等级参数!$A$2:$K$103,9,0)</f>
        <v>100</v>
      </c>
      <c r="F21">
        <f>VLOOKUP($B$24,等级参数!$A$2:$K$103,10,0)</f>
        <v>100</v>
      </c>
      <c r="G21">
        <f>VLOOKUP($B$24,等级参数!$A$2:$K$103,11,0)</f>
        <v>100</v>
      </c>
      <c r="H21">
        <v>0</v>
      </c>
      <c r="T21">
        <v>20</v>
      </c>
      <c r="U21">
        <v>0.40425110369827888</v>
      </c>
      <c r="V21">
        <v>0.40425110369827888</v>
      </c>
      <c r="W21">
        <v>0.45918183536340101</v>
      </c>
      <c r="X21">
        <v>0.4640798996758243</v>
      </c>
      <c r="Y21">
        <v>0.40425110369827888</v>
      </c>
      <c r="Z21">
        <v>0.44265495854961534</v>
      </c>
    </row>
    <row r="22" spans="1:26">
      <c r="T22">
        <v>21</v>
      </c>
      <c r="U22">
        <v>0.40425110369827888</v>
      </c>
      <c r="V22">
        <v>0.40425110369827888</v>
      </c>
      <c r="W22">
        <v>0.46176182896224005</v>
      </c>
      <c r="X22">
        <v>0.46683472884750443</v>
      </c>
      <c r="Y22">
        <v>0.40425110369827888</v>
      </c>
      <c r="Z22">
        <v>0.44467621406810676</v>
      </c>
    </row>
    <row r="23" spans="1:26">
      <c r="A23" t="s">
        <v>67</v>
      </c>
      <c r="B23" t="s">
        <v>77</v>
      </c>
      <c r="C23" t="s">
        <v>69</v>
      </c>
      <c r="D23" t="s">
        <v>70</v>
      </c>
      <c r="E23" t="s">
        <v>71</v>
      </c>
      <c r="F23" t="s">
        <v>68</v>
      </c>
      <c r="G23" t="s">
        <v>72</v>
      </c>
      <c r="T23">
        <v>22</v>
      </c>
      <c r="U23">
        <v>0.40425110369827888</v>
      </c>
      <c r="V23">
        <v>0.40425110369827888</v>
      </c>
      <c r="W23">
        <v>0.46431420895898523</v>
      </c>
      <c r="X23">
        <v>0.46955529814807934</v>
      </c>
      <c r="Y23">
        <v>0.40425110369827888</v>
      </c>
      <c r="Z23">
        <v>0.44669746958659812</v>
      </c>
    </row>
    <row r="24" spans="1:26">
      <c r="B24">
        <v>100</v>
      </c>
      <c r="C24">
        <v>10000</v>
      </c>
      <c r="D24">
        <v>2000</v>
      </c>
      <c r="E24">
        <v>0</v>
      </c>
      <c r="F24">
        <v>0</v>
      </c>
      <c r="G24">
        <v>20000</v>
      </c>
      <c r="T24">
        <v>23</v>
      </c>
      <c r="U24">
        <v>0.40425110369827888</v>
      </c>
      <c r="V24">
        <v>0.40425110369827888</v>
      </c>
      <c r="W24">
        <v>0.46683941631529702</v>
      </c>
      <c r="X24">
        <v>0.47224224272694493</v>
      </c>
      <c r="Y24">
        <v>0.40425110369827888</v>
      </c>
      <c r="Z24">
        <v>0.44871872510508959</v>
      </c>
    </row>
    <row r="25" spans="1:26">
      <c r="A25" t="s">
        <v>107</v>
      </c>
      <c r="C25">
        <f>VLOOKUP($B$24,等级参数!$A$2:$K$103,2,0)</f>
        <v>30255</v>
      </c>
      <c r="D25">
        <f>VLOOKUP($B$24,等级参数!$A$2:$K$103,3,0)</f>
        <v>9700</v>
      </c>
      <c r="E25">
        <f>VLOOKUP($B$24,等级参数!$A$2:$K$103,4,0)</f>
        <v>9700</v>
      </c>
      <c r="F25">
        <f>VLOOKUP($B$24,等级参数!$A$2:$K$103,8,0)</f>
        <v>7563</v>
      </c>
      <c r="G25">
        <f>VLOOKUP($B$24,等级参数!$A$2:$K$103,6,0)</f>
        <v>60510</v>
      </c>
      <c r="T25">
        <v>24</v>
      </c>
      <c r="U25">
        <v>0.40425110369827888</v>
      </c>
      <c r="V25">
        <v>0.40425110369827888</v>
      </c>
      <c r="W25">
        <v>0.46933788265359144</v>
      </c>
      <c r="X25">
        <v>0.47489618212973805</v>
      </c>
      <c r="Y25">
        <v>0.40425110369827888</v>
      </c>
      <c r="Z25">
        <v>0.45073998062358095</v>
      </c>
    </row>
    <row r="26" spans="1:26">
      <c r="T26">
        <v>25</v>
      </c>
      <c r="U26">
        <v>0.40425110369827888</v>
      </c>
      <c r="V26">
        <v>0.40425110369827888</v>
      </c>
      <c r="W26">
        <v>0.47181003050298709</v>
      </c>
      <c r="X26">
        <v>0.4775177207745851</v>
      </c>
      <c r="Y26">
        <v>0.40425110369827888</v>
      </c>
      <c r="Z26">
        <v>0.45276123614207237</v>
      </c>
    </row>
    <row r="27" spans="1:26">
      <c r="T27">
        <v>26</v>
      </c>
      <c r="U27">
        <v>0.40425110369827888</v>
      </c>
      <c r="V27">
        <v>0.40425110369827888</v>
      </c>
      <c r="W27">
        <v>0.47425627353751776</v>
      </c>
      <c r="X27">
        <v>0.48010744841101305</v>
      </c>
      <c r="Y27">
        <v>0.40425110369827888</v>
      </c>
      <c r="Z27">
        <v>0.45478249166056373</v>
      </c>
    </row>
    <row r="28" spans="1:26">
      <c r="T28">
        <v>27</v>
      </c>
      <c r="U28">
        <v>0.40425110369827888</v>
      </c>
      <c r="V28">
        <v>0.40425110369827888</v>
      </c>
      <c r="W28">
        <v>0.47667701680689845</v>
      </c>
      <c r="X28">
        <v>0.48266594056225548</v>
      </c>
      <c r="Y28">
        <v>0.40425110369827888</v>
      </c>
      <c r="Z28">
        <v>0.4568037471790552</v>
      </c>
    </row>
    <row r="29" spans="1:26">
      <c r="T29">
        <v>28</v>
      </c>
      <c r="U29">
        <v>0.40425110369827888</v>
      </c>
      <c r="V29">
        <v>0.40425110369827888</v>
      </c>
      <c r="W29">
        <v>0.47907265696010942</v>
      </c>
      <c r="X29">
        <v>0.48519375895164996</v>
      </c>
      <c r="Y29">
        <v>0.40425110369827888</v>
      </c>
      <c r="Z29">
        <v>0.45882500269754656</v>
      </c>
    </row>
    <row r="30" spans="1:26">
      <c r="T30">
        <v>29</v>
      </c>
      <c r="U30">
        <v>0.40425110369827888</v>
      </c>
      <c r="V30">
        <v>0.40425110369827888</v>
      </c>
      <c r="W30">
        <v>0.4814435824620632</v>
      </c>
      <c r="X30">
        <v>0.48769145191379115</v>
      </c>
      <c r="Y30">
        <v>0.40425110369827888</v>
      </c>
      <c r="Z30">
        <v>0.46084625821603797</v>
      </c>
    </row>
    <row r="31" spans="1:26">
      <c r="T31">
        <v>30</v>
      </c>
      <c r="U31">
        <v>0.40425110369827888</v>
      </c>
      <c r="V31">
        <v>0.40425110369827888</v>
      </c>
      <c r="W31">
        <v>0.48379017380359862</v>
      </c>
      <c r="X31">
        <v>0.49015955479107065</v>
      </c>
      <c r="Y31">
        <v>0.40425110369827888</v>
      </c>
      <c r="Z31">
        <v>0.46286751373452928</v>
      </c>
    </row>
    <row r="32" spans="1:26">
      <c r="T32">
        <v>31</v>
      </c>
      <c r="U32">
        <v>0.40425110369827888</v>
      </c>
      <c r="V32">
        <v>0.40425110369827888</v>
      </c>
      <c r="W32">
        <v>0.48611280370504195</v>
      </c>
      <c r="X32">
        <v>0.49259859031620601</v>
      </c>
      <c r="Y32">
        <v>0.40425110369827888</v>
      </c>
      <c r="Z32">
        <v>0.46488876925302081</v>
      </c>
    </row>
    <row r="33" spans="20:26">
      <c r="T33">
        <v>32</v>
      </c>
      <c r="U33">
        <v>0.40425110369827888</v>
      </c>
      <c r="V33">
        <v>0.40425110369827888</v>
      </c>
      <c r="W33">
        <v>0.48841183731356452</v>
      </c>
      <c r="X33">
        <v>0.49500906898133501</v>
      </c>
      <c r="Y33">
        <v>0.40425110369827888</v>
      </c>
      <c r="Z33">
        <v>0.46691002477151211</v>
      </c>
    </row>
    <row r="34" spans="20:26">
      <c r="T34">
        <v>33</v>
      </c>
      <c r="U34">
        <v>0.40425110369827888</v>
      </c>
      <c r="V34">
        <v>0.40425110369827888</v>
      </c>
      <c r="W34">
        <v>0.49068763239455571</v>
      </c>
      <c r="X34">
        <v>0.49739148939421929</v>
      </c>
      <c r="Y34">
        <v>0.40425110369827888</v>
      </c>
      <c r="Z34">
        <v>0.46893128029000353</v>
      </c>
    </row>
    <row r="35" spans="20:26">
      <c r="T35">
        <v>34</v>
      </c>
      <c r="U35">
        <v>0.40425110369827888</v>
      </c>
      <c r="V35">
        <v>0.40425110369827888</v>
      </c>
      <c r="W35">
        <v>0.49294053951722139</v>
      </c>
      <c r="X35">
        <v>0.49974633862208262</v>
      </c>
      <c r="Y35">
        <v>0.40425110369827888</v>
      </c>
      <c r="Z35">
        <v>0.47095253580849494</v>
      </c>
    </row>
    <row r="36" spans="20:26">
      <c r="T36">
        <v>35</v>
      </c>
      <c r="U36">
        <v>0.40425110369827888</v>
      </c>
      <c r="V36">
        <v>0.40425110369827888</v>
      </c>
      <c r="W36">
        <v>0.49517090223461147</v>
      </c>
      <c r="X36">
        <v>0.50207409252357937</v>
      </c>
      <c r="Y36">
        <v>0.40425110369827888</v>
      </c>
      <c r="Z36">
        <v>0.47297379132698636</v>
      </c>
    </row>
    <row r="37" spans="20:26">
      <c r="T37">
        <v>36</v>
      </c>
      <c r="U37">
        <v>0.40425110369827888</v>
      </c>
      <c r="V37">
        <v>0.40425110369827888</v>
      </c>
      <c r="W37">
        <v>0.49737905725826859</v>
      </c>
      <c r="X37">
        <v>0.50437521606936975</v>
      </c>
      <c r="Y37">
        <v>0.40425110369827888</v>
      </c>
      <c r="Z37">
        <v>0.47499504684547766</v>
      </c>
    </row>
    <row r="38" spans="20:26">
      <c r="T38">
        <v>37</v>
      </c>
      <c r="U38">
        <v>0.40425110369827888</v>
      </c>
      <c r="V38">
        <v>0.40425110369827888</v>
      </c>
      <c r="W38">
        <v>0.49956533462768743</v>
      </c>
      <c r="X38">
        <v>0.50665016365175541</v>
      </c>
      <c r="Y38">
        <v>0.40425110369827888</v>
      </c>
      <c r="Z38">
        <v>0.47701630236396908</v>
      </c>
    </row>
    <row r="39" spans="20:26">
      <c r="T39">
        <v>38</v>
      </c>
      <c r="U39">
        <v>0.40425110369827888</v>
      </c>
      <c r="V39">
        <v>0.40425110369827888</v>
      </c>
      <c r="W39">
        <v>0.50173005787475955</v>
      </c>
      <c r="X39">
        <v>0.50889937938380836</v>
      </c>
      <c r="Y39">
        <v>0.40425110369827888</v>
      </c>
      <c r="Z39">
        <v>0.4790375578824605</v>
      </c>
    </row>
    <row r="40" spans="20:26">
      <c r="T40">
        <v>39</v>
      </c>
      <c r="U40">
        <v>0.40425110369827888</v>
      </c>
      <c r="V40">
        <v>0.40425110369827888</v>
      </c>
      <c r="W40">
        <v>0.50387354418338193</v>
      </c>
      <c r="X40">
        <v>0.51112329738840567</v>
      </c>
      <c r="Y40">
        <v>0.40425110369827888</v>
      </c>
      <c r="Z40">
        <v>0.48105881340095191</v>
      </c>
    </row>
    <row r="41" spans="20:26">
      <c r="T41">
        <v>40</v>
      </c>
      <c r="U41">
        <v>0.40425110369827888</v>
      </c>
      <c r="V41">
        <v>0.40425110369827888</v>
      </c>
      <c r="W41">
        <v>0.50599610454438715</v>
      </c>
      <c r="X41">
        <v>0.51332234207756722</v>
      </c>
      <c r="Y41">
        <v>0.40425110369827888</v>
      </c>
      <c r="Z41">
        <v>0.48308006891944327</v>
      </c>
    </row>
    <row r="42" spans="20:26">
      <c r="T42">
        <v>41</v>
      </c>
      <c r="U42">
        <v>0.40425110369827888</v>
      </c>
      <c r="V42">
        <v>0.40425110369827888</v>
      </c>
      <c r="W42">
        <v>0.50809804390596103</v>
      </c>
      <c r="X42">
        <v>0.51549692842247208</v>
      </c>
      <c r="Y42">
        <v>0.40425110369827888</v>
      </c>
      <c r="Z42">
        <v>0.48510132443793469</v>
      </c>
    </row>
    <row r="43" spans="20:26">
      <c r="T43">
        <v>42</v>
      </c>
      <c r="U43">
        <v>0.40425110369827888</v>
      </c>
      <c r="V43">
        <v>0.40425110369827888</v>
      </c>
      <c r="W43">
        <v>0.5101796613196955</v>
      </c>
      <c r="X43">
        <v>0.51764746221451541</v>
      </c>
      <c r="Y43">
        <v>0.40425110369827888</v>
      </c>
      <c r="Z43">
        <v>0.4871225799564261</v>
      </c>
    </row>
    <row r="44" spans="20:26">
      <c r="T44">
        <v>43</v>
      </c>
      <c r="U44">
        <v>0.40425110369827888</v>
      </c>
      <c r="V44">
        <v>0.40425110369827888</v>
      </c>
      <c r="W44">
        <v>0.5122412500824266</v>
      </c>
      <c r="X44">
        <v>0.51977434031775138</v>
      </c>
      <c r="Y44">
        <v>0.40425110369827888</v>
      </c>
      <c r="Z44">
        <v>0.48914383547491752</v>
      </c>
    </row>
    <row r="45" spans="20:26">
      <c r="T45">
        <v>44</v>
      </c>
      <c r="U45">
        <v>0.40425110369827888</v>
      </c>
      <c r="V45">
        <v>0.40425110369827888</v>
      </c>
      <c r="W45">
        <v>0.51428309787399784</v>
      </c>
      <c r="X45">
        <v>0.52187795091304867</v>
      </c>
      <c r="Y45">
        <v>0.40425110369827888</v>
      </c>
      <c r="Z45">
        <v>0.49116509099340888</v>
      </c>
    </row>
    <row r="46" spans="20:26">
      <c r="T46">
        <v>45</v>
      </c>
      <c r="U46">
        <v>0.40425110369827888</v>
      </c>
      <c r="V46">
        <v>0.40425110369827888</v>
      </c>
      <c r="W46">
        <v>0.51630548689108502</v>
      </c>
      <c r="X46">
        <v>0.52395867373427973</v>
      </c>
      <c r="Y46">
        <v>0.40425110369827888</v>
      </c>
      <c r="Z46">
        <v>0.4931863465119003</v>
      </c>
    </row>
    <row r="47" spans="20:26">
      <c r="T47">
        <v>46</v>
      </c>
      <c r="U47">
        <v>0.40425110369827888</v>
      </c>
      <c r="V47">
        <v>0.40425110369827888</v>
      </c>
      <c r="W47">
        <v>0.51830869397721213</v>
      </c>
      <c r="X47">
        <v>0.52601688029684013</v>
      </c>
      <c r="Y47">
        <v>0.40425110369827888</v>
      </c>
      <c r="Z47">
        <v>0.49520760203039171</v>
      </c>
    </row>
    <row r="48" spans="20:26">
      <c r="T48">
        <v>47</v>
      </c>
      <c r="U48">
        <v>0.40425110369827888</v>
      </c>
      <c r="V48">
        <v>0.40425110369827888</v>
      </c>
      <c r="W48">
        <v>0.52029299074908719</v>
      </c>
      <c r="X48">
        <v>0.52805293411878984</v>
      </c>
      <c r="Y48">
        <v>0.40425110369827888</v>
      </c>
      <c r="Z48">
        <v>0.49722885754888313</v>
      </c>
    </row>
    <row r="49" spans="20:26">
      <c r="T49">
        <v>48</v>
      </c>
      <c r="U49">
        <v>0.40425110369827888</v>
      </c>
      <c r="V49">
        <v>0.40425110369827888</v>
      </c>
      <c r="W49">
        <v>0.52225864371937503</v>
      </c>
      <c r="X49">
        <v>0.53006719093489241</v>
      </c>
      <c r="Y49">
        <v>0.40425110369827888</v>
      </c>
      <c r="Z49">
        <v>0.49925011306737443</v>
      </c>
    </row>
    <row r="50" spans="20:26">
      <c r="T50">
        <v>49</v>
      </c>
      <c r="U50">
        <v>0.40425110369827888</v>
      </c>
      <c r="V50">
        <v>0.40425110369827888</v>
      </c>
      <c r="W50">
        <v>0.52420591441602626</v>
      </c>
      <c r="X50">
        <v>0.5320599989038165</v>
      </c>
      <c r="Y50">
        <v>0.40425110369827888</v>
      </c>
      <c r="Z50">
        <v>0.50127136858586585</v>
      </c>
    </row>
    <row r="51" spans="20:26">
      <c r="T51">
        <v>50</v>
      </c>
      <c r="U51">
        <v>0.40425110369827888</v>
      </c>
      <c r="V51">
        <v>0.40425110369827888</v>
      </c>
      <c r="W51">
        <v>0.52613505949827533</v>
      </c>
      <c r="X51">
        <v>0.53403169880875256</v>
      </c>
      <c r="Y51">
        <v>0.40425110369827888</v>
      </c>
      <c r="Z51">
        <v>0.50329262410435727</v>
      </c>
    </row>
    <row r="52" spans="20:26">
      <c r="T52">
        <v>51</v>
      </c>
      <c r="U52">
        <v>0.40425110369827888</v>
      </c>
      <c r="V52">
        <v>0.40425110369827888</v>
      </c>
      <c r="W52">
        <v>0.52804633086941188</v>
      </c>
      <c r="X52">
        <v>0.53598262425168952</v>
      </c>
      <c r="Y52">
        <v>0.40425110369827888</v>
      </c>
      <c r="Z52">
        <v>0.50531387962284868</v>
      </c>
    </row>
    <row r="53" spans="20:26">
      <c r="T53">
        <v>52</v>
      </c>
      <c r="U53">
        <v>0.40425110369827888</v>
      </c>
      <c r="V53">
        <v>0.40425110369827888</v>
      </c>
      <c r="W53">
        <v>0.52993997578643526</v>
      </c>
      <c r="X53">
        <v>0.53791310184158181</v>
      </c>
      <c r="Y53">
        <v>0.40425110369827888</v>
      </c>
      <c r="Z53">
        <v>0.50733513514133999</v>
      </c>
    </row>
    <row r="54" spans="20:26">
      <c r="T54">
        <v>53</v>
      </c>
      <c r="U54">
        <v>0.40425110369827888</v>
      </c>
      <c r="V54">
        <v>0.40425110369827888</v>
      </c>
      <c r="W54">
        <v>0.53181623696668567</v>
      </c>
      <c r="X54">
        <v>0.53982345137663112</v>
      </c>
      <c r="Y54">
        <v>0.40425110369827888</v>
      </c>
      <c r="Z54">
        <v>0.5093563906598314</v>
      </c>
    </row>
    <row r="55" spans="20:26">
      <c r="T55">
        <v>54</v>
      </c>
      <c r="U55">
        <v>0.40425110369827888</v>
      </c>
      <c r="V55">
        <v>0.40425110369827888</v>
      </c>
      <c r="W55">
        <v>0.53367535269155453</v>
      </c>
      <c r="X55">
        <v>0.54171398602089516</v>
      </c>
      <c r="Y55">
        <v>0.40425110369827888</v>
      </c>
      <c r="Z55">
        <v>0.51137764617832282</v>
      </c>
    </row>
    <row r="56" spans="20:26">
      <c r="T56">
        <v>55</v>
      </c>
      <c r="U56">
        <v>0.40425110369827888</v>
      </c>
      <c r="V56">
        <v>0.40425110369827888</v>
      </c>
      <c r="W56">
        <v>0.5355175569073638</v>
      </c>
      <c r="X56">
        <v>0.5435850124754309</v>
      </c>
      <c r="Y56">
        <v>0.40425110369827888</v>
      </c>
      <c r="Z56">
        <v>0.51339890169681424</v>
      </c>
    </row>
    <row r="57" spans="20:26">
      <c r="T57">
        <v>56</v>
      </c>
      <c r="U57">
        <v>0.40425110369827888</v>
      </c>
      <c r="V57">
        <v>0.40425110369827888</v>
      </c>
      <c r="W57">
        <v>0.53734307932350478</v>
      </c>
      <c r="X57">
        <v>0.5454368311441653</v>
      </c>
      <c r="Y57">
        <v>0.40425110369827888</v>
      </c>
      <c r="Z57">
        <v>0.51542015721530565</v>
      </c>
    </row>
    <row r="58" spans="20:26">
      <c r="T58">
        <v>57</v>
      </c>
      <c r="U58">
        <v>0.40425110369827888</v>
      </c>
      <c r="V58">
        <v>0.40425110369827888</v>
      </c>
      <c r="W58">
        <v>0.53915214550792356</v>
      </c>
      <c r="X58">
        <v>0.54726973629468478</v>
      </c>
      <c r="Y58">
        <v>0.40425110369827888</v>
      </c>
      <c r="Z58">
        <v>0.51744141273379696</v>
      </c>
    </row>
    <row r="59" spans="20:26">
      <c r="T59">
        <v>58</v>
      </c>
      <c r="U59">
        <v>0.40425110369827888</v>
      </c>
      <c r="V59">
        <v>0.40425110369827888</v>
      </c>
      <c r="W59">
        <v>0.5409449769800343</v>
      </c>
      <c r="X59">
        <v>0.54908401621412239</v>
      </c>
      <c r="Y59">
        <v>0.40425110369827888</v>
      </c>
      <c r="Z59">
        <v>0.51946266825228848</v>
      </c>
    </row>
    <row r="60" spans="20:26">
      <c r="T60">
        <v>59</v>
      </c>
      <c r="U60">
        <v>0.40425110369827888</v>
      </c>
      <c r="V60">
        <v>0.40425110369827888</v>
      </c>
      <c r="W60">
        <v>0.54272179130114351</v>
      </c>
      <c r="X60">
        <v>0.55087995336031714</v>
      </c>
      <c r="Y60">
        <v>0.40425110369827888</v>
      </c>
      <c r="Z60">
        <v>0.52148392377077979</v>
      </c>
    </row>
    <row r="61" spans="20:26">
      <c r="T61">
        <v>60</v>
      </c>
      <c r="U61">
        <v>0.40425110369827888</v>
      </c>
      <c r="V61">
        <v>0.40425110369827888</v>
      </c>
      <c r="W61">
        <v>0.5444828021624617</v>
      </c>
      <c r="X61">
        <v>0.5526578245084115</v>
      </c>
      <c r="Y61">
        <v>0.40425110369827888</v>
      </c>
      <c r="Z61">
        <v>0.52350517928927121</v>
      </c>
    </row>
    <row r="62" spans="20:26">
      <c r="T62">
        <v>61</v>
      </c>
      <c r="U62">
        <v>0.40425110369827888</v>
      </c>
      <c r="V62">
        <v>0.40425110369827888</v>
      </c>
      <c r="W62">
        <v>0.54622821947077571</v>
      </c>
      <c r="X62">
        <v>0.55441790089304765</v>
      </c>
      <c r="Y62">
        <v>0.40425110369827888</v>
      </c>
      <c r="Z62">
        <v>0.52552643480776262</v>
      </c>
    </row>
    <row r="63" spans="20:26">
      <c r="T63">
        <v>62</v>
      </c>
      <c r="U63">
        <v>0.40425110369827888</v>
      </c>
      <c r="V63">
        <v>0.40425110369827888</v>
      </c>
      <c r="W63">
        <v>0.547958249431857</v>
      </c>
      <c r="X63">
        <v>0.55616044834631406</v>
      </c>
      <c r="Y63">
        <v>0.40425110369827888</v>
      </c>
      <c r="Z63">
        <v>0.52754769032625404</v>
      </c>
    </row>
    <row r="64" spans="20:26">
      <c r="T64">
        <v>63</v>
      </c>
      <c r="U64">
        <v>0.40425110369827888</v>
      </c>
      <c r="V64">
        <v>0.40425110369827888</v>
      </c>
      <c r="W64">
        <v>0.54967309463167147</v>
      </c>
      <c r="X64">
        <v>0.55788572743159148</v>
      </c>
      <c r="Y64">
        <v>0.40425110369827888</v>
      </c>
      <c r="Z64">
        <v>0.52956894584474545</v>
      </c>
    </row>
    <row r="65" spans="20:26">
      <c r="T65">
        <v>64</v>
      </c>
      <c r="U65">
        <v>0.40425110369827888</v>
      </c>
      <c r="V65">
        <v>0.40425110369827888</v>
      </c>
      <c r="W65">
        <v>0.55137295411546283</v>
      </c>
      <c r="X65">
        <v>0.5595939935734402</v>
      </c>
      <c r="Y65">
        <v>0.40425110369827888</v>
      </c>
      <c r="Z65">
        <v>0.53159020136323687</v>
      </c>
    </row>
    <row r="66" spans="20:26">
      <c r="T66">
        <v>65</v>
      </c>
      <c r="U66">
        <v>0.40425110369827888</v>
      </c>
      <c r="V66">
        <v>0.40425110369827888</v>
      </c>
      <c r="W66">
        <v>0.55305802346476962</v>
      </c>
      <c r="X66">
        <v>0.56128549718366261</v>
      </c>
      <c r="Y66">
        <v>0.40425110369827888</v>
      </c>
      <c r="Z66">
        <v>0.53361145688172817</v>
      </c>
    </row>
    <row r="67" spans="20:26">
      <c r="T67">
        <v>66</v>
      </c>
      <c r="U67">
        <v>0.40425110369827888</v>
      </c>
      <c r="V67">
        <v>0.40425110369827888</v>
      </c>
      <c r="W67">
        <v>0.55472849487244102</v>
      </c>
      <c r="X67">
        <v>0.56296048378367325</v>
      </c>
      <c r="Y67">
        <v>0.40425110369827888</v>
      </c>
      <c r="Z67">
        <v>0.53563271240021959</v>
      </c>
    </row>
    <row r="68" spans="20:26">
      <c r="T68">
        <v>67</v>
      </c>
      <c r="U68">
        <v>0.40425110369827888</v>
      </c>
      <c r="V68">
        <v>0.40425110369827888</v>
      </c>
      <c r="W68">
        <v>0.556384557215713</v>
      </c>
      <c r="X68">
        <v>0.56461919412330164</v>
      </c>
      <c r="Y68">
        <v>0.40425110369827888</v>
      </c>
      <c r="Z68">
        <v>0.53765396791871101</v>
      </c>
    </row>
    <row r="69" spans="20:26">
      <c r="T69">
        <v>68</v>
      </c>
      <c r="U69">
        <v>0.40425110369827888</v>
      </c>
      <c r="V69">
        <v>0.40425110369827888</v>
      </c>
      <c r="W69">
        <v>0.55802639612739924</v>
      </c>
      <c r="X69">
        <v>0.56626186429614855</v>
      </c>
      <c r="Y69">
        <v>0.40425110369827888</v>
      </c>
      <c r="Z69">
        <v>0.53967522343720242</v>
      </c>
    </row>
    <row r="70" spans="20:26">
      <c r="T70">
        <v>69</v>
      </c>
      <c r="U70">
        <v>0.40425110369827888</v>
      </c>
      <c r="V70">
        <v>0.40425110369827888</v>
      </c>
      <c r="W70">
        <v>0.55965419406525729</v>
      </c>
      <c r="X70">
        <v>0.56788872585161132</v>
      </c>
      <c r="Y70">
        <v>0.40425110369827888</v>
      </c>
      <c r="Z70">
        <v>0.54169647895569373</v>
      </c>
    </row>
    <row r="71" spans="20:26">
      <c r="T71">
        <v>70</v>
      </c>
      <c r="U71">
        <v>0.40425110369827888</v>
      </c>
      <c r="V71">
        <v>0.40425110369827888</v>
      </c>
      <c r="W71">
        <v>0.56126813037958179</v>
      </c>
      <c r="X71">
        <v>0.56950000590369187</v>
      </c>
      <c r="Y71">
        <v>0.40425110369827888</v>
      </c>
      <c r="Z71">
        <v>0.54371773447418514</v>
      </c>
    </row>
    <row r="72" spans="20:26">
      <c r="T72">
        <v>71</v>
      </c>
      <c r="U72">
        <v>0.40425110369827888</v>
      </c>
      <c r="V72">
        <v>0.40425110369827888</v>
      </c>
      <c r="W72">
        <v>0.56286838137907869</v>
      </c>
      <c r="X72">
        <v>0.57109592723669134</v>
      </c>
      <c r="Y72">
        <v>0.40425110369827888</v>
      </c>
      <c r="Z72">
        <v>0.54573898999267656</v>
      </c>
    </row>
    <row r="73" spans="20:26">
      <c r="T73">
        <v>72</v>
      </c>
      <c r="U73">
        <v>0.40425110369827888</v>
      </c>
      <c r="V73">
        <v>0.40425110369827888</v>
      </c>
      <c r="W73">
        <v>0.56445512039507062</v>
      </c>
      <c r="X73">
        <v>0.57267670840789675</v>
      </c>
      <c r="Y73">
        <v>0.40425110369827888</v>
      </c>
      <c r="Z73">
        <v>0.54776024551116798</v>
      </c>
    </row>
    <row r="74" spans="20:26">
      <c r="T74">
        <v>73</v>
      </c>
      <c r="U74">
        <v>0.40425110369827888</v>
      </c>
      <c r="V74">
        <v>0.40425110369827888</v>
      </c>
      <c r="W74">
        <v>0.56602851784408281</v>
      </c>
      <c r="X74">
        <v>0.57424256384736139</v>
      </c>
      <c r="Y74">
        <v>0.40425110369827888</v>
      </c>
      <c r="Z74">
        <v>0.54978150102965939</v>
      </c>
    </row>
    <row r="75" spans="20:26">
      <c r="T75">
        <v>74</v>
      </c>
      <c r="U75">
        <v>0.40425110369827888</v>
      </c>
      <c r="V75">
        <v>0.40425110369827888</v>
      </c>
      <c r="W75">
        <v>0.56758874128885672</v>
      </c>
      <c r="X75">
        <v>0.57579370395486906</v>
      </c>
      <c r="Y75">
        <v>0.40425110369827888</v>
      </c>
      <c r="Z75">
        <v>0.5518027565481507</v>
      </c>
    </row>
    <row r="76" spans="20:26">
      <c r="T76">
        <v>75</v>
      </c>
      <c r="U76">
        <v>0.40425110369827888</v>
      </c>
      <c r="V76">
        <v>0.40425110369827888</v>
      </c>
      <c r="W76">
        <v>0.56913595549783746</v>
      </c>
      <c r="X76">
        <v>0.57733033519417876</v>
      </c>
      <c r="Y76">
        <v>0.40425110369827888</v>
      </c>
      <c r="Z76">
        <v>0.55382401206664211</v>
      </c>
    </row>
    <row r="77" spans="20:26">
      <c r="T77">
        <v>76</v>
      </c>
      <c r="U77">
        <v>0.40425110369827888</v>
      </c>
      <c r="V77">
        <v>0.40425110369827888</v>
      </c>
      <c r="W77">
        <v>0.57067032250317995</v>
      </c>
      <c r="X77">
        <v>0.57885266018463799</v>
      </c>
      <c r="Y77">
        <v>0.40425110369827888</v>
      </c>
      <c r="Z77">
        <v>0.55584526758513353</v>
      </c>
    </row>
    <row r="78" spans="20:26">
      <c r="T78">
        <v>77</v>
      </c>
      <c r="U78">
        <v>0.40425110369827888</v>
      </c>
      <c r="V78">
        <v>0.40425110369827888</v>
      </c>
      <c r="W78">
        <v>0.57219200165731499</v>
      </c>
      <c r="X78">
        <v>0.5803608777902467</v>
      </c>
      <c r="Y78">
        <v>0.40425110369827888</v>
      </c>
      <c r="Z78">
        <v>0.55786652310362472</v>
      </c>
    </row>
    <row r="79" spans="20:26">
      <c r="T79">
        <v>78</v>
      </c>
      <c r="U79">
        <v>0.40425110369827888</v>
      </c>
      <c r="V79">
        <v>0.40425110369827888</v>
      </c>
      <c r="W79">
        <v>0.57370114968811892</v>
      </c>
      <c r="X79">
        <v>0.5818551832062594</v>
      </c>
      <c r="Y79">
        <v>0.40425110369827888</v>
      </c>
      <c r="Z79">
        <v>0.55988777862211625</v>
      </c>
    </row>
    <row r="80" spans="20:26">
      <c r="T80">
        <v>79</v>
      </c>
      <c r="U80">
        <v>0.40425110369827888</v>
      </c>
      <c r="V80">
        <v>0.40425110369827888</v>
      </c>
      <c r="W80">
        <v>0.57519792075272569</v>
      </c>
      <c r="X80">
        <v>0.58333576804339971</v>
      </c>
      <c r="Y80">
        <v>0.40425110369827888</v>
      </c>
      <c r="Z80">
        <v>0.56190903414060744</v>
      </c>
    </row>
    <row r="81" spans="20:26">
      <c r="T81">
        <v>80</v>
      </c>
      <c r="U81">
        <v>0.40425110369827888</v>
      </c>
      <c r="V81">
        <v>0.40425110369827888</v>
      </c>
      <c r="W81">
        <v>0.57668246649001975</v>
      </c>
      <c r="X81">
        <v>0.5848028204097665</v>
      </c>
      <c r="Y81">
        <v>0.40425110369827888</v>
      </c>
      <c r="Z81">
        <v>0.56393028965909897</v>
      </c>
    </row>
    <row r="82" spans="20:26">
      <c r="T82">
        <v>81</v>
      </c>
      <c r="U82">
        <v>0.40425110369827888</v>
      </c>
      <c r="V82">
        <v>0.40425110369827888</v>
      </c>
      <c r="W82">
        <v>0.57815493607184776</v>
      </c>
      <c r="X82">
        <v>0.58625652499050407</v>
      </c>
      <c r="Y82">
        <v>0.40425110369827888</v>
      </c>
      <c r="Z82">
        <v>0.56595154517759028</v>
      </c>
    </row>
    <row r="83" spans="20:26">
      <c r="T83">
        <v>82</v>
      </c>
      <c r="U83">
        <v>0.40425110369827888</v>
      </c>
      <c r="V83">
        <v>0.40425110369827888</v>
      </c>
      <c r="W83">
        <v>0.57961547625298804</v>
      </c>
      <c r="X83">
        <v>0.58769706312530878</v>
      </c>
      <c r="Y83">
        <v>0.40425110369827888</v>
      </c>
      <c r="Z83">
        <v>0.56797280069608169</v>
      </c>
    </row>
    <row r="84" spans="20:26">
      <c r="T84">
        <v>83</v>
      </c>
      <c r="U84">
        <v>0.40425110369827888</v>
      </c>
      <c r="V84">
        <v>0.40425110369827888</v>
      </c>
      <c r="W84">
        <v>0.58106423141990593</v>
      </c>
      <c r="X84">
        <v>0.589124612883837</v>
      </c>
      <c r="Y84">
        <v>0.40425110369827888</v>
      </c>
      <c r="Z84">
        <v>0.569994056214573</v>
      </c>
    </row>
    <row r="85" spans="20:26">
      <c r="T85">
        <v>84</v>
      </c>
      <c r="U85">
        <v>0.40425110369827888</v>
      </c>
      <c r="V85">
        <v>0.40425110369827888</v>
      </c>
      <c r="W85">
        <v>0.5825013436383385</v>
      </c>
      <c r="X85">
        <v>0.59053934913908457</v>
      </c>
      <c r="Y85">
        <v>0.40425110369827888</v>
      </c>
      <c r="Z85">
        <v>0.57201531173306441</v>
      </c>
    </row>
    <row r="86" spans="20:26">
      <c r="T86">
        <v>85</v>
      </c>
      <c r="U86">
        <v>0.40425110369827888</v>
      </c>
      <c r="V86">
        <v>0.40425110369827888</v>
      </c>
      <c r="W86">
        <v>0.58392695269973327</v>
      </c>
      <c r="X86">
        <v>0.59194144363879841</v>
      </c>
      <c r="Y86">
        <v>0.40425110369827888</v>
      </c>
      <c r="Z86">
        <v>0.57403656725155572</v>
      </c>
    </row>
    <row r="87" spans="20:26">
      <c r="T87">
        <v>86</v>
      </c>
      <c r="U87">
        <v>0.40425110369827888</v>
      </c>
      <c r="V87">
        <v>0.40425110369827888</v>
      </c>
      <c r="W87">
        <v>0.58534119616657765</v>
      </c>
      <c r="X87">
        <v>0.59333106507498146</v>
      </c>
      <c r="Y87">
        <v>0.40425110369827888</v>
      </c>
      <c r="Z87">
        <v>0.57605782277004702</v>
      </c>
    </row>
    <row r="88" spans="20:26">
      <c r="T88">
        <v>87</v>
      </c>
      <c r="U88">
        <v>0.40425110369827888</v>
      </c>
      <c r="V88">
        <v>0.40425110369827888</v>
      </c>
      <c r="W88">
        <v>0.58674420941664751</v>
      </c>
      <c r="X88">
        <v>0.59470837915155261</v>
      </c>
      <c r="Y88">
        <v>0.40425110369827888</v>
      </c>
      <c r="Z88">
        <v>0.57807907828853844</v>
      </c>
    </row>
    <row r="89" spans="20:26">
      <c r="T89">
        <v>88</v>
      </c>
      <c r="U89">
        <v>0.40425110369827888</v>
      </c>
      <c r="V89">
        <v>0.40425110369827888</v>
      </c>
      <c r="W89">
        <v>0.58813612568620832</v>
      </c>
      <c r="X89">
        <v>0.59607354865021511</v>
      </c>
      <c r="Y89">
        <v>0.40425110369827888</v>
      </c>
      <c r="Z89">
        <v>0.58010033380702986</v>
      </c>
    </row>
    <row r="90" spans="20:26">
      <c r="T90">
        <v>89</v>
      </c>
      <c r="U90">
        <v>0.40425110369827888</v>
      </c>
      <c r="V90">
        <v>0.40425110369827888</v>
      </c>
      <c r="W90">
        <v>0.58951707611219151</v>
      </c>
      <c r="X90">
        <v>0.59742673349459186</v>
      </c>
      <c r="Y90">
        <v>0.40425110369827888</v>
      </c>
      <c r="Z90">
        <v>0.58212158932552116</v>
      </c>
    </row>
    <row r="91" spans="20:26">
      <c r="T91">
        <v>90</v>
      </c>
      <c r="U91">
        <v>0.40425110369827888</v>
      </c>
      <c r="V91">
        <v>0.40425110369827888</v>
      </c>
      <c r="W91">
        <v>0.59088718977338073</v>
      </c>
      <c r="X91">
        <v>0.59876809081267657</v>
      </c>
      <c r="Y91">
        <v>0.40425110369827888</v>
      </c>
      <c r="Z91">
        <v>0.58414284484401269</v>
      </c>
    </row>
    <row r="92" spans="20:26">
      <c r="T92">
        <v>91</v>
      </c>
      <c r="U92">
        <v>0.40425110369827888</v>
      </c>
      <c r="V92">
        <v>0.40425110369827888</v>
      </c>
      <c r="W92">
        <v>0.5922465937306316</v>
      </c>
      <c r="X92">
        <v>0.60009777499765793</v>
      </c>
      <c r="Y92">
        <v>0.40425110369827888</v>
      </c>
      <c r="Z92">
        <v>0.58616410036250388</v>
      </c>
    </row>
    <row r="93" spans="20:26">
      <c r="T93">
        <v>92</v>
      </c>
      <c r="U93">
        <v>0.40425110369827888</v>
      </c>
      <c r="V93">
        <v>0.40425110369827888</v>
      </c>
      <c r="W93">
        <v>0.59359541306615138</v>
      </c>
      <c r="X93">
        <v>0.60141593776715929</v>
      </c>
      <c r="Y93">
        <v>0.40425110369827888</v>
      </c>
      <c r="Z93">
        <v>0.5881853558809953</v>
      </c>
    </row>
    <row r="94" spans="20:26">
      <c r="T94">
        <v>93</v>
      </c>
      <c r="U94">
        <v>0.40425110369827888</v>
      </c>
      <c r="V94">
        <v>0.40425110369827888</v>
      </c>
      <c r="W94">
        <v>0.59493377092186517</v>
      </c>
      <c r="X94">
        <v>0.60272272822094775</v>
      </c>
      <c r="Y94">
        <v>0.40425110369827888</v>
      </c>
      <c r="Z94">
        <v>0.5902066113994866</v>
      </c>
    </row>
    <row r="95" spans="20:26">
      <c r="T95">
        <v>94</v>
      </c>
      <c r="U95">
        <v>0.40425110369827888</v>
      </c>
      <c r="V95">
        <v>0.40425110369827888</v>
      </c>
      <c r="W95">
        <v>0.59626178853689304</v>
      </c>
      <c r="X95">
        <v>0.6040182928971537</v>
      </c>
      <c r="Y95">
        <v>0.40425110369827888</v>
      </c>
      <c r="Z95">
        <v>0.59222786691797813</v>
      </c>
    </row>
    <row r="96" spans="20:26">
      <c r="T96">
        <v>95</v>
      </c>
      <c r="U96">
        <v>0.40425110369827888</v>
      </c>
      <c r="V96">
        <v>0.40425110369827888</v>
      </c>
      <c r="W96">
        <v>0.59757958528416144</v>
      </c>
      <c r="X96">
        <v>0.6053027758270495</v>
      </c>
      <c r="Y96">
        <v>0.40425110369827888</v>
      </c>
      <c r="Z96">
        <v>0.59424912243646943</v>
      </c>
    </row>
    <row r="97" spans="20:26">
      <c r="T97">
        <v>96</v>
      </c>
      <c r="U97">
        <v>0.40425110369827888</v>
      </c>
      <c r="V97">
        <v>0.40425110369827888</v>
      </c>
      <c r="W97">
        <v>0.59888727870617253</v>
      </c>
      <c r="X97">
        <v>0.60657631858842809</v>
      </c>
      <c r="Y97">
        <v>0.40425110369827888</v>
      </c>
      <c r="Z97">
        <v>0.59627037795496074</v>
      </c>
    </row>
    <row r="98" spans="20:26">
      <c r="T98">
        <v>97</v>
      </c>
      <c r="U98">
        <v>0.40425110369827888</v>
      </c>
      <c r="V98">
        <v>0.40425110369827888</v>
      </c>
      <c r="W98">
        <v>0.60018498454995417</v>
      </c>
      <c r="X98">
        <v>0.60783906035762303</v>
      </c>
      <c r="Y98">
        <v>0.40425110369827888</v>
      </c>
      <c r="Z98">
        <v>0.59829163347345204</v>
      </c>
    </row>
    <row r="99" spans="20:26">
      <c r="T99">
        <v>98</v>
      </c>
      <c r="U99">
        <v>0.40425110369827888</v>
      </c>
      <c r="V99">
        <v>0.40425110369827888</v>
      </c>
      <c r="W99">
        <v>0.60147281680121234</v>
      </c>
      <c r="X99">
        <v>0.60909113796021042</v>
      </c>
      <c r="Y99">
        <v>0.40425110369827888</v>
      </c>
      <c r="Z99">
        <v>0.60031288899194346</v>
      </c>
    </row>
    <row r="100" spans="20:26">
      <c r="T100">
        <v>99</v>
      </c>
      <c r="U100">
        <v>0.40425110369827888</v>
      </c>
      <c r="V100">
        <v>0.40425110369827888</v>
      </c>
      <c r="W100">
        <v>0.60275088771770635</v>
      </c>
      <c r="X100">
        <v>0.61033268592043255</v>
      </c>
      <c r="Y100">
        <v>0.40425110369827888</v>
      </c>
      <c r="Z100">
        <v>0.60233414451043488</v>
      </c>
    </row>
    <row r="101" spans="20:26">
      <c r="T101">
        <v>100</v>
      </c>
      <c r="U101">
        <v>0.40425110369827888</v>
      </c>
      <c r="V101">
        <v>0.40425110369827888</v>
      </c>
      <c r="W101">
        <v>0.60401930786186864</v>
      </c>
      <c r="X101">
        <v>0.61156383650937929</v>
      </c>
      <c r="Y101">
        <v>0.40425110369827888</v>
      </c>
      <c r="Z101">
        <v>0.60435540002892618</v>
      </c>
    </row>
    <row r="102" spans="20:26">
      <c r="U102">
        <v>0.40425110369827888</v>
      </c>
      <c r="V102">
        <v>0.40425110369827888</v>
      </c>
      <c r="W102">
        <v>0.52804633086941233</v>
      </c>
      <c r="X102">
        <v>0.5359826242516893</v>
      </c>
      <c r="Y102">
        <v>0.40425110369827888</v>
      </c>
      <c r="Z102">
        <v>0.50531387962284702</v>
      </c>
    </row>
    <row r="103" spans="20:26">
      <c r="U103">
        <v>0.40425110369827888</v>
      </c>
      <c r="V103">
        <v>0.40425110369827888</v>
      </c>
      <c r="W103">
        <v>0.5289953413596854</v>
      </c>
      <c r="X103">
        <v>0.53695039888334828</v>
      </c>
      <c r="Y103">
        <v>0.40425110369827888</v>
      </c>
      <c r="Z103">
        <v>0.50632450738209278</v>
      </c>
    </row>
    <row r="104" spans="20:26">
      <c r="U104">
        <v>0.40425110369827888</v>
      </c>
      <c r="V104">
        <v>0.40425110369827888</v>
      </c>
      <c r="W104">
        <v>0.52993997578643548</v>
      </c>
      <c r="X104">
        <v>0.53791310184158159</v>
      </c>
      <c r="Y104">
        <v>0.40425110369827888</v>
      </c>
      <c r="Z104">
        <v>0.50733513514133843</v>
      </c>
    </row>
    <row r="105" spans="20:26">
      <c r="U105">
        <v>0.40425110369827888</v>
      </c>
      <c r="V105">
        <v>0.40425110369827888</v>
      </c>
      <c r="W105">
        <v>0.53088026434829871</v>
      </c>
      <c r="X105">
        <v>0.53887077288975216</v>
      </c>
      <c r="Y105">
        <v>0.40425110369827888</v>
      </c>
      <c r="Z105">
        <v>0.50834576290058409</v>
      </c>
    </row>
    <row r="106" spans="20:26">
      <c r="U106">
        <v>0.40425110369827888</v>
      </c>
      <c r="V106">
        <v>0.40425110369827888</v>
      </c>
      <c r="W106">
        <v>0.5318162369666859</v>
      </c>
      <c r="X106">
        <v>0.5398234513766309</v>
      </c>
      <c r="Y106">
        <v>0.40425110369827888</v>
      </c>
      <c r="Z106">
        <v>0.50935639065982974</v>
      </c>
    </row>
    <row r="107" spans="20:26">
      <c r="U107">
        <v>0.40425110369827888</v>
      </c>
      <c r="V107">
        <v>0.40425110369827888</v>
      </c>
      <c r="W107">
        <v>0.53274792328895804</v>
      </c>
      <c r="X107">
        <v>0.54077117624178739</v>
      </c>
      <c r="Y107">
        <v>0.40425110369827888</v>
      </c>
      <c r="Z107">
        <v>0.5103670184190755</v>
      </c>
    </row>
    <row r="108" spans="20:26">
      <c r="U108">
        <v>0.40425110369827888</v>
      </c>
      <c r="V108">
        <v>0.40425110369827888</v>
      </c>
      <c r="W108">
        <v>0.53367535269155464</v>
      </c>
      <c r="X108">
        <v>0.54171398602089493</v>
      </c>
      <c r="Y108">
        <v>0.40425110369827888</v>
      </c>
      <c r="Z108">
        <v>0.51137764617832115</v>
      </c>
    </row>
    <row r="109" spans="20:26">
      <c r="U109">
        <v>0.40425110369827888</v>
      </c>
      <c r="V109">
        <v>0.40425110369827888</v>
      </c>
      <c r="W109">
        <v>0.53459855428308334</v>
      </c>
      <c r="X109">
        <v>0.5426519188509531</v>
      </c>
      <c r="Y109">
        <v>0.40425110369827888</v>
      </c>
      <c r="Z109">
        <v>0.51238827393756681</v>
      </c>
    </row>
    <row r="110" spans="20:26">
      <c r="U110">
        <v>0.40425110369827888</v>
      </c>
      <c r="V110">
        <v>0.40425110369827888</v>
      </c>
      <c r="W110">
        <v>0.53551755690736391</v>
      </c>
      <c r="X110">
        <v>0.54358501247543067</v>
      </c>
      <c r="Y110">
        <v>0.40425110369827888</v>
      </c>
      <c r="Z110">
        <v>0.51339890169681246</v>
      </c>
    </row>
    <row r="111" spans="20:26">
      <c r="U111">
        <v>0.40425110369827888</v>
      </c>
      <c r="V111">
        <v>0.40425110369827888</v>
      </c>
      <c r="W111">
        <v>0.53643238914643243</v>
      </c>
      <c r="X111">
        <v>0.54451330424932876</v>
      </c>
      <c r="Y111">
        <v>0.40425110369827888</v>
      </c>
      <c r="Z111">
        <v>0.51440952945605822</v>
      </c>
    </row>
    <row r="112" spans="20:26">
      <c r="U112">
        <v>0.40425110369827888</v>
      </c>
      <c r="V112">
        <v>0.40425110369827888</v>
      </c>
      <c r="W112">
        <v>0.537343079323505</v>
      </c>
      <c r="X112">
        <v>0.54543683114416519</v>
      </c>
      <c r="Y112">
        <v>0.40425110369827888</v>
      </c>
      <c r="Z112">
        <v>0.51542015721530388</v>
      </c>
    </row>
    <row r="113" spans="21:26">
      <c r="U113">
        <v>0.40425110369827888</v>
      </c>
      <c r="V113">
        <v>0.40425110369827888</v>
      </c>
      <c r="W113">
        <v>0.53824965550590043</v>
      </c>
      <c r="X113">
        <v>0.5463556297528831</v>
      </c>
      <c r="Y113">
        <v>0.40425110369827888</v>
      </c>
      <c r="Z113">
        <v>0.51643078497454953</v>
      </c>
    </row>
    <row r="114" spans="21:26">
      <c r="U114">
        <v>0.40425110369827888</v>
      </c>
      <c r="V114">
        <v>0.40425110369827888</v>
      </c>
      <c r="W114">
        <v>0.5391521455079239</v>
      </c>
      <c r="X114">
        <v>0.54726973629468478</v>
      </c>
      <c r="Y114">
        <v>0.40425110369827888</v>
      </c>
      <c r="Z114">
        <v>0.51744141273379518</v>
      </c>
    </row>
    <row r="115" spans="21:26">
      <c r="U115">
        <v>0.40425110369827888</v>
      </c>
      <c r="V115">
        <v>0.40425110369827888</v>
      </c>
      <c r="W115">
        <v>0.54005057689371083</v>
      </c>
      <c r="X115">
        <v>0.54817918661978959</v>
      </c>
      <c r="Y115">
        <v>0.40425110369827888</v>
      </c>
      <c r="Z115">
        <v>0.51845204049304094</v>
      </c>
    </row>
    <row r="116" spans="21:26">
      <c r="U116">
        <v>0.40425110369827888</v>
      </c>
      <c r="V116">
        <v>0.40425110369827888</v>
      </c>
      <c r="W116">
        <v>0.54094497698003452</v>
      </c>
      <c r="X116">
        <v>0.54908401621412217</v>
      </c>
      <c r="Y116">
        <v>0.40425110369827888</v>
      </c>
      <c r="Z116">
        <v>0.51946266825228671</v>
      </c>
    </row>
    <row r="117" spans="21:26">
      <c r="U117">
        <v>0.40425110369827888</v>
      </c>
      <c r="V117">
        <v>0.40425110369827888</v>
      </c>
      <c r="W117">
        <v>0.54183537283907357</v>
      </c>
      <c r="X117">
        <v>0.54998426020392777</v>
      </c>
      <c r="Y117">
        <v>0.40425110369827888</v>
      </c>
      <c r="Z117">
        <v>0.52047329601153236</v>
      </c>
    </row>
    <row r="118" spans="21:26">
      <c r="U118">
        <v>0.40425110369827888</v>
      </c>
      <c r="V118">
        <v>0.40425110369827888</v>
      </c>
      <c r="W118">
        <v>0.54272179130114384</v>
      </c>
      <c r="X118">
        <v>0.55087995336031681</v>
      </c>
      <c r="Y118">
        <v>0.40425110369827888</v>
      </c>
      <c r="Z118">
        <v>0.52148392377077801</v>
      </c>
    </row>
    <row r="119" spans="21:26">
      <c r="U119">
        <v>0.40425110369827888</v>
      </c>
      <c r="V119">
        <v>0.40425110369827888</v>
      </c>
      <c r="W119">
        <v>0.5436042589573935</v>
      </c>
      <c r="X119">
        <v>0.55177113010374312</v>
      </c>
      <c r="Y119">
        <v>0.40425110369827888</v>
      </c>
      <c r="Z119">
        <v>0.52249455153002367</v>
      </c>
    </row>
    <row r="120" spans="21:26">
      <c r="U120">
        <v>0.40425110369827888</v>
      </c>
      <c r="V120">
        <v>0.40425110369827888</v>
      </c>
      <c r="W120">
        <v>0.54448280216246181</v>
      </c>
      <c r="X120">
        <v>0.55265782450841139</v>
      </c>
      <c r="Y120">
        <v>0.40425110369827888</v>
      </c>
      <c r="Z120">
        <v>0.52350517928926932</v>
      </c>
    </row>
    <row r="121" spans="21:26">
      <c r="U121">
        <v>0.40425110369827888</v>
      </c>
      <c r="V121">
        <v>0.40425110369827888</v>
      </c>
      <c r="W121">
        <v>0.54535744703710343</v>
      </c>
      <c r="X121">
        <v>0.55354007030662211</v>
      </c>
      <c r="Y121">
        <v>0.40425110369827888</v>
      </c>
      <c r="Z121">
        <v>0.52451580704851497</v>
      </c>
    </row>
    <row r="122" spans="21:26">
      <c r="U122">
        <v>0.40425110369827888</v>
      </c>
      <c r="V122">
        <v>0.40425110369827888</v>
      </c>
      <c r="W122">
        <v>0.54622821947077593</v>
      </c>
      <c r="X122">
        <v>0.55441790089304765</v>
      </c>
      <c r="Y122">
        <v>0.40425110369827888</v>
      </c>
      <c r="Z122">
        <v>0.52552643480776062</v>
      </c>
    </row>
    <row r="123" spans="21:26">
      <c r="U123">
        <v>0.40425110369827888</v>
      </c>
      <c r="V123">
        <v>0.40425110369827888</v>
      </c>
      <c r="W123">
        <v>0.54709514512419566</v>
      </c>
      <c r="X123">
        <v>0.5552913493289463</v>
      </c>
      <c r="Y123">
        <v>0.40425110369827888</v>
      </c>
      <c r="Z123">
        <v>0.52653706256700639</v>
      </c>
    </row>
    <row r="124" spans="21:26">
      <c r="U124">
        <v>0.40425110369827888</v>
      </c>
      <c r="V124">
        <v>0.40425110369827888</v>
      </c>
      <c r="W124">
        <v>0.54795824943185722</v>
      </c>
      <c r="X124">
        <v>0.55616044834631384</v>
      </c>
      <c r="Y124">
        <v>0.40425110369827888</v>
      </c>
      <c r="Z124">
        <v>0.52754769032625215</v>
      </c>
    </row>
    <row r="125" spans="21:26">
      <c r="U125">
        <v>0.40425110369827888</v>
      </c>
      <c r="V125">
        <v>0.40425110369827888</v>
      </c>
      <c r="W125">
        <v>0.54881755760452178</v>
      </c>
      <c r="X125">
        <v>0.55702523035197071</v>
      </c>
      <c r="Y125">
        <v>0.40425110369827888</v>
      </c>
      <c r="Z125">
        <v>0.5285583180854978</v>
      </c>
    </row>
    <row r="126" spans="21:26">
      <c r="U126">
        <v>0.40425110369827888</v>
      </c>
      <c r="V126">
        <v>0.40425110369827888</v>
      </c>
      <c r="W126">
        <v>0.54967309463167169</v>
      </c>
      <c r="X126">
        <v>0.55788572743159137</v>
      </c>
      <c r="Y126">
        <v>0.40425110369827888</v>
      </c>
      <c r="Z126">
        <v>0.52956894584474345</v>
      </c>
    </row>
    <row r="127" spans="21:26">
      <c r="U127">
        <v>0.40425110369827888</v>
      </c>
      <c r="V127">
        <v>0.40425110369827888</v>
      </c>
      <c r="W127">
        <v>0.5505248852839324</v>
      </c>
      <c r="X127">
        <v>0.55874197135367187</v>
      </c>
      <c r="Y127">
        <v>0.40425110369827888</v>
      </c>
      <c r="Z127">
        <v>0.53057957360398911</v>
      </c>
    </row>
    <row r="128" spans="21:26">
      <c r="U128">
        <v>0.40425110369827888</v>
      </c>
      <c r="V128">
        <v>0.40425110369827888</v>
      </c>
      <c r="W128">
        <v>0.55137295411546305</v>
      </c>
      <c r="X128">
        <v>0.55959399357343997</v>
      </c>
      <c r="Y128">
        <v>0.40425110369827888</v>
      </c>
      <c r="Z128">
        <v>0.53159020136323476</v>
      </c>
    </row>
    <row r="129" spans="21:26">
      <c r="U129">
        <v>0.40425110369827888</v>
      </c>
      <c r="V129">
        <v>0.40425110369827888</v>
      </c>
      <c r="W129">
        <v>0.55221732546631708</v>
      </c>
      <c r="X129">
        <v>0.56044182523670705</v>
      </c>
      <c r="Y129">
        <v>0.40425110369827888</v>
      </c>
      <c r="Z129">
        <v>0.53260082912248041</v>
      </c>
    </row>
    <row r="130" spans="21:26">
      <c r="U130">
        <v>0.40425110369827888</v>
      </c>
      <c r="V130">
        <v>0.40425110369827888</v>
      </c>
      <c r="W130">
        <v>0.55305802346476973</v>
      </c>
      <c r="X130">
        <v>0.56128549718366261</v>
      </c>
      <c r="Y130">
        <v>0.40425110369827888</v>
      </c>
      <c r="Z130">
        <v>0.53361145688172607</v>
      </c>
    </row>
    <row r="131" spans="21:26">
      <c r="U131">
        <v>0.40425110369827888</v>
      </c>
      <c r="V131">
        <v>0.40425110369827888</v>
      </c>
      <c r="W131">
        <v>0.5538950720296163</v>
      </c>
      <c r="X131">
        <v>0.5621250399526142</v>
      </c>
      <c r="Y131">
        <v>0.40425110369827888</v>
      </c>
      <c r="Z131">
        <v>0.53462208464097183</v>
      </c>
    </row>
    <row r="132" spans="21:26">
      <c r="U132">
        <v>0.40425110369827888</v>
      </c>
      <c r="V132">
        <v>0.40425110369827888</v>
      </c>
      <c r="W132">
        <v>0.55472849487244114</v>
      </c>
      <c r="X132">
        <v>0.56296048378367314</v>
      </c>
      <c r="Y132">
        <v>0.40425110369827888</v>
      </c>
      <c r="Z132">
        <v>0.53563271240021748</v>
      </c>
    </row>
    <row r="133" spans="21:26">
      <c r="U133">
        <v>0.40425110369827888</v>
      </c>
      <c r="V133">
        <v>0.40425110369827888</v>
      </c>
      <c r="W133">
        <v>0.55555831549985679</v>
      </c>
      <c r="X133">
        <v>0.56379185862238357</v>
      </c>
      <c r="Y133">
        <v>0.40425110369827888</v>
      </c>
      <c r="Z133">
        <v>0.53664334015946324</v>
      </c>
    </row>
    <row r="134" spans="21:26">
      <c r="U134">
        <v>0.40425110369827888</v>
      </c>
      <c r="V134">
        <v>0.40425110369827888</v>
      </c>
      <c r="W134">
        <v>0.55638455721571312</v>
      </c>
      <c r="X134">
        <v>0.56461919412330153</v>
      </c>
      <c r="Y134">
        <v>0.40425110369827888</v>
      </c>
      <c r="Z134">
        <v>0.5376539679187089</v>
      </c>
    </row>
    <row r="135" spans="21:26">
      <c r="U135">
        <v>0.40425110369827888</v>
      </c>
      <c r="V135">
        <v>0.40425110369827888</v>
      </c>
      <c r="W135">
        <v>0.55720724312327996</v>
      </c>
      <c r="X135">
        <v>0.56544251965352088</v>
      </c>
      <c r="Y135">
        <v>0.40425110369827888</v>
      </c>
      <c r="Z135">
        <v>0.53866459567795455</v>
      </c>
    </row>
    <row r="136" spans="21:26">
      <c r="U136">
        <v>0.40425110369827888</v>
      </c>
      <c r="V136">
        <v>0.40425110369827888</v>
      </c>
      <c r="W136">
        <v>0.55802639612739946</v>
      </c>
      <c r="X136">
        <v>0.56626186429614833</v>
      </c>
      <c r="Y136">
        <v>0.40425110369827888</v>
      </c>
      <c r="Z136">
        <v>0.53967522343720031</v>
      </c>
    </row>
    <row r="137" spans="21:26">
      <c r="U137">
        <v>0.40425110369827888</v>
      </c>
      <c r="V137">
        <v>0.40425110369827888</v>
      </c>
      <c r="W137">
        <v>0.55884203893661266</v>
      </c>
      <c r="X137">
        <v>0.56707725685372667</v>
      </c>
      <c r="Y137">
        <v>0.40425110369827888</v>
      </c>
      <c r="Z137">
        <v>0.54068585119644597</v>
      </c>
    </row>
    <row r="138" spans="21:26">
      <c r="U138">
        <v>0.40425110369827888</v>
      </c>
      <c r="V138">
        <v>0.40425110369827888</v>
      </c>
      <c r="W138">
        <v>0.5596541940652574</v>
      </c>
      <c r="X138">
        <v>0.56788872585161121</v>
      </c>
      <c r="Y138">
        <v>0.40425110369827888</v>
      </c>
      <c r="Z138">
        <v>0.54169647895569162</v>
      </c>
    </row>
    <row r="139" spans="21:26">
      <c r="U139">
        <v>0.40425110369827888</v>
      </c>
      <c r="V139">
        <v>0.40425110369827888</v>
      </c>
      <c r="W139">
        <v>0.56046288383554044</v>
      </c>
      <c r="X139">
        <v>0.56869629954129597</v>
      </c>
      <c r="Y139">
        <v>0.40425110369827888</v>
      </c>
      <c r="Z139">
        <v>0.54270710671493727</v>
      </c>
    </row>
    <row r="140" spans="21:26">
      <c r="U140">
        <v>0.40425110369827888</v>
      </c>
      <c r="V140">
        <v>0.40425110369827888</v>
      </c>
      <c r="W140">
        <v>0.5612681303795819</v>
      </c>
      <c r="X140">
        <v>0.56950000590369187</v>
      </c>
      <c r="Y140">
        <v>0.40425110369827888</v>
      </c>
      <c r="Z140">
        <v>0.54371773447418303</v>
      </c>
    </row>
    <row r="141" spans="21:26">
      <c r="U141">
        <v>0.40425110369827888</v>
      </c>
      <c r="V141">
        <v>0.40425110369827888</v>
      </c>
      <c r="W141">
        <v>0.56206995564143492</v>
      </c>
      <c r="X141">
        <v>0.57029987265235893</v>
      </c>
      <c r="Y141">
        <v>0.40425110369827888</v>
      </c>
      <c r="Z141">
        <v>0.54472836223342869</v>
      </c>
    </row>
    <row r="142" spans="21:26">
      <c r="U142">
        <v>0.40425110369827888</v>
      </c>
      <c r="V142">
        <v>0.40425110369827888</v>
      </c>
      <c r="W142">
        <v>0.56286838137907891</v>
      </c>
      <c r="X142">
        <v>0.57109592723669123</v>
      </c>
      <c r="Y142">
        <v>0.40425110369827888</v>
      </c>
      <c r="Z142">
        <v>0.54573898999267423</v>
      </c>
    </row>
    <row r="143" spans="21:26">
      <c r="U143">
        <v>0.40425110369827888</v>
      </c>
      <c r="V143">
        <v>0.40425110369827888</v>
      </c>
      <c r="W143">
        <v>0.56366342916638701</v>
      </c>
      <c r="X143">
        <v>0.57188819684505765</v>
      </c>
      <c r="Y143">
        <v>0.40425110369827888</v>
      </c>
      <c r="Z143">
        <v>0.54674961775191999</v>
      </c>
    </row>
    <row r="144" spans="21:26">
      <c r="U144">
        <v>0.40425110369827888</v>
      </c>
      <c r="V144">
        <v>0.40425110369827888</v>
      </c>
      <c r="W144">
        <v>0.56445512039507084</v>
      </c>
      <c r="X144">
        <v>0.57267670840789675</v>
      </c>
      <c r="Y144">
        <v>0.40425110369827888</v>
      </c>
      <c r="Z144">
        <v>0.54776024551116576</v>
      </c>
    </row>
    <row r="145" spans="21:26">
      <c r="U145">
        <v>0.40425110369827888</v>
      </c>
      <c r="V145">
        <v>0.40425110369827888</v>
      </c>
      <c r="W145">
        <v>0.56524347627659699</v>
      </c>
      <c r="X145">
        <v>0.57346148860076818</v>
      </c>
      <c r="Y145">
        <v>0.40425110369827888</v>
      </c>
      <c r="Z145">
        <v>0.54877087327041141</v>
      </c>
    </row>
    <row r="146" spans="21:26">
      <c r="U146">
        <v>0.40425110369827888</v>
      </c>
      <c r="V146">
        <v>0.40425110369827888</v>
      </c>
      <c r="W146">
        <v>0.56602851784408292</v>
      </c>
      <c r="X146">
        <v>0.57424256384736139</v>
      </c>
      <c r="Y146">
        <v>0.40425110369827888</v>
      </c>
      <c r="Z146">
        <v>0.54978150102965717</v>
      </c>
    </row>
    <row r="147" spans="21:26">
      <c r="U147">
        <v>0.40425110369827888</v>
      </c>
      <c r="V147">
        <v>0.40425110369827888</v>
      </c>
      <c r="W147">
        <v>0.5668102659541675</v>
      </c>
      <c r="X147">
        <v>0.5750199603224605</v>
      </c>
      <c r="Y147">
        <v>0.40425110369827888</v>
      </c>
      <c r="Z147">
        <v>0.55079212878890282</v>
      </c>
    </row>
    <row r="148" spans="21:26">
      <c r="U148">
        <v>0.40425110369827888</v>
      </c>
      <c r="V148">
        <v>0.40425110369827888</v>
      </c>
      <c r="W148">
        <v>0.56758874128885695</v>
      </c>
      <c r="X148">
        <v>0.57579370395486895</v>
      </c>
      <c r="Y148">
        <v>0.40425110369827888</v>
      </c>
      <c r="Z148">
        <v>0.55180275654814859</v>
      </c>
    </row>
    <row r="149" spans="21:26">
      <c r="U149">
        <v>0.40425110369827888</v>
      </c>
      <c r="V149">
        <v>0.40425110369827888</v>
      </c>
      <c r="W149">
        <v>0.5683639643573497</v>
      </c>
      <c r="X149">
        <v>0.57656382043029186</v>
      </c>
      <c r="Y149">
        <v>0.40425110369827888</v>
      </c>
      <c r="Z149">
        <v>0.55281338430739424</v>
      </c>
    </row>
    <row r="150" spans="21:26">
      <c r="U150">
        <v>0.40425110369827888</v>
      </c>
      <c r="V150">
        <v>0.40425110369827888</v>
      </c>
      <c r="W150">
        <v>0.56913595549783758</v>
      </c>
      <c r="X150">
        <v>0.57733033519417876</v>
      </c>
      <c r="Y150">
        <v>0.40425110369827888</v>
      </c>
      <c r="Z150">
        <v>0.55382401206664</v>
      </c>
    </row>
    <row r="151" spans="21:26">
      <c r="U151">
        <v>0.40425110369827888</v>
      </c>
      <c r="V151">
        <v>0.40425110369827888</v>
      </c>
      <c r="W151">
        <v>0.56990473487928406</v>
      </c>
      <c r="X151">
        <v>0.57809327345452532</v>
      </c>
      <c r="Y151">
        <v>0.40425110369827888</v>
      </c>
      <c r="Z151">
        <v>0.55483463982588566</v>
      </c>
    </row>
    <row r="152" spans="21:26">
      <c r="U152">
        <v>0.40425110369827888</v>
      </c>
      <c r="V152">
        <v>0.40425110369827888</v>
      </c>
      <c r="W152">
        <v>0.57067032250318006</v>
      </c>
      <c r="X152">
        <v>0.57885266018463766</v>
      </c>
      <c r="Y152">
        <v>0.40425110369827888</v>
      </c>
      <c r="Z152">
        <v>0.55584526758513153</v>
      </c>
    </row>
    <row r="153" spans="21:26">
      <c r="U153">
        <v>0.40425110369827888</v>
      </c>
      <c r="V153">
        <v>0.40425110369827888</v>
      </c>
      <c r="W153">
        <v>0.5714327382052804</v>
      </c>
      <c r="X153">
        <v>0.57960852012585717</v>
      </c>
      <c r="Y153">
        <v>0.40425110369827888</v>
      </c>
      <c r="Z153">
        <v>0.55685589534437718</v>
      </c>
    </row>
    <row r="154" spans="21:26">
      <c r="U154">
        <v>0.40425110369827888</v>
      </c>
      <c r="V154">
        <v>0.40425110369827888</v>
      </c>
      <c r="W154">
        <v>0.5721920016573151</v>
      </c>
      <c r="X154">
        <v>0.58036087779024659</v>
      </c>
      <c r="Y154">
        <v>0.40425110369827888</v>
      </c>
      <c r="Z154">
        <v>0.55786652310362284</v>
      </c>
    </row>
    <row r="155" spans="21:26">
      <c r="U155">
        <v>0.40425110369827888</v>
      </c>
      <c r="V155">
        <v>0.40425110369827888</v>
      </c>
      <c r="W155">
        <v>0.57294813236868236</v>
      </c>
      <c r="X155">
        <v>0.58110975746324067</v>
      </c>
      <c r="Y155">
        <v>0.40425110369827888</v>
      </c>
      <c r="Z155">
        <v>0.55887715086286849</v>
      </c>
    </row>
    <row r="156" spans="21:26">
      <c r="U156">
        <v>0.40425110369827888</v>
      </c>
      <c r="V156">
        <v>0.40425110369827888</v>
      </c>
      <c r="W156">
        <v>0.57370114968811914</v>
      </c>
      <c r="X156">
        <v>0.58185518320625929</v>
      </c>
      <c r="Y156">
        <v>0.40425110369827888</v>
      </c>
      <c r="Z156">
        <v>0.55988777862211436</v>
      </c>
    </row>
    <row r="157" spans="21:26">
      <c r="U157">
        <v>0.40425110369827888</v>
      </c>
      <c r="V157">
        <v>0.40425110369827888</v>
      </c>
      <c r="W157">
        <v>0.57445107280535179</v>
      </c>
      <c r="X157">
        <v>0.58259717885928386</v>
      </c>
      <c r="Y157">
        <v>0.40425110369827888</v>
      </c>
      <c r="Z157">
        <v>0.56089840638136002</v>
      </c>
    </row>
    <row r="158" spans="21:26">
      <c r="U158">
        <v>0.40425110369827888</v>
      </c>
      <c r="V158">
        <v>0.40425110369827888</v>
      </c>
      <c r="W158">
        <v>0.57519792075272591</v>
      </c>
      <c r="X158">
        <v>0.58333576804339971</v>
      </c>
      <c r="Y158">
        <v>0.40425110369827888</v>
      </c>
      <c r="Z158">
        <v>0.56190903414060578</v>
      </c>
    </row>
    <row r="159" spans="21:26">
      <c r="U159">
        <v>0.40425110369827888</v>
      </c>
      <c r="V159">
        <v>0.40425110369827888</v>
      </c>
      <c r="W159">
        <v>0.57594171240681691</v>
      </c>
      <c r="X159">
        <v>0.58407097416330134</v>
      </c>
      <c r="Y159">
        <v>0.40425110369827888</v>
      </c>
      <c r="Z159">
        <v>0.56291966189985132</v>
      </c>
    </row>
    <row r="160" spans="21:26">
      <c r="U160">
        <v>0.40425110369827888</v>
      </c>
      <c r="V160">
        <v>0.40425110369827888</v>
      </c>
      <c r="W160">
        <v>0.57668246649001986</v>
      </c>
      <c r="X160">
        <v>0.58480282040976628</v>
      </c>
      <c r="Y160">
        <v>0.40425110369827888</v>
      </c>
      <c r="Z160">
        <v>0.56393028965909719</v>
      </c>
    </row>
    <row r="161" spans="21:26">
      <c r="U161">
        <v>0.40425110369827888</v>
      </c>
      <c r="V161">
        <v>0.40425110369827888</v>
      </c>
      <c r="W161">
        <v>0.57742020157212071</v>
      </c>
      <c r="X161">
        <v>0.58553132976209266</v>
      </c>
      <c r="Y161">
        <v>0.40425110369827888</v>
      </c>
      <c r="Z161">
        <v>0.56494091741834285</v>
      </c>
    </row>
    <row r="162" spans="21:26">
      <c r="U162">
        <v>0.40425110369827888</v>
      </c>
      <c r="V162">
        <v>0.40425110369827888</v>
      </c>
      <c r="W162">
        <v>0.57815493607184809</v>
      </c>
      <c r="X162">
        <v>0.58625652499050407</v>
      </c>
      <c r="Y162">
        <v>0.40425110369827888</v>
      </c>
      <c r="Z162">
        <v>0.56595154517758861</v>
      </c>
    </row>
    <row r="163" spans="21:26">
      <c r="U163">
        <v>0.40425110369827888</v>
      </c>
      <c r="V163">
        <v>0.40425110369827888</v>
      </c>
      <c r="W163">
        <v>0.57888668825840606</v>
      </c>
      <c r="X163">
        <v>0.58697842865852257</v>
      </c>
      <c r="Y163">
        <v>0.40425110369827888</v>
      </c>
      <c r="Z163">
        <v>0.56696217293683415</v>
      </c>
    </row>
    <row r="164" spans="21:26">
      <c r="U164">
        <v>0.40425110369827888</v>
      </c>
      <c r="V164">
        <v>0.40425110369827888</v>
      </c>
      <c r="W164">
        <v>0.57961547625298815</v>
      </c>
      <c r="X164">
        <v>0.58769706312530867</v>
      </c>
      <c r="Y164">
        <v>0.40425110369827888</v>
      </c>
      <c r="Z164">
        <v>0.56797280069608003</v>
      </c>
    </row>
    <row r="165" spans="21:26">
      <c r="U165">
        <v>0.40425110369827888</v>
      </c>
      <c r="V165">
        <v>0.40425110369827888</v>
      </c>
      <c r="W165">
        <v>0.58034131803027378</v>
      </c>
      <c r="X165">
        <v>0.58841245054796953</v>
      </c>
      <c r="Y165">
        <v>0.40425110369827888</v>
      </c>
      <c r="Z165">
        <v>0.56898342845532568</v>
      </c>
    </row>
    <row r="166" spans="21:26">
      <c r="U166">
        <v>0.40425110369827888</v>
      </c>
      <c r="V166">
        <v>0.40425110369827888</v>
      </c>
      <c r="W166">
        <v>0.58106423141990604</v>
      </c>
      <c r="X166">
        <v>0.589124612883837</v>
      </c>
      <c r="Y166">
        <v>0.40425110369827888</v>
      </c>
      <c r="Z166">
        <v>0.56999405621457155</v>
      </c>
    </row>
    <row r="167" spans="21:26">
      <c r="U167">
        <v>0.40425110369827888</v>
      </c>
      <c r="V167">
        <v>0.40425110369827888</v>
      </c>
      <c r="W167">
        <v>0.58178423410795044</v>
      </c>
      <c r="X167">
        <v>0.58983357189271224</v>
      </c>
      <c r="Y167">
        <v>0.40425110369827888</v>
      </c>
      <c r="Z167">
        <v>0.5710046839738171</v>
      </c>
    </row>
    <row r="168" spans="21:26">
      <c r="U168">
        <v>0.40425110369827888</v>
      </c>
      <c r="V168">
        <v>0.40425110369827888</v>
      </c>
      <c r="W168">
        <v>0.58250134363833872</v>
      </c>
      <c r="X168">
        <v>0.59053934913908457</v>
      </c>
      <c r="Y168">
        <v>0.40425110369827888</v>
      </c>
      <c r="Z168">
        <v>0.57201531173306286</v>
      </c>
    </row>
    <row r="169" spans="21:26">
      <c r="U169">
        <v>0.40425110369827888</v>
      </c>
      <c r="V169">
        <v>0.40425110369827888</v>
      </c>
      <c r="W169">
        <v>0.58321557741429286</v>
      </c>
      <c r="X169">
        <v>0.59124196599431555</v>
      </c>
      <c r="Y169">
        <v>0.40425110369827888</v>
      </c>
      <c r="Z169">
        <v>0.57302593949230851</v>
      </c>
    </row>
    <row r="170" spans="21:26">
      <c r="U170">
        <v>0.40425110369827888</v>
      </c>
      <c r="V170">
        <v>0.40425110369827888</v>
      </c>
      <c r="W170">
        <v>0.58392695269973349</v>
      </c>
      <c r="X170">
        <v>0.5919414436387983</v>
      </c>
      <c r="Y170">
        <v>0.40425110369827888</v>
      </c>
      <c r="Z170">
        <v>0.57403656725155439</v>
      </c>
    </row>
    <row r="171" spans="21:26">
      <c r="U171">
        <v>0.40425110369827888</v>
      </c>
      <c r="V171">
        <v>0.40425110369827888</v>
      </c>
      <c r="W171">
        <v>0.58463548662067044</v>
      </c>
      <c r="X171">
        <v>0.59263780306408342</v>
      </c>
      <c r="Y171">
        <v>0.40425110369827888</v>
      </c>
      <c r="Z171">
        <v>0.57504719501079993</v>
      </c>
    </row>
    <row r="172" spans="21:26">
      <c r="U172">
        <v>0.40425110369827888</v>
      </c>
      <c r="V172">
        <v>0.40425110369827888</v>
      </c>
      <c r="W172">
        <v>0.58534119616657765</v>
      </c>
      <c r="X172">
        <v>0.59333106507498146</v>
      </c>
      <c r="Y172">
        <v>0.40425110369827888</v>
      </c>
      <c r="Z172">
        <v>0.57605782277004569</v>
      </c>
    </row>
    <row r="173" spans="21:26">
      <c r="U173">
        <v>0.40425110369827888</v>
      </c>
      <c r="V173">
        <v>0.40425110369827888</v>
      </c>
      <c r="W173">
        <v>0.58604409819175041</v>
      </c>
      <c r="X173">
        <v>0.59402125029163244</v>
      </c>
      <c r="Y173">
        <v>0.40425110369827888</v>
      </c>
      <c r="Z173">
        <v>0.57706845052929134</v>
      </c>
    </row>
    <row r="174" spans="21:26">
      <c r="U174">
        <v>0.40425110369827888</v>
      </c>
      <c r="V174">
        <v>0.40425110369827888</v>
      </c>
      <c r="W174">
        <v>0.58674420941664773</v>
      </c>
      <c r="X174">
        <v>0.59470837915155261</v>
      </c>
      <c r="Y174">
        <v>0.40425110369827888</v>
      </c>
      <c r="Z174">
        <v>0.57807907828853722</v>
      </c>
    </row>
    <row r="175" spans="21:26">
      <c r="U175">
        <v>0.40425110369827888</v>
      </c>
      <c r="V175">
        <v>0.40425110369827888</v>
      </c>
      <c r="W175">
        <v>0.58744154642921775</v>
      </c>
      <c r="X175">
        <v>0.59539247191164968</v>
      </c>
      <c r="Y175">
        <v>0.40425110369827888</v>
      </c>
      <c r="Z175">
        <v>0.57908970604778276</v>
      </c>
    </row>
    <row r="176" spans="21:26">
      <c r="U176">
        <v>0.40425110369827888</v>
      </c>
      <c r="V176">
        <v>0.40425110369827888</v>
      </c>
      <c r="W176">
        <v>0.58813612568620854</v>
      </c>
      <c r="X176">
        <v>0.59607354865021522</v>
      </c>
      <c r="Y176">
        <v>0.40425110369827888</v>
      </c>
      <c r="Z176">
        <v>0.58010033380702852</v>
      </c>
    </row>
    <row r="177" spans="21:26">
      <c r="U177">
        <v>0.40425110369827888</v>
      </c>
      <c r="V177">
        <v>0.40425110369827888</v>
      </c>
      <c r="W177">
        <v>0.58882796351446132</v>
      </c>
      <c r="X177">
        <v>0.5967516292688877</v>
      </c>
      <c r="Y177">
        <v>0.40425110369827888</v>
      </c>
      <c r="Z177">
        <v>0.58111096156627418</v>
      </c>
    </row>
    <row r="178" spans="21:26">
      <c r="U178">
        <v>0.40425110369827888</v>
      </c>
      <c r="V178">
        <v>0.40425110369827888</v>
      </c>
      <c r="W178">
        <v>0.58951707611219162</v>
      </c>
      <c r="X178">
        <v>0.59742673349459186</v>
      </c>
      <c r="Y178">
        <v>0.40425110369827888</v>
      </c>
      <c r="Z178">
        <v>0.58212158932552005</v>
      </c>
    </row>
    <row r="179" spans="21:26">
      <c r="U179">
        <v>0.40425110369827888</v>
      </c>
      <c r="V179">
        <v>0.40425110369827888</v>
      </c>
      <c r="W179">
        <v>0.59020347955025176</v>
      </c>
      <c r="X179">
        <v>0.59809888088145124</v>
      </c>
      <c r="Y179">
        <v>0.40425110369827888</v>
      </c>
      <c r="Z179">
        <v>0.5831322170847657</v>
      </c>
    </row>
    <row r="180" spans="21:26">
      <c r="U180">
        <v>0.40425110369827888</v>
      </c>
      <c r="V180">
        <v>0.40425110369827888</v>
      </c>
      <c r="W180">
        <v>0.59088718977338095</v>
      </c>
      <c r="X180">
        <v>0.59876809081267657</v>
      </c>
      <c r="Y180">
        <v>0.40425110369827888</v>
      </c>
      <c r="Z180">
        <v>0.58414284484401147</v>
      </c>
    </row>
    <row r="181" spans="21:26">
      <c r="U181">
        <v>0.40425110369827888</v>
      </c>
      <c r="V181">
        <v>0.40425110369827888</v>
      </c>
      <c r="W181">
        <v>0.59156822260144015</v>
      </c>
      <c r="X181">
        <v>0.59943438250242886</v>
      </c>
      <c r="Y181">
        <v>0.40425110369827888</v>
      </c>
      <c r="Z181">
        <v>0.58515347260325712</v>
      </c>
    </row>
    <row r="182" spans="21:26">
      <c r="U182">
        <v>0.40425110369827888</v>
      </c>
      <c r="V182">
        <v>0.40425110369827888</v>
      </c>
      <c r="W182">
        <v>0.59224659373063171</v>
      </c>
      <c r="X182">
        <v>0.60009777499765793</v>
      </c>
      <c r="Y182">
        <v>0.40425110369827888</v>
      </c>
      <c r="Z182">
        <v>0.58616410036250288</v>
      </c>
    </row>
    <row r="183" spans="21:26">
      <c r="U183">
        <v>0.40425110369827888</v>
      </c>
      <c r="V183">
        <v>0.40425110369827888</v>
      </c>
      <c r="W183">
        <v>0.5929223187347058</v>
      </c>
      <c r="X183">
        <v>0.60075828717991819</v>
      </c>
      <c r="Y183">
        <v>0.40425110369827888</v>
      </c>
      <c r="Z183">
        <v>0.58717472812174853</v>
      </c>
    </row>
    <row r="184" spans="21:26">
      <c r="U184">
        <v>0.40425110369827888</v>
      </c>
      <c r="V184">
        <v>0.40425110369827888</v>
      </c>
      <c r="W184">
        <v>0.59359541306615149</v>
      </c>
      <c r="X184">
        <v>0.60141593776715951</v>
      </c>
      <c r="Y184">
        <v>0.40425110369827888</v>
      </c>
      <c r="Z184">
        <v>0.5881853558809943</v>
      </c>
    </row>
    <row r="185" spans="21:26">
      <c r="U185">
        <v>0.40425110369827888</v>
      </c>
      <c r="V185">
        <v>0.40425110369827888</v>
      </c>
      <c r="W185">
        <v>0.59426589205737523</v>
      </c>
      <c r="X185">
        <v>0.6020707453154952</v>
      </c>
      <c r="Y185">
        <v>0.40425110369827888</v>
      </c>
      <c r="Z185">
        <v>0.58919598364023995</v>
      </c>
    </row>
    <row r="186" spans="21:26">
      <c r="U186">
        <v>0.40425110369827888</v>
      </c>
      <c r="V186">
        <v>0.40425110369827888</v>
      </c>
      <c r="W186">
        <v>0.59493377092186517</v>
      </c>
      <c r="X186">
        <v>0.60272272822094786</v>
      </c>
      <c r="Y186">
        <v>0.40425110369827888</v>
      </c>
      <c r="Z186">
        <v>0.59020661139948571</v>
      </c>
    </row>
    <row r="187" spans="21:26">
      <c r="U187">
        <v>0.40425110369827888</v>
      </c>
      <c r="V187">
        <v>0.40425110369827888</v>
      </c>
      <c r="W187">
        <v>0.59559906475534141</v>
      </c>
      <c r="X187">
        <v>0.60337190472117186</v>
      </c>
      <c r="Y187">
        <v>0.40425110369827888</v>
      </c>
      <c r="Z187">
        <v>0.59121723915873137</v>
      </c>
    </row>
    <row r="188" spans="21:26">
      <c r="U188">
        <v>0.40425110369827888</v>
      </c>
      <c r="V188">
        <v>0.40425110369827888</v>
      </c>
      <c r="W188">
        <v>0.59626178853689316</v>
      </c>
      <c r="X188">
        <v>0.60401829289715381</v>
      </c>
      <c r="Y188">
        <v>0.40425110369827888</v>
      </c>
      <c r="Z188">
        <v>0.59222786691797713</v>
      </c>
    </row>
    <row r="189" spans="21:26">
      <c r="U189">
        <v>0.40425110369827888</v>
      </c>
      <c r="V189">
        <v>0.40425110369827888</v>
      </c>
      <c r="W189">
        <v>0.59692195713010388</v>
      </c>
      <c r="X189">
        <v>0.60466191067489117</v>
      </c>
      <c r="Y189">
        <v>0.40425110369827888</v>
      </c>
      <c r="Z189">
        <v>0.59323849467722278</v>
      </c>
    </row>
    <row r="190" spans="21:26">
      <c r="U190">
        <v>0.40425110369827888</v>
      </c>
      <c r="V190">
        <v>0.40425110369827888</v>
      </c>
      <c r="W190">
        <v>0.59757958528416144</v>
      </c>
      <c r="X190">
        <v>0.60530277582704972</v>
      </c>
      <c r="Y190">
        <v>0.40425110369827888</v>
      </c>
      <c r="Z190">
        <v>0.59424912243646855</v>
      </c>
    </row>
    <row r="191" spans="21:26">
      <c r="U191">
        <v>0.40425110369827888</v>
      </c>
      <c r="V191">
        <v>0.40425110369827888</v>
      </c>
      <c r="W191">
        <v>0.59823468763495757</v>
      </c>
      <c r="X191">
        <v>0.60594090597459915</v>
      </c>
      <c r="Y191">
        <v>0.40425110369827888</v>
      </c>
      <c r="Z191">
        <v>0.5952597501957142</v>
      </c>
    </row>
    <row r="192" spans="21:26">
      <c r="U192">
        <v>0.40425110369827888</v>
      </c>
      <c r="V192">
        <v>0.40425110369827888</v>
      </c>
      <c r="W192">
        <v>0.59888727870617253</v>
      </c>
      <c r="X192">
        <v>0.60657631858842831</v>
      </c>
      <c r="Y192">
        <v>0.40425110369827888</v>
      </c>
      <c r="Z192">
        <v>0.59627037795495996</v>
      </c>
    </row>
    <row r="193" spans="21:26">
      <c r="U193">
        <v>0.40425110369827888</v>
      </c>
      <c r="V193">
        <v>0.40425110369827888</v>
      </c>
      <c r="W193">
        <v>0.59953737291034925</v>
      </c>
      <c r="X193">
        <v>0.6072090309909397</v>
      </c>
      <c r="Y193">
        <v>0.40425110369827888</v>
      </c>
      <c r="Z193">
        <v>0.59728100571420573</v>
      </c>
    </row>
    <row r="194" spans="21:26">
      <c r="U194">
        <v>0.40425110369827888</v>
      </c>
      <c r="V194">
        <v>0.40425110369827888</v>
      </c>
      <c r="W194">
        <v>0.60018498454995417</v>
      </c>
      <c r="X194">
        <v>0.60783906035762325</v>
      </c>
      <c r="Y194">
        <v>0.40425110369827888</v>
      </c>
      <c r="Z194">
        <v>0.59829163347345138</v>
      </c>
    </row>
    <row r="195" spans="21:26">
      <c r="U195">
        <v>0.40425110369827888</v>
      </c>
      <c r="V195">
        <v>0.40425110369827888</v>
      </c>
      <c r="W195">
        <v>0.60083012781842604</v>
      </c>
      <c r="X195">
        <v>0.60846642371861082</v>
      </c>
      <c r="Y195">
        <v>0.40425110369827888</v>
      </c>
      <c r="Z195">
        <v>0.59930226123269703</v>
      </c>
    </row>
    <row r="196" spans="21:26">
      <c r="U196">
        <v>0.40425110369827888</v>
      </c>
      <c r="V196">
        <v>0.40425110369827888</v>
      </c>
      <c r="W196">
        <v>0.60147281680121234</v>
      </c>
      <c r="X196">
        <v>0.60909113796021064</v>
      </c>
      <c r="Y196">
        <v>0.40425110369827888</v>
      </c>
      <c r="Z196">
        <v>0.60031288899194279</v>
      </c>
    </row>
    <row r="197" spans="21:26">
      <c r="U197">
        <v>0.40425110369827888</v>
      </c>
      <c r="V197">
        <v>0.40425110369827888</v>
      </c>
      <c r="W197">
        <v>0.60211306547679577</v>
      </c>
      <c r="X197">
        <v>0.60971321982642246</v>
      </c>
      <c r="Y197">
        <v>0.40425110369827888</v>
      </c>
      <c r="Z197">
        <v>0.60132351675118856</v>
      </c>
    </row>
    <row r="198" spans="21:26">
      <c r="U198">
        <v>0.40425110369827888</v>
      </c>
      <c r="V198">
        <v>0.40425110369827888</v>
      </c>
      <c r="W198">
        <v>0.60275088771770635</v>
      </c>
      <c r="X198">
        <v>0.61033268592043288</v>
      </c>
      <c r="Y198">
        <v>0.40425110369827888</v>
      </c>
      <c r="Z198">
        <v>0.60233414451043432</v>
      </c>
    </row>
    <row r="199" spans="21:26">
      <c r="U199">
        <v>0.40425110369827888</v>
      </c>
      <c r="V199">
        <v>0.40425110369827888</v>
      </c>
      <c r="W199">
        <v>0.60338629729152393</v>
      </c>
      <c r="X199">
        <v>0.61094955270609386</v>
      </c>
      <c r="Y199">
        <v>0.40425110369827888</v>
      </c>
      <c r="Z199">
        <v>0.60334477226967997</v>
      </c>
    </row>
    <row r="200" spans="21:26">
      <c r="U200">
        <v>0.40425110369827888</v>
      </c>
      <c r="V200">
        <v>0.40425110369827888</v>
      </c>
      <c r="W200">
        <v>0.60401930786186853</v>
      </c>
      <c r="X200">
        <v>0.61156383650937962</v>
      </c>
      <c r="Y200">
        <v>0.40425110369827888</v>
      </c>
      <c r="Z200">
        <v>0.60435540002892574</v>
      </c>
    </row>
    <row r="201" spans="21:26">
      <c r="U201">
        <v>0.40425110369827888</v>
      </c>
      <c r="V201">
        <v>0.40425110369827888</v>
      </c>
      <c r="W201">
        <v>0.60464993298938041</v>
      </c>
      <c r="X201">
        <v>0.61217555351982833</v>
      </c>
      <c r="Y201">
        <v>0.40425110369827888</v>
      </c>
      <c r="Z201">
        <v>0.60536602778817139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2"/>
  <sheetViews>
    <sheetView workbookViewId="0">
      <selection activeCell="A26" sqref="A26"/>
    </sheetView>
  </sheetViews>
  <sheetFormatPr defaultRowHeight="13.5"/>
  <sheetData>
    <row r="1" spans="1:8">
      <c r="A1" t="s">
        <v>0</v>
      </c>
      <c r="B1" t="s">
        <v>1</v>
      </c>
      <c r="C1" t="s">
        <v>2</v>
      </c>
      <c r="D1" t="s">
        <v>56</v>
      </c>
      <c r="E1" t="s">
        <v>58</v>
      </c>
      <c r="F1" t="s">
        <v>113</v>
      </c>
      <c r="G1" t="s">
        <v>93</v>
      </c>
      <c r="H1" t="s">
        <v>3</v>
      </c>
    </row>
    <row r="2" spans="1:8">
      <c r="A2" s="1" t="s">
        <v>142</v>
      </c>
      <c r="B2">
        <v>5</v>
      </c>
      <c r="C2">
        <v>100</v>
      </c>
      <c r="D2">
        <v>1</v>
      </c>
      <c r="E2">
        <v>2</v>
      </c>
      <c r="F2">
        <v>0</v>
      </c>
      <c r="G2">
        <v>0</v>
      </c>
      <c r="H2" t="s">
        <v>4</v>
      </c>
    </row>
    <row r="3" spans="1:8">
      <c r="A3" s="1" t="s">
        <v>143</v>
      </c>
      <c r="B3">
        <v>10</v>
      </c>
      <c r="C3">
        <v>200</v>
      </c>
      <c r="D3">
        <v>0</v>
      </c>
      <c r="E3">
        <v>0</v>
      </c>
      <c r="F3">
        <v>0</v>
      </c>
      <c r="G3">
        <v>0</v>
      </c>
      <c r="H3" t="s">
        <v>5</v>
      </c>
    </row>
    <row r="4" spans="1:8">
      <c r="A4" t="s">
        <v>139</v>
      </c>
      <c r="B4">
        <v>15</v>
      </c>
      <c r="C4">
        <v>150</v>
      </c>
      <c r="D4">
        <v>3</v>
      </c>
      <c r="E4">
        <v>0</v>
      </c>
      <c r="F4">
        <v>0.3</v>
      </c>
      <c r="G4">
        <v>3</v>
      </c>
      <c r="H4" t="s">
        <v>6</v>
      </c>
    </row>
    <row r="5" spans="1:8">
      <c r="A5" s="1" t="s">
        <v>7</v>
      </c>
      <c r="B5">
        <v>20</v>
      </c>
      <c r="C5">
        <v>150</v>
      </c>
      <c r="D5">
        <v>1</v>
      </c>
      <c r="E5">
        <v>1</v>
      </c>
      <c r="F5">
        <v>0</v>
      </c>
      <c r="G5">
        <v>0</v>
      </c>
      <c r="H5" t="s">
        <v>8</v>
      </c>
    </row>
    <row r="6" spans="1:8">
      <c r="A6" s="1" t="s">
        <v>141</v>
      </c>
      <c r="B6">
        <v>25</v>
      </c>
      <c r="C6">
        <v>100</v>
      </c>
      <c r="D6">
        <v>2</v>
      </c>
      <c r="E6">
        <v>1</v>
      </c>
      <c r="F6">
        <v>0</v>
      </c>
      <c r="G6">
        <v>0</v>
      </c>
      <c r="H6" t="s">
        <v>57</v>
      </c>
    </row>
    <row r="7" spans="1:8">
      <c r="A7" t="s">
        <v>9</v>
      </c>
      <c r="B7">
        <v>30</v>
      </c>
      <c r="C7">
        <v>150</v>
      </c>
      <c r="D7">
        <v>0</v>
      </c>
      <c r="E7">
        <v>0</v>
      </c>
      <c r="F7">
        <v>0</v>
      </c>
      <c r="G7">
        <v>0</v>
      </c>
      <c r="H7" t="s">
        <v>10</v>
      </c>
    </row>
    <row r="8" spans="1:8">
      <c r="A8" s="1" t="s">
        <v>11</v>
      </c>
      <c r="B8">
        <v>35</v>
      </c>
      <c r="C8">
        <v>0</v>
      </c>
      <c r="D8">
        <v>2</v>
      </c>
      <c r="E8">
        <v>1</v>
      </c>
      <c r="F8">
        <v>0</v>
      </c>
      <c r="G8">
        <v>0</v>
      </c>
      <c r="H8" t="s">
        <v>12</v>
      </c>
    </row>
    <row r="9" spans="1:8">
      <c r="A9" t="s">
        <v>140</v>
      </c>
      <c r="B9">
        <v>40</v>
      </c>
      <c r="C9">
        <v>200</v>
      </c>
      <c r="D9">
        <v>1</v>
      </c>
      <c r="E9">
        <v>1.5</v>
      </c>
      <c r="F9">
        <v>0</v>
      </c>
      <c r="G9">
        <v>0</v>
      </c>
      <c r="H9" t="s">
        <v>13</v>
      </c>
    </row>
    <row r="10" spans="1:8">
      <c r="A10" s="1" t="s">
        <v>14</v>
      </c>
      <c r="B10">
        <v>45</v>
      </c>
      <c r="C10">
        <v>300</v>
      </c>
      <c r="D10">
        <v>1</v>
      </c>
      <c r="E10">
        <v>2</v>
      </c>
      <c r="F10">
        <v>0</v>
      </c>
      <c r="G10">
        <v>0</v>
      </c>
      <c r="H10" t="s">
        <v>15</v>
      </c>
    </row>
    <row r="11" spans="1:8">
      <c r="A11" t="s">
        <v>16</v>
      </c>
      <c r="B11">
        <v>50</v>
      </c>
      <c r="C11">
        <v>300</v>
      </c>
      <c r="D11">
        <v>4</v>
      </c>
      <c r="E11">
        <v>0</v>
      </c>
      <c r="F11">
        <v>0</v>
      </c>
      <c r="G11">
        <v>0</v>
      </c>
      <c r="H11" t="s">
        <v>17</v>
      </c>
    </row>
    <row r="12" spans="1:8">
      <c r="A12" s="1" t="s">
        <v>18</v>
      </c>
      <c r="B12">
        <v>5</v>
      </c>
      <c r="C12">
        <v>100</v>
      </c>
      <c r="D12">
        <v>1</v>
      </c>
      <c r="E12">
        <v>1</v>
      </c>
      <c r="F12">
        <v>0</v>
      </c>
      <c r="G12">
        <v>0</v>
      </c>
      <c r="H12" t="s">
        <v>19</v>
      </c>
    </row>
    <row r="13" spans="1:8">
      <c r="A13" s="1" t="s">
        <v>20</v>
      </c>
      <c r="B13">
        <v>10</v>
      </c>
      <c r="C13">
        <v>100</v>
      </c>
      <c r="D13">
        <v>1</v>
      </c>
      <c r="E13">
        <v>1</v>
      </c>
      <c r="F13">
        <v>0</v>
      </c>
      <c r="G13">
        <v>0</v>
      </c>
      <c r="H13" t="s">
        <v>21</v>
      </c>
    </row>
    <row r="14" spans="1:8">
      <c r="A14" s="1" t="s">
        <v>137</v>
      </c>
      <c r="B14">
        <v>15</v>
      </c>
      <c r="C14">
        <v>200</v>
      </c>
      <c r="D14">
        <v>5</v>
      </c>
      <c r="E14">
        <v>1</v>
      </c>
      <c r="F14">
        <v>0</v>
      </c>
      <c r="G14">
        <v>0</v>
      </c>
      <c r="H14" t="s">
        <v>22</v>
      </c>
    </row>
    <row r="15" spans="1:8">
      <c r="A15" s="1" t="s">
        <v>23</v>
      </c>
      <c r="B15">
        <v>20</v>
      </c>
      <c r="C15">
        <v>200</v>
      </c>
      <c r="D15">
        <v>2</v>
      </c>
      <c r="E15">
        <v>2</v>
      </c>
      <c r="F15">
        <v>0</v>
      </c>
      <c r="G15">
        <v>0</v>
      </c>
      <c r="H15" t="s">
        <v>24</v>
      </c>
    </row>
    <row r="16" spans="1:8">
      <c r="A16" s="1" t="s">
        <v>25</v>
      </c>
      <c r="B16">
        <v>25</v>
      </c>
      <c r="C16">
        <v>200</v>
      </c>
      <c r="D16">
        <v>7</v>
      </c>
      <c r="E16">
        <v>0</v>
      </c>
      <c r="F16">
        <v>0</v>
      </c>
      <c r="G16">
        <v>0</v>
      </c>
      <c r="H16" t="s">
        <v>26</v>
      </c>
    </row>
    <row r="17" spans="1:8">
      <c r="A17" s="1" t="s">
        <v>27</v>
      </c>
      <c r="B17">
        <v>30</v>
      </c>
      <c r="C17">
        <v>150</v>
      </c>
      <c r="D17">
        <v>1</v>
      </c>
      <c r="E17">
        <v>1</v>
      </c>
      <c r="F17">
        <v>0</v>
      </c>
      <c r="G17">
        <v>0</v>
      </c>
      <c r="H17" t="s">
        <v>28</v>
      </c>
    </row>
    <row r="18" spans="1:8">
      <c r="A18" t="s">
        <v>29</v>
      </c>
      <c r="B18">
        <v>35</v>
      </c>
      <c r="C18">
        <v>400</v>
      </c>
      <c r="D18">
        <v>3</v>
      </c>
      <c r="E18">
        <v>0</v>
      </c>
      <c r="F18">
        <v>1</v>
      </c>
      <c r="G18">
        <v>2</v>
      </c>
      <c r="H18" t="s">
        <v>30</v>
      </c>
    </row>
    <row r="19" spans="1:8">
      <c r="A19" t="s">
        <v>31</v>
      </c>
      <c r="B19">
        <v>40</v>
      </c>
      <c r="C19">
        <v>300</v>
      </c>
      <c r="D19">
        <v>0</v>
      </c>
      <c r="E19">
        <v>0</v>
      </c>
      <c r="F19">
        <v>0</v>
      </c>
      <c r="G19">
        <v>0</v>
      </c>
      <c r="H19" t="s">
        <v>32</v>
      </c>
    </row>
    <row r="20" spans="1:8">
      <c r="A20" t="s">
        <v>33</v>
      </c>
      <c r="B20">
        <v>45</v>
      </c>
      <c r="C20">
        <v>200</v>
      </c>
      <c r="D20">
        <v>1</v>
      </c>
      <c r="E20">
        <v>1</v>
      </c>
      <c r="F20">
        <v>0</v>
      </c>
      <c r="G20">
        <v>0</v>
      </c>
      <c r="H20" t="s">
        <v>34</v>
      </c>
    </row>
    <row r="21" spans="1:8">
      <c r="A21" t="s">
        <v>35</v>
      </c>
      <c r="B21">
        <v>50</v>
      </c>
      <c r="C21">
        <v>250</v>
      </c>
      <c r="D21">
        <v>0</v>
      </c>
      <c r="E21">
        <v>0</v>
      </c>
      <c r="F21">
        <v>0</v>
      </c>
      <c r="G21">
        <v>0</v>
      </c>
      <c r="H21" t="s">
        <v>36</v>
      </c>
    </row>
    <row r="22" spans="1:8">
      <c r="A22" s="1" t="s">
        <v>37</v>
      </c>
      <c r="B22">
        <v>5</v>
      </c>
      <c r="C22">
        <v>100</v>
      </c>
      <c r="D22">
        <v>5</v>
      </c>
      <c r="E22">
        <v>2</v>
      </c>
      <c r="F22">
        <v>0</v>
      </c>
      <c r="G22">
        <v>0</v>
      </c>
      <c r="H22" t="s">
        <v>38</v>
      </c>
    </row>
    <row r="23" spans="1:8">
      <c r="A23" s="1" t="s">
        <v>138</v>
      </c>
      <c r="B23">
        <v>10</v>
      </c>
      <c r="C23">
        <v>150</v>
      </c>
      <c r="D23">
        <v>5</v>
      </c>
      <c r="E23">
        <v>1.5</v>
      </c>
      <c r="F23">
        <v>0</v>
      </c>
      <c r="G23">
        <v>0</v>
      </c>
      <c r="H23" t="s">
        <v>39</v>
      </c>
    </row>
    <row r="24" spans="1:8">
      <c r="A24" t="s">
        <v>40</v>
      </c>
      <c r="B24">
        <v>15</v>
      </c>
      <c r="C24">
        <v>200</v>
      </c>
      <c r="D24">
        <v>0</v>
      </c>
      <c r="E24">
        <v>0</v>
      </c>
      <c r="F24">
        <v>0</v>
      </c>
      <c r="G24">
        <v>0</v>
      </c>
      <c r="H24" t="s">
        <v>41</v>
      </c>
    </row>
    <row r="25" spans="1:8">
      <c r="A25" s="1" t="s">
        <v>42</v>
      </c>
      <c r="B25">
        <v>20</v>
      </c>
      <c r="C25">
        <v>200</v>
      </c>
      <c r="D25">
        <v>5</v>
      </c>
      <c r="E25">
        <v>1.5</v>
      </c>
      <c r="F25">
        <v>0</v>
      </c>
      <c r="G25">
        <v>0</v>
      </c>
      <c r="H25" t="s">
        <v>43</v>
      </c>
    </row>
    <row r="26" spans="1:8">
      <c r="A26" s="1" t="s">
        <v>44</v>
      </c>
      <c r="B26">
        <v>25</v>
      </c>
      <c r="C26">
        <v>250</v>
      </c>
      <c r="D26">
        <v>5</v>
      </c>
      <c r="E26">
        <v>1</v>
      </c>
      <c r="F26">
        <v>0</v>
      </c>
      <c r="G26">
        <v>0</v>
      </c>
      <c r="H26" t="s">
        <v>45</v>
      </c>
    </row>
    <row r="27" spans="1:8">
      <c r="A27" t="s">
        <v>46</v>
      </c>
      <c r="B27">
        <v>30</v>
      </c>
      <c r="C27">
        <v>0</v>
      </c>
      <c r="D27">
        <v>0</v>
      </c>
      <c r="E27">
        <v>0</v>
      </c>
      <c r="F27">
        <v>0</v>
      </c>
      <c r="G27">
        <v>0</v>
      </c>
      <c r="H27" t="s">
        <v>47</v>
      </c>
    </row>
    <row r="28" spans="1:8">
      <c r="A28" t="s">
        <v>48</v>
      </c>
      <c r="B28">
        <v>35</v>
      </c>
      <c r="C28">
        <v>100</v>
      </c>
      <c r="D28">
        <v>5</v>
      </c>
      <c r="E28">
        <v>4.25</v>
      </c>
      <c r="F28">
        <v>0</v>
      </c>
      <c r="G28">
        <v>0</v>
      </c>
      <c r="H28" t="s">
        <v>49</v>
      </c>
    </row>
    <row r="29" spans="1:8">
      <c r="A29" t="s">
        <v>50</v>
      </c>
      <c r="B29">
        <v>40</v>
      </c>
      <c r="C29">
        <v>0</v>
      </c>
      <c r="D29">
        <v>0</v>
      </c>
      <c r="E29">
        <v>0</v>
      </c>
      <c r="F29">
        <v>0</v>
      </c>
      <c r="G29">
        <v>0</v>
      </c>
      <c r="H29" t="s">
        <v>51</v>
      </c>
    </row>
    <row r="30" spans="1:8">
      <c r="A30" s="1" t="s">
        <v>52</v>
      </c>
      <c r="B30">
        <v>45</v>
      </c>
      <c r="C30">
        <v>350</v>
      </c>
      <c r="D30">
        <v>5</v>
      </c>
      <c r="E30">
        <v>2.5</v>
      </c>
      <c r="F30">
        <v>0</v>
      </c>
      <c r="G30">
        <v>0</v>
      </c>
      <c r="H30" t="s">
        <v>53</v>
      </c>
    </row>
    <row r="31" spans="1:8">
      <c r="A31" t="s">
        <v>54</v>
      </c>
      <c r="B31">
        <v>50</v>
      </c>
      <c r="C31">
        <v>250</v>
      </c>
      <c r="D31">
        <v>5</v>
      </c>
      <c r="E31">
        <v>3.5</v>
      </c>
      <c r="F31">
        <v>0</v>
      </c>
      <c r="G31">
        <v>0</v>
      </c>
      <c r="H31" t="s">
        <v>55</v>
      </c>
    </row>
    <row r="32" spans="1: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111"/>
  <sheetViews>
    <sheetView workbookViewId="0">
      <pane ySplit="1" topLeftCell="A80" activePane="bottomLeft" state="frozen"/>
      <selection pane="bottomLeft" activeCell="O106" sqref="O106"/>
    </sheetView>
  </sheetViews>
  <sheetFormatPr defaultRowHeight="13.5"/>
  <sheetData>
    <row r="1" spans="1:11">
      <c r="A1" t="s">
        <v>106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</row>
    <row r="2" spans="1:11">
      <c r="A2">
        <v>1</v>
      </c>
      <c r="B2">
        <f>E2</f>
        <v>60</v>
      </c>
      <c r="C2">
        <f>(A2+1)*50</f>
        <v>100</v>
      </c>
      <c r="D2">
        <f>(A2+1)*50</f>
        <v>100</v>
      </c>
      <c r="E2">
        <f>3*A2^2+2*A2+55</f>
        <v>60</v>
      </c>
      <c r="F2">
        <f>E2*2</f>
        <v>120</v>
      </c>
      <c r="G2">
        <f>E2</f>
        <v>60</v>
      </c>
      <c r="H2">
        <f>INT(B2/4)</f>
        <v>15</v>
      </c>
      <c r="I2">
        <v>100</v>
      </c>
      <c r="J2">
        <v>100</v>
      </c>
      <c r="K2">
        <v>100</v>
      </c>
    </row>
    <row r="3" spans="1:11">
      <c r="A3">
        <v>2</v>
      </c>
      <c r="B3">
        <f t="shared" ref="B3:B66" si="0">E3</f>
        <v>71</v>
      </c>
      <c r="C3">
        <f t="shared" ref="C3:C66" si="1">(A3+1)*50</f>
        <v>150</v>
      </c>
      <c r="D3">
        <f t="shared" ref="D3:D66" si="2">(A3+1)*50</f>
        <v>150</v>
      </c>
      <c r="E3">
        <f t="shared" ref="E3:E66" si="3">3*A3^2+2*A3+55</f>
        <v>71</v>
      </c>
      <c r="F3">
        <f t="shared" ref="F3:F66" si="4">E3*2</f>
        <v>142</v>
      </c>
      <c r="G3">
        <f t="shared" ref="G3:G66" si="5">E3</f>
        <v>71</v>
      </c>
      <c r="H3">
        <f t="shared" ref="H3:H66" si="6">INT(B3/4)</f>
        <v>17</v>
      </c>
      <c r="I3">
        <v>100</v>
      </c>
      <c r="J3">
        <v>100</v>
      </c>
      <c r="K3">
        <v>100</v>
      </c>
    </row>
    <row r="4" spans="1:11">
      <c r="A4">
        <v>3</v>
      </c>
      <c r="B4">
        <f t="shared" si="0"/>
        <v>88</v>
      </c>
      <c r="C4">
        <f t="shared" si="1"/>
        <v>200</v>
      </c>
      <c r="D4">
        <f t="shared" si="2"/>
        <v>200</v>
      </c>
      <c r="E4">
        <f t="shared" si="3"/>
        <v>88</v>
      </c>
      <c r="F4">
        <f t="shared" si="4"/>
        <v>176</v>
      </c>
      <c r="G4">
        <f t="shared" si="5"/>
        <v>88</v>
      </c>
      <c r="H4">
        <f t="shared" si="6"/>
        <v>22</v>
      </c>
      <c r="I4">
        <v>100</v>
      </c>
      <c r="J4">
        <v>100</v>
      </c>
      <c r="K4">
        <v>100</v>
      </c>
    </row>
    <row r="5" spans="1:11">
      <c r="A5">
        <v>4</v>
      </c>
      <c r="B5">
        <f t="shared" si="0"/>
        <v>111</v>
      </c>
      <c r="C5">
        <f t="shared" si="1"/>
        <v>250</v>
      </c>
      <c r="D5">
        <f t="shared" si="2"/>
        <v>250</v>
      </c>
      <c r="E5">
        <f t="shared" si="3"/>
        <v>111</v>
      </c>
      <c r="F5">
        <f t="shared" si="4"/>
        <v>222</v>
      </c>
      <c r="G5">
        <f t="shared" si="5"/>
        <v>111</v>
      </c>
      <c r="H5">
        <f t="shared" si="6"/>
        <v>27</v>
      </c>
      <c r="I5">
        <v>100</v>
      </c>
      <c r="J5">
        <v>100</v>
      </c>
      <c r="K5">
        <v>100</v>
      </c>
    </row>
    <row r="6" spans="1:11">
      <c r="A6">
        <v>5</v>
      </c>
      <c r="B6">
        <f t="shared" si="0"/>
        <v>140</v>
      </c>
      <c r="C6">
        <f t="shared" si="1"/>
        <v>300</v>
      </c>
      <c r="D6">
        <f t="shared" si="2"/>
        <v>300</v>
      </c>
      <c r="E6">
        <f t="shared" si="3"/>
        <v>140</v>
      </c>
      <c r="F6">
        <f t="shared" si="4"/>
        <v>280</v>
      </c>
      <c r="G6">
        <f t="shared" si="5"/>
        <v>140</v>
      </c>
      <c r="H6">
        <f t="shared" si="6"/>
        <v>35</v>
      </c>
      <c r="I6">
        <v>100</v>
      </c>
      <c r="J6">
        <v>100</v>
      </c>
      <c r="K6">
        <v>100</v>
      </c>
    </row>
    <row r="7" spans="1:11">
      <c r="A7">
        <v>6</v>
      </c>
      <c r="B7">
        <f t="shared" si="0"/>
        <v>175</v>
      </c>
      <c r="C7">
        <f t="shared" si="1"/>
        <v>350</v>
      </c>
      <c r="D7">
        <f t="shared" si="2"/>
        <v>350</v>
      </c>
      <c r="E7">
        <f t="shared" si="3"/>
        <v>175</v>
      </c>
      <c r="F7">
        <f t="shared" si="4"/>
        <v>350</v>
      </c>
      <c r="G7">
        <f t="shared" si="5"/>
        <v>175</v>
      </c>
      <c r="H7">
        <f t="shared" si="6"/>
        <v>43</v>
      </c>
      <c r="I7">
        <v>100</v>
      </c>
      <c r="J7">
        <v>100</v>
      </c>
      <c r="K7">
        <v>100</v>
      </c>
    </row>
    <row r="8" spans="1:11">
      <c r="A8">
        <v>7</v>
      </c>
      <c r="B8">
        <f t="shared" si="0"/>
        <v>216</v>
      </c>
      <c r="C8">
        <f t="shared" si="1"/>
        <v>400</v>
      </c>
      <c r="D8">
        <f t="shared" si="2"/>
        <v>400</v>
      </c>
      <c r="E8">
        <f t="shared" si="3"/>
        <v>216</v>
      </c>
      <c r="F8">
        <f t="shared" si="4"/>
        <v>432</v>
      </c>
      <c r="G8">
        <f t="shared" si="5"/>
        <v>216</v>
      </c>
      <c r="H8">
        <f t="shared" si="6"/>
        <v>54</v>
      </c>
      <c r="I8">
        <v>100</v>
      </c>
      <c r="J8">
        <v>100</v>
      </c>
      <c r="K8">
        <v>100</v>
      </c>
    </row>
    <row r="9" spans="1:11">
      <c r="A9">
        <v>8</v>
      </c>
      <c r="B9">
        <f t="shared" si="0"/>
        <v>263</v>
      </c>
      <c r="C9">
        <f t="shared" si="1"/>
        <v>450</v>
      </c>
      <c r="D9">
        <f t="shared" si="2"/>
        <v>450</v>
      </c>
      <c r="E9">
        <f t="shared" si="3"/>
        <v>263</v>
      </c>
      <c r="F9">
        <f t="shared" si="4"/>
        <v>526</v>
      </c>
      <c r="G9">
        <f t="shared" si="5"/>
        <v>263</v>
      </c>
      <c r="H9">
        <f t="shared" si="6"/>
        <v>65</v>
      </c>
      <c r="I9">
        <v>100</v>
      </c>
      <c r="J9">
        <v>100</v>
      </c>
      <c r="K9">
        <v>100</v>
      </c>
    </row>
    <row r="10" spans="1:11">
      <c r="A10">
        <v>9</v>
      </c>
      <c r="B10">
        <f t="shared" si="0"/>
        <v>316</v>
      </c>
      <c r="C10">
        <f t="shared" si="1"/>
        <v>500</v>
      </c>
      <c r="D10">
        <f t="shared" si="2"/>
        <v>500</v>
      </c>
      <c r="E10">
        <f t="shared" si="3"/>
        <v>316</v>
      </c>
      <c r="F10">
        <f t="shared" si="4"/>
        <v>632</v>
      </c>
      <c r="G10">
        <f t="shared" si="5"/>
        <v>316</v>
      </c>
      <c r="H10">
        <f t="shared" si="6"/>
        <v>79</v>
      </c>
      <c r="I10">
        <v>100</v>
      </c>
      <c r="J10">
        <v>100</v>
      </c>
      <c r="K10">
        <v>100</v>
      </c>
    </row>
    <row r="11" spans="1:11">
      <c r="A11">
        <v>10</v>
      </c>
      <c r="B11">
        <f t="shared" si="0"/>
        <v>375</v>
      </c>
      <c r="C11">
        <f t="shared" si="1"/>
        <v>550</v>
      </c>
      <c r="D11">
        <f t="shared" si="2"/>
        <v>550</v>
      </c>
      <c r="E11">
        <f t="shared" si="3"/>
        <v>375</v>
      </c>
      <c r="F11">
        <f t="shared" si="4"/>
        <v>750</v>
      </c>
      <c r="G11">
        <f t="shared" si="5"/>
        <v>375</v>
      </c>
      <c r="H11">
        <f t="shared" si="6"/>
        <v>93</v>
      </c>
      <c r="I11">
        <v>100</v>
      </c>
      <c r="J11">
        <v>100</v>
      </c>
      <c r="K11">
        <v>100</v>
      </c>
    </row>
    <row r="12" spans="1:11">
      <c r="A12">
        <v>11</v>
      </c>
      <c r="B12">
        <f t="shared" si="0"/>
        <v>440</v>
      </c>
      <c r="C12">
        <f t="shared" si="1"/>
        <v>600</v>
      </c>
      <c r="D12">
        <f t="shared" si="2"/>
        <v>600</v>
      </c>
      <c r="E12">
        <f t="shared" si="3"/>
        <v>440</v>
      </c>
      <c r="F12">
        <f t="shared" si="4"/>
        <v>880</v>
      </c>
      <c r="G12">
        <f t="shared" si="5"/>
        <v>440</v>
      </c>
      <c r="H12">
        <f t="shared" si="6"/>
        <v>110</v>
      </c>
      <c r="I12">
        <v>100</v>
      </c>
      <c r="J12">
        <v>100</v>
      </c>
      <c r="K12">
        <v>100</v>
      </c>
    </row>
    <row r="13" spans="1:11">
      <c r="A13">
        <v>12</v>
      </c>
      <c r="B13">
        <f t="shared" si="0"/>
        <v>511</v>
      </c>
      <c r="C13">
        <f t="shared" si="1"/>
        <v>650</v>
      </c>
      <c r="D13">
        <f t="shared" si="2"/>
        <v>650</v>
      </c>
      <c r="E13">
        <f t="shared" si="3"/>
        <v>511</v>
      </c>
      <c r="F13">
        <f t="shared" si="4"/>
        <v>1022</v>
      </c>
      <c r="G13">
        <f t="shared" si="5"/>
        <v>511</v>
      </c>
      <c r="H13">
        <f t="shared" si="6"/>
        <v>127</v>
      </c>
      <c r="I13">
        <v>100</v>
      </c>
      <c r="J13">
        <v>100</v>
      </c>
      <c r="K13">
        <v>100</v>
      </c>
    </row>
    <row r="14" spans="1:11">
      <c r="A14">
        <v>13</v>
      </c>
      <c r="B14">
        <f t="shared" si="0"/>
        <v>588</v>
      </c>
      <c r="C14">
        <f t="shared" si="1"/>
        <v>700</v>
      </c>
      <c r="D14">
        <f t="shared" si="2"/>
        <v>700</v>
      </c>
      <c r="E14">
        <f t="shared" si="3"/>
        <v>588</v>
      </c>
      <c r="F14">
        <f t="shared" si="4"/>
        <v>1176</v>
      </c>
      <c r="G14">
        <f t="shared" si="5"/>
        <v>588</v>
      </c>
      <c r="H14">
        <f t="shared" si="6"/>
        <v>147</v>
      </c>
      <c r="I14">
        <v>100</v>
      </c>
      <c r="J14">
        <v>100</v>
      </c>
      <c r="K14">
        <v>100</v>
      </c>
    </row>
    <row r="15" spans="1:11">
      <c r="A15">
        <v>14</v>
      </c>
      <c r="B15">
        <f t="shared" si="0"/>
        <v>671</v>
      </c>
      <c r="C15">
        <f t="shared" si="1"/>
        <v>750</v>
      </c>
      <c r="D15">
        <f t="shared" si="2"/>
        <v>750</v>
      </c>
      <c r="E15">
        <f t="shared" si="3"/>
        <v>671</v>
      </c>
      <c r="F15">
        <f t="shared" si="4"/>
        <v>1342</v>
      </c>
      <c r="G15">
        <f t="shared" si="5"/>
        <v>671</v>
      </c>
      <c r="H15">
        <f t="shared" si="6"/>
        <v>167</v>
      </c>
      <c r="I15">
        <v>100</v>
      </c>
      <c r="J15">
        <v>100</v>
      </c>
      <c r="K15">
        <v>100</v>
      </c>
    </row>
    <row r="16" spans="1:11">
      <c r="A16">
        <v>15</v>
      </c>
      <c r="B16">
        <f t="shared" si="0"/>
        <v>760</v>
      </c>
      <c r="C16">
        <f t="shared" si="1"/>
        <v>800</v>
      </c>
      <c r="D16">
        <f t="shared" si="2"/>
        <v>800</v>
      </c>
      <c r="E16">
        <f t="shared" si="3"/>
        <v>760</v>
      </c>
      <c r="F16">
        <f t="shared" si="4"/>
        <v>1520</v>
      </c>
      <c r="G16">
        <f t="shared" si="5"/>
        <v>760</v>
      </c>
      <c r="H16">
        <f t="shared" si="6"/>
        <v>190</v>
      </c>
      <c r="I16">
        <v>100</v>
      </c>
      <c r="J16">
        <v>100</v>
      </c>
      <c r="K16">
        <v>100</v>
      </c>
    </row>
    <row r="17" spans="1:11">
      <c r="A17">
        <v>16</v>
      </c>
      <c r="B17">
        <f t="shared" si="0"/>
        <v>855</v>
      </c>
      <c r="C17">
        <f t="shared" si="1"/>
        <v>850</v>
      </c>
      <c r="D17">
        <f t="shared" si="2"/>
        <v>850</v>
      </c>
      <c r="E17">
        <f t="shared" si="3"/>
        <v>855</v>
      </c>
      <c r="F17">
        <f t="shared" si="4"/>
        <v>1710</v>
      </c>
      <c r="G17">
        <f t="shared" si="5"/>
        <v>855</v>
      </c>
      <c r="H17">
        <f t="shared" si="6"/>
        <v>213</v>
      </c>
      <c r="I17">
        <v>100</v>
      </c>
      <c r="J17">
        <v>100</v>
      </c>
      <c r="K17">
        <v>100</v>
      </c>
    </row>
    <row r="18" spans="1:11">
      <c r="A18">
        <v>17</v>
      </c>
      <c r="B18">
        <f t="shared" si="0"/>
        <v>956</v>
      </c>
      <c r="C18">
        <f t="shared" si="1"/>
        <v>900</v>
      </c>
      <c r="D18">
        <f t="shared" si="2"/>
        <v>900</v>
      </c>
      <c r="E18">
        <f t="shared" si="3"/>
        <v>956</v>
      </c>
      <c r="F18">
        <f t="shared" si="4"/>
        <v>1912</v>
      </c>
      <c r="G18">
        <f t="shared" si="5"/>
        <v>956</v>
      </c>
      <c r="H18">
        <f t="shared" si="6"/>
        <v>239</v>
      </c>
      <c r="I18">
        <v>100</v>
      </c>
      <c r="J18">
        <v>100</v>
      </c>
      <c r="K18">
        <v>100</v>
      </c>
    </row>
    <row r="19" spans="1:11">
      <c r="A19">
        <v>18</v>
      </c>
      <c r="B19">
        <f t="shared" si="0"/>
        <v>1063</v>
      </c>
      <c r="C19">
        <f t="shared" si="1"/>
        <v>950</v>
      </c>
      <c r="D19">
        <f t="shared" si="2"/>
        <v>950</v>
      </c>
      <c r="E19">
        <f t="shared" si="3"/>
        <v>1063</v>
      </c>
      <c r="F19">
        <f t="shared" si="4"/>
        <v>2126</v>
      </c>
      <c r="G19">
        <f t="shared" si="5"/>
        <v>1063</v>
      </c>
      <c r="H19">
        <f t="shared" si="6"/>
        <v>265</v>
      </c>
      <c r="I19">
        <v>100</v>
      </c>
      <c r="J19">
        <v>100</v>
      </c>
      <c r="K19">
        <v>100</v>
      </c>
    </row>
    <row r="20" spans="1:11">
      <c r="A20">
        <v>19</v>
      </c>
      <c r="B20">
        <f t="shared" si="0"/>
        <v>1176</v>
      </c>
      <c r="C20">
        <f t="shared" si="1"/>
        <v>1000</v>
      </c>
      <c r="D20">
        <f t="shared" si="2"/>
        <v>1000</v>
      </c>
      <c r="E20">
        <f t="shared" si="3"/>
        <v>1176</v>
      </c>
      <c r="F20">
        <f t="shared" si="4"/>
        <v>2352</v>
      </c>
      <c r="G20">
        <f t="shared" si="5"/>
        <v>1176</v>
      </c>
      <c r="H20">
        <f t="shared" si="6"/>
        <v>294</v>
      </c>
      <c r="I20">
        <v>100</v>
      </c>
      <c r="J20">
        <v>100</v>
      </c>
      <c r="K20">
        <v>100</v>
      </c>
    </row>
    <row r="21" spans="1:11">
      <c r="A21">
        <v>20</v>
      </c>
      <c r="B21">
        <f t="shared" si="0"/>
        <v>1295</v>
      </c>
      <c r="C21">
        <f t="shared" si="1"/>
        <v>1050</v>
      </c>
      <c r="D21">
        <f t="shared" si="2"/>
        <v>1050</v>
      </c>
      <c r="E21">
        <f t="shared" si="3"/>
        <v>1295</v>
      </c>
      <c r="F21">
        <f t="shared" si="4"/>
        <v>2590</v>
      </c>
      <c r="G21">
        <f t="shared" si="5"/>
        <v>1295</v>
      </c>
      <c r="H21">
        <f t="shared" si="6"/>
        <v>323</v>
      </c>
      <c r="I21">
        <v>100</v>
      </c>
      <c r="J21">
        <v>100</v>
      </c>
      <c r="K21">
        <v>100</v>
      </c>
    </row>
    <row r="22" spans="1:11">
      <c r="A22">
        <v>21</v>
      </c>
      <c r="B22">
        <f t="shared" si="0"/>
        <v>1420</v>
      </c>
      <c r="C22">
        <f t="shared" si="1"/>
        <v>1100</v>
      </c>
      <c r="D22">
        <f t="shared" si="2"/>
        <v>1100</v>
      </c>
      <c r="E22">
        <f t="shared" si="3"/>
        <v>1420</v>
      </c>
      <c r="F22">
        <f t="shared" si="4"/>
        <v>2840</v>
      </c>
      <c r="G22">
        <f t="shared" si="5"/>
        <v>1420</v>
      </c>
      <c r="H22">
        <f t="shared" si="6"/>
        <v>355</v>
      </c>
      <c r="I22">
        <v>100</v>
      </c>
      <c r="J22">
        <v>100</v>
      </c>
      <c r="K22">
        <v>100</v>
      </c>
    </row>
    <row r="23" spans="1:11">
      <c r="A23">
        <v>22</v>
      </c>
      <c r="B23">
        <f t="shared" si="0"/>
        <v>1551</v>
      </c>
      <c r="C23">
        <f t="shared" si="1"/>
        <v>1150</v>
      </c>
      <c r="D23">
        <f t="shared" si="2"/>
        <v>1150</v>
      </c>
      <c r="E23">
        <f t="shared" si="3"/>
        <v>1551</v>
      </c>
      <c r="F23">
        <f t="shared" si="4"/>
        <v>3102</v>
      </c>
      <c r="G23">
        <f t="shared" si="5"/>
        <v>1551</v>
      </c>
      <c r="H23">
        <f t="shared" si="6"/>
        <v>387</v>
      </c>
      <c r="I23">
        <v>100</v>
      </c>
      <c r="J23">
        <v>100</v>
      </c>
      <c r="K23">
        <v>100</v>
      </c>
    </row>
    <row r="24" spans="1:11">
      <c r="A24">
        <v>23</v>
      </c>
      <c r="B24">
        <f t="shared" si="0"/>
        <v>1688</v>
      </c>
      <c r="C24">
        <f t="shared" si="1"/>
        <v>1200</v>
      </c>
      <c r="D24">
        <f t="shared" si="2"/>
        <v>1200</v>
      </c>
      <c r="E24">
        <f t="shared" si="3"/>
        <v>1688</v>
      </c>
      <c r="F24">
        <f t="shared" si="4"/>
        <v>3376</v>
      </c>
      <c r="G24">
        <f t="shared" si="5"/>
        <v>1688</v>
      </c>
      <c r="H24">
        <f t="shared" si="6"/>
        <v>422</v>
      </c>
      <c r="I24">
        <v>100</v>
      </c>
      <c r="J24">
        <v>100</v>
      </c>
      <c r="K24">
        <v>100</v>
      </c>
    </row>
    <row r="25" spans="1:11">
      <c r="A25">
        <v>24</v>
      </c>
      <c r="B25">
        <f t="shared" si="0"/>
        <v>1831</v>
      </c>
      <c r="C25">
        <f t="shared" si="1"/>
        <v>1250</v>
      </c>
      <c r="D25">
        <f t="shared" si="2"/>
        <v>1250</v>
      </c>
      <c r="E25">
        <f t="shared" si="3"/>
        <v>1831</v>
      </c>
      <c r="F25">
        <f t="shared" si="4"/>
        <v>3662</v>
      </c>
      <c r="G25">
        <f t="shared" si="5"/>
        <v>1831</v>
      </c>
      <c r="H25">
        <f t="shared" si="6"/>
        <v>457</v>
      </c>
      <c r="I25">
        <v>100</v>
      </c>
      <c r="J25">
        <v>100</v>
      </c>
      <c r="K25">
        <v>100</v>
      </c>
    </row>
    <row r="26" spans="1:11">
      <c r="A26">
        <v>25</v>
      </c>
      <c r="B26">
        <f t="shared" si="0"/>
        <v>1980</v>
      </c>
      <c r="C26">
        <f t="shared" si="1"/>
        <v>1300</v>
      </c>
      <c r="D26">
        <f t="shared" si="2"/>
        <v>1300</v>
      </c>
      <c r="E26">
        <f t="shared" si="3"/>
        <v>1980</v>
      </c>
      <c r="F26">
        <f t="shared" si="4"/>
        <v>3960</v>
      </c>
      <c r="G26">
        <f t="shared" si="5"/>
        <v>1980</v>
      </c>
      <c r="H26">
        <f t="shared" si="6"/>
        <v>495</v>
      </c>
      <c r="I26">
        <v>100</v>
      </c>
      <c r="J26">
        <v>100</v>
      </c>
      <c r="K26">
        <v>100</v>
      </c>
    </row>
    <row r="27" spans="1:11">
      <c r="A27">
        <v>26</v>
      </c>
      <c r="B27">
        <f t="shared" si="0"/>
        <v>2135</v>
      </c>
      <c r="C27">
        <f t="shared" si="1"/>
        <v>1350</v>
      </c>
      <c r="D27">
        <f t="shared" si="2"/>
        <v>1350</v>
      </c>
      <c r="E27">
        <f t="shared" si="3"/>
        <v>2135</v>
      </c>
      <c r="F27">
        <f t="shared" si="4"/>
        <v>4270</v>
      </c>
      <c r="G27">
        <f t="shared" si="5"/>
        <v>2135</v>
      </c>
      <c r="H27">
        <f t="shared" si="6"/>
        <v>533</v>
      </c>
      <c r="I27">
        <v>100</v>
      </c>
      <c r="J27">
        <v>100</v>
      </c>
      <c r="K27">
        <v>100</v>
      </c>
    </row>
    <row r="28" spans="1:11">
      <c r="A28">
        <v>27</v>
      </c>
      <c r="B28">
        <f t="shared" si="0"/>
        <v>2296</v>
      </c>
      <c r="C28">
        <f t="shared" si="1"/>
        <v>1400</v>
      </c>
      <c r="D28">
        <f t="shared" si="2"/>
        <v>1400</v>
      </c>
      <c r="E28">
        <f t="shared" si="3"/>
        <v>2296</v>
      </c>
      <c r="F28">
        <f t="shared" si="4"/>
        <v>4592</v>
      </c>
      <c r="G28">
        <f t="shared" si="5"/>
        <v>2296</v>
      </c>
      <c r="H28">
        <f t="shared" si="6"/>
        <v>574</v>
      </c>
      <c r="I28">
        <v>100</v>
      </c>
      <c r="J28">
        <v>100</v>
      </c>
      <c r="K28">
        <v>100</v>
      </c>
    </row>
    <row r="29" spans="1:11">
      <c r="A29">
        <v>28</v>
      </c>
      <c r="B29">
        <f t="shared" si="0"/>
        <v>2463</v>
      </c>
      <c r="C29">
        <f t="shared" si="1"/>
        <v>1450</v>
      </c>
      <c r="D29">
        <f t="shared" si="2"/>
        <v>1450</v>
      </c>
      <c r="E29">
        <f t="shared" si="3"/>
        <v>2463</v>
      </c>
      <c r="F29">
        <f t="shared" si="4"/>
        <v>4926</v>
      </c>
      <c r="G29">
        <f t="shared" si="5"/>
        <v>2463</v>
      </c>
      <c r="H29">
        <f t="shared" si="6"/>
        <v>615</v>
      </c>
      <c r="I29">
        <v>100</v>
      </c>
      <c r="J29">
        <v>100</v>
      </c>
      <c r="K29">
        <v>100</v>
      </c>
    </row>
    <row r="30" spans="1:11">
      <c r="A30">
        <v>29</v>
      </c>
      <c r="B30">
        <f t="shared" si="0"/>
        <v>2636</v>
      </c>
      <c r="C30">
        <f t="shared" si="1"/>
        <v>1500</v>
      </c>
      <c r="D30">
        <f t="shared" si="2"/>
        <v>1500</v>
      </c>
      <c r="E30">
        <f t="shared" si="3"/>
        <v>2636</v>
      </c>
      <c r="F30">
        <f t="shared" si="4"/>
        <v>5272</v>
      </c>
      <c r="G30">
        <f t="shared" si="5"/>
        <v>2636</v>
      </c>
      <c r="H30">
        <f t="shared" si="6"/>
        <v>659</v>
      </c>
      <c r="I30">
        <v>100</v>
      </c>
      <c r="J30">
        <v>100</v>
      </c>
      <c r="K30">
        <v>100</v>
      </c>
    </row>
    <row r="31" spans="1:11">
      <c r="A31">
        <v>30</v>
      </c>
      <c r="B31">
        <f t="shared" si="0"/>
        <v>2815</v>
      </c>
      <c r="C31">
        <f t="shared" si="1"/>
        <v>1550</v>
      </c>
      <c r="D31">
        <f t="shared" si="2"/>
        <v>1550</v>
      </c>
      <c r="E31">
        <f t="shared" si="3"/>
        <v>2815</v>
      </c>
      <c r="F31">
        <f t="shared" si="4"/>
        <v>5630</v>
      </c>
      <c r="G31">
        <f t="shared" si="5"/>
        <v>2815</v>
      </c>
      <c r="H31">
        <f t="shared" si="6"/>
        <v>703</v>
      </c>
      <c r="I31">
        <v>100</v>
      </c>
      <c r="J31">
        <v>100</v>
      </c>
      <c r="K31">
        <v>100</v>
      </c>
    </row>
    <row r="32" spans="1:11">
      <c r="A32">
        <v>31</v>
      </c>
      <c r="B32">
        <f t="shared" si="0"/>
        <v>3000</v>
      </c>
      <c r="C32">
        <f t="shared" si="1"/>
        <v>1600</v>
      </c>
      <c r="D32">
        <f t="shared" si="2"/>
        <v>1600</v>
      </c>
      <c r="E32">
        <f t="shared" si="3"/>
        <v>3000</v>
      </c>
      <c r="F32">
        <f t="shared" si="4"/>
        <v>6000</v>
      </c>
      <c r="G32">
        <f t="shared" si="5"/>
        <v>3000</v>
      </c>
      <c r="H32">
        <f t="shared" si="6"/>
        <v>750</v>
      </c>
      <c r="I32">
        <v>100</v>
      </c>
      <c r="J32">
        <v>100</v>
      </c>
      <c r="K32">
        <v>100</v>
      </c>
    </row>
    <row r="33" spans="1:11">
      <c r="A33">
        <v>32</v>
      </c>
      <c r="B33">
        <f t="shared" si="0"/>
        <v>3191</v>
      </c>
      <c r="C33">
        <f t="shared" si="1"/>
        <v>1650</v>
      </c>
      <c r="D33">
        <f t="shared" si="2"/>
        <v>1650</v>
      </c>
      <c r="E33">
        <f t="shared" si="3"/>
        <v>3191</v>
      </c>
      <c r="F33">
        <f t="shared" si="4"/>
        <v>6382</v>
      </c>
      <c r="G33">
        <f t="shared" si="5"/>
        <v>3191</v>
      </c>
      <c r="H33">
        <f t="shared" si="6"/>
        <v>797</v>
      </c>
      <c r="I33">
        <v>100</v>
      </c>
      <c r="J33">
        <v>100</v>
      </c>
      <c r="K33">
        <v>100</v>
      </c>
    </row>
    <row r="34" spans="1:11">
      <c r="A34">
        <v>33</v>
      </c>
      <c r="B34">
        <f t="shared" si="0"/>
        <v>3388</v>
      </c>
      <c r="C34">
        <f t="shared" si="1"/>
        <v>1700</v>
      </c>
      <c r="D34">
        <f t="shared" si="2"/>
        <v>1700</v>
      </c>
      <c r="E34">
        <f t="shared" si="3"/>
        <v>3388</v>
      </c>
      <c r="F34">
        <f t="shared" si="4"/>
        <v>6776</v>
      </c>
      <c r="G34">
        <f t="shared" si="5"/>
        <v>3388</v>
      </c>
      <c r="H34">
        <f t="shared" si="6"/>
        <v>847</v>
      </c>
      <c r="I34">
        <v>100</v>
      </c>
      <c r="J34">
        <v>100</v>
      </c>
      <c r="K34">
        <v>100</v>
      </c>
    </row>
    <row r="35" spans="1:11">
      <c r="A35">
        <v>34</v>
      </c>
      <c r="B35">
        <f t="shared" si="0"/>
        <v>3591</v>
      </c>
      <c r="C35">
        <f t="shared" si="1"/>
        <v>1750</v>
      </c>
      <c r="D35">
        <f t="shared" si="2"/>
        <v>1750</v>
      </c>
      <c r="E35">
        <f t="shared" si="3"/>
        <v>3591</v>
      </c>
      <c r="F35">
        <f t="shared" si="4"/>
        <v>7182</v>
      </c>
      <c r="G35">
        <f t="shared" si="5"/>
        <v>3591</v>
      </c>
      <c r="H35">
        <f t="shared" si="6"/>
        <v>897</v>
      </c>
      <c r="I35">
        <v>100</v>
      </c>
      <c r="J35">
        <v>100</v>
      </c>
      <c r="K35">
        <v>100</v>
      </c>
    </row>
    <row r="36" spans="1:11">
      <c r="A36">
        <v>35</v>
      </c>
      <c r="B36">
        <f t="shared" si="0"/>
        <v>3800</v>
      </c>
      <c r="C36">
        <f t="shared" si="1"/>
        <v>1800</v>
      </c>
      <c r="D36">
        <f t="shared" si="2"/>
        <v>1800</v>
      </c>
      <c r="E36">
        <f t="shared" si="3"/>
        <v>3800</v>
      </c>
      <c r="F36">
        <f t="shared" si="4"/>
        <v>7600</v>
      </c>
      <c r="G36">
        <f t="shared" si="5"/>
        <v>3800</v>
      </c>
      <c r="H36">
        <f t="shared" si="6"/>
        <v>950</v>
      </c>
      <c r="I36">
        <v>100</v>
      </c>
      <c r="J36">
        <v>100</v>
      </c>
      <c r="K36">
        <v>100</v>
      </c>
    </row>
    <row r="37" spans="1:11">
      <c r="A37">
        <v>36</v>
      </c>
      <c r="B37">
        <f t="shared" si="0"/>
        <v>4015</v>
      </c>
      <c r="C37">
        <f t="shared" si="1"/>
        <v>1850</v>
      </c>
      <c r="D37">
        <f t="shared" si="2"/>
        <v>1850</v>
      </c>
      <c r="E37">
        <f t="shared" si="3"/>
        <v>4015</v>
      </c>
      <c r="F37">
        <f t="shared" si="4"/>
        <v>8030</v>
      </c>
      <c r="G37">
        <f t="shared" si="5"/>
        <v>4015</v>
      </c>
      <c r="H37">
        <f t="shared" si="6"/>
        <v>1003</v>
      </c>
      <c r="I37">
        <v>100</v>
      </c>
      <c r="J37">
        <v>100</v>
      </c>
      <c r="K37">
        <v>100</v>
      </c>
    </row>
    <row r="38" spans="1:11">
      <c r="A38">
        <v>37</v>
      </c>
      <c r="B38">
        <f t="shared" si="0"/>
        <v>4236</v>
      </c>
      <c r="C38">
        <f t="shared" si="1"/>
        <v>1900</v>
      </c>
      <c r="D38">
        <f t="shared" si="2"/>
        <v>1900</v>
      </c>
      <c r="E38">
        <f t="shared" si="3"/>
        <v>4236</v>
      </c>
      <c r="F38">
        <f t="shared" si="4"/>
        <v>8472</v>
      </c>
      <c r="G38">
        <f t="shared" si="5"/>
        <v>4236</v>
      </c>
      <c r="H38">
        <f t="shared" si="6"/>
        <v>1059</v>
      </c>
      <c r="I38">
        <v>100</v>
      </c>
      <c r="J38">
        <v>100</v>
      </c>
      <c r="K38">
        <v>100</v>
      </c>
    </row>
    <row r="39" spans="1:11">
      <c r="A39">
        <v>38</v>
      </c>
      <c r="B39">
        <f t="shared" si="0"/>
        <v>4463</v>
      </c>
      <c r="C39">
        <f t="shared" si="1"/>
        <v>1950</v>
      </c>
      <c r="D39">
        <f t="shared" si="2"/>
        <v>1950</v>
      </c>
      <c r="E39">
        <f t="shared" si="3"/>
        <v>4463</v>
      </c>
      <c r="F39">
        <f t="shared" si="4"/>
        <v>8926</v>
      </c>
      <c r="G39">
        <f t="shared" si="5"/>
        <v>4463</v>
      </c>
      <c r="H39">
        <f t="shared" si="6"/>
        <v>1115</v>
      </c>
      <c r="I39">
        <v>100</v>
      </c>
      <c r="J39">
        <v>100</v>
      </c>
      <c r="K39">
        <v>100</v>
      </c>
    </row>
    <row r="40" spans="1:11">
      <c r="A40">
        <v>39</v>
      </c>
      <c r="B40">
        <f t="shared" si="0"/>
        <v>4696</v>
      </c>
      <c r="C40">
        <f t="shared" si="1"/>
        <v>2000</v>
      </c>
      <c r="D40">
        <f t="shared" si="2"/>
        <v>2000</v>
      </c>
      <c r="E40">
        <f t="shared" si="3"/>
        <v>4696</v>
      </c>
      <c r="F40">
        <f t="shared" si="4"/>
        <v>9392</v>
      </c>
      <c r="G40">
        <f t="shared" si="5"/>
        <v>4696</v>
      </c>
      <c r="H40">
        <f t="shared" si="6"/>
        <v>1174</v>
      </c>
      <c r="I40">
        <v>100</v>
      </c>
      <c r="J40">
        <v>100</v>
      </c>
      <c r="K40">
        <v>100</v>
      </c>
    </row>
    <row r="41" spans="1:11">
      <c r="A41">
        <v>40</v>
      </c>
      <c r="B41">
        <f t="shared" si="0"/>
        <v>4935</v>
      </c>
      <c r="C41">
        <f t="shared" si="1"/>
        <v>2050</v>
      </c>
      <c r="D41">
        <f t="shared" si="2"/>
        <v>2050</v>
      </c>
      <c r="E41">
        <f t="shared" si="3"/>
        <v>4935</v>
      </c>
      <c r="F41">
        <f t="shared" si="4"/>
        <v>9870</v>
      </c>
      <c r="G41">
        <f t="shared" si="5"/>
        <v>4935</v>
      </c>
      <c r="H41">
        <f t="shared" si="6"/>
        <v>1233</v>
      </c>
      <c r="I41">
        <v>100</v>
      </c>
      <c r="J41">
        <v>100</v>
      </c>
      <c r="K41">
        <v>100</v>
      </c>
    </row>
    <row r="42" spans="1:11">
      <c r="A42">
        <v>41</v>
      </c>
      <c r="B42">
        <f t="shared" si="0"/>
        <v>5180</v>
      </c>
      <c r="C42">
        <f t="shared" si="1"/>
        <v>2100</v>
      </c>
      <c r="D42">
        <f t="shared" si="2"/>
        <v>2100</v>
      </c>
      <c r="E42">
        <f t="shared" si="3"/>
        <v>5180</v>
      </c>
      <c r="F42">
        <f t="shared" si="4"/>
        <v>10360</v>
      </c>
      <c r="G42">
        <f t="shared" si="5"/>
        <v>5180</v>
      </c>
      <c r="H42">
        <f t="shared" si="6"/>
        <v>1295</v>
      </c>
      <c r="I42">
        <v>100</v>
      </c>
      <c r="J42">
        <v>100</v>
      </c>
      <c r="K42">
        <v>100</v>
      </c>
    </row>
    <row r="43" spans="1:11">
      <c r="A43">
        <v>42</v>
      </c>
      <c r="B43">
        <f t="shared" si="0"/>
        <v>5431</v>
      </c>
      <c r="C43">
        <f t="shared" si="1"/>
        <v>2150</v>
      </c>
      <c r="D43">
        <f t="shared" si="2"/>
        <v>2150</v>
      </c>
      <c r="E43">
        <f t="shared" si="3"/>
        <v>5431</v>
      </c>
      <c r="F43">
        <f t="shared" si="4"/>
        <v>10862</v>
      </c>
      <c r="G43">
        <f t="shared" si="5"/>
        <v>5431</v>
      </c>
      <c r="H43">
        <f t="shared" si="6"/>
        <v>1357</v>
      </c>
      <c r="I43">
        <v>100</v>
      </c>
      <c r="J43">
        <v>100</v>
      </c>
      <c r="K43">
        <v>100</v>
      </c>
    </row>
    <row r="44" spans="1:11">
      <c r="A44">
        <v>43</v>
      </c>
      <c r="B44">
        <f t="shared" si="0"/>
        <v>5688</v>
      </c>
      <c r="C44">
        <f t="shared" si="1"/>
        <v>2200</v>
      </c>
      <c r="D44">
        <f t="shared" si="2"/>
        <v>2200</v>
      </c>
      <c r="E44">
        <f t="shared" si="3"/>
        <v>5688</v>
      </c>
      <c r="F44">
        <f t="shared" si="4"/>
        <v>11376</v>
      </c>
      <c r="G44">
        <f t="shared" si="5"/>
        <v>5688</v>
      </c>
      <c r="H44">
        <f t="shared" si="6"/>
        <v>1422</v>
      </c>
      <c r="I44">
        <v>100</v>
      </c>
      <c r="J44">
        <v>100</v>
      </c>
      <c r="K44">
        <v>100</v>
      </c>
    </row>
    <row r="45" spans="1:11">
      <c r="A45">
        <v>44</v>
      </c>
      <c r="B45">
        <f t="shared" si="0"/>
        <v>5951</v>
      </c>
      <c r="C45">
        <f t="shared" si="1"/>
        <v>2250</v>
      </c>
      <c r="D45">
        <f t="shared" si="2"/>
        <v>2250</v>
      </c>
      <c r="E45">
        <f t="shared" si="3"/>
        <v>5951</v>
      </c>
      <c r="F45">
        <f t="shared" si="4"/>
        <v>11902</v>
      </c>
      <c r="G45">
        <f t="shared" si="5"/>
        <v>5951</v>
      </c>
      <c r="H45">
        <f t="shared" si="6"/>
        <v>1487</v>
      </c>
      <c r="I45">
        <v>100</v>
      </c>
      <c r="J45">
        <v>100</v>
      </c>
      <c r="K45">
        <v>100</v>
      </c>
    </row>
    <row r="46" spans="1:11">
      <c r="A46">
        <v>45</v>
      </c>
      <c r="B46">
        <f t="shared" si="0"/>
        <v>6220</v>
      </c>
      <c r="C46">
        <f t="shared" si="1"/>
        <v>2300</v>
      </c>
      <c r="D46">
        <f t="shared" si="2"/>
        <v>2300</v>
      </c>
      <c r="E46">
        <f t="shared" si="3"/>
        <v>6220</v>
      </c>
      <c r="F46">
        <f t="shared" si="4"/>
        <v>12440</v>
      </c>
      <c r="G46">
        <f t="shared" si="5"/>
        <v>6220</v>
      </c>
      <c r="H46">
        <f t="shared" si="6"/>
        <v>1555</v>
      </c>
      <c r="I46">
        <v>100</v>
      </c>
      <c r="J46">
        <v>100</v>
      </c>
      <c r="K46">
        <v>100</v>
      </c>
    </row>
    <row r="47" spans="1:11">
      <c r="A47">
        <v>46</v>
      </c>
      <c r="B47">
        <f t="shared" si="0"/>
        <v>6495</v>
      </c>
      <c r="C47">
        <f t="shared" si="1"/>
        <v>2350</v>
      </c>
      <c r="D47">
        <f t="shared" si="2"/>
        <v>2350</v>
      </c>
      <c r="E47">
        <f t="shared" si="3"/>
        <v>6495</v>
      </c>
      <c r="F47">
        <f t="shared" si="4"/>
        <v>12990</v>
      </c>
      <c r="G47">
        <f t="shared" si="5"/>
        <v>6495</v>
      </c>
      <c r="H47">
        <f t="shared" si="6"/>
        <v>1623</v>
      </c>
      <c r="I47">
        <v>100</v>
      </c>
      <c r="J47">
        <v>100</v>
      </c>
      <c r="K47">
        <v>100</v>
      </c>
    </row>
    <row r="48" spans="1:11">
      <c r="A48">
        <v>47</v>
      </c>
      <c r="B48">
        <f t="shared" si="0"/>
        <v>6776</v>
      </c>
      <c r="C48">
        <f t="shared" si="1"/>
        <v>2400</v>
      </c>
      <c r="D48">
        <f t="shared" si="2"/>
        <v>2400</v>
      </c>
      <c r="E48">
        <f t="shared" si="3"/>
        <v>6776</v>
      </c>
      <c r="F48">
        <f t="shared" si="4"/>
        <v>13552</v>
      </c>
      <c r="G48">
        <f t="shared" si="5"/>
        <v>6776</v>
      </c>
      <c r="H48">
        <f t="shared" si="6"/>
        <v>1694</v>
      </c>
      <c r="I48">
        <v>100</v>
      </c>
      <c r="J48">
        <v>100</v>
      </c>
      <c r="K48">
        <v>100</v>
      </c>
    </row>
    <row r="49" spans="1:11">
      <c r="A49">
        <v>48</v>
      </c>
      <c r="B49">
        <f t="shared" si="0"/>
        <v>7063</v>
      </c>
      <c r="C49">
        <f t="shared" si="1"/>
        <v>2450</v>
      </c>
      <c r="D49">
        <f t="shared" si="2"/>
        <v>2450</v>
      </c>
      <c r="E49">
        <f t="shared" si="3"/>
        <v>7063</v>
      </c>
      <c r="F49">
        <f t="shared" si="4"/>
        <v>14126</v>
      </c>
      <c r="G49">
        <f t="shared" si="5"/>
        <v>7063</v>
      </c>
      <c r="H49">
        <f t="shared" si="6"/>
        <v>1765</v>
      </c>
      <c r="I49">
        <v>100</v>
      </c>
      <c r="J49">
        <v>100</v>
      </c>
      <c r="K49">
        <v>100</v>
      </c>
    </row>
    <row r="50" spans="1:11">
      <c r="A50">
        <v>49</v>
      </c>
      <c r="B50">
        <f t="shared" si="0"/>
        <v>7356</v>
      </c>
      <c r="C50">
        <f t="shared" si="1"/>
        <v>2500</v>
      </c>
      <c r="D50">
        <f t="shared" si="2"/>
        <v>2500</v>
      </c>
      <c r="E50">
        <f t="shared" si="3"/>
        <v>7356</v>
      </c>
      <c r="F50">
        <f t="shared" si="4"/>
        <v>14712</v>
      </c>
      <c r="G50">
        <f t="shared" si="5"/>
        <v>7356</v>
      </c>
      <c r="H50">
        <f t="shared" si="6"/>
        <v>1839</v>
      </c>
      <c r="I50">
        <v>100</v>
      </c>
      <c r="J50">
        <v>100</v>
      </c>
      <c r="K50">
        <v>100</v>
      </c>
    </row>
    <row r="51" spans="1:11">
      <c r="A51">
        <v>50</v>
      </c>
      <c r="B51">
        <f t="shared" si="0"/>
        <v>7655</v>
      </c>
      <c r="C51">
        <f t="shared" si="1"/>
        <v>2550</v>
      </c>
      <c r="D51">
        <f t="shared" si="2"/>
        <v>2550</v>
      </c>
      <c r="E51">
        <f t="shared" si="3"/>
        <v>7655</v>
      </c>
      <c r="F51">
        <f t="shared" si="4"/>
        <v>15310</v>
      </c>
      <c r="G51">
        <f t="shared" si="5"/>
        <v>7655</v>
      </c>
      <c r="H51">
        <f t="shared" si="6"/>
        <v>1913</v>
      </c>
      <c r="I51">
        <v>100</v>
      </c>
      <c r="J51">
        <v>100</v>
      </c>
      <c r="K51">
        <v>100</v>
      </c>
    </row>
    <row r="52" spans="1:11">
      <c r="A52">
        <v>51</v>
      </c>
      <c r="B52">
        <f t="shared" si="0"/>
        <v>7960</v>
      </c>
      <c r="C52">
        <f t="shared" si="1"/>
        <v>2600</v>
      </c>
      <c r="D52">
        <f t="shared" si="2"/>
        <v>2600</v>
      </c>
      <c r="E52">
        <f t="shared" si="3"/>
        <v>7960</v>
      </c>
      <c r="F52">
        <f t="shared" si="4"/>
        <v>15920</v>
      </c>
      <c r="G52">
        <f t="shared" si="5"/>
        <v>7960</v>
      </c>
      <c r="H52">
        <f t="shared" si="6"/>
        <v>1990</v>
      </c>
      <c r="I52">
        <v>100</v>
      </c>
      <c r="J52">
        <v>100</v>
      </c>
      <c r="K52">
        <v>100</v>
      </c>
    </row>
    <row r="53" spans="1:11">
      <c r="A53">
        <v>52</v>
      </c>
      <c r="B53">
        <f t="shared" si="0"/>
        <v>8271</v>
      </c>
      <c r="C53">
        <f t="shared" si="1"/>
        <v>2650</v>
      </c>
      <c r="D53">
        <f t="shared" si="2"/>
        <v>2650</v>
      </c>
      <c r="E53">
        <f t="shared" si="3"/>
        <v>8271</v>
      </c>
      <c r="F53">
        <f t="shared" si="4"/>
        <v>16542</v>
      </c>
      <c r="G53">
        <f t="shared" si="5"/>
        <v>8271</v>
      </c>
      <c r="H53">
        <f t="shared" si="6"/>
        <v>2067</v>
      </c>
      <c r="I53">
        <v>100</v>
      </c>
      <c r="J53">
        <v>100</v>
      </c>
      <c r="K53">
        <v>100</v>
      </c>
    </row>
    <row r="54" spans="1:11">
      <c r="A54">
        <v>53</v>
      </c>
      <c r="B54">
        <f t="shared" si="0"/>
        <v>8588</v>
      </c>
      <c r="C54">
        <f t="shared" si="1"/>
        <v>2700</v>
      </c>
      <c r="D54">
        <f t="shared" si="2"/>
        <v>2700</v>
      </c>
      <c r="E54">
        <f t="shared" si="3"/>
        <v>8588</v>
      </c>
      <c r="F54">
        <f t="shared" si="4"/>
        <v>17176</v>
      </c>
      <c r="G54">
        <f t="shared" si="5"/>
        <v>8588</v>
      </c>
      <c r="H54">
        <f t="shared" si="6"/>
        <v>2147</v>
      </c>
      <c r="I54">
        <v>100</v>
      </c>
      <c r="J54">
        <v>100</v>
      </c>
      <c r="K54">
        <v>100</v>
      </c>
    </row>
    <row r="55" spans="1:11">
      <c r="A55">
        <v>54</v>
      </c>
      <c r="B55">
        <f t="shared" si="0"/>
        <v>8911</v>
      </c>
      <c r="C55">
        <f t="shared" si="1"/>
        <v>2750</v>
      </c>
      <c r="D55">
        <f t="shared" si="2"/>
        <v>2750</v>
      </c>
      <c r="E55">
        <f t="shared" si="3"/>
        <v>8911</v>
      </c>
      <c r="F55">
        <f t="shared" si="4"/>
        <v>17822</v>
      </c>
      <c r="G55">
        <f t="shared" si="5"/>
        <v>8911</v>
      </c>
      <c r="H55">
        <f t="shared" si="6"/>
        <v>2227</v>
      </c>
      <c r="I55">
        <v>100</v>
      </c>
      <c r="J55">
        <v>100</v>
      </c>
      <c r="K55">
        <v>100</v>
      </c>
    </row>
    <row r="56" spans="1:11">
      <c r="A56">
        <v>55</v>
      </c>
      <c r="B56">
        <f t="shared" si="0"/>
        <v>9240</v>
      </c>
      <c r="C56">
        <f t="shared" si="1"/>
        <v>2800</v>
      </c>
      <c r="D56">
        <f t="shared" si="2"/>
        <v>2800</v>
      </c>
      <c r="E56">
        <f t="shared" si="3"/>
        <v>9240</v>
      </c>
      <c r="F56">
        <f t="shared" si="4"/>
        <v>18480</v>
      </c>
      <c r="G56">
        <f t="shared" si="5"/>
        <v>9240</v>
      </c>
      <c r="H56">
        <f t="shared" si="6"/>
        <v>2310</v>
      </c>
      <c r="I56">
        <v>100</v>
      </c>
      <c r="J56">
        <v>100</v>
      </c>
      <c r="K56">
        <v>100</v>
      </c>
    </row>
    <row r="57" spans="1:11">
      <c r="A57">
        <v>56</v>
      </c>
      <c r="B57">
        <f t="shared" si="0"/>
        <v>9575</v>
      </c>
      <c r="C57">
        <f t="shared" si="1"/>
        <v>2850</v>
      </c>
      <c r="D57">
        <f t="shared" si="2"/>
        <v>2850</v>
      </c>
      <c r="E57">
        <f t="shared" si="3"/>
        <v>9575</v>
      </c>
      <c r="F57">
        <f t="shared" si="4"/>
        <v>19150</v>
      </c>
      <c r="G57">
        <f t="shared" si="5"/>
        <v>9575</v>
      </c>
      <c r="H57">
        <f t="shared" si="6"/>
        <v>2393</v>
      </c>
      <c r="I57">
        <v>100</v>
      </c>
      <c r="J57">
        <v>100</v>
      </c>
      <c r="K57">
        <v>100</v>
      </c>
    </row>
    <row r="58" spans="1:11">
      <c r="A58">
        <v>57</v>
      </c>
      <c r="B58">
        <f t="shared" si="0"/>
        <v>9916</v>
      </c>
      <c r="C58">
        <f t="shared" si="1"/>
        <v>2900</v>
      </c>
      <c r="D58">
        <f t="shared" si="2"/>
        <v>2900</v>
      </c>
      <c r="E58">
        <f t="shared" si="3"/>
        <v>9916</v>
      </c>
      <c r="F58">
        <f t="shared" si="4"/>
        <v>19832</v>
      </c>
      <c r="G58">
        <f t="shared" si="5"/>
        <v>9916</v>
      </c>
      <c r="H58">
        <f t="shared" si="6"/>
        <v>2479</v>
      </c>
      <c r="I58">
        <v>100</v>
      </c>
      <c r="J58">
        <v>100</v>
      </c>
      <c r="K58">
        <v>100</v>
      </c>
    </row>
    <row r="59" spans="1:11">
      <c r="A59">
        <v>58</v>
      </c>
      <c r="B59">
        <f t="shared" si="0"/>
        <v>10263</v>
      </c>
      <c r="C59">
        <f t="shared" si="1"/>
        <v>2950</v>
      </c>
      <c r="D59">
        <f t="shared" si="2"/>
        <v>2950</v>
      </c>
      <c r="E59">
        <f t="shared" si="3"/>
        <v>10263</v>
      </c>
      <c r="F59">
        <f t="shared" si="4"/>
        <v>20526</v>
      </c>
      <c r="G59">
        <f t="shared" si="5"/>
        <v>10263</v>
      </c>
      <c r="H59">
        <f t="shared" si="6"/>
        <v>2565</v>
      </c>
      <c r="I59">
        <v>100</v>
      </c>
      <c r="J59">
        <v>100</v>
      </c>
      <c r="K59">
        <v>100</v>
      </c>
    </row>
    <row r="60" spans="1:11">
      <c r="A60">
        <v>59</v>
      </c>
      <c r="B60">
        <f t="shared" si="0"/>
        <v>10616</v>
      </c>
      <c r="C60">
        <f t="shared" si="1"/>
        <v>3000</v>
      </c>
      <c r="D60">
        <f t="shared" si="2"/>
        <v>3000</v>
      </c>
      <c r="E60">
        <f t="shared" si="3"/>
        <v>10616</v>
      </c>
      <c r="F60">
        <f t="shared" si="4"/>
        <v>21232</v>
      </c>
      <c r="G60">
        <f t="shared" si="5"/>
        <v>10616</v>
      </c>
      <c r="H60">
        <f t="shared" si="6"/>
        <v>2654</v>
      </c>
      <c r="I60">
        <v>100</v>
      </c>
      <c r="J60">
        <v>100</v>
      </c>
      <c r="K60">
        <v>100</v>
      </c>
    </row>
    <row r="61" spans="1:11">
      <c r="A61">
        <v>60</v>
      </c>
      <c r="B61">
        <f t="shared" si="0"/>
        <v>10975</v>
      </c>
      <c r="C61">
        <f t="shared" si="1"/>
        <v>3050</v>
      </c>
      <c r="D61">
        <f t="shared" si="2"/>
        <v>3050</v>
      </c>
      <c r="E61">
        <f t="shared" si="3"/>
        <v>10975</v>
      </c>
      <c r="F61">
        <f t="shared" si="4"/>
        <v>21950</v>
      </c>
      <c r="G61">
        <f t="shared" si="5"/>
        <v>10975</v>
      </c>
      <c r="H61">
        <f t="shared" si="6"/>
        <v>2743</v>
      </c>
      <c r="I61">
        <v>100</v>
      </c>
      <c r="J61">
        <v>100</v>
      </c>
      <c r="K61">
        <v>100</v>
      </c>
    </row>
    <row r="62" spans="1:11">
      <c r="A62">
        <v>61</v>
      </c>
      <c r="B62">
        <f t="shared" si="0"/>
        <v>11340</v>
      </c>
      <c r="C62">
        <f t="shared" si="1"/>
        <v>3100</v>
      </c>
      <c r="D62">
        <f t="shared" si="2"/>
        <v>3100</v>
      </c>
      <c r="E62">
        <f t="shared" si="3"/>
        <v>11340</v>
      </c>
      <c r="F62">
        <f t="shared" si="4"/>
        <v>22680</v>
      </c>
      <c r="G62">
        <f t="shared" si="5"/>
        <v>11340</v>
      </c>
      <c r="H62">
        <f t="shared" si="6"/>
        <v>2835</v>
      </c>
      <c r="I62">
        <v>100</v>
      </c>
      <c r="J62">
        <v>100</v>
      </c>
      <c r="K62">
        <v>100</v>
      </c>
    </row>
    <row r="63" spans="1:11">
      <c r="A63">
        <v>62</v>
      </c>
      <c r="B63">
        <f t="shared" si="0"/>
        <v>11711</v>
      </c>
      <c r="C63">
        <f t="shared" si="1"/>
        <v>3150</v>
      </c>
      <c r="D63">
        <f t="shared" si="2"/>
        <v>3150</v>
      </c>
      <c r="E63">
        <f t="shared" si="3"/>
        <v>11711</v>
      </c>
      <c r="F63">
        <f t="shared" si="4"/>
        <v>23422</v>
      </c>
      <c r="G63">
        <f t="shared" si="5"/>
        <v>11711</v>
      </c>
      <c r="H63">
        <f t="shared" si="6"/>
        <v>2927</v>
      </c>
      <c r="I63">
        <v>100</v>
      </c>
      <c r="J63">
        <v>100</v>
      </c>
      <c r="K63">
        <v>100</v>
      </c>
    </row>
    <row r="64" spans="1:11">
      <c r="A64">
        <v>63</v>
      </c>
      <c r="B64">
        <f t="shared" si="0"/>
        <v>12088</v>
      </c>
      <c r="C64">
        <f t="shared" si="1"/>
        <v>3200</v>
      </c>
      <c r="D64">
        <f t="shared" si="2"/>
        <v>3200</v>
      </c>
      <c r="E64">
        <f t="shared" si="3"/>
        <v>12088</v>
      </c>
      <c r="F64">
        <f t="shared" si="4"/>
        <v>24176</v>
      </c>
      <c r="G64">
        <f t="shared" si="5"/>
        <v>12088</v>
      </c>
      <c r="H64">
        <f t="shared" si="6"/>
        <v>3022</v>
      </c>
      <c r="I64">
        <v>100</v>
      </c>
      <c r="J64">
        <v>100</v>
      </c>
      <c r="K64">
        <v>100</v>
      </c>
    </row>
    <row r="65" spans="1:11">
      <c r="A65">
        <v>64</v>
      </c>
      <c r="B65">
        <f t="shared" si="0"/>
        <v>12471</v>
      </c>
      <c r="C65">
        <f t="shared" si="1"/>
        <v>3250</v>
      </c>
      <c r="D65">
        <f t="shared" si="2"/>
        <v>3250</v>
      </c>
      <c r="E65">
        <f t="shared" si="3"/>
        <v>12471</v>
      </c>
      <c r="F65">
        <f t="shared" si="4"/>
        <v>24942</v>
      </c>
      <c r="G65">
        <f t="shared" si="5"/>
        <v>12471</v>
      </c>
      <c r="H65">
        <f t="shared" si="6"/>
        <v>3117</v>
      </c>
      <c r="I65">
        <v>100</v>
      </c>
      <c r="J65">
        <v>100</v>
      </c>
      <c r="K65">
        <v>100</v>
      </c>
    </row>
    <row r="66" spans="1:11">
      <c r="A66">
        <v>65</v>
      </c>
      <c r="B66">
        <f t="shared" si="0"/>
        <v>12860</v>
      </c>
      <c r="C66">
        <f t="shared" si="1"/>
        <v>3300</v>
      </c>
      <c r="D66">
        <f t="shared" si="2"/>
        <v>3300</v>
      </c>
      <c r="E66">
        <f t="shared" si="3"/>
        <v>12860</v>
      </c>
      <c r="F66">
        <f t="shared" si="4"/>
        <v>25720</v>
      </c>
      <c r="G66">
        <f t="shared" si="5"/>
        <v>12860</v>
      </c>
      <c r="H66">
        <f t="shared" si="6"/>
        <v>3215</v>
      </c>
      <c r="I66">
        <v>100</v>
      </c>
      <c r="J66">
        <v>100</v>
      </c>
      <c r="K66">
        <v>100</v>
      </c>
    </row>
    <row r="67" spans="1:11">
      <c r="A67">
        <v>66</v>
      </c>
      <c r="B67">
        <f t="shared" ref="B67:B103" si="7">E67</f>
        <v>13255</v>
      </c>
      <c r="C67">
        <f t="shared" ref="C67:C71" si="8">(A67+1)*50</f>
        <v>3350</v>
      </c>
      <c r="D67">
        <f t="shared" ref="D67:D71" si="9">(A67+1)*50</f>
        <v>3350</v>
      </c>
      <c r="E67">
        <f t="shared" ref="E67:E103" si="10">3*A67^2+2*A67+55</f>
        <v>13255</v>
      </c>
      <c r="F67">
        <f t="shared" ref="F67:F103" si="11">E67*2</f>
        <v>26510</v>
      </c>
      <c r="G67">
        <f t="shared" ref="G67:G103" si="12">E67</f>
        <v>13255</v>
      </c>
      <c r="H67">
        <f t="shared" ref="H67:H103" si="13">INT(B67/4)</f>
        <v>3313</v>
      </c>
      <c r="I67">
        <v>100</v>
      </c>
      <c r="J67">
        <v>100</v>
      </c>
      <c r="K67">
        <v>100</v>
      </c>
    </row>
    <row r="68" spans="1:11">
      <c r="A68">
        <v>67</v>
      </c>
      <c r="B68">
        <f t="shared" si="7"/>
        <v>13656</v>
      </c>
      <c r="C68">
        <f t="shared" si="8"/>
        <v>3400</v>
      </c>
      <c r="D68">
        <f t="shared" si="9"/>
        <v>3400</v>
      </c>
      <c r="E68">
        <f t="shared" si="10"/>
        <v>13656</v>
      </c>
      <c r="F68">
        <f t="shared" si="11"/>
        <v>27312</v>
      </c>
      <c r="G68">
        <f t="shared" si="12"/>
        <v>13656</v>
      </c>
      <c r="H68">
        <f t="shared" si="13"/>
        <v>3414</v>
      </c>
      <c r="I68">
        <v>100</v>
      </c>
      <c r="J68">
        <v>100</v>
      </c>
      <c r="K68">
        <v>100</v>
      </c>
    </row>
    <row r="69" spans="1:11">
      <c r="A69">
        <v>68</v>
      </c>
      <c r="B69">
        <f t="shared" si="7"/>
        <v>14063</v>
      </c>
      <c r="C69">
        <f t="shared" si="8"/>
        <v>3450</v>
      </c>
      <c r="D69">
        <f t="shared" si="9"/>
        <v>3450</v>
      </c>
      <c r="E69">
        <f t="shared" si="10"/>
        <v>14063</v>
      </c>
      <c r="F69">
        <f t="shared" si="11"/>
        <v>28126</v>
      </c>
      <c r="G69">
        <f t="shared" si="12"/>
        <v>14063</v>
      </c>
      <c r="H69">
        <f t="shared" si="13"/>
        <v>3515</v>
      </c>
      <c r="I69">
        <v>100</v>
      </c>
      <c r="J69">
        <v>100</v>
      </c>
      <c r="K69">
        <v>100</v>
      </c>
    </row>
    <row r="70" spans="1:11">
      <c r="A70">
        <v>69</v>
      </c>
      <c r="B70">
        <f t="shared" si="7"/>
        <v>14476</v>
      </c>
      <c r="C70">
        <f t="shared" si="8"/>
        <v>3500</v>
      </c>
      <c r="D70">
        <f t="shared" si="9"/>
        <v>3500</v>
      </c>
      <c r="E70">
        <f t="shared" si="10"/>
        <v>14476</v>
      </c>
      <c r="F70">
        <f t="shared" si="11"/>
        <v>28952</v>
      </c>
      <c r="G70">
        <f t="shared" si="12"/>
        <v>14476</v>
      </c>
      <c r="H70">
        <f t="shared" si="13"/>
        <v>3619</v>
      </c>
      <c r="I70">
        <v>100</v>
      </c>
      <c r="J70">
        <v>100</v>
      </c>
      <c r="K70">
        <v>100</v>
      </c>
    </row>
    <row r="71" spans="1:11">
      <c r="A71">
        <v>70</v>
      </c>
      <c r="B71">
        <f t="shared" si="7"/>
        <v>14895</v>
      </c>
      <c r="C71">
        <f t="shared" si="8"/>
        <v>3550</v>
      </c>
      <c r="D71">
        <f t="shared" si="9"/>
        <v>3550</v>
      </c>
      <c r="E71">
        <f t="shared" si="10"/>
        <v>14895</v>
      </c>
      <c r="F71">
        <f t="shared" si="11"/>
        <v>29790</v>
      </c>
      <c r="G71">
        <f t="shared" si="12"/>
        <v>14895</v>
      </c>
      <c r="H71">
        <f t="shared" si="13"/>
        <v>3723</v>
      </c>
      <c r="I71">
        <v>100</v>
      </c>
      <c r="J71">
        <v>100</v>
      </c>
      <c r="K71">
        <v>100</v>
      </c>
    </row>
    <row r="72" spans="1:11">
      <c r="A72">
        <v>71</v>
      </c>
      <c r="B72">
        <f t="shared" si="7"/>
        <v>15320</v>
      </c>
      <c r="C72">
        <v>3610</v>
      </c>
      <c r="D72">
        <f>C72</f>
        <v>3610</v>
      </c>
      <c r="E72">
        <f t="shared" si="10"/>
        <v>15320</v>
      </c>
      <c r="F72">
        <f t="shared" si="11"/>
        <v>30640</v>
      </c>
      <c r="G72">
        <f t="shared" si="12"/>
        <v>15320</v>
      </c>
      <c r="H72">
        <f t="shared" si="13"/>
        <v>3830</v>
      </c>
      <c r="I72">
        <v>100</v>
      </c>
      <c r="J72">
        <v>100</v>
      </c>
      <c r="K72">
        <v>100</v>
      </c>
    </row>
    <row r="73" spans="1:11">
      <c r="A73">
        <v>72</v>
      </c>
      <c r="B73">
        <f t="shared" si="7"/>
        <v>15751</v>
      </c>
      <c r="C73">
        <v>3680</v>
      </c>
      <c r="D73">
        <f t="shared" ref="D73:D103" si="14">C73</f>
        <v>3680</v>
      </c>
      <c r="E73">
        <f t="shared" si="10"/>
        <v>15751</v>
      </c>
      <c r="F73">
        <f t="shared" si="11"/>
        <v>31502</v>
      </c>
      <c r="G73">
        <f t="shared" si="12"/>
        <v>15751</v>
      </c>
      <c r="H73">
        <f t="shared" si="13"/>
        <v>3937</v>
      </c>
      <c r="I73">
        <v>100</v>
      </c>
      <c r="J73">
        <v>100</v>
      </c>
      <c r="K73">
        <v>100</v>
      </c>
    </row>
    <row r="74" spans="1:11">
      <c r="A74">
        <v>73</v>
      </c>
      <c r="B74">
        <f t="shared" si="7"/>
        <v>16188</v>
      </c>
      <c r="C74">
        <v>3760</v>
      </c>
      <c r="D74">
        <f t="shared" si="14"/>
        <v>3760</v>
      </c>
      <c r="E74">
        <f t="shared" si="10"/>
        <v>16188</v>
      </c>
      <c r="F74">
        <f t="shared" si="11"/>
        <v>32376</v>
      </c>
      <c r="G74">
        <f t="shared" si="12"/>
        <v>16188</v>
      </c>
      <c r="H74">
        <f t="shared" si="13"/>
        <v>4047</v>
      </c>
      <c r="I74">
        <v>100</v>
      </c>
      <c r="J74">
        <v>100</v>
      </c>
      <c r="K74">
        <v>100</v>
      </c>
    </row>
    <row r="75" spans="1:11">
      <c r="A75">
        <v>74</v>
      </c>
      <c r="B75">
        <f t="shared" si="7"/>
        <v>16631</v>
      </c>
      <c r="C75">
        <v>3850</v>
      </c>
      <c r="D75">
        <f t="shared" si="14"/>
        <v>3850</v>
      </c>
      <c r="E75">
        <f t="shared" si="10"/>
        <v>16631</v>
      </c>
      <c r="F75">
        <f t="shared" si="11"/>
        <v>33262</v>
      </c>
      <c r="G75">
        <f t="shared" si="12"/>
        <v>16631</v>
      </c>
      <c r="H75">
        <f t="shared" si="13"/>
        <v>4157</v>
      </c>
      <c r="I75">
        <v>100</v>
      </c>
      <c r="J75">
        <v>100</v>
      </c>
      <c r="K75">
        <v>100</v>
      </c>
    </row>
    <row r="76" spans="1:11">
      <c r="A76">
        <v>75</v>
      </c>
      <c r="B76">
        <f t="shared" si="7"/>
        <v>17080</v>
      </c>
      <c r="C76">
        <v>3950</v>
      </c>
      <c r="D76">
        <f t="shared" si="14"/>
        <v>3950</v>
      </c>
      <c r="E76">
        <f t="shared" si="10"/>
        <v>17080</v>
      </c>
      <c r="F76">
        <f t="shared" si="11"/>
        <v>34160</v>
      </c>
      <c r="G76">
        <f t="shared" si="12"/>
        <v>17080</v>
      </c>
      <c r="H76">
        <f t="shared" si="13"/>
        <v>4270</v>
      </c>
      <c r="I76">
        <v>100</v>
      </c>
      <c r="J76">
        <v>100</v>
      </c>
      <c r="K76">
        <v>100</v>
      </c>
    </row>
    <row r="77" spans="1:11">
      <c r="A77">
        <v>76</v>
      </c>
      <c r="B77">
        <f t="shared" si="7"/>
        <v>17535</v>
      </c>
      <c r="C77">
        <v>4060</v>
      </c>
      <c r="D77">
        <f t="shared" si="14"/>
        <v>4060</v>
      </c>
      <c r="E77">
        <f t="shared" si="10"/>
        <v>17535</v>
      </c>
      <c r="F77">
        <f t="shared" si="11"/>
        <v>35070</v>
      </c>
      <c r="G77">
        <f t="shared" si="12"/>
        <v>17535</v>
      </c>
      <c r="H77">
        <f t="shared" si="13"/>
        <v>4383</v>
      </c>
      <c r="I77">
        <v>100</v>
      </c>
      <c r="J77">
        <v>100</v>
      </c>
      <c r="K77">
        <v>100</v>
      </c>
    </row>
    <row r="78" spans="1:11">
      <c r="A78">
        <v>77</v>
      </c>
      <c r="B78">
        <f t="shared" si="7"/>
        <v>17996</v>
      </c>
      <c r="C78">
        <v>4180</v>
      </c>
      <c r="D78">
        <f t="shared" si="14"/>
        <v>4180</v>
      </c>
      <c r="E78">
        <f t="shared" si="10"/>
        <v>17996</v>
      </c>
      <c r="F78">
        <f t="shared" si="11"/>
        <v>35992</v>
      </c>
      <c r="G78">
        <f t="shared" si="12"/>
        <v>17996</v>
      </c>
      <c r="H78">
        <f t="shared" si="13"/>
        <v>4499</v>
      </c>
      <c r="I78">
        <v>100</v>
      </c>
      <c r="J78">
        <v>100</v>
      </c>
      <c r="K78">
        <v>100</v>
      </c>
    </row>
    <row r="79" spans="1:11">
      <c r="A79">
        <v>78</v>
      </c>
      <c r="B79">
        <f t="shared" si="7"/>
        <v>18463</v>
      </c>
      <c r="C79">
        <v>4310</v>
      </c>
      <c r="D79">
        <f t="shared" si="14"/>
        <v>4310</v>
      </c>
      <c r="E79">
        <f t="shared" si="10"/>
        <v>18463</v>
      </c>
      <c r="F79">
        <f t="shared" si="11"/>
        <v>36926</v>
      </c>
      <c r="G79">
        <f t="shared" si="12"/>
        <v>18463</v>
      </c>
      <c r="H79">
        <f t="shared" si="13"/>
        <v>4615</v>
      </c>
      <c r="I79">
        <v>100</v>
      </c>
      <c r="J79">
        <v>100</v>
      </c>
      <c r="K79">
        <v>100</v>
      </c>
    </row>
    <row r="80" spans="1:11">
      <c r="A80">
        <v>79</v>
      </c>
      <c r="B80">
        <f t="shared" si="7"/>
        <v>18936</v>
      </c>
      <c r="C80">
        <v>4450</v>
      </c>
      <c r="D80">
        <f t="shared" si="14"/>
        <v>4450</v>
      </c>
      <c r="E80">
        <f t="shared" si="10"/>
        <v>18936</v>
      </c>
      <c r="F80">
        <f t="shared" si="11"/>
        <v>37872</v>
      </c>
      <c r="G80">
        <f t="shared" si="12"/>
        <v>18936</v>
      </c>
      <c r="H80">
        <f t="shared" si="13"/>
        <v>4734</v>
      </c>
      <c r="I80">
        <v>100</v>
      </c>
      <c r="J80">
        <v>100</v>
      </c>
      <c r="K80">
        <v>100</v>
      </c>
    </row>
    <row r="81" spans="1:11">
      <c r="A81">
        <v>80</v>
      </c>
      <c r="B81">
        <f t="shared" si="7"/>
        <v>19415</v>
      </c>
      <c r="C81">
        <v>4600</v>
      </c>
      <c r="D81">
        <f t="shared" si="14"/>
        <v>4600</v>
      </c>
      <c r="E81">
        <f t="shared" si="10"/>
        <v>19415</v>
      </c>
      <c r="F81">
        <f t="shared" si="11"/>
        <v>38830</v>
      </c>
      <c r="G81">
        <f t="shared" si="12"/>
        <v>19415</v>
      </c>
      <c r="H81">
        <f t="shared" si="13"/>
        <v>4853</v>
      </c>
      <c r="I81">
        <v>100</v>
      </c>
      <c r="J81">
        <v>100</v>
      </c>
      <c r="K81">
        <v>100</v>
      </c>
    </row>
    <row r="82" spans="1:11">
      <c r="A82">
        <v>81</v>
      </c>
      <c r="B82">
        <f t="shared" si="7"/>
        <v>19900</v>
      </c>
      <c r="C82">
        <v>4760</v>
      </c>
      <c r="D82">
        <f t="shared" si="14"/>
        <v>4760</v>
      </c>
      <c r="E82">
        <f t="shared" si="10"/>
        <v>19900</v>
      </c>
      <c r="F82">
        <f t="shared" si="11"/>
        <v>39800</v>
      </c>
      <c r="G82">
        <f t="shared" si="12"/>
        <v>19900</v>
      </c>
      <c r="H82">
        <f t="shared" si="13"/>
        <v>4975</v>
      </c>
      <c r="I82">
        <v>100</v>
      </c>
      <c r="J82">
        <v>100</v>
      </c>
      <c r="K82">
        <v>100</v>
      </c>
    </row>
    <row r="83" spans="1:11">
      <c r="A83">
        <v>82</v>
      </c>
      <c r="B83">
        <f t="shared" si="7"/>
        <v>20391</v>
      </c>
      <c r="C83">
        <v>4930</v>
      </c>
      <c r="D83">
        <f t="shared" si="14"/>
        <v>4930</v>
      </c>
      <c r="E83">
        <f t="shared" si="10"/>
        <v>20391</v>
      </c>
      <c r="F83">
        <f t="shared" si="11"/>
        <v>40782</v>
      </c>
      <c r="G83">
        <f t="shared" si="12"/>
        <v>20391</v>
      </c>
      <c r="H83">
        <f t="shared" si="13"/>
        <v>5097</v>
      </c>
      <c r="I83">
        <v>100</v>
      </c>
      <c r="J83">
        <v>100</v>
      </c>
      <c r="K83">
        <v>100</v>
      </c>
    </row>
    <row r="84" spans="1:11">
      <c r="A84">
        <v>83</v>
      </c>
      <c r="B84">
        <f t="shared" si="7"/>
        <v>20888</v>
      </c>
      <c r="C84">
        <v>5110</v>
      </c>
      <c r="D84">
        <f t="shared" si="14"/>
        <v>5110</v>
      </c>
      <c r="E84">
        <f t="shared" si="10"/>
        <v>20888</v>
      </c>
      <c r="F84">
        <f t="shared" si="11"/>
        <v>41776</v>
      </c>
      <c r="G84">
        <f t="shared" si="12"/>
        <v>20888</v>
      </c>
      <c r="H84">
        <f t="shared" si="13"/>
        <v>5222</v>
      </c>
      <c r="I84">
        <v>100</v>
      </c>
      <c r="J84">
        <v>100</v>
      </c>
      <c r="K84">
        <v>100</v>
      </c>
    </row>
    <row r="85" spans="1:11">
      <c r="A85">
        <v>84</v>
      </c>
      <c r="B85">
        <f t="shared" si="7"/>
        <v>21391</v>
      </c>
      <c r="C85">
        <v>5300</v>
      </c>
      <c r="D85">
        <f t="shared" si="14"/>
        <v>5300</v>
      </c>
      <c r="E85">
        <f t="shared" si="10"/>
        <v>21391</v>
      </c>
      <c r="F85">
        <f t="shared" si="11"/>
        <v>42782</v>
      </c>
      <c r="G85">
        <f t="shared" si="12"/>
        <v>21391</v>
      </c>
      <c r="H85">
        <f t="shared" si="13"/>
        <v>5347</v>
      </c>
      <c r="I85">
        <v>100</v>
      </c>
      <c r="J85">
        <v>100</v>
      </c>
      <c r="K85">
        <v>100</v>
      </c>
    </row>
    <row r="86" spans="1:11">
      <c r="A86">
        <v>85</v>
      </c>
      <c r="B86">
        <f t="shared" si="7"/>
        <v>21900</v>
      </c>
      <c r="C86">
        <v>5500</v>
      </c>
      <c r="D86">
        <f t="shared" si="14"/>
        <v>5500</v>
      </c>
      <c r="E86">
        <f t="shared" si="10"/>
        <v>21900</v>
      </c>
      <c r="F86">
        <f t="shared" si="11"/>
        <v>43800</v>
      </c>
      <c r="G86">
        <f t="shared" si="12"/>
        <v>21900</v>
      </c>
      <c r="H86">
        <f t="shared" si="13"/>
        <v>5475</v>
      </c>
      <c r="I86">
        <v>100</v>
      </c>
      <c r="J86">
        <v>100</v>
      </c>
      <c r="K86">
        <v>100</v>
      </c>
    </row>
    <row r="87" spans="1:11">
      <c r="A87">
        <v>86</v>
      </c>
      <c r="B87">
        <f t="shared" si="7"/>
        <v>22415</v>
      </c>
      <c r="C87">
        <v>5710</v>
      </c>
      <c r="D87">
        <f t="shared" si="14"/>
        <v>5710</v>
      </c>
      <c r="E87">
        <f t="shared" si="10"/>
        <v>22415</v>
      </c>
      <c r="F87">
        <f t="shared" si="11"/>
        <v>44830</v>
      </c>
      <c r="G87">
        <f t="shared" si="12"/>
        <v>22415</v>
      </c>
      <c r="H87">
        <f t="shared" si="13"/>
        <v>5603</v>
      </c>
      <c r="I87">
        <v>100</v>
      </c>
      <c r="J87">
        <v>100</v>
      </c>
      <c r="K87">
        <v>100</v>
      </c>
    </row>
    <row r="88" spans="1:11">
      <c r="A88">
        <v>87</v>
      </c>
      <c r="B88">
        <f t="shared" si="7"/>
        <v>22936</v>
      </c>
      <c r="C88">
        <v>5930</v>
      </c>
      <c r="D88">
        <f t="shared" si="14"/>
        <v>5930</v>
      </c>
      <c r="E88">
        <f t="shared" si="10"/>
        <v>22936</v>
      </c>
      <c r="F88">
        <f t="shared" si="11"/>
        <v>45872</v>
      </c>
      <c r="G88">
        <f t="shared" si="12"/>
        <v>22936</v>
      </c>
      <c r="H88">
        <f t="shared" si="13"/>
        <v>5734</v>
      </c>
      <c r="I88">
        <v>100</v>
      </c>
      <c r="J88">
        <v>100</v>
      </c>
      <c r="K88">
        <v>100</v>
      </c>
    </row>
    <row r="89" spans="1:11">
      <c r="A89">
        <v>88</v>
      </c>
      <c r="B89">
        <f t="shared" si="7"/>
        <v>23463</v>
      </c>
      <c r="C89">
        <v>6160</v>
      </c>
      <c r="D89">
        <f t="shared" si="14"/>
        <v>6160</v>
      </c>
      <c r="E89">
        <f t="shared" si="10"/>
        <v>23463</v>
      </c>
      <c r="F89">
        <f t="shared" si="11"/>
        <v>46926</v>
      </c>
      <c r="G89">
        <f t="shared" si="12"/>
        <v>23463</v>
      </c>
      <c r="H89">
        <f t="shared" si="13"/>
        <v>5865</v>
      </c>
      <c r="I89">
        <v>100</v>
      </c>
      <c r="J89">
        <v>100</v>
      </c>
      <c r="K89">
        <v>100</v>
      </c>
    </row>
    <row r="90" spans="1:11">
      <c r="A90">
        <v>89</v>
      </c>
      <c r="B90">
        <f t="shared" si="7"/>
        <v>23996</v>
      </c>
      <c r="C90">
        <v>6400</v>
      </c>
      <c r="D90">
        <f t="shared" si="14"/>
        <v>6400</v>
      </c>
      <c r="E90">
        <f t="shared" si="10"/>
        <v>23996</v>
      </c>
      <c r="F90">
        <f t="shared" si="11"/>
        <v>47992</v>
      </c>
      <c r="G90">
        <f t="shared" si="12"/>
        <v>23996</v>
      </c>
      <c r="H90">
        <f t="shared" si="13"/>
        <v>5999</v>
      </c>
      <c r="I90">
        <v>100</v>
      </c>
      <c r="J90">
        <v>100</v>
      </c>
      <c r="K90">
        <v>100</v>
      </c>
    </row>
    <row r="91" spans="1:11">
      <c r="A91">
        <v>90</v>
      </c>
      <c r="B91">
        <f t="shared" si="7"/>
        <v>24535</v>
      </c>
      <c r="C91">
        <v>6650</v>
      </c>
      <c r="D91">
        <f t="shared" si="14"/>
        <v>6650</v>
      </c>
      <c r="E91">
        <f t="shared" si="10"/>
        <v>24535</v>
      </c>
      <c r="F91">
        <f t="shared" si="11"/>
        <v>49070</v>
      </c>
      <c r="G91">
        <f t="shared" si="12"/>
        <v>24535</v>
      </c>
      <c r="H91">
        <f t="shared" si="13"/>
        <v>6133</v>
      </c>
      <c r="I91">
        <v>100</v>
      </c>
      <c r="J91">
        <v>100</v>
      </c>
      <c r="K91">
        <v>100</v>
      </c>
    </row>
    <row r="92" spans="1:11">
      <c r="A92">
        <v>91</v>
      </c>
      <c r="B92">
        <f t="shared" si="7"/>
        <v>25080</v>
      </c>
      <c r="C92">
        <v>6910</v>
      </c>
      <c r="D92">
        <f t="shared" si="14"/>
        <v>6910</v>
      </c>
      <c r="E92">
        <f t="shared" si="10"/>
        <v>25080</v>
      </c>
      <c r="F92">
        <f t="shared" si="11"/>
        <v>50160</v>
      </c>
      <c r="G92">
        <f t="shared" si="12"/>
        <v>25080</v>
      </c>
      <c r="H92">
        <f t="shared" si="13"/>
        <v>6270</v>
      </c>
      <c r="I92">
        <v>100</v>
      </c>
      <c r="J92">
        <v>100</v>
      </c>
      <c r="K92">
        <v>100</v>
      </c>
    </row>
    <row r="93" spans="1:11">
      <c r="A93">
        <v>92</v>
      </c>
      <c r="B93">
        <f t="shared" si="7"/>
        <v>25631</v>
      </c>
      <c r="C93">
        <v>7180</v>
      </c>
      <c r="D93">
        <f t="shared" si="14"/>
        <v>7180</v>
      </c>
      <c r="E93">
        <f t="shared" si="10"/>
        <v>25631</v>
      </c>
      <c r="F93">
        <f t="shared" si="11"/>
        <v>51262</v>
      </c>
      <c r="G93">
        <f t="shared" si="12"/>
        <v>25631</v>
      </c>
      <c r="H93">
        <f t="shared" si="13"/>
        <v>6407</v>
      </c>
      <c r="I93">
        <v>100</v>
      </c>
      <c r="J93">
        <v>100</v>
      </c>
      <c r="K93">
        <v>100</v>
      </c>
    </row>
    <row r="94" spans="1:11">
      <c r="A94">
        <v>93</v>
      </c>
      <c r="B94">
        <f t="shared" si="7"/>
        <v>26188</v>
      </c>
      <c r="C94">
        <v>7460</v>
      </c>
      <c r="D94">
        <f t="shared" si="14"/>
        <v>7460</v>
      </c>
      <c r="E94">
        <f t="shared" si="10"/>
        <v>26188</v>
      </c>
      <c r="F94">
        <f t="shared" si="11"/>
        <v>52376</v>
      </c>
      <c r="G94">
        <f t="shared" si="12"/>
        <v>26188</v>
      </c>
      <c r="H94">
        <f t="shared" si="13"/>
        <v>6547</v>
      </c>
      <c r="I94">
        <v>100</v>
      </c>
      <c r="J94">
        <v>100</v>
      </c>
      <c r="K94">
        <v>100</v>
      </c>
    </row>
    <row r="95" spans="1:11">
      <c r="A95">
        <v>94</v>
      </c>
      <c r="B95">
        <f t="shared" si="7"/>
        <v>26751</v>
      </c>
      <c r="C95">
        <v>7750</v>
      </c>
      <c r="D95">
        <f t="shared" si="14"/>
        <v>7750</v>
      </c>
      <c r="E95">
        <f t="shared" si="10"/>
        <v>26751</v>
      </c>
      <c r="F95">
        <f t="shared" si="11"/>
        <v>53502</v>
      </c>
      <c r="G95">
        <f t="shared" si="12"/>
        <v>26751</v>
      </c>
      <c r="H95">
        <f t="shared" si="13"/>
        <v>6687</v>
      </c>
      <c r="I95">
        <v>100</v>
      </c>
      <c r="J95">
        <v>100</v>
      </c>
      <c r="K95">
        <v>100</v>
      </c>
    </row>
    <row r="96" spans="1:11">
      <c r="A96">
        <v>95</v>
      </c>
      <c r="B96">
        <f t="shared" si="7"/>
        <v>27320</v>
      </c>
      <c r="C96">
        <v>8050</v>
      </c>
      <c r="D96">
        <f t="shared" si="14"/>
        <v>8050</v>
      </c>
      <c r="E96">
        <f t="shared" si="10"/>
        <v>27320</v>
      </c>
      <c r="F96">
        <f t="shared" si="11"/>
        <v>54640</v>
      </c>
      <c r="G96">
        <f t="shared" si="12"/>
        <v>27320</v>
      </c>
      <c r="H96">
        <f t="shared" si="13"/>
        <v>6830</v>
      </c>
      <c r="I96">
        <v>100</v>
      </c>
      <c r="J96">
        <v>100</v>
      </c>
      <c r="K96">
        <v>100</v>
      </c>
    </row>
    <row r="97" spans="1:11">
      <c r="A97">
        <v>96</v>
      </c>
      <c r="B97">
        <f t="shared" si="7"/>
        <v>27895</v>
      </c>
      <c r="C97">
        <v>8360</v>
      </c>
      <c r="D97">
        <f t="shared" si="14"/>
        <v>8360</v>
      </c>
      <c r="E97">
        <f t="shared" si="10"/>
        <v>27895</v>
      </c>
      <c r="F97">
        <f t="shared" si="11"/>
        <v>55790</v>
      </c>
      <c r="G97">
        <f t="shared" si="12"/>
        <v>27895</v>
      </c>
      <c r="H97">
        <f t="shared" si="13"/>
        <v>6973</v>
      </c>
      <c r="I97">
        <v>100</v>
      </c>
      <c r="J97">
        <v>100</v>
      </c>
      <c r="K97">
        <v>100</v>
      </c>
    </row>
    <row r="98" spans="1:11">
      <c r="A98">
        <v>97</v>
      </c>
      <c r="B98">
        <f t="shared" si="7"/>
        <v>28476</v>
      </c>
      <c r="C98">
        <v>8680</v>
      </c>
      <c r="D98">
        <f t="shared" si="14"/>
        <v>8680</v>
      </c>
      <c r="E98">
        <f t="shared" si="10"/>
        <v>28476</v>
      </c>
      <c r="F98">
        <f t="shared" si="11"/>
        <v>56952</v>
      </c>
      <c r="G98">
        <f t="shared" si="12"/>
        <v>28476</v>
      </c>
      <c r="H98">
        <f t="shared" si="13"/>
        <v>7119</v>
      </c>
      <c r="I98">
        <v>100</v>
      </c>
      <c r="J98">
        <v>100</v>
      </c>
      <c r="K98">
        <v>100</v>
      </c>
    </row>
    <row r="99" spans="1:11">
      <c r="A99">
        <v>98</v>
      </c>
      <c r="B99">
        <f t="shared" si="7"/>
        <v>29063</v>
      </c>
      <c r="C99">
        <v>9010</v>
      </c>
      <c r="D99">
        <f t="shared" si="14"/>
        <v>9010</v>
      </c>
      <c r="E99">
        <f t="shared" si="10"/>
        <v>29063</v>
      </c>
      <c r="F99">
        <f t="shared" si="11"/>
        <v>58126</v>
      </c>
      <c r="G99">
        <f t="shared" si="12"/>
        <v>29063</v>
      </c>
      <c r="H99">
        <f t="shared" si="13"/>
        <v>7265</v>
      </c>
      <c r="I99">
        <v>100</v>
      </c>
      <c r="J99">
        <v>100</v>
      </c>
      <c r="K99">
        <v>100</v>
      </c>
    </row>
    <row r="100" spans="1:11">
      <c r="A100">
        <v>99</v>
      </c>
      <c r="B100">
        <f t="shared" si="7"/>
        <v>29656</v>
      </c>
      <c r="C100">
        <v>9350</v>
      </c>
      <c r="D100">
        <f t="shared" si="14"/>
        <v>9350</v>
      </c>
      <c r="E100">
        <f t="shared" si="10"/>
        <v>29656</v>
      </c>
      <c r="F100">
        <f t="shared" si="11"/>
        <v>59312</v>
      </c>
      <c r="G100">
        <f t="shared" si="12"/>
        <v>29656</v>
      </c>
      <c r="H100">
        <f t="shared" si="13"/>
        <v>7414</v>
      </c>
      <c r="I100">
        <v>100</v>
      </c>
      <c r="J100">
        <v>100</v>
      </c>
      <c r="K100">
        <v>100</v>
      </c>
    </row>
    <row r="101" spans="1:11">
      <c r="A101">
        <v>100</v>
      </c>
      <c r="B101">
        <f t="shared" si="7"/>
        <v>30255</v>
      </c>
      <c r="C101">
        <v>9700</v>
      </c>
      <c r="D101">
        <f t="shared" si="14"/>
        <v>9700</v>
      </c>
      <c r="E101">
        <f t="shared" si="10"/>
        <v>30255</v>
      </c>
      <c r="F101">
        <f t="shared" si="11"/>
        <v>60510</v>
      </c>
      <c r="G101">
        <f t="shared" si="12"/>
        <v>30255</v>
      </c>
      <c r="H101">
        <f t="shared" si="13"/>
        <v>7563</v>
      </c>
      <c r="I101">
        <v>100</v>
      </c>
      <c r="J101">
        <v>100</v>
      </c>
      <c r="K101">
        <v>100</v>
      </c>
    </row>
    <row r="102" spans="1:11">
      <c r="A102">
        <v>101</v>
      </c>
      <c r="B102">
        <f t="shared" si="7"/>
        <v>30860</v>
      </c>
      <c r="C102">
        <v>10060</v>
      </c>
      <c r="D102">
        <f t="shared" si="14"/>
        <v>10060</v>
      </c>
      <c r="E102">
        <f t="shared" si="10"/>
        <v>30860</v>
      </c>
      <c r="F102">
        <f t="shared" si="11"/>
        <v>61720</v>
      </c>
      <c r="G102">
        <f t="shared" si="12"/>
        <v>30860</v>
      </c>
      <c r="H102">
        <f t="shared" si="13"/>
        <v>7715</v>
      </c>
      <c r="I102">
        <v>100</v>
      </c>
      <c r="J102">
        <v>100</v>
      </c>
      <c r="K102">
        <v>100</v>
      </c>
    </row>
    <row r="103" spans="1:11">
      <c r="A103">
        <v>102</v>
      </c>
      <c r="B103">
        <f t="shared" si="7"/>
        <v>31471</v>
      </c>
      <c r="C103">
        <v>10400</v>
      </c>
      <c r="D103">
        <f t="shared" si="14"/>
        <v>10400</v>
      </c>
      <c r="E103">
        <f t="shared" si="10"/>
        <v>31471</v>
      </c>
      <c r="F103">
        <f t="shared" si="11"/>
        <v>62942</v>
      </c>
      <c r="G103">
        <f t="shared" si="12"/>
        <v>31471</v>
      </c>
      <c r="H103">
        <f t="shared" si="13"/>
        <v>7867</v>
      </c>
      <c r="I103">
        <v>100</v>
      </c>
      <c r="J103">
        <v>100</v>
      </c>
      <c r="K103">
        <v>100</v>
      </c>
    </row>
    <row r="108" spans="1:11">
      <c r="G108">
        <v>0.376</v>
      </c>
    </row>
    <row r="109" spans="1:11">
      <c r="G109">
        <v>0.41099999999999998</v>
      </c>
    </row>
    <row r="110" spans="1:11">
      <c r="G110">
        <v>0.68</v>
      </c>
    </row>
    <row r="111" spans="1:11">
      <c r="I111">
        <f>(1-G108)*(1-G109)*(1-G110)</f>
        <v>0.11761151999999997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技能信息</vt:lpstr>
      <vt:lpstr>等级参数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2014-10-30T11:18:30Z</dcterms:modified>
</cp:coreProperties>
</file>