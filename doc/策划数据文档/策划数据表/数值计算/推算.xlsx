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0" windowWidth="18540" windowHeight="8850" activeTab="7"/>
  </bookViews>
  <sheets>
    <sheet name="天天挂机经验" sheetId="22" r:id="rId1"/>
    <sheet name="数值拟合" sheetId="21" r:id="rId2"/>
    <sheet name="特效" sheetId="5" r:id="rId3"/>
    <sheet name="经验值" sheetId="7" r:id="rId4"/>
    <sheet name="等级属性" sheetId="9" r:id="rId5"/>
    <sheet name="强化规则" sheetId="11" r:id="rId6"/>
    <sheet name="战斗力成长" sheetId="14" r:id="rId7"/>
    <sheet name="装备属性设计" sheetId="16" r:id="rId8"/>
    <sheet name="地图强度" sheetId="17" r:id="rId9"/>
    <sheet name="佣兵培养" sheetId="19" r:id="rId10"/>
    <sheet name="魔兽估算" sheetId="20" r:id="rId11"/>
    <sheet name="神器强度" sheetId="23" r:id="rId12"/>
    <sheet name="神器经验" sheetId="24" r:id="rId13"/>
  </sheets>
  <externalReferences>
    <externalReference r:id="rId14"/>
    <externalReference r:id="rId15"/>
  </externalReferences>
  <calcPr calcId="124519"/>
</workbook>
</file>

<file path=xl/calcChain.xml><?xml version="1.0" encoding="utf-8"?>
<calcChain xmlns="http://schemas.openxmlformats.org/spreadsheetml/2006/main">
  <c r="AY101" i="14"/>
  <c r="AY100"/>
  <c r="AY99"/>
  <c r="AY53"/>
  <c r="AY52"/>
  <c r="AY51"/>
  <c r="AY3"/>
  <c r="AY4"/>
  <c r="AY5"/>
  <c r="AH3"/>
  <c r="AH4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51"/>
  <c r="BQ3" i="19" l="1"/>
  <c r="BQ4"/>
  <c r="BQ5"/>
  <c r="BQ6"/>
  <c r="BQ7"/>
  <c r="BQ8"/>
  <c r="BQ9"/>
  <c r="BQ10"/>
  <c r="BQ11"/>
  <c r="BQ12"/>
  <c r="BQ13"/>
  <c r="BQ14"/>
  <c r="BQ15"/>
  <c r="BQ16"/>
  <c r="BQ17"/>
  <c r="BQ18"/>
  <c r="BQ19"/>
  <c r="BQ2"/>
  <c r="AW19"/>
  <c r="AW18"/>
  <c r="AW17"/>
  <c r="AW16"/>
  <c r="AW15"/>
  <c r="AW14"/>
  <c r="AW13"/>
  <c r="AW12"/>
  <c r="AW11"/>
  <c r="AW10"/>
  <c r="AW9"/>
  <c r="AW8"/>
  <c r="AW7"/>
  <c r="AW6"/>
  <c r="AW5"/>
  <c r="AW4"/>
  <c r="AW3"/>
  <c r="AW2"/>
  <c r="AC4"/>
  <c r="AC5"/>
  <c r="AC6"/>
  <c r="AC7"/>
  <c r="AC8"/>
  <c r="AC9"/>
  <c r="AC10"/>
  <c r="AC11"/>
  <c r="AC12"/>
  <c r="AC13"/>
  <c r="AC14"/>
  <c r="AC15"/>
  <c r="AC16"/>
  <c r="AC17"/>
  <c r="AC18"/>
  <c r="AC19"/>
  <c r="AC2"/>
  <c r="AC3"/>
  <c r="AP10" i="14"/>
  <c r="AQ10"/>
  <c r="AP11"/>
  <c r="AQ11"/>
  <c r="AP12"/>
  <c r="AQ12"/>
  <c r="AP13"/>
  <c r="AQ13"/>
  <c r="AP14"/>
  <c r="AQ14"/>
  <c r="AP15"/>
  <c r="AQ15"/>
  <c r="AP16"/>
  <c r="AQ16"/>
  <c r="AP17"/>
  <c r="AQ17"/>
  <c r="AP18"/>
  <c r="AQ18"/>
  <c r="AP19"/>
  <c r="AQ19"/>
  <c r="AQ9"/>
  <c r="AP9"/>
  <c r="AX60" l="1"/>
  <c r="AX61"/>
  <c r="AX62"/>
  <c r="AX63"/>
  <c r="AX64"/>
  <c r="AX65"/>
  <c r="AX66"/>
  <c r="AX67"/>
  <c r="AX68"/>
  <c r="AX69"/>
  <c r="AX70"/>
  <c r="AX71"/>
  <c r="G67"/>
  <c r="AS26"/>
  <c r="AS27"/>
  <c r="AS28"/>
  <c r="AS25"/>
  <c r="W100" l="1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99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51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3"/>
  <c r="T3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4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3"/>
  <c r="AB119"/>
  <c r="AB118"/>
  <c r="AB117"/>
  <c r="AB116"/>
  <c r="AB115"/>
  <c r="AB114"/>
  <c r="AB113"/>
  <c r="AB112"/>
  <c r="AB111"/>
  <c r="AB110"/>
  <c r="AB109"/>
  <c r="AB108"/>
  <c r="AB107"/>
  <c r="AB106"/>
  <c r="AB105"/>
  <c r="AB104"/>
  <c r="AB103"/>
  <c r="AB102"/>
  <c r="AB101"/>
  <c r="AB100"/>
  <c r="AB99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3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3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3"/>
  <c r="AQ119" l="1"/>
  <c r="AO119"/>
  <c r="AN119"/>
  <c r="AO118"/>
  <c r="AN118"/>
  <c r="AO117"/>
  <c r="AN117"/>
  <c r="AQ116"/>
  <c r="AP116"/>
  <c r="AO116"/>
  <c r="AN116"/>
  <c r="AQ104"/>
  <c r="AP104"/>
  <c r="AO104"/>
  <c r="AN104"/>
  <c r="AQ103"/>
  <c r="AP103"/>
  <c r="AO103"/>
  <c r="AN103"/>
  <c r="AQ102"/>
  <c r="AP102"/>
  <c r="AO102"/>
  <c r="AN102"/>
  <c r="AQ101"/>
  <c r="AP101"/>
  <c r="AO101"/>
  <c r="AN101"/>
  <c r="AQ100"/>
  <c r="AP100"/>
  <c r="AO100"/>
  <c r="AN100"/>
  <c r="AQ99"/>
  <c r="AP99"/>
  <c r="AO99"/>
  <c r="AN99"/>
  <c r="AQ98"/>
  <c r="AP98"/>
  <c r="AO98"/>
  <c r="AN98"/>
  <c r="AN51"/>
  <c r="AO51"/>
  <c r="AP51"/>
  <c r="AQ51"/>
  <c r="AN52"/>
  <c r="AO52"/>
  <c r="AP52"/>
  <c r="AQ52"/>
  <c r="AN53"/>
  <c r="AO53"/>
  <c r="AP53"/>
  <c r="AQ53"/>
  <c r="AN54"/>
  <c r="AO54"/>
  <c r="AP54"/>
  <c r="AQ54"/>
  <c r="AN55"/>
  <c r="AO55"/>
  <c r="AP55"/>
  <c r="AQ55"/>
  <c r="AN56"/>
  <c r="AO56"/>
  <c r="AP56"/>
  <c r="AQ56"/>
  <c r="AN57"/>
  <c r="AN105" s="1"/>
  <c r="AO57"/>
  <c r="AO105" s="1"/>
  <c r="AP57"/>
  <c r="AQ57"/>
  <c r="AQ105" s="1"/>
  <c r="AN58"/>
  <c r="AN106" s="1"/>
  <c r="AO58"/>
  <c r="AO106" s="1"/>
  <c r="AP58"/>
  <c r="AQ58"/>
  <c r="AQ106" s="1"/>
  <c r="AN59"/>
  <c r="AN107" s="1"/>
  <c r="AO59"/>
  <c r="AO107" s="1"/>
  <c r="AP59"/>
  <c r="AQ59"/>
  <c r="AQ107" s="1"/>
  <c r="AN60"/>
  <c r="AN108" s="1"/>
  <c r="AO60"/>
  <c r="AO108" s="1"/>
  <c r="AP60"/>
  <c r="AQ60"/>
  <c r="AQ108" s="1"/>
  <c r="AN61"/>
  <c r="AN109" s="1"/>
  <c r="AO61"/>
  <c r="AO109" s="1"/>
  <c r="AP61"/>
  <c r="AQ61"/>
  <c r="AQ109" s="1"/>
  <c r="AN62"/>
  <c r="AN110" s="1"/>
  <c r="AO62"/>
  <c r="AO110" s="1"/>
  <c r="AP62"/>
  <c r="AQ62"/>
  <c r="AQ110" s="1"/>
  <c r="AN63"/>
  <c r="AN111" s="1"/>
  <c r="AO63"/>
  <c r="AO111" s="1"/>
  <c r="AP63"/>
  <c r="AQ63"/>
  <c r="AQ111" s="1"/>
  <c r="AN64"/>
  <c r="AN112" s="1"/>
  <c r="AO64"/>
  <c r="AO112" s="1"/>
  <c r="AP64"/>
  <c r="AQ64"/>
  <c r="AQ112" s="1"/>
  <c r="AN65"/>
  <c r="AN113" s="1"/>
  <c r="AO65"/>
  <c r="AO113" s="1"/>
  <c r="AP65"/>
  <c r="AQ65"/>
  <c r="AQ113" s="1"/>
  <c r="AN66"/>
  <c r="AN114" s="1"/>
  <c r="AO66"/>
  <c r="AO114" s="1"/>
  <c r="AP66"/>
  <c r="AQ66"/>
  <c r="AQ114" s="1"/>
  <c r="AN67"/>
  <c r="AN115" s="1"/>
  <c r="AO67"/>
  <c r="AO115" s="1"/>
  <c r="AP67"/>
  <c r="AQ67"/>
  <c r="AQ115" s="1"/>
  <c r="AN68"/>
  <c r="AO68"/>
  <c r="AP68"/>
  <c r="AQ68"/>
  <c r="AN69"/>
  <c r="AO69"/>
  <c r="AP69"/>
  <c r="AQ69"/>
  <c r="AQ117" s="1"/>
  <c r="AN70"/>
  <c r="AO70"/>
  <c r="AP70"/>
  <c r="AQ70"/>
  <c r="AQ118" s="1"/>
  <c r="AN71"/>
  <c r="AO71"/>
  <c r="AP71"/>
  <c r="AQ71"/>
  <c r="AO50"/>
  <c r="AP50"/>
  <c r="AQ50"/>
  <c r="AN50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4"/>
  <c r="AO3"/>
  <c r="AN3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4"/>
  <c r="AP114" l="1"/>
  <c r="AP112"/>
  <c r="AP110"/>
  <c r="AP108"/>
  <c r="AP106"/>
  <c r="AP115"/>
  <c r="AP113"/>
  <c r="AP111"/>
  <c r="AP109"/>
  <c r="AP107"/>
  <c r="AP105"/>
  <c r="AP119"/>
  <c r="AP118"/>
  <c r="AP117"/>
  <c r="AU99" l="1"/>
  <c r="AV99"/>
  <c r="AW99"/>
  <c r="AX99"/>
  <c r="AU100"/>
  <c r="AV100"/>
  <c r="AW100"/>
  <c r="AX100"/>
  <c r="AU101"/>
  <c r="AV101"/>
  <c r="AW101"/>
  <c r="AX101"/>
  <c r="AV102"/>
  <c r="AW102"/>
  <c r="AX102"/>
  <c r="AV103"/>
  <c r="AW103"/>
  <c r="AX103"/>
  <c r="AV104"/>
  <c r="AW104"/>
  <c r="AX104"/>
  <c r="AV105"/>
  <c r="AW105"/>
  <c r="AX105"/>
  <c r="AV106"/>
  <c r="AW106"/>
  <c r="AX106"/>
  <c r="AV107"/>
  <c r="AW107"/>
  <c r="AV108"/>
  <c r="AW108"/>
  <c r="AX108"/>
  <c r="AV109"/>
  <c r="AX109"/>
  <c r="AV110"/>
  <c r="AX110"/>
  <c r="AV111"/>
  <c r="AV112"/>
  <c r="AV113"/>
  <c r="AV114"/>
  <c r="AV115"/>
  <c r="AV116"/>
  <c r="AV117"/>
  <c r="AV118"/>
  <c r="AV119"/>
  <c r="AW119"/>
  <c r="AZ98"/>
  <c r="AU98"/>
  <c r="AV98"/>
  <c r="AW98"/>
  <c r="AX98"/>
  <c r="AY98"/>
  <c r="AT98"/>
  <c r="AT51"/>
  <c r="AU51"/>
  <c r="AV51"/>
  <c r="AW51"/>
  <c r="AX51"/>
  <c r="AT52"/>
  <c r="AU52"/>
  <c r="AV52"/>
  <c r="AW52"/>
  <c r="AX52"/>
  <c r="AT53"/>
  <c r="AU53"/>
  <c r="AV53"/>
  <c r="AW53"/>
  <c r="AX53"/>
  <c r="AV54"/>
  <c r="AW54"/>
  <c r="AX54"/>
  <c r="AV55"/>
  <c r="AW55"/>
  <c r="AX55"/>
  <c r="AV56"/>
  <c r="AW56"/>
  <c r="AX56"/>
  <c r="AV57"/>
  <c r="AW57"/>
  <c r="AX57"/>
  <c r="AV58"/>
  <c r="AW58"/>
  <c r="AX58"/>
  <c r="AV59"/>
  <c r="AW59"/>
  <c r="AX59"/>
  <c r="AV60"/>
  <c r="AW60"/>
  <c r="AV61"/>
  <c r="AW61"/>
  <c r="AV62"/>
  <c r="AW62"/>
  <c r="AV63"/>
  <c r="AW63"/>
  <c r="AV64"/>
  <c r="AW64"/>
  <c r="AV65"/>
  <c r="AW65"/>
  <c r="AV66"/>
  <c r="AW66"/>
  <c r="AV67"/>
  <c r="AW67"/>
  <c r="AV68"/>
  <c r="AW68"/>
  <c r="AV69"/>
  <c r="AW69"/>
  <c r="AV70"/>
  <c r="AW70"/>
  <c r="AV71"/>
  <c r="AW71"/>
  <c r="AU50"/>
  <c r="AV50"/>
  <c r="AW50"/>
  <c r="AX50"/>
  <c r="AY50"/>
  <c r="AZ50"/>
  <c r="AT50"/>
  <c r="AT101" l="1"/>
  <c r="AT100"/>
  <c r="AT99"/>
  <c r="AX107"/>
  <c r="AW116"/>
  <c r="AW112"/>
  <c r="AW115"/>
  <c r="AW109"/>
  <c r="AW110"/>
  <c r="AW111"/>
  <c r="AW118"/>
  <c r="AW114"/>
  <c r="AW117"/>
  <c r="AW113"/>
  <c r="AX113"/>
  <c r="AX112"/>
  <c r="AX111"/>
  <c r="AX118"/>
  <c r="AX119"/>
  <c r="AX114"/>
  <c r="AX116"/>
  <c r="AX115"/>
  <c r="AX117"/>
  <c r="BI3" i="19" l="1"/>
  <c r="BI4"/>
  <c r="BM4" s="1"/>
  <c r="BI5"/>
  <c r="BM5" s="1"/>
  <c r="BI6"/>
  <c r="BI7"/>
  <c r="BI8"/>
  <c r="BM8" s="1"/>
  <c r="BI9"/>
  <c r="BM9" s="1"/>
  <c r="BI10"/>
  <c r="BM10" s="1"/>
  <c r="BI11"/>
  <c r="BI12"/>
  <c r="BM12" s="1"/>
  <c r="BI13"/>
  <c r="BI14"/>
  <c r="BI15"/>
  <c r="BI16"/>
  <c r="BM16" s="1"/>
  <c r="BI17"/>
  <c r="BM17" s="1"/>
  <c r="BI18"/>
  <c r="BM18" s="1"/>
  <c r="BI19"/>
  <c r="BM19" s="1"/>
  <c r="BI2"/>
  <c r="BM2" s="1"/>
  <c r="AO3"/>
  <c r="AS3" s="1"/>
  <c r="AO4"/>
  <c r="AO5"/>
  <c r="AO6"/>
  <c r="AS6" s="1"/>
  <c r="AO7"/>
  <c r="AS7" s="1"/>
  <c r="AO8"/>
  <c r="AO9"/>
  <c r="AO10"/>
  <c r="AS10" s="1"/>
  <c r="AO11"/>
  <c r="AS11" s="1"/>
  <c r="AO12"/>
  <c r="AO13"/>
  <c r="AO14"/>
  <c r="AS14" s="1"/>
  <c r="AO15"/>
  <c r="AS15" s="1"/>
  <c r="AO16"/>
  <c r="AS16" s="1"/>
  <c r="AO17"/>
  <c r="AO18"/>
  <c r="AS18" s="1"/>
  <c r="AO19"/>
  <c r="AS19" s="1"/>
  <c r="AO2"/>
  <c r="AS2" s="1"/>
  <c r="U3"/>
  <c r="Y3" s="1"/>
  <c r="U4"/>
  <c r="Y4" s="1"/>
  <c r="U5"/>
  <c r="Y5" s="1"/>
  <c r="U6"/>
  <c r="U7"/>
  <c r="Y7" s="1"/>
  <c r="U8"/>
  <c r="Y8" s="1"/>
  <c r="U9"/>
  <c r="Y9" s="1"/>
  <c r="U10"/>
  <c r="Y10" s="1"/>
  <c r="U11"/>
  <c r="Y11" s="1"/>
  <c r="U12"/>
  <c r="Y12" s="1"/>
  <c r="U13"/>
  <c r="Y13" s="1"/>
  <c r="U14"/>
  <c r="U15"/>
  <c r="Y15" s="1"/>
  <c r="U16"/>
  <c r="Y16" s="1"/>
  <c r="U17"/>
  <c r="Y17" s="1"/>
  <c r="U18"/>
  <c r="U19"/>
  <c r="Y19" s="1"/>
  <c r="BD19"/>
  <c r="BD18"/>
  <c r="BH18" s="1"/>
  <c r="BD17"/>
  <c r="BH17" s="1"/>
  <c r="BD16"/>
  <c r="BH16" s="1"/>
  <c r="BM15"/>
  <c r="BD15"/>
  <c r="BM14"/>
  <c r="BD14"/>
  <c r="BH14" s="1"/>
  <c r="BM13"/>
  <c r="BD13"/>
  <c r="BH13" s="1"/>
  <c r="BD12"/>
  <c r="BH12" s="1"/>
  <c r="BM11"/>
  <c r="BD11"/>
  <c r="BD10"/>
  <c r="BH10" s="1"/>
  <c r="BD9"/>
  <c r="BH9" s="1"/>
  <c r="BD8"/>
  <c r="BH8" s="1"/>
  <c r="BM7"/>
  <c r="BD7"/>
  <c r="BM6"/>
  <c r="BD6"/>
  <c r="BH6" s="1"/>
  <c r="BH5"/>
  <c r="BD5"/>
  <c r="BD4"/>
  <c r="BH4" s="1"/>
  <c r="BM3"/>
  <c r="BD3"/>
  <c r="BD2"/>
  <c r="AJ19"/>
  <c r="AJ18"/>
  <c r="AS17"/>
  <c r="AJ17"/>
  <c r="AN17" s="1"/>
  <c r="AJ16"/>
  <c r="AN16" s="1"/>
  <c r="AJ15"/>
  <c r="AN15" s="1"/>
  <c r="AJ14"/>
  <c r="AS13"/>
  <c r="AJ13"/>
  <c r="AN13" s="1"/>
  <c r="AS12"/>
  <c r="AJ12"/>
  <c r="AN12" s="1"/>
  <c r="AJ11"/>
  <c r="AN11" s="1"/>
  <c r="AJ10"/>
  <c r="AS9"/>
  <c r="AJ9"/>
  <c r="AN9" s="1"/>
  <c r="AS8"/>
  <c r="AJ8"/>
  <c r="AN8" s="1"/>
  <c r="AJ7"/>
  <c r="AN7" s="1"/>
  <c r="AJ6"/>
  <c r="AS5"/>
  <c r="AJ5"/>
  <c r="AN5" s="1"/>
  <c r="AS4"/>
  <c r="AJ4"/>
  <c r="AN4" s="1"/>
  <c r="AJ3"/>
  <c r="AN3" s="1"/>
  <c r="AJ2"/>
  <c r="U2"/>
  <c r="Y2" s="1"/>
  <c r="Y6"/>
  <c r="Y14"/>
  <c r="Y18"/>
  <c r="AP4" l="1"/>
  <c r="AR4" s="1"/>
  <c r="AT4"/>
  <c r="AP12"/>
  <c r="AR12" s="1"/>
  <c r="AT12"/>
  <c r="BJ8"/>
  <c r="BL8" s="1"/>
  <c r="BN8"/>
  <c r="AT5"/>
  <c r="AT13"/>
  <c r="BJ16"/>
  <c r="BL16" s="1"/>
  <c r="BN16"/>
  <c r="AP8"/>
  <c r="AR8" s="1"/>
  <c r="AT8"/>
  <c r="AP16"/>
  <c r="AR16" s="1"/>
  <c r="AT16"/>
  <c r="AT9"/>
  <c r="BJ4"/>
  <c r="BL4" s="1"/>
  <c r="BN4"/>
  <c r="AT17"/>
  <c r="BN9"/>
  <c r="BN17"/>
  <c r="AT3"/>
  <c r="AT7"/>
  <c r="AT11"/>
  <c r="AT15"/>
  <c r="BN6"/>
  <c r="BN10"/>
  <c r="BN14"/>
  <c r="BN18"/>
  <c r="BN5"/>
  <c r="BJ12"/>
  <c r="BL12" s="1"/>
  <c r="BN12"/>
  <c r="BN13"/>
  <c r="AN19"/>
  <c r="AP19" s="1"/>
  <c r="AR19" s="1"/>
  <c r="BH3"/>
  <c r="BK3" s="1"/>
  <c r="BH15"/>
  <c r="BK15" s="1"/>
  <c r="AN2"/>
  <c r="AP2" s="1"/>
  <c r="AR2" s="1"/>
  <c r="AN6"/>
  <c r="AQ6" s="1"/>
  <c r="AN10"/>
  <c r="AP10" s="1"/>
  <c r="AR10" s="1"/>
  <c r="AN14"/>
  <c r="AQ14" s="1"/>
  <c r="BH11"/>
  <c r="BK11" s="1"/>
  <c r="BH19"/>
  <c r="BK19" s="1"/>
  <c r="BH7"/>
  <c r="BK7" s="1"/>
  <c r="AN18"/>
  <c r="BH2"/>
  <c r="BK2" s="1"/>
  <c r="BK10"/>
  <c r="BJ10"/>
  <c r="BL10" s="1"/>
  <c r="BK18"/>
  <c r="BJ18"/>
  <c r="BL18" s="1"/>
  <c r="BK6"/>
  <c r="BJ6"/>
  <c r="BL6" s="1"/>
  <c r="BK14"/>
  <c r="BJ14"/>
  <c r="BL14" s="1"/>
  <c r="BK4"/>
  <c r="BK8"/>
  <c r="BK12"/>
  <c r="BJ5"/>
  <c r="BL5" s="1"/>
  <c r="BJ9"/>
  <c r="BL9" s="1"/>
  <c r="BJ13"/>
  <c r="BL13" s="1"/>
  <c r="BJ17"/>
  <c r="BL17" s="1"/>
  <c r="BK16"/>
  <c r="BK5"/>
  <c r="BK9"/>
  <c r="BK13"/>
  <c r="BK17"/>
  <c r="AQ7"/>
  <c r="AP7"/>
  <c r="AR7" s="1"/>
  <c r="AP15"/>
  <c r="AR15" s="1"/>
  <c r="AQ15"/>
  <c r="AP3"/>
  <c r="AR3" s="1"/>
  <c r="AQ3"/>
  <c r="AQ11"/>
  <c r="AP11"/>
  <c r="AR11" s="1"/>
  <c r="AQ2"/>
  <c r="AQ12"/>
  <c r="AP5"/>
  <c r="AR5" s="1"/>
  <c r="AP9"/>
  <c r="AR9" s="1"/>
  <c r="AP13"/>
  <c r="AR13" s="1"/>
  <c r="AP17"/>
  <c r="AR17" s="1"/>
  <c r="AQ4"/>
  <c r="AQ8"/>
  <c r="AQ16"/>
  <c r="AQ5"/>
  <c r="AQ9"/>
  <c r="AQ13"/>
  <c r="AQ17"/>
  <c r="P3"/>
  <c r="T3" s="1"/>
  <c r="Z3" s="1"/>
  <c r="P4"/>
  <c r="T4" s="1"/>
  <c r="Z4" s="1"/>
  <c r="P5"/>
  <c r="T5" s="1"/>
  <c r="Z5" s="1"/>
  <c r="P6"/>
  <c r="T6" s="1"/>
  <c r="Z6" s="1"/>
  <c r="P7"/>
  <c r="T7" s="1"/>
  <c r="Z7" s="1"/>
  <c r="P8"/>
  <c r="T8" s="1"/>
  <c r="Z8" s="1"/>
  <c r="P9"/>
  <c r="T9" s="1"/>
  <c r="Z9" s="1"/>
  <c r="P10"/>
  <c r="T10" s="1"/>
  <c r="Z10" s="1"/>
  <c r="P11"/>
  <c r="T11" s="1"/>
  <c r="Z11" s="1"/>
  <c r="P12"/>
  <c r="T12" s="1"/>
  <c r="Z12" s="1"/>
  <c r="P13"/>
  <c r="T13" s="1"/>
  <c r="Z13" s="1"/>
  <c r="P14"/>
  <c r="T14" s="1"/>
  <c r="Z14" s="1"/>
  <c r="P15"/>
  <c r="T15" s="1"/>
  <c r="Z15" s="1"/>
  <c r="P16"/>
  <c r="T16" s="1"/>
  <c r="Z16" s="1"/>
  <c r="P17"/>
  <c r="T17" s="1"/>
  <c r="Z17" s="1"/>
  <c r="P18"/>
  <c r="T18" s="1"/>
  <c r="Z18" s="1"/>
  <c r="P19"/>
  <c r="T19" s="1"/>
  <c r="Z19" s="1"/>
  <c r="P2"/>
  <c r="T2" s="1"/>
  <c r="Z2" s="1"/>
  <c r="I4" i="1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BJ11" i="19" l="1"/>
  <c r="BL11" s="1"/>
  <c r="BP8"/>
  <c r="BJ7"/>
  <c r="BL7" s="1"/>
  <c r="BP4"/>
  <c r="BN2"/>
  <c r="BN11"/>
  <c r="AT2"/>
  <c r="AV2" s="1"/>
  <c r="BP16"/>
  <c r="BP10"/>
  <c r="BN19"/>
  <c r="AT6"/>
  <c r="AT19"/>
  <c r="BN7"/>
  <c r="AT10"/>
  <c r="BN3"/>
  <c r="AT18"/>
  <c r="AT14"/>
  <c r="BN15"/>
  <c r="AV4"/>
  <c r="AP6"/>
  <c r="AR6" s="1"/>
  <c r="AQ19"/>
  <c r="BP12"/>
  <c r="BJ19"/>
  <c r="BL19" s="1"/>
  <c r="BP13"/>
  <c r="BP9"/>
  <c r="AV5"/>
  <c r="AV17"/>
  <c r="AV7"/>
  <c r="AV15"/>
  <c r="BP6"/>
  <c r="BP17"/>
  <c r="V2"/>
  <c r="X2" s="1"/>
  <c r="W2"/>
  <c r="V12"/>
  <c r="X12" s="1"/>
  <c r="W12"/>
  <c r="V8"/>
  <c r="X8" s="1"/>
  <c r="W8"/>
  <c r="V4"/>
  <c r="X4" s="1"/>
  <c r="W4"/>
  <c r="V13"/>
  <c r="X13" s="1"/>
  <c r="W13"/>
  <c r="W18"/>
  <c r="V18"/>
  <c r="X18" s="1"/>
  <c r="W14"/>
  <c r="V14"/>
  <c r="X14" s="1"/>
  <c r="W10"/>
  <c r="V10"/>
  <c r="X10" s="1"/>
  <c r="W6"/>
  <c r="V6"/>
  <c r="X6" s="1"/>
  <c r="AV9"/>
  <c r="AP18"/>
  <c r="AR18" s="1"/>
  <c r="AV16"/>
  <c r="AV13"/>
  <c r="AP14"/>
  <c r="AR14" s="1"/>
  <c r="AV11"/>
  <c r="AQ18"/>
  <c r="BP5"/>
  <c r="BP14"/>
  <c r="BJ2"/>
  <c r="BL2" s="1"/>
  <c r="BP18"/>
  <c r="V16"/>
  <c r="W16"/>
  <c r="V17"/>
  <c r="X17" s="1"/>
  <c r="W17"/>
  <c r="V9"/>
  <c r="X9" s="1"/>
  <c r="W9"/>
  <c r="V5"/>
  <c r="X5" s="1"/>
  <c r="W5"/>
  <c r="W19"/>
  <c r="V19"/>
  <c r="X19" s="1"/>
  <c r="W15"/>
  <c r="V15"/>
  <c r="X15" s="1"/>
  <c r="W11"/>
  <c r="V11"/>
  <c r="X11" s="1"/>
  <c r="W7"/>
  <c r="V7"/>
  <c r="X7" s="1"/>
  <c r="W3"/>
  <c r="V3"/>
  <c r="X3" s="1"/>
  <c r="AV8"/>
  <c r="AV12"/>
  <c r="AV3"/>
  <c r="AQ10"/>
  <c r="BJ15"/>
  <c r="BL15" s="1"/>
  <c r="BJ3"/>
  <c r="BL3" s="1"/>
  <c r="X16"/>
  <c r="AM99" i="14"/>
  <c r="AL99"/>
  <c r="AV6" i="19" l="1"/>
  <c r="BP11"/>
  <c r="BP19"/>
  <c r="BP7"/>
  <c r="AV19"/>
  <c r="AV14"/>
  <c r="BP3"/>
  <c r="AV10"/>
  <c r="BP2"/>
  <c r="BP15"/>
  <c r="AV18"/>
  <c r="AB11"/>
  <c r="AT15" i="14" s="1"/>
  <c r="AB4" i="19"/>
  <c r="AT8" i="14" s="1"/>
  <c r="AY8" s="1"/>
  <c r="AB14" i="19"/>
  <c r="AT18" i="14" s="1"/>
  <c r="AB15" i="19"/>
  <c r="AT19" i="14" s="1"/>
  <c r="AB16" i="19"/>
  <c r="AT20" i="14" s="1"/>
  <c r="AB18" i="19"/>
  <c r="AT22" i="14" s="1"/>
  <c r="AB13" i="19"/>
  <c r="AT17" i="14" s="1"/>
  <c r="AB8" i="19"/>
  <c r="AT12" i="14" s="1"/>
  <c r="AB3" i="19"/>
  <c r="AT7" i="14" s="1"/>
  <c r="AY7" s="1"/>
  <c r="AB19" i="19"/>
  <c r="AT23" i="14" s="1"/>
  <c r="AB9" i="19"/>
  <c r="AT13" i="14" s="1"/>
  <c r="AB6" i="19"/>
  <c r="AT10" i="14" s="1"/>
  <c r="AB12" i="19"/>
  <c r="AT16" i="14" s="1"/>
  <c r="AB5" i="19"/>
  <c r="AT9" i="14" s="1"/>
  <c r="AB7" i="19"/>
  <c r="AT11" i="14" s="1"/>
  <c r="AB17" i="19"/>
  <c r="AT21" i="14" s="1"/>
  <c r="AB10" i="19"/>
  <c r="AT14" i="14" s="1"/>
  <c r="AB2" i="19"/>
  <c r="AT6" i="14" s="1"/>
  <c r="AY6" s="1"/>
  <c r="B34"/>
  <c r="AT71" l="1"/>
  <c r="AT70"/>
  <c r="AT67"/>
  <c r="AT59"/>
  <c r="AT61"/>
  <c r="AT65"/>
  <c r="AT63"/>
  <c r="AT69"/>
  <c r="AT58"/>
  <c r="AT60"/>
  <c r="AT62"/>
  <c r="AT64"/>
  <c r="AT68"/>
  <c r="AT66"/>
  <c r="AT54"/>
  <c r="AY54" s="1"/>
  <c r="AT57"/>
  <c r="AT56"/>
  <c r="AY56" s="1"/>
  <c r="AT55"/>
  <c r="AY55" s="1"/>
  <c r="AG23"/>
  <c r="AT105" l="1"/>
  <c r="AT112"/>
  <c r="AT117"/>
  <c r="AT107"/>
  <c r="AT104"/>
  <c r="AY104" s="1"/>
  <c r="AT116"/>
  <c r="AT106"/>
  <c r="AT109"/>
  <c r="AT119"/>
  <c r="AT103"/>
  <c r="AY103" s="1"/>
  <c r="AT114"/>
  <c r="AT108"/>
  <c r="AT113"/>
  <c r="AT118"/>
  <c r="AT102"/>
  <c r="AY102" s="1"/>
  <c r="AT110"/>
  <c r="AT111"/>
  <c r="AT115"/>
  <c r="AE65" l="1"/>
  <c r="B10" i="24"/>
  <c r="H7"/>
  <c r="E8"/>
  <c r="E9"/>
  <c r="E10"/>
  <c r="E11"/>
  <c r="E12"/>
  <c r="E13"/>
  <c r="E14"/>
  <c r="E15"/>
  <c r="E16"/>
  <c r="E17"/>
  <c r="E18"/>
  <c r="E19"/>
  <c r="E20"/>
  <c r="E21"/>
  <c r="E7"/>
  <c r="D8"/>
  <c r="J8" s="1"/>
  <c r="D7"/>
  <c r="J7" s="1"/>
  <c r="D9"/>
  <c r="J9" s="1"/>
  <c r="D10"/>
  <c r="J10" s="1"/>
  <c r="AE113" i="14" l="1"/>
  <c r="AL65"/>
  <c r="F9" i="24"/>
  <c r="F8"/>
  <c r="F7"/>
  <c r="G11"/>
  <c r="G21"/>
  <c r="G13"/>
  <c r="G18"/>
  <c r="G14"/>
  <c r="G10"/>
  <c r="H10" s="1"/>
  <c r="G15"/>
  <c r="F10"/>
  <c r="G17"/>
  <c r="G9"/>
  <c r="H9" s="1"/>
  <c r="G19"/>
  <c r="G20"/>
  <c r="G16"/>
  <c r="G12"/>
  <c r="G8"/>
  <c r="H8" s="1"/>
  <c r="D13"/>
  <c r="J13" s="1"/>
  <c r="D16"/>
  <c r="J16" s="1"/>
  <c r="D20"/>
  <c r="J20" s="1"/>
  <c r="D21"/>
  <c r="J21" s="1"/>
  <c r="AL113" i="14" l="1"/>
  <c r="AM113"/>
  <c r="H20" i="24"/>
  <c r="F13"/>
  <c r="F16"/>
  <c r="H13"/>
  <c r="H16"/>
  <c r="F21"/>
  <c r="H21"/>
  <c r="F20"/>
  <c r="D18"/>
  <c r="H18" s="1"/>
  <c r="D14"/>
  <c r="D11"/>
  <c r="D17"/>
  <c r="D15"/>
  <c r="H15" s="1"/>
  <c r="D12"/>
  <c r="H12" s="1"/>
  <c r="D19"/>
  <c r="J11" l="1"/>
  <c r="F11"/>
  <c r="J17"/>
  <c r="F17"/>
  <c r="J18"/>
  <c r="F18"/>
  <c r="J12"/>
  <c r="F12"/>
  <c r="J14"/>
  <c r="F14"/>
  <c r="H17"/>
  <c r="H14"/>
  <c r="J19"/>
  <c r="F19"/>
  <c r="J15"/>
  <c r="F15"/>
  <c r="H11"/>
  <c r="H19"/>
  <c r="L58" i="23" l="1"/>
  <c r="L57"/>
  <c r="L56"/>
  <c r="L55"/>
  <c r="L54"/>
  <c r="L53"/>
  <c r="L52"/>
  <c r="L51"/>
  <c r="L50"/>
  <c r="L49"/>
  <c r="L48"/>
  <c r="L47"/>
  <c r="L46"/>
  <c r="L45"/>
  <c r="L44"/>
  <c r="L34"/>
  <c r="L33"/>
  <c r="L32"/>
  <c r="L31"/>
  <c r="L30"/>
  <c r="L29"/>
  <c r="L28"/>
  <c r="L27"/>
  <c r="L26"/>
  <c r="L25"/>
  <c r="L24"/>
  <c r="L23"/>
  <c r="L22"/>
  <c r="L21"/>
  <c r="L20"/>
  <c r="B45"/>
  <c r="B46"/>
  <c r="B47"/>
  <c r="B48"/>
  <c r="B49"/>
  <c r="B50"/>
  <c r="B51"/>
  <c r="B52"/>
  <c r="B53"/>
  <c r="B54"/>
  <c r="B55"/>
  <c r="B56"/>
  <c r="B57"/>
  <c r="B58"/>
  <c r="B44"/>
  <c r="B34" l="1"/>
  <c r="B33"/>
  <c r="B32"/>
  <c r="B31"/>
  <c r="B30"/>
  <c r="B29"/>
  <c r="B28"/>
  <c r="B27"/>
  <c r="B26"/>
  <c r="B25"/>
  <c r="B24"/>
  <c r="B23"/>
  <c r="B22"/>
  <c r="B21"/>
  <c r="B20"/>
  <c r="B3"/>
  <c r="B4"/>
  <c r="B5"/>
  <c r="B6"/>
  <c r="B7"/>
  <c r="B8"/>
  <c r="B9"/>
  <c r="B10"/>
  <c r="B11"/>
  <c r="B12"/>
  <c r="B13"/>
  <c r="B14"/>
  <c r="B15"/>
  <c r="B16"/>
  <c r="B2"/>
  <c r="T3" i="16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3"/>
  <c r="AM4" i="14" l="1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3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3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3"/>
  <c r="AE51"/>
  <c r="AE52"/>
  <c r="AE53"/>
  <c r="AE54"/>
  <c r="AE55"/>
  <c r="AE56"/>
  <c r="AE57"/>
  <c r="AE58"/>
  <c r="AE59"/>
  <c r="AE60"/>
  <c r="AE61"/>
  <c r="AE62"/>
  <c r="AE63"/>
  <c r="AE64"/>
  <c r="AJ65"/>
  <c r="AE66"/>
  <c r="AE67"/>
  <c r="AE68"/>
  <c r="AE69"/>
  <c r="AE70"/>
  <c r="AE71"/>
  <c r="AD50"/>
  <c r="AD98" s="1"/>
  <c r="AE50"/>
  <c r="AE98" s="1"/>
  <c r="AF50"/>
  <c r="AF98" s="1"/>
  <c r="AG50"/>
  <c r="AG98" s="1"/>
  <c r="AH50"/>
  <c r="AH98" s="1"/>
  <c r="AI50"/>
  <c r="AI98" s="1"/>
  <c r="AC50"/>
  <c r="AC98" s="1"/>
  <c r="B1" i="22"/>
  <c r="B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AE115" i="14" l="1"/>
  <c r="AL67"/>
  <c r="AE107"/>
  <c r="AL59"/>
  <c r="AL55"/>
  <c r="AL64"/>
  <c r="AL52"/>
  <c r="AL69"/>
  <c r="AL61"/>
  <c r="AL57"/>
  <c r="AL53"/>
  <c r="AE119"/>
  <c r="AL71"/>
  <c r="AE111"/>
  <c r="AL63"/>
  <c r="AL51"/>
  <c r="AL68"/>
  <c r="AL60"/>
  <c r="AL56"/>
  <c r="AL70"/>
  <c r="AL66"/>
  <c r="AL62"/>
  <c r="AL58"/>
  <c r="AL54"/>
  <c r="AK68"/>
  <c r="AE116"/>
  <c r="AK64"/>
  <c r="AE112"/>
  <c r="AK60"/>
  <c r="AE108"/>
  <c r="AK56"/>
  <c r="AE104"/>
  <c r="AK52"/>
  <c r="AE100"/>
  <c r="AJ69"/>
  <c r="AE117"/>
  <c r="AJ61"/>
  <c r="AE109"/>
  <c r="AJ57"/>
  <c r="AE105"/>
  <c r="AJ53"/>
  <c r="AE101"/>
  <c r="AK70"/>
  <c r="AE118"/>
  <c r="AK66"/>
  <c r="AE114"/>
  <c r="AK62"/>
  <c r="AE110"/>
  <c r="AK58"/>
  <c r="AE106"/>
  <c r="AK54"/>
  <c r="AE102"/>
  <c r="AJ55"/>
  <c r="AE103"/>
  <c r="AJ99"/>
  <c r="AK99"/>
  <c r="AK51"/>
  <c r="AJ51"/>
  <c r="AJ60"/>
  <c r="AJ56"/>
  <c r="AJ112"/>
  <c r="AK61"/>
  <c r="AJ104"/>
  <c r="AJ66"/>
  <c r="AK117"/>
  <c r="AJ54"/>
  <c r="AK65"/>
  <c r="AJ70"/>
  <c r="AJ100"/>
  <c r="AK53"/>
  <c r="AJ58"/>
  <c r="AJ64"/>
  <c r="AK69"/>
  <c r="AK113"/>
  <c r="AK105"/>
  <c r="AJ52"/>
  <c r="AK57"/>
  <c r="AJ62"/>
  <c r="AJ68"/>
  <c r="AJ71"/>
  <c r="AK71"/>
  <c r="AJ67"/>
  <c r="AK67"/>
  <c r="AJ63"/>
  <c r="AK63"/>
  <c r="AJ59"/>
  <c r="AK59"/>
  <c r="AK55"/>
  <c r="P97" i="19"/>
  <c r="Q97"/>
  <c r="R97"/>
  <c r="S97"/>
  <c r="T97"/>
  <c r="U97"/>
  <c r="V97"/>
  <c r="W97"/>
  <c r="X97"/>
  <c r="Y97"/>
  <c r="Z97"/>
  <c r="AA97"/>
  <c r="P98"/>
  <c r="Q98"/>
  <c r="R98"/>
  <c r="S98"/>
  <c r="T98"/>
  <c r="U98"/>
  <c r="V98"/>
  <c r="W98"/>
  <c r="X98"/>
  <c r="Y98"/>
  <c r="Z98"/>
  <c r="AA98"/>
  <c r="P99"/>
  <c r="Q99"/>
  <c r="R99"/>
  <c r="S99"/>
  <c r="T99"/>
  <c r="U99"/>
  <c r="V99"/>
  <c r="W99"/>
  <c r="X99"/>
  <c r="Y99"/>
  <c r="Z99"/>
  <c r="AA99"/>
  <c r="P100"/>
  <c r="Q100"/>
  <c r="R100"/>
  <c r="S100"/>
  <c r="T100"/>
  <c r="U100"/>
  <c r="V100"/>
  <c r="W100"/>
  <c r="X100"/>
  <c r="Y100"/>
  <c r="Z100"/>
  <c r="AA100"/>
  <c r="P101"/>
  <c r="Q101"/>
  <c r="R101"/>
  <c r="S101"/>
  <c r="T101"/>
  <c r="U101"/>
  <c r="V101"/>
  <c r="W101"/>
  <c r="X101"/>
  <c r="Y101"/>
  <c r="Z101"/>
  <c r="AA101"/>
  <c r="P102"/>
  <c r="Q102"/>
  <c r="R102"/>
  <c r="S102"/>
  <c r="T102"/>
  <c r="U102"/>
  <c r="V102"/>
  <c r="W102"/>
  <c r="X102"/>
  <c r="Y102"/>
  <c r="Z102"/>
  <c r="AA102"/>
  <c r="P103"/>
  <c r="Q103"/>
  <c r="R103"/>
  <c r="S103"/>
  <c r="T103"/>
  <c r="U103"/>
  <c r="V103"/>
  <c r="W103"/>
  <c r="X103"/>
  <c r="Y103"/>
  <c r="Z103"/>
  <c r="AA103"/>
  <c r="P104"/>
  <c r="Q104"/>
  <c r="R104"/>
  <c r="S104"/>
  <c r="T104"/>
  <c r="U104"/>
  <c r="V104"/>
  <c r="W104"/>
  <c r="X104"/>
  <c r="Y104"/>
  <c r="Z104"/>
  <c r="AA104"/>
  <c r="P105"/>
  <c r="Q105"/>
  <c r="R105"/>
  <c r="S105"/>
  <c r="T105"/>
  <c r="U105"/>
  <c r="V105"/>
  <c r="W105"/>
  <c r="X105"/>
  <c r="Y105"/>
  <c r="Z105"/>
  <c r="AA105"/>
  <c r="P106"/>
  <c r="Q106"/>
  <c r="R106"/>
  <c r="S106"/>
  <c r="T106"/>
  <c r="U106"/>
  <c r="V106"/>
  <c r="W106"/>
  <c r="X106"/>
  <c r="Y106"/>
  <c r="Z106"/>
  <c r="AA106"/>
  <c r="P107"/>
  <c r="Q107"/>
  <c r="R107"/>
  <c r="S107"/>
  <c r="T107"/>
  <c r="U107"/>
  <c r="V107"/>
  <c r="W107"/>
  <c r="X107"/>
  <c r="Y107"/>
  <c r="Z107"/>
  <c r="AA107"/>
  <c r="P108"/>
  <c r="Q108"/>
  <c r="R108"/>
  <c r="S108"/>
  <c r="T108"/>
  <c r="U108"/>
  <c r="V108"/>
  <c r="W108"/>
  <c r="X108"/>
  <c r="Y108"/>
  <c r="Z108"/>
  <c r="AA108"/>
  <c r="P109"/>
  <c r="Q109"/>
  <c r="R109"/>
  <c r="S109"/>
  <c r="T109"/>
  <c r="U109"/>
  <c r="V109"/>
  <c r="W109"/>
  <c r="X109"/>
  <c r="Y109"/>
  <c r="Z109"/>
  <c r="AA109"/>
  <c r="P110"/>
  <c r="Q110"/>
  <c r="R110"/>
  <c r="S110"/>
  <c r="T110"/>
  <c r="U110"/>
  <c r="V110"/>
  <c r="W110"/>
  <c r="X110"/>
  <c r="Y110"/>
  <c r="Z110"/>
  <c r="AA110"/>
  <c r="P111"/>
  <c r="Q111"/>
  <c r="R111"/>
  <c r="S111"/>
  <c r="T111"/>
  <c r="U111"/>
  <c r="V111"/>
  <c r="W111"/>
  <c r="X111"/>
  <c r="Y111"/>
  <c r="Z111"/>
  <c r="AA111"/>
  <c r="P112"/>
  <c r="Q112"/>
  <c r="R112"/>
  <c r="S112"/>
  <c r="T112"/>
  <c r="U112"/>
  <c r="V112"/>
  <c r="W112"/>
  <c r="X112"/>
  <c r="Y112"/>
  <c r="Z112"/>
  <c r="AA112"/>
  <c r="P113"/>
  <c r="Q113"/>
  <c r="R113"/>
  <c r="S113"/>
  <c r="T113"/>
  <c r="U113"/>
  <c r="V113"/>
  <c r="W113"/>
  <c r="X113"/>
  <c r="Y113"/>
  <c r="Z113"/>
  <c r="AA113"/>
  <c r="P114"/>
  <c r="Q114"/>
  <c r="R114"/>
  <c r="S114"/>
  <c r="T114"/>
  <c r="U114"/>
  <c r="V114"/>
  <c r="W114"/>
  <c r="X114"/>
  <c r="Y114"/>
  <c r="Z114"/>
  <c r="AA114"/>
  <c r="P115"/>
  <c r="Q115"/>
  <c r="R115"/>
  <c r="S115"/>
  <c r="T115"/>
  <c r="U115"/>
  <c r="V115"/>
  <c r="W115"/>
  <c r="X115"/>
  <c r="Y115"/>
  <c r="Z115"/>
  <c r="AA115"/>
  <c r="P116"/>
  <c r="Q116"/>
  <c r="R116"/>
  <c r="S116"/>
  <c r="T116"/>
  <c r="U116"/>
  <c r="V116"/>
  <c r="W116"/>
  <c r="X116"/>
  <c r="Y116"/>
  <c r="Z116"/>
  <c r="AA116"/>
  <c r="P117"/>
  <c r="Q117"/>
  <c r="R117"/>
  <c r="S117"/>
  <c r="T117"/>
  <c r="U117"/>
  <c r="V117"/>
  <c r="W117"/>
  <c r="X117"/>
  <c r="Y117"/>
  <c r="Z117"/>
  <c r="AA117"/>
  <c r="P118"/>
  <c r="Q118"/>
  <c r="R118"/>
  <c r="S118"/>
  <c r="T118"/>
  <c r="U118"/>
  <c r="V118"/>
  <c r="W118"/>
  <c r="X118"/>
  <c r="Y118"/>
  <c r="Z118"/>
  <c r="AA118"/>
  <c r="P119"/>
  <c r="Q119"/>
  <c r="R119"/>
  <c r="S119"/>
  <c r="T119"/>
  <c r="U119"/>
  <c r="V119"/>
  <c r="W119"/>
  <c r="X119"/>
  <c r="Y119"/>
  <c r="Z119"/>
  <c r="AA119"/>
  <c r="P120"/>
  <c r="Q120"/>
  <c r="R120"/>
  <c r="S120"/>
  <c r="T120"/>
  <c r="U120"/>
  <c r="V120"/>
  <c r="W120"/>
  <c r="X120"/>
  <c r="Y120"/>
  <c r="Z120"/>
  <c r="AA120"/>
  <c r="P121"/>
  <c r="Q121"/>
  <c r="R121"/>
  <c r="S121"/>
  <c r="T121"/>
  <c r="U121"/>
  <c r="V121"/>
  <c r="W121"/>
  <c r="X121"/>
  <c r="Y121"/>
  <c r="Z121"/>
  <c r="AA121"/>
  <c r="P122"/>
  <c r="Q122"/>
  <c r="R122"/>
  <c r="S122"/>
  <c r="T122"/>
  <c r="U122"/>
  <c r="V122"/>
  <c r="W122"/>
  <c r="X122"/>
  <c r="Y122"/>
  <c r="Z122"/>
  <c r="AA122"/>
  <c r="P123"/>
  <c r="Q123"/>
  <c r="R123"/>
  <c r="S123"/>
  <c r="T123"/>
  <c r="U123"/>
  <c r="V123"/>
  <c r="W123"/>
  <c r="X123"/>
  <c r="Y123"/>
  <c r="Z123"/>
  <c r="AA123"/>
  <c r="P124"/>
  <c r="Q124"/>
  <c r="R124"/>
  <c r="S124"/>
  <c r="T124"/>
  <c r="U124"/>
  <c r="V124"/>
  <c r="W124"/>
  <c r="X124"/>
  <c r="Y124"/>
  <c r="Z124"/>
  <c r="AA124"/>
  <c r="P125"/>
  <c r="Q125"/>
  <c r="R125"/>
  <c r="S125"/>
  <c r="T125"/>
  <c r="U125"/>
  <c r="V125"/>
  <c r="W125"/>
  <c r="X125"/>
  <c r="Y125"/>
  <c r="Z125"/>
  <c r="AA125"/>
  <c r="P96"/>
  <c r="Q96"/>
  <c r="R96"/>
  <c r="S96"/>
  <c r="T96"/>
  <c r="U96"/>
  <c r="V96"/>
  <c r="W96"/>
  <c r="X96"/>
  <c r="Y96"/>
  <c r="Z96"/>
  <c r="AA96"/>
  <c r="G18" i="16"/>
  <c r="G19"/>
  <c r="G20"/>
  <c r="G21"/>
  <c r="G22"/>
  <c r="O19"/>
  <c r="O22"/>
  <c r="O18"/>
  <c r="AL119" i="14" l="1"/>
  <c r="AM119"/>
  <c r="AL115"/>
  <c r="AM115"/>
  <c r="AL103"/>
  <c r="AM103"/>
  <c r="AL106"/>
  <c r="AM106"/>
  <c r="AL114"/>
  <c r="AM114"/>
  <c r="AK101"/>
  <c r="AL101"/>
  <c r="AM101"/>
  <c r="AK109"/>
  <c r="AL109"/>
  <c r="AM109"/>
  <c r="AL100"/>
  <c r="AM100"/>
  <c r="AJ108"/>
  <c r="AL108"/>
  <c r="AM108"/>
  <c r="AJ116"/>
  <c r="AL116"/>
  <c r="AM116"/>
  <c r="AL102"/>
  <c r="AM102"/>
  <c r="AL110"/>
  <c r="AM110"/>
  <c r="AL118"/>
  <c r="AM118"/>
  <c r="AL105"/>
  <c r="AM105"/>
  <c r="AL117"/>
  <c r="AM117"/>
  <c r="AL104"/>
  <c r="AM104"/>
  <c r="AL112"/>
  <c r="AM112"/>
  <c r="AL111"/>
  <c r="AM111"/>
  <c r="AL107"/>
  <c r="AM107"/>
  <c r="AK116"/>
  <c r="AK112"/>
  <c r="AK100"/>
  <c r="AJ117"/>
  <c r="AJ109"/>
  <c r="AJ113"/>
  <c r="AJ101"/>
  <c r="AK104"/>
  <c r="AJ105"/>
  <c r="AK108"/>
  <c r="AJ103"/>
  <c r="AK103"/>
  <c r="AJ102"/>
  <c r="AK102"/>
  <c r="AJ118"/>
  <c r="AK118"/>
  <c r="AJ115"/>
  <c r="AK115"/>
  <c r="AJ114"/>
  <c r="AK114"/>
  <c r="AJ119"/>
  <c r="AK119"/>
  <c r="AJ110"/>
  <c r="AK110"/>
  <c r="AJ107"/>
  <c r="AK107"/>
  <c r="AJ106"/>
  <c r="AK106"/>
  <c r="AJ111"/>
  <c r="AK111"/>
  <c r="J18" i="16"/>
  <c r="J19"/>
  <c r="J20"/>
  <c r="J21"/>
  <c r="J22"/>
  <c r="B114" i="14"/>
  <c r="D114" s="1"/>
  <c r="I114" s="1"/>
  <c r="AA114"/>
  <c r="AA115"/>
  <c r="B116"/>
  <c r="D116" s="1"/>
  <c r="I116" s="1"/>
  <c r="AA116"/>
  <c r="AA117"/>
  <c r="B118"/>
  <c r="D118" s="1"/>
  <c r="I118" s="1"/>
  <c r="AA118"/>
  <c r="AA119"/>
  <c r="U74"/>
  <c r="U75"/>
  <c r="U76"/>
  <c r="U77"/>
  <c r="U78"/>
  <c r="U79"/>
  <c r="B66"/>
  <c r="D66" s="1"/>
  <c r="AA66"/>
  <c r="AA67"/>
  <c r="B68"/>
  <c r="D68" s="1"/>
  <c r="AA68"/>
  <c r="B69"/>
  <c r="D69" s="1"/>
  <c r="AA69"/>
  <c r="B70"/>
  <c r="D70" s="1"/>
  <c r="AA70"/>
  <c r="B71"/>
  <c r="D71" s="1"/>
  <c r="AA71"/>
  <c r="AC18"/>
  <c r="P18"/>
  <c r="P66" s="1"/>
  <c r="T114"/>
  <c r="AF18"/>
  <c r="AF66" s="1"/>
  <c r="AF114" s="1"/>
  <c r="AG18"/>
  <c r="D19"/>
  <c r="M19"/>
  <c r="P19"/>
  <c r="V19"/>
  <c r="AF19"/>
  <c r="AF67" s="1"/>
  <c r="AF115" s="1"/>
  <c r="AG19"/>
  <c r="D20"/>
  <c r="M20"/>
  <c r="P20"/>
  <c r="P68" s="1"/>
  <c r="V20"/>
  <c r="AC20"/>
  <c r="AF20"/>
  <c r="AF68" s="1"/>
  <c r="AF116" s="1"/>
  <c r="AG20"/>
  <c r="AC21"/>
  <c r="AC69" s="1"/>
  <c r="AC117" s="1"/>
  <c r="M21"/>
  <c r="P21"/>
  <c r="P117" s="1"/>
  <c r="T117"/>
  <c r="AF21"/>
  <c r="AF69" s="1"/>
  <c r="AF117" s="1"/>
  <c r="AG21"/>
  <c r="AC22"/>
  <c r="M22"/>
  <c r="P22"/>
  <c r="V22"/>
  <c r="AF22"/>
  <c r="AF70" s="1"/>
  <c r="AF118" s="1"/>
  <c r="AG22"/>
  <c r="D23"/>
  <c r="M23"/>
  <c r="P23"/>
  <c r="T71"/>
  <c r="AF23"/>
  <c r="AF71" s="1"/>
  <c r="AF119" s="1"/>
  <c r="AG71"/>
  <c r="AG69" l="1"/>
  <c r="AG119"/>
  <c r="AG70"/>
  <c r="AG68"/>
  <c r="AG67"/>
  <c r="AG66"/>
  <c r="V71"/>
  <c r="M116"/>
  <c r="M71"/>
  <c r="M118"/>
  <c r="M69"/>
  <c r="M67"/>
  <c r="X119"/>
  <c r="X71"/>
  <c r="X23"/>
  <c r="AD22"/>
  <c r="AD70" s="1"/>
  <c r="AD118" s="1"/>
  <c r="AC70"/>
  <c r="AC118" s="1"/>
  <c r="AD18"/>
  <c r="AD66" s="1"/>
  <c r="AD114" s="1"/>
  <c r="AC66"/>
  <c r="AC114" s="1"/>
  <c r="AD20"/>
  <c r="AD68" s="1"/>
  <c r="AD116" s="1"/>
  <c r="AC68"/>
  <c r="AC116" s="1"/>
  <c r="X68"/>
  <c r="X116"/>
  <c r="X115"/>
  <c r="X67"/>
  <c r="T116"/>
  <c r="V116" s="1"/>
  <c r="P114"/>
  <c r="T68"/>
  <c r="V68" s="1"/>
  <c r="P116"/>
  <c r="M115"/>
  <c r="V18"/>
  <c r="T66"/>
  <c r="V66" s="1"/>
  <c r="P69"/>
  <c r="M119"/>
  <c r="AI69"/>
  <c r="AI117" s="1"/>
  <c r="R22"/>
  <c r="AH70"/>
  <c r="AH68"/>
  <c r="AI70"/>
  <c r="AI118" s="1"/>
  <c r="U20"/>
  <c r="AI68"/>
  <c r="AI116" s="1"/>
  <c r="AI71"/>
  <c r="AI119" s="1"/>
  <c r="U19"/>
  <c r="AI67"/>
  <c r="AI115" s="1"/>
  <c r="AI66"/>
  <c r="AI114" s="1"/>
  <c r="C34" i="23"/>
  <c r="F34" s="1"/>
  <c r="AH71" i="14"/>
  <c r="AH69"/>
  <c r="AH67"/>
  <c r="R41"/>
  <c r="AH66"/>
  <c r="V114"/>
  <c r="P71"/>
  <c r="T70"/>
  <c r="V70" s="1"/>
  <c r="P67"/>
  <c r="B67"/>
  <c r="D67" s="1"/>
  <c r="P118"/>
  <c r="M117"/>
  <c r="M70"/>
  <c r="M68"/>
  <c r="T119"/>
  <c r="B119"/>
  <c r="D119" s="1"/>
  <c r="I119" s="1"/>
  <c r="T115"/>
  <c r="B115"/>
  <c r="D115" s="1"/>
  <c r="I115" s="1"/>
  <c r="P70"/>
  <c r="T69"/>
  <c r="V69" s="1"/>
  <c r="T67"/>
  <c r="T118"/>
  <c r="V118" s="1"/>
  <c r="P119"/>
  <c r="B117"/>
  <c r="D117" s="1"/>
  <c r="I117" s="1"/>
  <c r="P115"/>
  <c r="L118"/>
  <c r="L116"/>
  <c r="L114"/>
  <c r="I68"/>
  <c r="L68"/>
  <c r="L71"/>
  <c r="I71"/>
  <c r="L69"/>
  <c r="I69"/>
  <c r="L70"/>
  <c r="I70"/>
  <c r="I66"/>
  <c r="L66"/>
  <c r="V23"/>
  <c r="V21"/>
  <c r="AC43"/>
  <c r="AD43" s="1"/>
  <c r="AC23"/>
  <c r="AD21"/>
  <c r="AD69" s="1"/>
  <c r="AD117" s="1"/>
  <c r="AC44"/>
  <c r="D21"/>
  <c r="AC19"/>
  <c r="AC67" s="1"/>
  <c r="AC115" s="1"/>
  <c r="AC45"/>
  <c r="AC41"/>
  <c r="L23"/>
  <c r="N23" s="1"/>
  <c r="L20"/>
  <c r="N20" s="1"/>
  <c r="L19"/>
  <c r="N19" s="1"/>
  <c r="D22"/>
  <c r="D18"/>
  <c r="AG115" l="1"/>
  <c r="AG117"/>
  <c r="AG114"/>
  <c r="AG116"/>
  <c r="N118"/>
  <c r="O118" s="1"/>
  <c r="N116"/>
  <c r="O116" s="1"/>
  <c r="AG118"/>
  <c r="N70"/>
  <c r="O70" s="1"/>
  <c r="U22"/>
  <c r="AF44" s="1"/>
  <c r="N71"/>
  <c r="O71" s="1"/>
  <c r="N69"/>
  <c r="O69" s="1"/>
  <c r="AD45"/>
  <c r="U21"/>
  <c r="AF43" s="1"/>
  <c r="U18"/>
  <c r="AF40" s="1"/>
  <c r="N68"/>
  <c r="O68" s="1"/>
  <c r="C58" i="23"/>
  <c r="F58" s="1"/>
  <c r="U23" i="14"/>
  <c r="AF45" s="1"/>
  <c r="S115"/>
  <c r="M54" i="23" s="1"/>
  <c r="P54" s="1"/>
  <c r="C54"/>
  <c r="R43" i="14"/>
  <c r="C31" i="23"/>
  <c r="R42" i="14"/>
  <c r="C30" i="23"/>
  <c r="R18" i="14"/>
  <c r="C29" i="23"/>
  <c r="S114" i="14"/>
  <c r="C53" i="23"/>
  <c r="R45" i="14"/>
  <c r="S45" s="1"/>
  <c r="C33" i="23"/>
  <c r="F33" s="1"/>
  <c r="R23" i="14"/>
  <c r="E34" i="23"/>
  <c r="G34" s="1"/>
  <c r="H34" s="1"/>
  <c r="S116" i="14"/>
  <c r="C55" i="23"/>
  <c r="F55" s="1"/>
  <c r="U69" i="14"/>
  <c r="C56" i="23"/>
  <c r="R21" i="14"/>
  <c r="C32" i="23"/>
  <c r="U70" i="14"/>
  <c r="C57" i="23"/>
  <c r="F57" s="1"/>
  <c r="X118" i="14"/>
  <c r="X70"/>
  <c r="X114"/>
  <c r="X66"/>
  <c r="AD23"/>
  <c r="AD71" s="1"/>
  <c r="AD119" s="1"/>
  <c r="AC71"/>
  <c r="AC119" s="1"/>
  <c r="L117"/>
  <c r="N117" s="1"/>
  <c r="O117" s="1"/>
  <c r="L115"/>
  <c r="N115" s="1"/>
  <c r="L119"/>
  <c r="X69"/>
  <c r="X117"/>
  <c r="AD41"/>
  <c r="V117"/>
  <c r="AF41"/>
  <c r="R44"/>
  <c r="S44" s="1"/>
  <c r="U42"/>
  <c r="R20"/>
  <c r="R19"/>
  <c r="Q68"/>
  <c r="R68" s="1"/>
  <c r="AH116"/>
  <c r="Q116" s="1"/>
  <c r="R116" s="1"/>
  <c r="AR116" s="1"/>
  <c r="Q67"/>
  <c r="R67" s="1"/>
  <c r="AH115"/>
  <c r="Q115" s="1"/>
  <c r="R115" s="1"/>
  <c r="AR115" s="1"/>
  <c r="AF42"/>
  <c r="Q69"/>
  <c r="R69" s="1"/>
  <c r="AH117"/>
  <c r="Q117" s="1"/>
  <c r="R117" s="1"/>
  <c r="AR117" s="1"/>
  <c r="AH114"/>
  <c r="Q114" s="1"/>
  <c r="R114" s="1"/>
  <c r="AR114" s="1"/>
  <c r="Q66"/>
  <c r="R66" s="1"/>
  <c r="Q71"/>
  <c r="R71" s="1"/>
  <c r="AH119"/>
  <c r="Q119" s="1"/>
  <c r="R119" s="1"/>
  <c r="AR119" s="1"/>
  <c r="AH118"/>
  <c r="Q118" s="1"/>
  <c r="R118" s="1"/>
  <c r="AR118" s="1"/>
  <c r="Q70"/>
  <c r="R70" s="1"/>
  <c r="U43"/>
  <c r="L67"/>
  <c r="N67" s="1"/>
  <c r="U45"/>
  <c r="L21"/>
  <c r="U41"/>
  <c r="I67"/>
  <c r="V67"/>
  <c r="V115"/>
  <c r="V119"/>
  <c r="AD19"/>
  <c r="AD67" s="1"/>
  <c r="AD115" s="1"/>
  <c r="AC42"/>
  <c r="X19"/>
  <c r="W42"/>
  <c r="X20"/>
  <c r="W43"/>
  <c r="U44"/>
  <c r="AD44"/>
  <c r="L18"/>
  <c r="O20"/>
  <c r="L22"/>
  <c r="N22" s="1"/>
  <c r="O23"/>
  <c r="O19"/>
  <c r="AY116" l="1"/>
  <c r="AY118"/>
  <c r="AY114"/>
  <c r="AY115"/>
  <c r="AY119"/>
  <c r="AY117"/>
  <c r="S41"/>
  <c r="N21"/>
  <c r="O21" s="1"/>
  <c r="O115"/>
  <c r="Y23"/>
  <c r="AZ23" s="1"/>
  <c r="O67"/>
  <c r="O119"/>
  <c r="N119"/>
  <c r="U68"/>
  <c r="Y68" s="1"/>
  <c r="S43"/>
  <c r="E56" i="23"/>
  <c r="G56" s="1"/>
  <c r="F56"/>
  <c r="E53"/>
  <c r="G53" s="1"/>
  <c r="F53"/>
  <c r="E30"/>
  <c r="G30" s="1"/>
  <c r="F30"/>
  <c r="E54"/>
  <c r="G54" s="1"/>
  <c r="F54"/>
  <c r="E58"/>
  <c r="G58" s="1"/>
  <c r="H58" s="1"/>
  <c r="E32"/>
  <c r="G32" s="1"/>
  <c r="F32"/>
  <c r="E29"/>
  <c r="G29" s="1"/>
  <c r="F29"/>
  <c r="E31"/>
  <c r="G31" s="1"/>
  <c r="F31"/>
  <c r="U66" i="14"/>
  <c r="U114"/>
  <c r="M53" i="23"/>
  <c r="P53" s="1"/>
  <c r="M34"/>
  <c r="P34" s="1"/>
  <c r="M32"/>
  <c r="P32" s="1"/>
  <c r="O54"/>
  <c r="Q54" s="1"/>
  <c r="R54" s="1"/>
  <c r="M31"/>
  <c r="P31" s="1"/>
  <c r="U116" i="14"/>
  <c r="M55" i="23"/>
  <c r="P55" s="1"/>
  <c r="U115" i="14"/>
  <c r="S118"/>
  <c r="S117"/>
  <c r="U67"/>
  <c r="Y67" s="1"/>
  <c r="S42"/>
  <c r="M30" i="23"/>
  <c r="P30" s="1"/>
  <c r="E57"/>
  <c r="G57" s="1"/>
  <c r="H57" s="1"/>
  <c r="M33"/>
  <c r="P33" s="1"/>
  <c r="M29"/>
  <c r="P29" s="1"/>
  <c r="E55"/>
  <c r="G55" s="1"/>
  <c r="H55" s="1"/>
  <c r="E33"/>
  <c r="G33" s="1"/>
  <c r="H33" s="1"/>
  <c r="V42" i="14"/>
  <c r="Y69"/>
  <c r="Y19"/>
  <c r="V43"/>
  <c r="Y70"/>
  <c r="Y20"/>
  <c r="AZ20" s="1"/>
  <c r="S119"/>
  <c r="U71"/>
  <c r="Y71" s="1"/>
  <c r="V41"/>
  <c r="V45"/>
  <c r="X43"/>
  <c r="X42"/>
  <c r="X22"/>
  <c r="Y22" s="1"/>
  <c r="AZ22" s="1"/>
  <c r="W45"/>
  <c r="AD42"/>
  <c r="X18"/>
  <c r="W41"/>
  <c r="X21"/>
  <c r="W44"/>
  <c r="V44"/>
  <c r="O22"/>
  <c r="AS19" l="1"/>
  <c r="AZ19"/>
  <c r="AS69"/>
  <c r="AS67"/>
  <c r="AS68"/>
  <c r="AS71"/>
  <c r="AS70"/>
  <c r="AS22"/>
  <c r="AS23"/>
  <c r="AS20"/>
  <c r="Y21"/>
  <c r="AZ21" s="1"/>
  <c r="H31" i="23"/>
  <c r="H32"/>
  <c r="H54"/>
  <c r="H53"/>
  <c r="H29"/>
  <c r="H30"/>
  <c r="H56"/>
  <c r="O34"/>
  <c r="Q34" s="1"/>
  <c r="R34" s="1"/>
  <c r="O31"/>
  <c r="Q31" s="1"/>
  <c r="R31" s="1"/>
  <c r="Y115" i="14"/>
  <c r="O30" i="23"/>
  <c r="Q30" s="1"/>
  <c r="R30" s="1"/>
  <c r="O53"/>
  <c r="Q53" s="1"/>
  <c r="R53" s="1"/>
  <c r="O33"/>
  <c r="Q33" s="1"/>
  <c r="R33" s="1"/>
  <c r="O29"/>
  <c r="Q29" s="1"/>
  <c r="R29" s="1"/>
  <c r="Y116" i="14"/>
  <c r="U119"/>
  <c r="Y119" s="1"/>
  <c r="M58" i="23"/>
  <c r="P58" s="1"/>
  <c r="U118" i="14"/>
  <c r="Y118" s="1"/>
  <c r="M57" i="23"/>
  <c r="P57" s="1"/>
  <c r="O32"/>
  <c r="Q32" s="1"/>
  <c r="R32" s="1"/>
  <c r="U117" i="14"/>
  <c r="Y117" s="1"/>
  <c r="M56" i="23"/>
  <c r="O55"/>
  <c r="Q55" s="1"/>
  <c r="R55" s="1"/>
  <c r="X41" i="14"/>
  <c r="X45"/>
  <c r="X44"/>
  <c r="U96" i="17" l="1"/>
  <c r="U81"/>
  <c r="U86"/>
  <c r="U101"/>
  <c r="U91"/>
  <c r="AS116" i="14"/>
  <c r="AS119"/>
  <c r="AZ119" s="1"/>
  <c r="AS118"/>
  <c r="AZ118" s="1"/>
  <c r="AS115"/>
  <c r="AZ115" s="1"/>
  <c r="AS117"/>
  <c r="AZ117" s="1"/>
  <c r="AS21"/>
  <c r="O56" i="23"/>
  <c r="Q56" s="1"/>
  <c r="P56"/>
  <c r="O58"/>
  <c r="Q58" s="1"/>
  <c r="R58" s="1"/>
  <c r="O57"/>
  <c r="Q57" s="1"/>
  <c r="R57" s="1"/>
  <c r="AZ116" i="14" l="1"/>
  <c r="U82" i="17"/>
  <c r="R56" i="23"/>
  <c r="J16" i="16"/>
  <c r="J15"/>
  <c r="J14"/>
  <c r="J13"/>
  <c r="J12"/>
  <c r="J11"/>
  <c r="J10"/>
  <c r="J9"/>
  <c r="J8"/>
  <c r="J7"/>
  <c r="J6"/>
  <c r="J5"/>
  <c r="D18"/>
  <c r="M18" i="14" s="1"/>
  <c r="N18" s="1"/>
  <c r="N21" i="16"/>
  <c r="K19" i="20"/>
  <c r="U87" i="17" l="1"/>
  <c r="U97"/>
  <c r="U92"/>
  <c r="U83"/>
  <c r="O21" i="16"/>
  <c r="O20"/>
  <c r="M114" i="14"/>
  <c r="N114" s="1"/>
  <c r="M66"/>
  <c r="N66" s="1"/>
  <c r="Y18"/>
  <c r="AH23" i="16"/>
  <c r="AH22"/>
  <c r="AH19"/>
  <c r="AH20"/>
  <c r="AH21"/>
  <c r="AH4"/>
  <c r="AH5"/>
  <c r="AI5" s="1"/>
  <c r="AH6"/>
  <c r="AI6" s="1"/>
  <c r="AH7"/>
  <c r="AI7" s="1"/>
  <c r="AH8"/>
  <c r="AI8" s="1"/>
  <c r="AH9"/>
  <c r="AI9" s="1"/>
  <c r="AH10"/>
  <c r="AI10" s="1"/>
  <c r="AH11"/>
  <c r="AI11" s="1"/>
  <c r="AH12"/>
  <c r="AI12" s="1"/>
  <c r="AH13"/>
  <c r="AI13" s="1"/>
  <c r="AH14"/>
  <c r="AI14" s="1"/>
  <c r="AH15"/>
  <c r="AI15" s="1"/>
  <c r="AH16"/>
  <c r="AI16" s="1"/>
  <c r="AH18"/>
  <c r="AH3"/>
  <c r="AF4" i="14"/>
  <c r="AF52" s="1"/>
  <c r="AF100" s="1"/>
  <c r="AG4"/>
  <c r="AF5"/>
  <c r="AF53" s="1"/>
  <c r="AF101" s="1"/>
  <c r="AG5"/>
  <c r="AF6"/>
  <c r="AF54" s="1"/>
  <c r="AF102" s="1"/>
  <c r="AG6"/>
  <c r="AF7"/>
  <c r="AF55" s="1"/>
  <c r="AF103" s="1"/>
  <c r="AG7"/>
  <c r="AF8"/>
  <c r="AF56" s="1"/>
  <c r="AF104" s="1"/>
  <c r="AG8"/>
  <c r="AF9"/>
  <c r="AF57" s="1"/>
  <c r="AF105" s="1"/>
  <c r="AG9"/>
  <c r="AF10"/>
  <c r="AF58" s="1"/>
  <c r="AF106" s="1"/>
  <c r="AG10"/>
  <c r="AF11"/>
  <c r="AF59" s="1"/>
  <c r="AF107" s="1"/>
  <c r="AG11"/>
  <c r="AF12"/>
  <c r="AF60" s="1"/>
  <c r="AF108" s="1"/>
  <c r="AG12"/>
  <c r="AF13"/>
  <c r="AF61" s="1"/>
  <c r="AF109" s="1"/>
  <c r="AG13"/>
  <c r="AF14"/>
  <c r="AF62" s="1"/>
  <c r="AF110" s="1"/>
  <c r="AG14"/>
  <c r="AF15"/>
  <c r="AF63" s="1"/>
  <c r="AF111" s="1"/>
  <c r="AG15"/>
  <c r="AF16"/>
  <c r="AF64" s="1"/>
  <c r="AF112" s="1"/>
  <c r="AG16"/>
  <c r="AF17"/>
  <c r="AF65" s="1"/>
  <c r="AF113" s="1"/>
  <c r="AG17"/>
  <c r="AH51"/>
  <c r="AH99" s="1"/>
  <c r="AG3"/>
  <c r="AF3"/>
  <c r="AF51" s="1"/>
  <c r="AF99" s="1"/>
  <c r="AS18" l="1"/>
  <c r="AZ18"/>
  <c r="U98" i="17"/>
  <c r="U93"/>
  <c r="U88"/>
  <c r="U84"/>
  <c r="AG63" i="14"/>
  <c r="AG51"/>
  <c r="AG62"/>
  <c r="AG58"/>
  <c r="AG54"/>
  <c r="AG65"/>
  <c r="AG61"/>
  <c r="AG57"/>
  <c r="AG53"/>
  <c r="AG64"/>
  <c r="AG60"/>
  <c r="AG56"/>
  <c r="AG52"/>
  <c r="AG59"/>
  <c r="AG55"/>
  <c r="AI51"/>
  <c r="AI99" s="1"/>
  <c r="O18"/>
  <c r="AG21" i="16"/>
  <c r="AC21" s="1"/>
  <c r="AB21"/>
  <c r="E21" i="14" s="1"/>
  <c r="Q21" i="16"/>
  <c r="L21"/>
  <c r="AG23"/>
  <c r="AC23" s="1"/>
  <c r="Q23"/>
  <c r="AB23"/>
  <c r="E23" i="14" s="1"/>
  <c r="L23" i="16"/>
  <c r="AG22"/>
  <c r="AC22" s="1"/>
  <c r="AB22"/>
  <c r="E22" i="14" s="1"/>
  <c r="Q22" i="16"/>
  <c r="L22"/>
  <c r="M21" s="1"/>
  <c r="AB18"/>
  <c r="E18" i="14" s="1"/>
  <c r="Q18" i="16"/>
  <c r="H18" i="14" s="1"/>
  <c r="L18" i="16"/>
  <c r="AG19"/>
  <c r="AC19" s="1"/>
  <c r="Q19"/>
  <c r="AB19"/>
  <c r="E19" i="14" s="1"/>
  <c r="L19" i="16"/>
  <c r="M18" s="1"/>
  <c r="Y114" i="14"/>
  <c r="AG20" i="16"/>
  <c r="AC20" s="1"/>
  <c r="AB20"/>
  <c r="E20" i="14" s="1"/>
  <c r="Q20" i="16"/>
  <c r="L20"/>
  <c r="M19" s="1"/>
  <c r="O66" i="14"/>
  <c r="Y66"/>
  <c r="AH58"/>
  <c r="AH54"/>
  <c r="AI59"/>
  <c r="AI107" s="1"/>
  <c r="AH65"/>
  <c r="AH61"/>
  <c r="AI60"/>
  <c r="AI108" s="1"/>
  <c r="AI52"/>
  <c r="AI100" s="1"/>
  <c r="AH64"/>
  <c r="AH60"/>
  <c r="AH56"/>
  <c r="AH52"/>
  <c r="AI65"/>
  <c r="AI113" s="1"/>
  <c r="AI61"/>
  <c r="AI109" s="1"/>
  <c r="AI57"/>
  <c r="AI105" s="1"/>
  <c r="AI53"/>
  <c r="AI101" s="1"/>
  <c r="AH62"/>
  <c r="AI63"/>
  <c r="AI111" s="1"/>
  <c r="AI55"/>
  <c r="AI103" s="1"/>
  <c r="AH57"/>
  <c r="AH53"/>
  <c r="AI64"/>
  <c r="AI112" s="1"/>
  <c r="AI56"/>
  <c r="AI104" s="1"/>
  <c r="AH63"/>
  <c r="AH59"/>
  <c r="AH55"/>
  <c r="AI62"/>
  <c r="AI110" s="1"/>
  <c r="AI58"/>
  <c r="AI106" s="1"/>
  <c r="AI54"/>
  <c r="AI102" s="1"/>
  <c r="AE21" i="16"/>
  <c r="AE22"/>
  <c r="AE20"/>
  <c r="E210" i="7"/>
  <c r="E211"/>
  <c r="E212"/>
  <c r="E213"/>
  <c r="E214"/>
  <c r="E215"/>
  <c r="E216"/>
  <c r="E217"/>
  <c r="E218"/>
  <c r="E219"/>
  <c r="E20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159"/>
  <c r="U76" i="17" l="1"/>
  <c r="AZ114" i="14"/>
  <c r="U94" i="17"/>
  <c r="U99"/>
  <c r="U89"/>
  <c r="AS66" i="14"/>
  <c r="AS114"/>
  <c r="U85" i="17"/>
  <c r="K18" i="14"/>
  <c r="AR18" s="1"/>
  <c r="BS17" i="19"/>
  <c r="AY17"/>
  <c r="AE17"/>
  <c r="AU21" i="14" s="1"/>
  <c r="AG100"/>
  <c r="AG108"/>
  <c r="AG101"/>
  <c r="AG109"/>
  <c r="AG102"/>
  <c r="AG110"/>
  <c r="AG111"/>
  <c r="AG103"/>
  <c r="AG104"/>
  <c r="AG112"/>
  <c r="AG105"/>
  <c r="AG113"/>
  <c r="AG106"/>
  <c r="AG99"/>
  <c r="AG107"/>
  <c r="S100"/>
  <c r="S99"/>
  <c r="S103"/>
  <c r="S101"/>
  <c r="S102"/>
  <c r="S104"/>
  <c r="S113"/>
  <c r="M52" i="23" s="1"/>
  <c r="C52"/>
  <c r="S112" i="14"/>
  <c r="M51" i="23" s="1"/>
  <c r="P51" s="1"/>
  <c r="C51"/>
  <c r="S111" i="14"/>
  <c r="M50" i="23" s="1"/>
  <c r="P50" s="1"/>
  <c r="C50"/>
  <c r="S110" i="14"/>
  <c r="M49" i="23" s="1"/>
  <c r="P49" s="1"/>
  <c r="C49"/>
  <c r="S109" i="14"/>
  <c r="M48" i="23" s="1"/>
  <c r="C48"/>
  <c r="S108" i="14"/>
  <c r="M47" i="23" s="1"/>
  <c r="P47" s="1"/>
  <c r="C47"/>
  <c r="S107" i="14"/>
  <c r="M46" i="23" s="1"/>
  <c r="P46" s="1"/>
  <c r="C46"/>
  <c r="S106" i="14"/>
  <c r="M45" i="23" s="1"/>
  <c r="P45" s="1"/>
  <c r="C45"/>
  <c r="S105" i="14"/>
  <c r="M44" i="23" s="1"/>
  <c r="P44" s="1"/>
  <c r="C44"/>
  <c r="O114" i="14"/>
  <c r="R18" i="16"/>
  <c r="H19" i="14"/>
  <c r="H20"/>
  <c r="R19" i="16"/>
  <c r="AE23"/>
  <c r="F18" i="14"/>
  <c r="E114"/>
  <c r="F114" s="1"/>
  <c r="G114" s="1"/>
  <c r="E66"/>
  <c r="F66" s="1"/>
  <c r="H23"/>
  <c r="K23" s="1"/>
  <c r="AR23" s="1"/>
  <c r="R22" i="16"/>
  <c r="F19" i="14"/>
  <c r="G19" s="1"/>
  <c r="E67"/>
  <c r="F67" s="1"/>
  <c r="E115"/>
  <c r="F115" s="1"/>
  <c r="G115" s="1"/>
  <c r="H114"/>
  <c r="H66"/>
  <c r="E118"/>
  <c r="F118" s="1"/>
  <c r="G118" s="1"/>
  <c r="F22"/>
  <c r="E70"/>
  <c r="F70" s="1"/>
  <c r="E71"/>
  <c r="F71" s="1"/>
  <c r="G71" s="1"/>
  <c r="F23"/>
  <c r="E119"/>
  <c r="F119" s="1"/>
  <c r="G119" s="1"/>
  <c r="R20" i="16"/>
  <c r="H21" i="14"/>
  <c r="K21" s="1"/>
  <c r="AR21" s="1"/>
  <c r="E117"/>
  <c r="F117" s="1"/>
  <c r="G117" s="1"/>
  <c r="F21"/>
  <c r="E69"/>
  <c r="F69" s="1"/>
  <c r="E116"/>
  <c r="F116" s="1"/>
  <c r="G116" s="1"/>
  <c r="F20"/>
  <c r="E68"/>
  <c r="F68" s="1"/>
  <c r="H22"/>
  <c r="K22" s="1"/>
  <c r="AR22" s="1"/>
  <c r="R21" i="16"/>
  <c r="M22"/>
  <c r="M20"/>
  <c r="AH100" i="14"/>
  <c r="AH108"/>
  <c r="AH106"/>
  <c r="AH103"/>
  <c r="AH111"/>
  <c r="AH105"/>
  <c r="AH113"/>
  <c r="AH107"/>
  <c r="AH101"/>
  <c r="AH104"/>
  <c r="AH112"/>
  <c r="AH102"/>
  <c r="AH110"/>
  <c r="AH109"/>
  <c r="H73"/>
  <c r="H25"/>
  <c r="H121"/>
  <c r="H122"/>
  <c r="I122" s="1"/>
  <c r="Z122" s="1"/>
  <c r="AY23" l="1"/>
  <c r="AY22"/>
  <c r="AY18"/>
  <c r="AY21"/>
  <c r="U95" i="17"/>
  <c r="U100"/>
  <c r="U90"/>
  <c r="U77"/>
  <c r="K20" i="14"/>
  <c r="AR20" s="1"/>
  <c r="BS19" i="19"/>
  <c r="BP21" s="1"/>
  <c r="AY19"/>
  <c r="AV21" s="1"/>
  <c r="AU69" i="14"/>
  <c r="BA21"/>
  <c r="K114"/>
  <c r="K19"/>
  <c r="AR19" s="1"/>
  <c r="BS18" i="19"/>
  <c r="AY18"/>
  <c r="AE18"/>
  <c r="AU22" i="14" s="1"/>
  <c r="AE19" i="19"/>
  <c r="E46" i="23"/>
  <c r="G46" s="1"/>
  <c r="F46"/>
  <c r="E50"/>
  <c r="G50" s="1"/>
  <c r="F50"/>
  <c r="E52"/>
  <c r="G52" s="1"/>
  <c r="F52"/>
  <c r="O48"/>
  <c r="Q48" s="1"/>
  <c r="P48"/>
  <c r="O52"/>
  <c r="Q52" s="1"/>
  <c r="P52"/>
  <c r="E44"/>
  <c r="G44" s="1"/>
  <c r="F44"/>
  <c r="E48"/>
  <c r="G48" s="1"/>
  <c r="F48"/>
  <c r="E45"/>
  <c r="G45" s="1"/>
  <c r="F45"/>
  <c r="E47"/>
  <c r="G47" s="1"/>
  <c r="F47"/>
  <c r="E49"/>
  <c r="G49" s="1"/>
  <c r="F49"/>
  <c r="E51"/>
  <c r="G51" s="1"/>
  <c r="F51"/>
  <c r="G69" i="14"/>
  <c r="C14" i="23"/>
  <c r="E14" s="1"/>
  <c r="F14" s="1"/>
  <c r="C16"/>
  <c r="E16" s="1"/>
  <c r="F16" s="1"/>
  <c r="G68" i="14"/>
  <c r="C13" i="23"/>
  <c r="E13" s="1"/>
  <c r="F13" s="1"/>
  <c r="G70" i="14"/>
  <c r="C15" i="23"/>
  <c r="E15" s="1"/>
  <c r="F15" s="1"/>
  <c r="C12"/>
  <c r="E12" s="1"/>
  <c r="F12" s="1"/>
  <c r="G66" i="14"/>
  <c r="K66" s="1"/>
  <c r="AR66" s="1"/>
  <c r="C11" i="23"/>
  <c r="E11" s="1"/>
  <c r="F11" s="1"/>
  <c r="O51"/>
  <c r="Q51" s="1"/>
  <c r="R51" s="1"/>
  <c r="O50"/>
  <c r="Q50" s="1"/>
  <c r="R50" s="1"/>
  <c r="O49"/>
  <c r="Q49" s="1"/>
  <c r="R49" s="1"/>
  <c r="O47"/>
  <c r="Q47" s="1"/>
  <c r="R47" s="1"/>
  <c r="O46"/>
  <c r="Q46" s="1"/>
  <c r="R46" s="1"/>
  <c r="O45"/>
  <c r="Q45" s="1"/>
  <c r="R45" s="1"/>
  <c r="O44"/>
  <c r="Q44" s="1"/>
  <c r="R44" s="1"/>
  <c r="H117" i="14"/>
  <c r="K117" s="1"/>
  <c r="H69"/>
  <c r="H42"/>
  <c r="G20"/>
  <c r="H43"/>
  <c r="G23"/>
  <c r="H46"/>
  <c r="H115"/>
  <c r="K115" s="1"/>
  <c r="H67"/>
  <c r="K67" s="1"/>
  <c r="AR67" s="1"/>
  <c r="H44"/>
  <c r="G21"/>
  <c r="G22"/>
  <c r="H45"/>
  <c r="H119"/>
  <c r="K119" s="1"/>
  <c r="H71"/>
  <c r="K71" s="1"/>
  <c r="AR71" s="1"/>
  <c r="H116"/>
  <c r="K116" s="1"/>
  <c r="H68"/>
  <c r="K68" s="1"/>
  <c r="AR68" s="1"/>
  <c r="H118"/>
  <c r="K118" s="1"/>
  <c r="H70"/>
  <c r="H41"/>
  <c r="G18"/>
  <c r="R45" i="19"/>
  <c r="R46"/>
  <c r="R49"/>
  <c r="R50"/>
  <c r="R53"/>
  <c r="R54"/>
  <c r="R57"/>
  <c r="R58"/>
  <c r="R61"/>
  <c r="R62"/>
  <c r="R65"/>
  <c r="R66"/>
  <c r="R69"/>
  <c r="R70"/>
  <c r="R73"/>
  <c r="P27"/>
  <c r="Q27"/>
  <c r="R27"/>
  <c r="S27"/>
  <c r="T27"/>
  <c r="U27"/>
  <c r="V27"/>
  <c r="W27"/>
  <c r="X27"/>
  <c r="Y27"/>
  <c r="Z27"/>
  <c r="AA27"/>
  <c r="P28"/>
  <c r="Q28"/>
  <c r="R28"/>
  <c r="S28"/>
  <c r="T28"/>
  <c r="U28"/>
  <c r="V28"/>
  <c r="W28"/>
  <c r="X28"/>
  <c r="Y28"/>
  <c r="Z28"/>
  <c r="AA28"/>
  <c r="P29"/>
  <c r="Q29"/>
  <c r="R29"/>
  <c r="S29"/>
  <c r="T29"/>
  <c r="U29"/>
  <c r="V29"/>
  <c r="W29"/>
  <c r="X29"/>
  <c r="Y29"/>
  <c r="Z29"/>
  <c r="AA29"/>
  <c r="P30"/>
  <c r="Q30"/>
  <c r="R30"/>
  <c r="S30"/>
  <c r="T30"/>
  <c r="U30"/>
  <c r="V30"/>
  <c r="W30"/>
  <c r="X30"/>
  <c r="Y30"/>
  <c r="Z30"/>
  <c r="AA30"/>
  <c r="P31"/>
  <c r="Q31"/>
  <c r="R31"/>
  <c r="S31"/>
  <c r="T31"/>
  <c r="U31"/>
  <c r="V31"/>
  <c r="W31"/>
  <c r="X31"/>
  <c r="Y31"/>
  <c r="Z31"/>
  <c r="AA31"/>
  <c r="P32"/>
  <c r="Q32"/>
  <c r="R32"/>
  <c r="S32"/>
  <c r="T32"/>
  <c r="U32"/>
  <c r="V32"/>
  <c r="W32"/>
  <c r="X32"/>
  <c r="Y32"/>
  <c r="Z32"/>
  <c r="AA32"/>
  <c r="P33"/>
  <c r="Q33"/>
  <c r="R33"/>
  <c r="S33"/>
  <c r="T33"/>
  <c r="U33"/>
  <c r="V33"/>
  <c r="W33"/>
  <c r="X33"/>
  <c r="Y33"/>
  <c r="Z33"/>
  <c r="AA33"/>
  <c r="P34"/>
  <c r="Q34"/>
  <c r="R34"/>
  <c r="S34"/>
  <c r="T34"/>
  <c r="U34"/>
  <c r="V34"/>
  <c r="W34"/>
  <c r="X34"/>
  <c r="Y34"/>
  <c r="Z34"/>
  <c r="AA34"/>
  <c r="P35"/>
  <c r="Q35"/>
  <c r="R35"/>
  <c r="S35"/>
  <c r="T35"/>
  <c r="U35"/>
  <c r="V35"/>
  <c r="W35"/>
  <c r="X35"/>
  <c r="Y35"/>
  <c r="Z35"/>
  <c r="AA35"/>
  <c r="P36"/>
  <c r="Q36"/>
  <c r="R36"/>
  <c r="S36"/>
  <c r="T36"/>
  <c r="U36"/>
  <c r="V36"/>
  <c r="W36"/>
  <c r="X36"/>
  <c r="Y36"/>
  <c r="Z36"/>
  <c r="AA36"/>
  <c r="P37"/>
  <c r="Q37"/>
  <c r="R37"/>
  <c r="S37"/>
  <c r="T37"/>
  <c r="U37"/>
  <c r="V37"/>
  <c r="W37"/>
  <c r="X37"/>
  <c r="Y37"/>
  <c r="Z37"/>
  <c r="AA37"/>
  <c r="P38"/>
  <c r="Q38"/>
  <c r="R38"/>
  <c r="S38"/>
  <c r="T38"/>
  <c r="U38"/>
  <c r="V38"/>
  <c r="W38"/>
  <c r="X38"/>
  <c r="Y38"/>
  <c r="Z38"/>
  <c r="AA38"/>
  <c r="P39"/>
  <c r="Q39"/>
  <c r="R39"/>
  <c r="S39"/>
  <c r="T39"/>
  <c r="U39"/>
  <c r="V39"/>
  <c r="W39"/>
  <c r="X39"/>
  <c r="Y39"/>
  <c r="Z39"/>
  <c r="AA39"/>
  <c r="P40"/>
  <c r="Q40"/>
  <c r="R40"/>
  <c r="S40"/>
  <c r="T40"/>
  <c r="U40"/>
  <c r="V40"/>
  <c r="W40"/>
  <c r="X40"/>
  <c r="Y40"/>
  <c r="Z40"/>
  <c r="AA40"/>
  <c r="P41"/>
  <c r="Q41"/>
  <c r="R41"/>
  <c r="S41"/>
  <c r="T41"/>
  <c r="U41"/>
  <c r="V41"/>
  <c r="W41"/>
  <c r="X41"/>
  <c r="Y41"/>
  <c r="Z41"/>
  <c r="AA41"/>
  <c r="P42"/>
  <c r="Q42"/>
  <c r="R42"/>
  <c r="S42"/>
  <c r="T42"/>
  <c r="U42"/>
  <c r="V42"/>
  <c r="W42"/>
  <c r="X42"/>
  <c r="Y42"/>
  <c r="Z42"/>
  <c r="AA42"/>
  <c r="P43"/>
  <c r="Q43"/>
  <c r="R43"/>
  <c r="S43"/>
  <c r="T43"/>
  <c r="U43"/>
  <c r="V43"/>
  <c r="W43"/>
  <c r="X43"/>
  <c r="Y43"/>
  <c r="Z43"/>
  <c r="AA43"/>
  <c r="P44"/>
  <c r="Q44"/>
  <c r="R44"/>
  <c r="S44"/>
  <c r="T44"/>
  <c r="U44"/>
  <c r="V44"/>
  <c r="W44"/>
  <c r="X44"/>
  <c r="Y44"/>
  <c r="Z44"/>
  <c r="AA44"/>
  <c r="S45"/>
  <c r="W45"/>
  <c r="AA45"/>
  <c r="P46"/>
  <c r="S46"/>
  <c r="T46"/>
  <c r="W46"/>
  <c r="X46"/>
  <c r="AA46"/>
  <c r="P47"/>
  <c r="Q47"/>
  <c r="R47"/>
  <c r="S47"/>
  <c r="T47"/>
  <c r="U47"/>
  <c r="V47"/>
  <c r="W47"/>
  <c r="X47"/>
  <c r="Y47"/>
  <c r="Z47"/>
  <c r="AA47"/>
  <c r="P48"/>
  <c r="Q48"/>
  <c r="R48"/>
  <c r="S48"/>
  <c r="T48"/>
  <c r="U48"/>
  <c r="V48"/>
  <c r="W48"/>
  <c r="X48"/>
  <c r="Y48"/>
  <c r="Z48"/>
  <c r="AA48"/>
  <c r="S49"/>
  <c r="W49"/>
  <c r="AA49"/>
  <c r="P50"/>
  <c r="S50"/>
  <c r="T50"/>
  <c r="W50"/>
  <c r="X50"/>
  <c r="AA50"/>
  <c r="P51"/>
  <c r="Q51"/>
  <c r="R51"/>
  <c r="S51"/>
  <c r="T51"/>
  <c r="U51"/>
  <c r="V51"/>
  <c r="W51"/>
  <c r="X51"/>
  <c r="Y51"/>
  <c r="Z51"/>
  <c r="AA51"/>
  <c r="P52"/>
  <c r="Q52"/>
  <c r="R52"/>
  <c r="S52"/>
  <c r="T52"/>
  <c r="U52"/>
  <c r="V52"/>
  <c r="W52"/>
  <c r="X52"/>
  <c r="Y52"/>
  <c r="Z52"/>
  <c r="AA52"/>
  <c r="S53"/>
  <c r="W53"/>
  <c r="AA53"/>
  <c r="P54"/>
  <c r="S54"/>
  <c r="T54"/>
  <c r="W54"/>
  <c r="X54"/>
  <c r="AA54"/>
  <c r="P55"/>
  <c r="Q55"/>
  <c r="R55"/>
  <c r="S55"/>
  <c r="T55"/>
  <c r="U55"/>
  <c r="V55"/>
  <c r="W55"/>
  <c r="X55"/>
  <c r="Y55"/>
  <c r="Z55"/>
  <c r="AA55"/>
  <c r="P56"/>
  <c r="Q56"/>
  <c r="R56"/>
  <c r="S56"/>
  <c r="T56"/>
  <c r="U56"/>
  <c r="V56"/>
  <c r="W56"/>
  <c r="X56"/>
  <c r="Y56"/>
  <c r="Z56"/>
  <c r="AA56"/>
  <c r="S57"/>
  <c r="W57"/>
  <c r="AA57"/>
  <c r="P58"/>
  <c r="S58"/>
  <c r="T58"/>
  <c r="W58"/>
  <c r="X58"/>
  <c r="AA58"/>
  <c r="P59"/>
  <c r="Q59"/>
  <c r="R59"/>
  <c r="S59"/>
  <c r="T59"/>
  <c r="U59"/>
  <c r="V59"/>
  <c r="W59"/>
  <c r="X59"/>
  <c r="Y59"/>
  <c r="Z59"/>
  <c r="AA59"/>
  <c r="P60"/>
  <c r="Q60"/>
  <c r="R60"/>
  <c r="S60"/>
  <c r="T60"/>
  <c r="U60"/>
  <c r="V60"/>
  <c r="W60"/>
  <c r="X60"/>
  <c r="Y60"/>
  <c r="Z60"/>
  <c r="AA60"/>
  <c r="S61"/>
  <c r="W61"/>
  <c r="AA61"/>
  <c r="P62"/>
  <c r="S62"/>
  <c r="T62"/>
  <c r="W62"/>
  <c r="X62"/>
  <c r="AA62"/>
  <c r="P63"/>
  <c r="Q63"/>
  <c r="R63"/>
  <c r="S63"/>
  <c r="T63"/>
  <c r="U63"/>
  <c r="V63"/>
  <c r="W63"/>
  <c r="X63"/>
  <c r="Y63"/>
  <c r="Z63"/>
  <c r="AA63"/>
  <c r="P64"/>
  <c r="Q64"/>
  <c r="R64"/>
  <c r="S64"/>
  <c r="T64"/>
  <c r="U64"/>
  <c r="V64"/>
  <c r="W64"/>
  <c r="X64"/>
  <c r="Y64"/>
  <c r="Z64"/>
  <c r="AA64"/>
  <c r="S65"/>
  <c r="W65"/>
  <c r="AA65"/>
  <c r="P66"/>
  <c r="S66"/>
  <c r="T66"/>
  <c r="W66"/>
  <c r="X66"/>
  <c r="AA66"/>
  <c r="P67"/>
  <c r="Q67"/>
  <c r="R67"/>
  <c r="S67"/>
  <c r="T67"/>
  <c r="U67"/>
  <c r="V67"/>
  <c r="W67"/>
  <c r="X67"/>
  <c r="Y67"/>
  <c r="Z67"/>
  <c r="AA67"/>
  <c r="P68"/>
  <c r="Q68"/>
  <c r="R68"/>
  <c r="S68"/>
  <c r="T68"/>
  <c r="U68"/>
  <c r="V68"/>
  <c r="W68"/>
  <c r="X68"/>
  <c r="Y68"/>
  <c r="Z68"/>
  <c r="AA68"/>
  <c r="S69"/>
  <c r="W69"/>
  <c r="AA69"/>
  <c r="P70"/>
  <c r="S70"/>
  <c r="T70"/>
  <c r="W70"/>
  <c r="X70"/>
  <c r="AA70"/>
  <c r="P71"/>
  <c r="Q71"/>
  <c r="R71"/>
  <c r="S71"/>
  <c r="T71"/>
  <c r="U71"/>
  <c r="V71"/>
  <c r="W71"/>
  <c r="X71"/>
  <c r="Y71"/>
  <c r="Z71"/>
  <c r="AA71"/>
  <c r="P72"/>
  <c r="Q72"/>
  <c r="R72"/>
  <c r="S72"/>
  <c r="T72"/>
  <c r="U72"/>
  <c r="V72"/>
  <c r="W72"/>
  <c r="X72"/>
  <c r="Y72"/>
  <c r="Z72"/>
  <c r="AA72"/>
  <c r="S73"/>
  <c r="W73"/>
  <c r="AA73"/>
  <c r="P74"/>
  <c r="Q74"/>
  <c r="R74"/>
  <c r="S74"/>
  <c r="T74"/>
  <c r="U74"/>
  <c r="V74"/>
  <c r="W74"/>
  <c r="X74"/>
  <c r="Y74"/>
  <c r="Z74"/>
  <c r="AA74"/>
  <c r="P75"/>
  <c r="Q75"/>
  <c r="R75"/>
  <c r="S75"/>
  <c r="T75"/>
  <c r="U75"/>
  <c r="V75"/>
  <c r="W75"/>
  <c r="X75"/>
  <c r="Y75"/>
  <c r="Z75"/>
  <c r="AA75"/>
  <c r="P76"/>
  <c r="Q76"/>
  <c r="R76"/>
  <c r="S76"/>
  <c r="T76"/>
  <c r="U76"/>
  <c r="V76"/>
  <c r="W76"/>
  <c r="X76"/>
  <c r="Y76"/>
  <c r="Z76"/>
  <c r="AA76"/>
  <c r="P77"/>
  <c r="Q77"/>
  <c r="R77"/>
  <c r="S77"/>
  <c r="T77"/>
  <c r="U77"/>
  <c r="V77"/>
  <c r="W77"/>
  <c r="X77"/>
  <c r="Y77"/>
  <c r="Z77"/>
  <c r="AA77"/>
  <c r="P78"/>
  <c r="Q78"/>
  <c r="R78"/>
  <c r="S78"/>
  <c r="T78"/>
  <c r="U78"/>
  <c r="V78"/>
  <c r="W78"/>
  <c r="X78"/>
  <c r="Y78"/>
  <c r="Z78"/>
  <c r="AA78"/>
  <c r="P79"/>
  <c r="Q79"/>
  <c r="R79"/>
  <c r="S79"/>
  <c r="T79"/>
  <c r="U79"/>
  <c r="V79"/>
  <c r="W79"/>
  <c r="X79"/>
  <c r="Y79"/>
  <c r="Z79"/>
  <c r="AA79"/>
  <c r="P80"/>
  <c r="Q80"/>
  <c r="R80"/>
  <c r="S80"/>
  <c r="T80"/>
  <c r="U80"/>
  <c r="V80"/>
  <c r="W80"/>
  <c r="X80"/>
  <c r="Y80"/>
  <c r="Z80"/>
  <c r="AA80"/>
  <c r="P81"/>
  <c r="Q81"/>
  <c r="R81"/>
  <c r="S81"/>
  <c r="T81"/>
  <c r="U81"/>
  <c r="V81"/>
  <c r="W81"/>
  <c r="X81"/>
  <c r="Y81"/>
  <c r="Z81"/>
  <c r="AA81"/>
  <c r="P82"/>
  <c r="Q82"/>
  <c r="R82"/>
  <c r="S82"/>
  <c r="T82"/>
  <c r="U82"/>
  <c r="V82"/>
  <c r="W82"/>
  <c r="X82"/>
  <c r="Y82"/>
  <c r="Z82"/>
  <c r="AA82"/>
  <c r="P83"/>
  <c r="Q83"/>
  <c r="R83"/>
  <c r="S83"/>
  <c r="T83"/>
  <c r="U83"/>
  <c r="V83"/>
  <c r="W83"/>
  <c r="X83"/>
  <c r="Y83"/>
  <c r="Z83"/>
  <c r="AA83"/>
  <c r="P84"/>
  <c r="Q84"/>
  <c r="R84"/>
  <c r="S84"/>
  <c r="T84"/>
  <c r="U84"/>
  <c r="V84"/>
  <c r="W84"/>
  <c r="X84"/>
  <c r="Y84"/>
  <c r="Z84"/>
  <c r="AA84"/>
  <c r="P85"/>
  <c r="Q85"/>
  <c r="R85"/>
  <c r="S85"/>
  <c r="T85"/>
  <c r="U85"/>
  <c r="V85"/>
  <c r="W85"/>
  <c r="X85"/>
  <c r="Y85"/>
  <c r="Z85"/>
  <c r="AA85"/>
  <c r="P86"/>
  <c r="Q86"/>
  <c r="R86"/>
  <c r="S86"/>
  <c r="T86"/>
  <c r="U86"/>
  <c r="V86"/>
  <c r="W86"/>
  <c r="X86"/>
  <c r="Y86"/>
  <c r="Z86"/>
  <c r="AA86"/>
  <c r="P87"/>
  <c r="Q87"/>
  <c r="R87"/>
  <c r="S87"/>
  <c r="T87"/>
  <c r="U87"/>
  <c r="V87"/>
  <c r="W87"/>
  <c r="X87"/>
  <c r="Y87"/>
  <c r="Z87"/>
  <c r="AA87"/>
  <c r="P88"/>
  <c r="Q88"/>
  <c r="R88"/>
  <c r="S88"/>
  <c r="T88"/>
  <c r="U88"/>
  <c r="V88"/>
  <c r="W88"/>
  <c r="X88"/>
  <c r="Y88"/>
  <c r="Z88"/>
  <c r="AA88"/>
  <c r="P89"/>
  <c r="Q89"/>
  <c r="R89"/>
  <c r="S89"/>
  <c r="T89"/>
  <c r="U89"/>
  <c r="V89"/>
  <c r="W89"/>
  <c r="X89"/>
  <c r="Y89"/>
  <c r="Z89"/>
  <c r="AA89"/>
  <c r="P90"/>
  <c r="Q90"/>
  <c r="R90"/>
  <c r="S90"/>
  <c r="T90"/>
  <c r="U90"/>
  <c r="V90"/>
  <c r="W90"/>
  <c r="X90"/>
  <c r="Y90"/>
  <c r="Z90"/>
  <c r="AA90"/>
  <c r="P91"/>
  <c r="Q91"/>
  <c r="R91"/>
  <c r="S91"/>
  <c r="T91"/>
  <c r="U91"/>
  <c r="V91"/>
  <c r="W91"/>
  <c r="X91"/>
  <c r="Y91"/>
  <c r="Z91"/>
  <c r="AA91"/>
  <c r="P92"/>
  <c r="Q92"/>
  <c r="R92"/>
  <c r="S92"/>
  <c r="T92"/>
  <c r="U92"/>
  <c r="V92"/>
  <c r="W92"/>
  <c r="X92"/>
  <c r="Y92"/>
  <c r="Z92"/>
  <c r="AA92"/>
  <c r="P93"/>
  <c r="Q93"/>
  <c r="R93"/>
  <c r="S93"/>
  <c r="T93"/>
  <c r="U93"/>
  <c r="V93"/>
  <c r="W93"/>
  <c r="X93"/>
  <c r="Y93"/>
  <c r="Z93"/>
  <c r="AA93"/>
  <c r="P94"/>
  <c r="Q94"/>
  <c r="R94"/>
  <c r="S94"/>
  <c r="T94"/>
  <c r="U94"/>
  <c r="V94"/>
  <c r="W94"/>
  <c r="X94"/>
  <c r="Y94"/>
  <c r="Z94"/>
  <c r="AA94"/>
  <c r="P95"/>
  <c r="Q95"/>
  <c r="R95"/>
  <c r="S95"/>
  <c r="T95"/>
  <c r="U95"/>
  <c r="V95"/>
  <c r="W95"/>
  <c r="X95"/>
  <c r="Y95"/>
  <c r="Z95"/>
  <c r="AA95"/>
  <c r="Q26"/>
  <c r="R26"/>
  <c r="S26"/>
  <c r="T26"/>
  <c r="U26"/>
  <c r="V26"/>
  <c r="W26"/>
  <c r="X26"/>
  <c r="Y26"/>
  <c r="Z26"/>
  <c r="AA26"/>
  <c r="P26"/>
  <c r="AY66" i="14" l="1"/>
  <c r="AY68"/>
  <c r="AY19"/>
  <c r="AY71"/>
  <c r="AY20"/>
  <c r="AY67"/>
  <c r="AZ71"/>
  <c r="AZ66"/>
  <c r="AZ68"/>
  <c r="AZ67"/>
  <c r="V76" i="17"/>
  <c r="W76" s="1"/>
  <c r="X76" s="1"/>
  <c r="V86"/>
  <c r="W86" s="1"/>
  <c r="X86" s="1"/>
  <c r="V81"/>
  <c r="W81" s="1"/>
  <c r="X81" s="1"/>
  <c r="K69" i="14"/>
  <c r="AR69" s="1"/>
  <c r="V101" i="17"/>
  <c r="W101" s="1"/>
  <c r="X101" s="1"/>
  <c r="K70" i="14"/>
  <c r="AR70" s="1"/>
  <c r="U78" i="17"/>
  <c r="AU70" i="14"/>
  <c r="BA22"/>
  <c r="AU117"/>
  <c r="AB21" i="19"/>
  <c r="AU23" i="14"/>
  <c r="Z115"/>
  <c r="Z118"/>
  <c r="Z19"/>
  <c r="Z66"/>
  <c r="Z20"/>
  <c r="Z22"/>
  <c r="H51" i="23"/>
  <c r="H47"/>
  <c r="H48"/>
  <c r="R52"/>
  <c r="H52"/>
  <c r="H46"/>
  <c r="H49"/>
  <c r="H45"/>
  <c r="H44"/>
  <c r="R48"/>
  <c r="H50"/>
  <c r="Z114" i="14"/>
  <c r="I42"/>
  <c r="Z42" s="1"/>
  <c r="I44"/>
  <c r="Z44" s="1"/>
  <c r="I46"/>
  <c r="Z119"/>
  <c r="Z116"/>
  <c r="Z117"/>
  <c r="I45"/>
  <c r="Z45" s="1"/>
  <c r="I43"/>
  <c r="Z43" s="1"/>
  <c r="I41"/>
  <c r="Z41" s="1"/>
  <c r="X73" i="19"/>
  <c r="T73"/>
  <c r="P73"/>
  <c r="X65"/>
  <c r="T61"/>
  <c r="P61"/>
  <c r="T57"/>
  <c r="X53"/>
  <c r="P53"/>
  <c r="X49"/>
  <c r="T49"/>
  <c r="P49"/>
  <c r="X45"/>
  <c r="P45"/>
  <c r="Y73"/>
  <c r="U73"/>
  <c r="Q73"/>
  <c r="Y70"/>
  <c r="U70"/>
  <c r="Q70"/>
  <c r="Y69"/>
  <c r="U69"/>
  <c r="Q69"/>
  <c r="Y66"/>
  <c r="U66"/>
  <c r="Q66"/>
  <c r="Y65"/>
  <c r="U65"/>
  <c r="Q65"/>
  <c r="Y62"/>
  <c r="U62"/>
  <c r="Q62"/>
  <c r="Y61"/>
  <c r="U61"/>
  <c r="Q61"/>
  <c r="Y58"/>
  <c r="U58"/>
  <c r="Q58"/>
  <c r="Y57"/>
  <c r="U57"/>
  <c r="Q57"/>
  <c r="Y54"/>
  <c r="U54"/>
  <c r="Q54"/>
  <c r="Y53"/>
  <c r="U53"/>
  <c r="Q53"/>
  <c r="Y50"/>
  <c r="U50"/>
  <c r="Q50"/>
  <c r="Y49"/>
  <c r="U49"/>
  <c r="Q49"/>
  <c r="Y46"/>
  <c r="U46"/>
  <c r="Q46"/>
  <c r="Y45"/>
  <c r="U45"/>
  <c r="Q45"/>
  <c r="X69"/>
  <c r="T69"/>
  <c r="P69"/>
  <c r="T65"/>
  <c r="P65"/>
  <c r="X61"/>
  <c r="X57"/>
  <c r="P57"/>
  <c r="T53"/>
  <c r="T45"/>
  <c r="Z73"/>
  <c r="V73"/>
  <c r="Z70"/>
  <c r="V70"/>
  <c r="Z69"/>
  <c r="V69"/>
  <c r="Z66"/>
  <c r="V66"/>
  <c r="Z65"/>
  <c r="V65"/>
  <c r="Z62"/>
  <c r="V62"/>
  <c r="Z61"/>
  <c r="V61"/>
  <c r="Z58"/>
  <c r="V58"/>
  <c r="Z57"/>
  <c r="V57"/>
  <c r="Z54"/>
  <c r="V54"/>
  <c r="Z53"/>
  <c r="V53"/>
  <c r="Z50"/>
  <c r="V50"/>
  <c r="Z49"/>
  <c r="V49"/>
  <c r="Z46"/>
  <c r="V46"/>
  <c r="Z45"/>
  <c r="V45"/>
  <c r="AY70" i="14" l="1"/>
  <c r="AY69"/>
  <c r="AZ69"/>
  <c r="AZ70"/>
  <c r="Z69"/>
  <c r="BA117"/>
  <c r="V96" i="17"/>
  <c r="W96" s="1"/>
  <c r="X96" s="1"/>
  <c r="V77"/>
  <c r="W77" s="1"/>
  <c r="X77" s="1"/>
  <c r="V82"/>
  <c r="W82" s="1"/>
  <c r="X82" s="1"/>
  <c r="V91"/>
  <c r="W91" s="1"/>
  <c r="X91" s="1"/>
  <c r="U79"/>
  <c r="AU118" i="14"/>
  <c r="AU71"/>
  <c r="R101" i="17" s="1"/>
  <c r="O101" s="1"/>
  <c r="E51" s="1"/>
  <c r="E52" s="1"/>
  <c r="E53" s="1"/>
  <c r="BA23" i="14"/>
  <c r="Z21"/>
  <c r="Z23"/>
  <c r="Z70"/>
  <c r="Z68"/>
  <c r="Z71"/>
  <c r="Z67"/>
  <c r="Z18"/>
  <c r="AA113"/>
  <c r="R91" i="17" l="1"/>
  <c r="O91" s="1"/>
  <c r="E46" s="1"/>
  <c r="R96"/>
  <c r="O96" s="1"/>
  <c r="L96" s="1"/>
  <c r="L91"/>
  <c r="Z91"/>
  <c r="Z101"/>
  <c r="Z102" s="1"/>
  <c r="Z103" s="1"/>
  <c r="L101"/>
  <c r="BA118" i="14"/>
  <c r="BA69"/>
  <c r="V92" i="17"/>
  <c r="W92" s="1"/>
  <c r="X92" s="1"/>
  <c r="V83"/>
  <c r="W83" s="1"/>
  <c r="X83" s="1"/>
  <c r="V78"/>
  <c r="W78" s="1"/>
  <c r="X78" s="1"/>
  <c r="V97"/>
  <c r="W97" s="1"/>
  <c r="X97" s="1"/>
  <c r="BA70" i="14"/>
  <c r="V87" i="17"/>
  <c r="W87" s="1"/>
  <c r="X87" s="1"/>
  <c r="U80"/>
  <c r="AU119" i="14"/>
  <c r="BA71"/>
  <c r="P91" i="17"/>
  <c r="L102" l="1"/>
  <c r="Z96"/>
  <c r="R97"/>
  <c r="R98" s="1"/>
  <c r="O98" s="1"/>
  <c r="L98" s="1"/>
  <c r="P101"/>
  <c r="BA119" i="14"/>
  <c r="V98" i="17"/>
  <c r="W98" s="1"/>
  <c r="X98" s="1"/>
  <c r="V84"/>
  <c r="W84" s="1"/>
  <c r="X84" s="1"/>
  <c r="V79"/>
  <c r="W79" s="1"/>
  <c r="X79" s="1"/>
  <c r="V93"/>
  <c r="W93" s="1"/>
  <c r="X93" s="1"/>
  <c r="V88"/>
  <c r="W88" s="1"/>
  <c r="X88" s="1"/>
  <c r="P96"/>
  <c r="R99"/>
  <c r="AA100" i="14"/>
  <c r="AA101"/>
  <c r="AA102"/>
  <c r="AA103"/>
  <c r="AA104"/>
  <c r="AA105"/>
  <c r="AA106"/>
  <c r="AA107"/>
  <c r="AA108"/>
  <c r="AA109"/>
  <c r="AA110"/>
  <c r="AA111"/>
  <c r="AA112"/>
  <c r="AA99"/>
  <c r="L103" i="17" l="1"/>
  <c r="O97"/>
  <c r="E49" s="1"/>
  <c r="E47" s="1"/>
  <c r="E48" s="1"/>
  <c r="V94"/>
  <c r="W94" s="1"/>
  <c r="X94" s="1"/>
  <c r="V85"/>
  <c r="W85" s="1"/>
  <c r="X85" s="1"/>
  <c r="V89"/>
  <c r="W89" s="1"/>
  <c r="X89" s="1"/>
  <c r="V80"/>
  <c r="W80" s="1"/>
  <c r="X80" s="1"/>
  <c r="V99"/>
  <c r="W99" s="1"/>
  <c r="X99" s="1"/>
  <c r="Z98"/>
  <c r="R100"/>
  <c r="O100" s="1"/>
  <c r="L100" s="1"/>
  <c r="O99"/>
  <c r="C20" i="19"/>
  <c r="C21" s="1"/>
  <c r="D20"/>
  <c r="E20"/>
  <c r="F20"/>
  <c r="D12"/>
  <c r="E12"/>
  <c r="F12"/>
  <c r="C12"/>
  <c r="E50" i="17" l="1"/>
  <c r="Z97"/>
  <c r="L97"/>
  <c r="V100"/>
  <c r="W100" s="1"/>
  <c r="X100" s="1"/>
  <c r="V90"/>
  <c r="W90" s="1"/>
  <c r="X90" s="1"/>
  <c r="V95"/>
  <c r="W95" s="1"/>
  <c r="X95" s="1"/>
  <c r="L99"/>
  <c r="P98"/>
  <c r="Z99"/>
  <c r="Z100"/>
  <c r="C22" i="19"/>
  <c r="C23" s="1"/>
  <c r="H20"/>
  <c r="F21"/>
  <c r="F22" s="1"/>
  <c r="E21"/>
  <c r="E22" s="1"/>
  <c r="D21"/>
  <c r="J20"/>
  <c r="K20"/>
  <c r="I20"/>
  <c r="P97" i="17" l="1"/>
  <c r="P99"/>
  <c r="P100"/>
  <c r="J21" i="19"/>
  <c r="J22" s="1"/>
  <c r="K21"/>
  <c r="K22" s="1"/>
  <c r="F23"/>
  <c r="F24" s="1"/>
  <c r="D22"/>
  <c r="D23" s="1"/>
  <c r="D24" s="1"/>
  <c r="E23"/>
  <c r="I21"/>
  <c r="C24"/>
  <c r="C25" s="1"/>
  <c r="C26" s="1"/>
  <c r="H21"/>
  <c r="H22" s="1"/>
  <c r="H23" s="1"/>
  <c r="AA52" i="14"/>
  <c r="AA53"/>
  <c r="AA54"/>
  <c r="AA55"/>
  <c r="AA56"/>
  <c r="AA57"/>
  <c r="AA58"/>
  <c r="AA59"/>
  <c r="AA60"/>
  <c r="AA61"/>
  <c r="AA62"/>
  <c r="AA63"/>
  <c r="AA64"/>
  <c r="AA65"/>
  <c r="AA51"/>
  <c r="P4"/>
  <c r="P5"/>
  <c r="P6"/>
  <c r="P7"/>
  <c r="P8"/>
  <c r="P9"/>
  <c r="P10"/>
  <c r="P11"/>
  <c r="C22" i="23" s="1"/>
  <c r="P12" i="14"/>
  <c r="C23" i="23" s="1"/>
  <c r="P13" i="14"/>
  <c r="P14"/>
  <c r="P15"/>
  <c r="C26" i="23" s="1"/>
  <c r="P16" i="14"/>
  <c r="C27" i="23" s="1"/>
  <c r="P17" i="14"/>
  <c r="P3"/>
  <c r="T100"/>
  <c r="T101"/>
  <c r="T54"/>
  <c r="T103"/>
  <c r="T104"/>
  <c r="T105"/>
  <c r="T58"/>
  <c r="T107"/>
  <c r="T108"/>
  <c r="T109"/>
  <c r="T62"/>
  <c r="T111"/>
  <c r="T112"/>
  <c r="T113"/>
  <c r="T99"/>
  <c r="M4"/>
  <c r="M5"/>
  <c r="M6"/>
  <c r="M7"/>
  <c r="M8"/>
  <c r="M9"/>
  <c r="M10"/>
  <c r="M11"/>
  <c r="M12"/>
  <c r="M13"/>
  <c r="M14"/>
  <c r="M15"/>
  <c r="M16"/>
  <c r="M17"/>
  <c r="M3"/>
  <c r="H4"/>
  <c r="H5"/>
  <c r="H6"/>
  <c r="H7"/>
  <c r="H8"/>
  <c r="H9"/>
  <c r="H10"/>
  <c r="H11"/>
  <c r="H12"/>
  <c r="H13"/>
  <c r="H14"/>
  <c r="H15"/>
  <c r="H16"/>
  <c r="H17"/>
  <c r="H3"/>
  <c r="E4"/>
  <c r="E5"/>
  <c r="E6"/>
  <c r="E7"/>
  <c r="E8"/>
  <c r="E9"/>
  <c r="E10"/>
  <c r="E11"/>
  <c r="E12"/>
  <c r="E13"/>
  <c r="E14"/>
  <c r="E15"/>
  <c r="E16"/>
  <c r="E17"/>
  <c r="E3"/>
  <c r="K8" l="1"/>
  <c r="AY7" i="19"/>
  <c r="BS7"/>
  <c r="K13" i="14"/>
  <c r="AY12" i="19"/>
  <c r="BS12"/>
  <c r="K5" i="14"/>
  <c r="AY4" i="19"/>
  <c r="BS4"/>
  <c r="K3" i="14"/>
  <c r="BS2" i="19"/>
  <c r="AY2"/>
  <c r="K14" i="14"/>
  <c r="BS13" i="19"/>
  <c r="AY13"/>
  <c r="K10" i="14"/>
  <c r="BS9" i="19"/>
  <c r="AY9"/>
  <c r="K6" i="14"/>
  <c r="AY5" i="19"/>
  <c r="BS5"/>
  <c r="K16" i="14"/>
  <c r="AY15" i="19"/>
  <c r="BS15"/>
  <c r="K12" i="14"/>
  <c r="AY11" i="19"/>
  <c r="BS11"/>
  <c r="K4" i="14"/>
  <c r="AY3" i="19"/>
  <c r="BS3"/>
  <c r="K17" i="14"/>
  <c r="AY16" i="19"/>
  <c r="BS16"/>
  <c r="K9" i="14"/>
  <c r="AY8" i="19"/>
  <c r="BS8"/>
  <c r="K15" i="14"/>
  <c r="BS14" i="19"/>
  <c r="AY14"/>
  <c r="K11" i="14"/>
  <c r="BS10" i="19"/>
  <c r="AY10"/>
  <c r="K7" i="14"/>
  <c r="BS6" i="19"/>
  <c r="AY6"/>
  <c r="AE15"/>
  <c r="AU19" i="14" s="1"/>
  <c r="AE3" i="19"/>
  <c r="AU7" i="14" s="1"/>
  <c r="AE16" i="19"/>
  <c r="AU20" i="14" s="1"/>
  <c r="AE12" i="19"/>
  <c r="AU16" i="14" s="1"/>
  <c r="AE8" i="19"/>
  <c r="AU12" i="14" s="1"/>
  <c r="AE4" i="19"/>
  <c r="AU8" i="14" s="1"/>
  <c r="AE2" i="19"/>
  <c r="AU6" i="14" s="1"/>
  <c r="AE13" i="19"/>
  <c r="AU17" i="14" s="1"/>
  <c r="AE9" i="19"/>
  <c r="AU13" i="14" s="1"/>
  <c r="AE5" i="19"/>
  <c r="AU9" i="14" s="1"/>
  <c r="AE11" i="19"/>
  <c r="AU15" i="14" s="1"/>
  <c r="AE7" i="19"/>
  <c r="AU11" i="14" s="1"/>
  <c r="AE14" i="19"/>
  <c r="AU18" i="14" s="1"/>
  <c r="AE10" i="19"/>
  <c r="AU14" i="14" s="1"/>
  <c r="AE6" i="19"/>
  <c r="AU10" i="14" s="1"/>
  <c r="H65"/>
  <c r="H105"/>
  <c r="H101"/>
  <c r="M56"/>
  <c r="H106"/>
  <c r="M113"/>
  <c r="M105"/>
  <c r="H111"/>
  <c r="H107"/>
  <c r="H103"/>
  <c r="M99"/>
  <c r="M62"/>
  <c r="M58"/>
  <c r="H112"/>
  <c r="H60"/>
  <c r="H56"/>
  <c r="H100"/>
  <c r="M111"/>
  <c r="M107"/>
  <c r="M103"/>
  <c r="H109"/>
  <c r="M64"/>
  <c r="M60"/>
  <c r="M52"/>
  <c r="H110"/>
  <c r="H102"/>
  <c r="M109"/>
  <c r="M101"/>
  <c r="M54"/>
  <c r="E27" i="23"/>
  <c r="G27" s="1"/>
  <c r="F27"/>
  <c r="E23"/>
  <c r="G23" s="1"/>
  <c r="F23"/>
  <c r="E26"/>
  <c r="G26" s="1"/>
  <c r="F26"/>
  <c r="E22"/>
  <c r="G22" s="1"/>
  <c r="F22"/>
  <c r="E52" i="14"/>
  <c r="H99"/>
  <c r="K99" s="1"/>
  <c r="E101"/>
  <c r="P65"/>
  <c r="Q65" s="1"/>
  <c r="R65" s="1"/>
  <c r="C28" i="23"/>
  <c r="P61" i="14"/>
  <c r="Q61" s="1"/>
  <c r="R61" s="1"/>
  <c r="C24" i="23"/>
  <c r="P57" i="14"/>
  <c r="Q57" s="1"/>
  <c r="R57" s="1"/>
  <c r="C20" i="23"/>
  <c r="P53" i="14"/>
  <c r="Q53" s="1"/>
  <c r="R53" s="1"/>
  <c r="E99"/>
  <c r="P99"/>
  <c r="R3"/>
  <c r="P110"/>
  <c r="Q110" s="1"/>
  <c r="R110" s="1"/>
  <c r="AR110" s="1"/>
  <c r="C25" i="23"/>
  <c r="P106" i="14"/>
  <c r="Q106" s="1"/>
  <c r="R106" s="1"/>
  <c r="AR106" s="1"/>
  <c r="C21" i="23"/>
  <c r="F21" s="1"/>
  <c r="P102" i="14"/>
  <c r="Q102" s="1"/>
  <c r="R102" s="1"/>
  <c r="E109"/>
  <c r="E55"/>
  <c r="E105"/>
  <c r="E54"/>
  <c r="R12"/>
  <c r="AR12" s="1"/>
  <c r="R35"/>
  <c r="R4"/>
  <c r="AR4" s="1"/>
  <c r="R27"/>
  <c r="P60"/>
  <c r="Q60" s="1"/>
  <c r="R60" s="1"/>
  <c r="P100"/>
  <c r="Q100" s="1"/>
  <c r="R100" s="1"/>
  <c r="P63"/>
  <c r="Q63" s="1"/>
  <c r="R63" s="1"/>
  <c r="P52"/>
  <c r="Q52" s="1"/>
  <c r="R52" s="1"/>
  <c r="P108"/>
  <c r="Q108" s="1"/>
  <c r="R16"/>
  <c r="R39"/>
  <c r="R8"/>
  <c r="AR8" s="1"/>
  <c r="R31"/>
  <c r="R15"/>
  <c r="AR15" s="1"/>
  <c r="R38"/>
  <c r="R11"/>
  <c r="AR11" s="1"/>
  <c r="R34"/>
  <c r="R7"/>
  <c r="AR7" s="1"/>
  <c r="R30"/>
  <c r="P56"/>
  <c r="Q56" s="1"/>
  <c r="R56" s="1"/>
  <c r="P64"/>
  <c r="Q64" s="1"/>
  <c r="R64" s="1"/>
  <c r="P55"/>
  <c r="Q55" s="1"/>
  <c r="R55" s="1"/>
  <c r="P113"/>
  <c r="Q113" s="1"/>
  <c r="P105"/>
  <c r="Q105" s="1"/>
  <c r="P109"/>
  <c r="Q109" s="1"/>
  <c r="P101"/>
  <c r="Q101" s="1"/>
  <c r="R101" s="1"/>
  <c r="P59"/>
  <c r="Q59" s="1"/>
  <c r="R59" s="1"/>
  <c r="P112"/>
  <c r="Q112" s="1"/>
  <c r="P104"/>
  <c r="Q104" s="1"/>
  <c r="R104" s="1"/>
  <c r="I22" i="19"/>
  <c r="I23" s="1"/>
  <c r="F25"/>
  <c r="F26" s="1"/>
  <c r="C27"/>
  <c r="E24"/>
  <c r="J23"/>
  <c r="D25"/>
  <c r="D26" s="1"/>
  <c r="P51" i="14"/>
  <c r="P62"/>
  <c r="Q62" s="1"/>
  <c r="R62" s="1"/>
  <c r="P58"/>
  <c r="Q58" s="1"/>
  <c r="R58" s="1"/>
  <c r="P54"/>
  <c r="Q54" s="1"/>
  <c r="R54" s="1"/>
  <c r="P111"/>
  <c r="Q111" s="1"/>
  <c r="P107"/>
  <c r="Q107" s="1"/>
  <c r="P103"/>
  <c r="Q103" s="1"/>
  <c r="R103" s="1"/>
  <c r="E112"/>
  <c r="T61"/>
  <c r="H104"/>
  <c r="M63"/>
  <c r="H108"/>
  <c r="H64"/>
  <c r="M59"/>
  <c r="H52"/>
  <c r="T53"/>
  <c r="M102"/>
  <c r="E100"/>
  <c r="M106"/>
  <c r="T57"/>
  <c r="E104"/>
  <c r="M110"/>
  <c r="M55"/>
  <c r="E108"/>
  <c r="E62"/>
  <c r="M51"/>
  <c r="M61"/>
  <c r="M57"/>
  <c r="M53"/>
  <c r="T63"/>
  <c r="T59"/>
  <c r="T55"/>
  <c r="T51"/>
  <c r="H62"/>
  <c r="H58"/>
  <c r="H54"/>
  <c r="E64"/>
  <c r="E60"/>
  <c r="E56"/>
  <c r="E110"/>
  <c r="E106"/>
  <c r="E102"/>
  <c r="M112"/>
  <c r="M108"/>
  <c r="M104"/>
  <c r="M100"/>
  <c r="E58"/>
  <c r="T64"/>
  <c r="T60"/>
  <c r="T56"/>
  <c r="T52"/>
  <c r="H63"/>
  <c r="H59"/>
  <c r="H55"/>
  <c r="E51"/>
  <c r="E61"/>
  <c r="E57"/>
  <c r="E53"/>
  <c r="E111"/>
  <c r="E107"/>
  <c r="E103"/>
  <c r="T102"/>
  <c r="T106"/>
  <c r="T110"/>
  <c r="H51"/>
  <c r="H61"/>
  <c r="H57"/>
  <c r="H53"/>
  <c r="E63"/>
  <c r="E59"/>
  <c r="I24" i="19"/>
  <c r="K23"/>
  <c r="K24" s="1"/>
  <c r="H24"/>
  <c r="H25" s="1"/>
  <c r="H113" i="14"/>
  <c r="E65"/>
  <c r="M65"/>
  <c r="T65"/>
  <c r="E113"/>
  <c r="AY106" l="1"/>
  <c r="AY11"/>
  <c r="AY110"/>
  <c r="AY15"/>
  <c r="AY12"/>
  <c r="M26" i="23"/>
  <c r="P26" s="1"/>
  <c r="R111" i="14"/>
  <c r="AR111" s="1"/>
  <c r="M27" i="23"/>
  <c r="P27" s="1"/>
  <c r="R112" i="14"/>
  <c r="AR112" s="1"/>
  <c r="M20" i="23"/>
  <c r="P20" s="1"/>
  <c r="R105" i="14"/>
  <c r="AR105" s="1"/>
  <c r="M28" i="23"/>
  <c r="P28" s="1"/>
  <c r="R113" i="14"/>
  <c r="AR113" s="1"/>
  <c r="M22" i="23"/>
  <c r="P22" s="1"/>
  <c r="R107" i="14"/>
  <c r="AR107" s="1"/>
  <c r="M24" i="23"/>
  <c r="P24" s="1"/>
  <c r="R109" i="14"/>
  <c r="AR109" s="1"/>
  <c r="M23" i="23"/>
  <c r="P23" s="1"/>
  <c r="R108" i="14"/>
  <c r="AR108" s="1"/>
  <c r="AR16"/>
  <c r="Y3"/>
  <c r="AR3"/>
  <c r="AU57"/>
  <c r="AU56"/>
  <c r="AU55"/>
  <c r="AU58"/>
  <c r="AU54"/>
  <c r="AU59"/>
  <c r="AU65"/>
  <c r="AU64"/>
  <c r="AU61"/>
  <c r="AU60"/>
  <c r="AU62"/>
  <c r="AU63"/>
  <c r="AU67"/>
  <c r="BA19"/>
  <c r="AU66"/>
  <c r="R76" i="17" s="1"/>
  <c r="O76" s="1"/>
  <c r="BA18" i="14"/>
  <c r="AU68"/>
  <c r="R86" i="17" s="1"/>
  <c r="BA20" i="14"/>
  <c r="H26" i="23"/>
  <c r="H27"/>
  <c r="H22"/>
  <c r="H23"/>
  <c r="E20"/>
  <c r="G20" s="1"/>
  <c r="F20"/>
  <c r="E28"/>
  <c r="G28" s="1"/>
  <c r="F28"/>
  <c r="E24"/>
  <c r="G24" s="1"/>
  <c r="F24"/>
  <c r="E25"/>
  <c r="G25" s="1"/>
  <c r="F25"/>
  <c r="O27"/>
  <c r="Q27" s="1"/>
  <c r="R27" s="1"/>
  <c r="O28"/>
  <c r="Q28" s="1"/>
  <c r="R28" s="1"/>
  <c r="R133" i="14"/>
  <c r="S133" s="1"/>
  <c r="M25" i="23"/>
  <c r="P25" s="1"/>
  <c r="O24"/>
  <c r="Q24" s="1"/>
  <c r="R24" s="1"/>
  <c r="R129" i="14"/>
  <c r="M21" i="23"/>
  <c r="P21" s="1"/>
  <c r="E21"/>
  <c r="G21" s="1"/>
  <c r="H21" s="1"/>
  <c r="R125" i="14"/>
  <c r="S125" s="1"/>
  <c r="Q99"/>
  <c r="R99" s="1"/>
  <c r="Q51"/>
  <c r="R51" s="1"/>
  <c r="S27"/>
  <c r="S39"/>
  <c r="S34"/>
  <c r="R123"/>
  <c r="R124"/>
  <c r="R87"/>
  <c r="R86"/>
  <c r="R76"/>
  <c r="R75"/>
  <c r="R80"/>
  <c r="R85"/>
  <c r="R14"/>
  <c r="AR14" s="1"/>
  <c r="R37"/>
  <c r="R127"/>
  <c r="R128"/>
  <c r="R131"/>
  <c r="R78"/>
  <c r="R10"/>
  <c r="AR10" s="1"/>
  <c r="R33"/>
  <c r="R134"/>
  <c r="R81"/>
  <c r="R6"/>
  <c r="AR6" s="1"/>
  <c r="R29"/>
  <c r="R5"/>
  <c r="AR5" s="1"/>
  <c r="R28"/>
  <c r="R13"/>
  <c r="AR13" s="1"/>
  <c r="R36"/>
  <c r="R83"/>
  <c r="R130"/>
  <c r="R82"/>
  <c r="R17"/>
  <c r="AR17" s="1"/>
  <c r="R40"/>
  <c r="R9"/>
  <c r="AR9" s="1"/>
  <c r="R32"/>
  <c r="S35"/>
  <c r="S30"/>
  <c r="S38"/>
  <c r="S31"/>
  <c r="R84"/>
  <c r="R79"/>
  <c r="R126"/>
  <c r="R88"/>
  <c r="R77"/>
  <c r="R135"/>
  <c r="R132"/>
  <c r="R136"/>
  <c r="J24" i="19"/>
  <c r="E25"/>
  <c r="F27"/>
  <c r="C28"/>
  <c r="I25"/>
  <c r="D27"/>
  <c r="K25"/>
  <c r="H26"/>
  <c r="K30" i="11"/>
  <c r="K26"/>
  <c r="K27"/>
  <c r="K28"/>
  <c r="K29"/>
  <c r="K31"/>
  <c r="K32"/>
  <c r="K33"/>
  <c r="K34"/>
  <c r="K35"/>
  <c r="K36"/>
  <c r="K37"/>
  <c r="K38"/>
  <c r="K25"/>
  <c r="B26"/>
  <c r="C26"/>
  <c r="D26"/>
  <c r="E26"/>
  <c r="F26"/>
  <c r="B27"/>
  <c r="C27"/>
  <c r="D27"/>
  <c r="E27"/>
  <c r="F27"/>
  <c r="B28"/>
  <c r="C28"/>
  <c r="D28"/>
  <c r="E28"/>
  <c r="F28"/>
  <c r="B29"/>
  <c r="C29"/>
  <c r="D29"/>
  <c r="E29"/>
  <c r="F29"/>
  <c r="B30"/>
  <c r="C30"/>
  <c r="D30"/>
  <c r="E30"/>
  <c r="F30"/>
  <c r="B31"/>
  <c r="C31"/>
  <c r="D31"/>
  <c r="E31"/>
  <c r="F31"/>
  <c r="B32"/>
  <c r="C32"/>
  <c r="D32"/>
  <c r="E32"/>
  <c r="F32"/>
  <c r="B33"/>
  <c r="C33"/>
  <c r="D33"/>
  <c r="E33"/>
  <c r="F33"/>
  <c r="B34"/>
  <c r="C34"/>
  <c r="D34"/>
  <c r="E34"/>
  <c r="F34"/>
  <c r="B35"/>
  <c r="C35"/>
  <c r="D35"/>
  <c r="E35"/>
  <c r="F35"/>
  <c r="B36"/>
  <c r="C36"/>
  <c r="D36"/>
  <c r="E36"/>
  <c r="F36"/>
  <c r="B37"/>
  <c r="C37"/>
  <c r="D37"/>
  <c r="E37"/>
  <c r="F37"/>
  <c r="B38"/>
  <c r="C38"/>
  <c r="D38"/>
  <c r="E38"/>
  <c r="F38"/>
  <c r="B39"/>
  <c r="C39"/>
  <c r="D39"/>
  <c r="E39"/>
  <c r="F39"/>
  <c r="C25"/>
  <c r="D25"/>
  <c r="E25"/>
  <c r="F25"/>
  <c r="B25"/>
  <c r="AG18" i="16"/>
  <c r="AE19" s="1"/>
  <c r="AG16"/>
  <c r="R16"/>
  <c r="O16"/>
  <c r="M16"/>
  <c r="G16"/>
  <c r="AG15"/>
  <c r="AC15" i="14" s="1"/>
  <c r="AC63" s="1"/>
  <c r="AC111" s="1"/>
  <c r="R15" i="16"/>
  <c r="O15"/>
  <c r="M15"/>
  <c r="G15"/>
  <c r="AG14"/>
  <c r="R14"/>
  <c r="O14"/>
  <c r="M14"/>
  <c r="G14"/>
  <c r="AG13"/>
  <c r="AC13" i="14" s="1"/>
  <c r="AC61" s="1"/>
  <c r="AC109" s="1"/>
  <c r="R13" i="16"/>
  <c r="O13"/>
  <c r="M13"/>
  <c r="G13"/>
  <c r="AG12"/>
  <c r="AC12" i="14" s="1"/>
  <c r="AC60" s="1"/>
  <c r="AC108" s="1"/>
  <c r="R12" i="16"/>
  <c r="O12"/>
  <c r="M12"/>
  <c r="G12"/>
  <c r="AG11"/>
  <c r="AC11" i="14" s="1"/>
  <c r="AC59" s="1"/>
  <c r="AC107" s="1"/>
  <c r="R11" i="16"/>
  <c r="O11"/>
  <c r="M11"/>
  <c r="G11"/>
  <c r="AG10"/>
  <c r="R10"/>
  <c r="O10"/>
  <c r="M10"/>
  <c r="G10"/>
  <c r="AG9"/>
  <c r="AC9" i="14" s="1"/>
  <c r="AC57" s="1"/>
  <c r="AC105" s="1"/>
  <c r="R9" i="16"/>
  <c r="O9"/>
  <c r="M9"/>
  <c r="G9"/>
  <c r="AG8"/>
  <c r="R8"/>
  <c r="O8"/>
  <c r="M8"/>
  <c r="G8"/>
  <c r="AG7"/>
  <c r="AC7" i="14" s="1"/>
  <c r="AC55" s="1"/>
  <c r="AC103" s="1"/>
  <c r="R7" i="16"/>
  <c r="O7"/>
  <c r="M7"/>
  <c r="G7"/>
  <c r="AG6"/>
  <c r="R6"/>
  <c r="O6"/>
  <c r="M6"/>
  <c r="G6"/>
  <c r="AG5"/>
  <c r="AC5" i="14" s="1"/>
  <c r="AC53" s="1"/>
  <c r="AC101" s="1"/>
  <c r="R5" i="16"/>
  <c r="O5"/>
  <c r="M5"/>
  <c r="G5"/>
  <c r="AG4"/>
  <c r="AC4" i="14" s="1"/>
  <c r="AC52" s="1"/>
  <c r="AC100" s="1"/>
  <c r="R4" i="16"/>
  <c r="O4"/>
  <c r="M4"/>
  <c r="AG3"/>
  <c r="G219" i="7"/>
  <c r="F219"/>
  <c r="F218"/>
  <c r="G218" s="1"/>
  <c r="F217"/>
  <c r="G217" s="1"/>
  <c r="F216"/>
  <c r="G216" s="1"/>
  <c r="F215"/>
  <c r="G215" s="1"/>
  <c r="F214"/>
  <c r="G214" s="1"/>
  <c r="F213"/>
  <c r="G213" s="1"/>
  <c r="F212"/>
  <c r="G212" s="1"/>
  <c r="F211"/>
  <c r="G211" s="1"/>
  <c r="F210"/>
  <c r="G210" s="1"/>
  <c r="F209"/>
  <c r="G209" s="1"/>
  <c r="F208"/>
  <c r="G208" s="1"/>
  <c r="G207"/>
  <c r="F207"/>
  <c r="F206"/>
  <c r="G206" s="1"/>
  <c r="G205"/>
  <c r="F205"/>
  <c r="F204"/>
  <c r="G204" s="1"/>
  <c r="F203"/>
  <c r="G203" s="1"/>
  <c r="F202"/>
  <c r="G202" s="1"/>
  <c r="F201"/>
  <c r="G201" s="1"/>
  <c r="F200"/>
  <c r="G200" s="1"/>
  <c r="F199"/>
  <c r="G199" s="1"/>
  <c r="F198"/>
  <c r="G198" s="1"/>
  <c r="F197"/>
  <c r="G197" s="1"/>
  <c r="F196"/>
  <c r="G196" s="1"/>
  <c r="G195"/>
  <c r="F195"/>
  <c r="F194"/>
  <c r="G194" s="1"/>
  <c r="F193"/>
  <c r="G193" s="1"/>
  <c r="F192"/>
  <c r="G192" s="1"/>
  <c r="F191"/>
  <c r="G191" s="1"/>
  <c r="F190"/>
  <c r="G190" s="1"/>
  <c r="G189"/>
  <c r="F189"/>
  <c r="F188"/>
  <c r="G188" s="1"/>
  <c r="G187"/>
  <c r="F187"/>
  <c r="F186"/>
  <c r="G186" s="1"/>
  <c r="F185"/>
  <c r="G185" s="1"/>
  <c r="F184"/>
  <c r="G184" s="1"/>
  <c r="F183"/>
  <c r="G183" s="1"/>
  <c r="F182"/>
  <c r="G182" s="1"/>
  <c r="F181"/>
  <c r="G181" s="1"/>
  <c r="F180"/>
  <c r="G180" s="1"/>
  <c r="F179"/>
  <c r="G179" s="1"/>
  <c r="F178"/>
  <c r="G178" s="1"/>
  <c r="F177"/>
  <c r="G177" s="1"/>
  <c r="F176"/>
  <c r="G176" s="1"/>
  <c r="F175"/>
  <c r="G175" s="1"/>
  <c r="F174"/>
  <c r="G174" s="1"/>
  <c r="G173"/>
  <c r="F173"/>
  <c r="F172"/>
  <c r="G172" s="1"/>
  <c r="G171"/>
  <c r="F171"/>
  <c r="F170"/>
  <c r="G170" s="1"/>
  <c r="F169"/>
  <c r="G169" s="1"/>
  <c r="F168"/>
  <c r="G168" s="1"/>
  <c r="F167"/>
  <c r="G167" s="1"/>
  <c r="F166"/>
  <c r="G166" s="1"/>
  <c r="F165"/>
  <c r="G165" s="1"/>
  <c r="F164"/>
  <c r="G164" s="1"/>
  <c r="F163"/>
  <c r="G163" s="1"/>
  <c r="F162"/>
  <c r="G162" s="1"/>
  <c r="F161"/>
  <c r="G161" s="1"/>
  <c r="F160"/>
  <c r="G160" s="1"/>
  <c r="F159"/>
  <c r="G159" s="1"/>
  <c r="G158"/>
  <c r="F158"/>
  <c r="E158"/>
  <c r="F157"/>
  <c r="G157" s="1"/>
  <c r="E157"/>
  <c r="F156"/>
  <c r="G156" s="1"/>
  <c r="E156"/>
  <c r="G155"/>
  <c r="F155"/>
  <c r="E155"/>
  <c r="F154"/>
  <c r="G154" s="1"/>
  <c r="E154"/>
  <c r="F153"/>
  <c r="G153" s="1"/>
  <c r="E153"/>
  <c r="F152"/>
  <c r="G152" s="1"/>
  <c r="E152"/>
  <c r="F151"/>
  <c r="G151" s="1"/>
  <c r="E151"/>
  <c r="F150"/>
  <c r="G150" s="1"/>
  <c r="H150" s="1"/>
  <c r="E150"/>
  <c r="F145"/>
  <c r="G145" s="1"/>
  <c r="E145"/>
  <c r="F144"/>
  <c r="G144" s="1"/>
  <c r="E144"/>
  <c r="F143"/>
  <c r="G143" s="1"/>
  <c r="E143"/>
  <c r="F142"/>
  <c r="G142" s="1"/>
  <c r="E142"/>
  <c r="G141"/>
  <c r="F141"/>
  <c r="E141"/>
  <c r="F140"/>
  <c r="G140" s="1"/>
  <c r="E140"/>
  <c r="F139"/>
  <c r="G139" s="1"/>
  <c r="E139"/>
  <c r="G138"/>
  <c r="F138"/>
  <c r="E138"/>
  <c r="F137"/>
  <c r="G137" s="1"/>
  <c r="E137"/>
  <c r="F136"/>
  <c r="G136" s="1"/>
  <c r="E136"/>
  <c r="G135"/>
  <c r="F135"/>
  <c r="E135"/>
  <c r="F134"/>
  <c r="G134" s="1"/>
  <c r="E134"/>
  <c r="F133"/>
  <c r="G133" s="1"/>
  <c r="E133"/>
  <c r="F132"/>
  <c r="G132" s="1"/>
  <c r="E132"/>
  <c r="F131"/>
  <c r="G131" s="1"/>
  <c r="E131"/>
  <c r="G130"/>
  <c r="F130"/>
  <c r="E130"/>
  <c r="F129"/>
  <c r="G129" s="1"/>
  <c r="E129"/>
  <c r="F128"/>
  <c r="G128" s="1"/>
  <c r="E128"/>
  <c r="G127"/>
  <c r="F127"/>
  <c r="E127"/>
  <c r="F126"/>
  <c r="G126" s="1"/>
  <c r="E126"/>
  <c r="F125"/>
  <c r="G125" s="1"/>
  <c r="E125"/>
  <c r="F124"/>
  <c r="G124" s="1"/>
  <c r="E124"/>
  <c r="F123"/>
  <c r="G123" s="1"/>
  <c r="E123"/>
  <c r="G122"/>
  <c r="F122"/>
  <c r="E122"/>
  <c r="F121"/>
  <c r="G121" s="1"/>
  <c r="E121"/>
  <c r="F120"/>
  <c r="G120" s="1"/>
  <c r="E120"/>
  <c r="G119"/>
  <c r="F119"/>
  <c r="E119"/>
  <c r="F118"/>
  <c r="G118" s="1"/>
  <c r="E118"/>
  <c r="F117"/>
  <c r="G117" s="1"/>
  <c r="E117"/>
  <c r="F116"/>
  <c r="G116" s="1"/>
  <c r="E116"/>
  <c r="G115"/>
  <c r="F115"/>
  <c r="E115"/>
  <c r="G114"/>
  <c r="F114"/>
  <c r="E114"/>
  <c r="G113"/>
  <c r="F113"/>
  <c r="E113"/>
  <c r="F112"/>
  <c r="G112" s="1"/>
  <c r="E112"/>
  <c r="G111"/>
  <c r="F111"/>
  <c r="E111"/>
  <c r="G110"/>
  <c r="F110"/>
  <c r="E110"/>
  <c r="F109"/>
  <c r="G109" s="1"/>
  <c r="E109"/>
  <c r="F108"/>
  <c r="G108" s="1"/>
  <c r="E108"/>
  <c r="G107"/>
  <c r="F107"/>
  <c r="E107"/>
  <c r="F106"/>
  <c r="G106" s="1"/>
  <c r="E106"/>
  <c r="F105"/>
  <c r="G105" s="1"/>
  <c r="E105"/>
  <c r="F104"/>
  <c r="G104" s="1"/>
  <c r="E104"/>
  <c r="G103"/>
  <c r="F103"/>
  <c r="E103"/>
  <c r="G102"/>
  <c r="F102"/>
  <c r="E102"/>
  <c r="F101"/>
  <c r="G101" s="1"/>
  <c r="E101"/>
  <c r="F100"/>
  <c r="G100" s="1"/>
  <c r="E100"/>
  <c r="G99"/>
  <c r="F99"/>
  <c r="E99"/>
  <c r="F98"/>
  <c r="G98" s="1"/>
  <c r="E98"/>
  <c r="F97"/>
  <c r="G97" s="1"/>
  <c r="E97"/>
  <c r="F96"/>
  <c r="G96" s="1"/>
  <c r="E96"/>
  <c r="G95"/>
  <c r="F95"/>
  <c r="E95"/>
  <c r="G94"/>
  <c r="F94"/>
  <c r="E94"/>
  <c r="F93"/>
  <c r="G93" s="1"/>
  <c r="E93"/>
  <c r="F92"/>
  <c r="G92" s="1"/>
  <c r="E92"/>
  <c r="G91"/>
  <c r="F91"/>
  <c r="E91"/>
  <c r="F90"/>
  <c r="G90" s="1"/>
  <c r="E90"/>
  <c r="F89"/>
  <c r="G89" s="1"/>
  <c r="E89"/>
  <c r="F88"/>
  <c r="G88" s="1"/>
  <c r="E88"/>
  <c r="G87"/>
  <c r="F87"/>
  <c r="E87"/>
  <c r="G86"/>
  <c r="F86"/>
  <c r="E86"/>
  <c r="F85"/>
  <c r="G85" s="1"/>
  <c r="E85"/>
  <c r="F84"/>
  <c r="G84" s="1"/>
  <c r="E84"/>
  <c r="G83"/>
  <c r="F83"/>
  <c r="E83"/>
  <c r="F82"/>
  <c r="G82" s="1"/>
  <c r="E82"/>
  <c r="F81"/>
  <c r="G81" s="1"/>
  <c r="E81"/>
  <c r="F80"/>
  <c r="G80" s="1"/>
  <c r="E80"/>
  <c r="G79"/>
  <c r="F79"/>
  <c r="E79"/>
  <c r="G78"/>
  <c r="F78"/>
  <c r="E78"/>
  <c r="F77"/>
  <c r="G77" s="1"/>
  <c r="E77"/>
  <c r="F76"/>
  <c r="G76" s="1"/>
  <c r="H76" s="1"/>
  <c r="E76"/>
  <c r="G71"/>
  <c r="F71"/>
  <c r="E71"/>
  <c r="F70"/>
  <c r="G70" s="1"/>
  <c r="E70"/>
  <c r="G69"/>
  <c r="F69"/>
  <c r="E69"/>
  <c r="F68"/>
  <c r="G68" s="1"/>
  <c r="E68"/>
  <c r="F67"/>
  <c r="G67" s="1"/>
  <c r="E67"/>
  <c r="G66"/>
  <c r="F66"/>
  <c r="E66"/>
  <c r="F65"/>
  <c r="G65" s="1"/>
  <c r="E65"/>
  <c r="F64"/>
  <c r="G64" s="1"/>
  <c r="E64"/>
  <c r="G63"/>
  <c r="F63"/>
  <c r="E63"/>
  <c r="G62"/>
  <c r="F62"/>
  <c r="E62"/>
  <c r="F61"/>
  <c r="G61" s="1"/>
  <c r="E61"/>
  <c r="F60"/>
  <c r="G60" s="1"/>
  <c r="E60"/>
  <c r="F59"/>
  <c r="G59" s="1"/>
  <c r="E59"/>
  <c r="F58"/>
  <c r="G58" s="1"/>
  <c r="E58"/>
  <c r="F57"/>
  <c r="G57" s="1"/>
  <c r="E57"/>
  <c r="F56"/>
  <c r="G56" s="1"/>
  <c r="E56"/>
  <c r="G55"/>
  <c r="F55"/>
  <c r="E55"/>
  <c r="G54"/>
  <c r="F54"/>
  <c r="E54"/>
  <c r="F53"/>
  <c r="G53" s="1"/>
  <c r="E53"/>
  <c r="F52"/>
  <c r="G52" s="1"/>
  <c r="E52"/>
  <c r="F51"/>
  <c r="G51" s="1"/>
  <c r="E51"/>
  <c r="F50"/>
  <c r="G50" s="1"/>
  <c r="E50"/>
  <c r="F49"/>
  <c r="G49" s="1"/>
  <c r="E49"/>
  <c r="F48"/>
  <c r="G48" s="1"/>
  <c r="E48"/>
  <c r="G47"/>
  <c r="F47"/>
  <c r="E47"/>
  <c r="G46"/>
  <c r="F46"/>
  <c r="E46"/>
  <c r="F45"/>
  <c r="G45" s="1"/>
  <c r="E45"/>
  <c r="F44"/>
  <c r="G44" s="1"/>
  <c r="E44"/>
  <c r="F43"/>
  <c r="G43" s="1"/>
  <c r="E43"/>
  <c r="F42"/>
  <c r="G42" s="1"/>
  <c r="E42"/>
  <c r="F41"/>
  <c r="G41" s="1"/>
  <c r="E41"/>
  <c r="F40"/>
  <c r="G40" s="1"/>
  <c r="E40"/>
  <c r="G39"/>
  <c r="F39"/>
  <c r="E39"/>
  <c r="G38"/>
  <c r="F38"/>
  <c r="E38"/>
  <c r="F37"/>
  <c r="G37" s="1"/>
  <c r="E37"/>
  <c r="F36"/>
  <c r="G36" s="1"/>
  <c r="E36"/>
  <c r="F35"/>
  <c r="G35" s="1"/>
  <c r="E35"/>
  <c r="F34"/>
  <c r="G34" s="1"/>
  <c r="E34"/>
  <c r="F33"/>
  <c r="G33" s="1"/>
  <c r="E33"/>
  <c r="F32"/>
  <c r="G32" s="1"/>
  <c r="E32"/>
  <c r="G31"/>
  <c r="F31"/>
  <c r="E31"/>
  <c r="G30"/>
  <c r="F30"/>
  <c r="E30"/>
  <c r="F29"/>
  <c r="G29" s="1"/>
  <c r="E29"/>
  <c r="F28"/>
  <c r="G28" s="1"/>
  <c r="E28"/>
  <c r="F27"/>
  <c r="G27" s="1"/>
  <c r="E27"/>
  <c r="F26"/>
  <c r="G26" s="1"/>
  <c r="E26"/>
  <c r="G25"/>
  <c r="F25"/>
  <c r="E25"/>
  <c r="F24"/>
  <c r="G24" s="1"/>
  <c r="E24"/>
  <c r="F23"/>
  <c r="G23" s="1"/>
  <c r="E23"/>
  <c r="G22"/>
  <c r="F22"/>
  <c r="E22"/>
  <c r="G21"/>
  <c r="F21"/>
  <c r="E21"/>
  <c r="F20"/>
  <c r="G20" s="1"/>
  <c r="E20"/>
  <c r="G19"/>
  <c r="F19"/>
  <c r="E19"/>
  <c r="G18"/>
  <c r="F18"/>
  <c r="E18"/>
  <c r="F17"/>
  <c r="G17" s="1"/>
  <c r="E17"/>
  <c r="F16"/>
  <c r="G16" s="1"/>
  <c r="E16"/>
  <c r="G15"/>
  <c r="F15"/>
  <c r="E15"/>
  <c r="F14"/>
  <c r="G14" s="1"/>
  <c r="E14"/>
  <c r="F13"/>
  <c r="G13" s="1"/>
  <c r="E13"/>
  <c r="F12"/>
  <c r="G12" s="1"/>
  <c r="E12"/>
  <c r="F11"/>
  <c r="G11" s="1"/>
  <c r="E11"/>
  <c r="F10"/>
  <c r="G10" s="1"/>
  <c r="E10"/>
  <c r="G9"/>
  <c r="F9"/>
  <c r="E9"/>
  <c r="F8"/>
  <c r="G8" s="1"/>
  <c r="E8"/>
  <c r="F7"/>
  <c r="G7" s="1"/>
  <c r="E7"/>
  <c r="G6"/>
  <c r="F6"/>
  <c r="E6"/>
  <c r="F5"/>
  <c r="G5" s="1"/>
  <c r="E5"/>
  <c r="F4"/>
  <c r="G4" s="1"/>
  <c r="E4"/>
  <c r="G3"/>
  <c r="F3"/>
  <c r="E3"/>
  <c r="G2"/>
  <c r="H2" s="1"/>
  <c r="H3" s="1"/>
  <c r="F2"/>
  <c r="E2"/>
  <c r="AY13" i="14" l="1"/>
  <c r="AY109"/>
  <c r="AY112"/>
  <c r="AY17"/>
  <c r="AY9"/>
  <c r="AY16"/>
  <c r="AY10"/>
  <c r="AY113"/>
  <c r="AY14"/>
  <c r="AY108"/>
  <c r="AY107"/>
  <c r="AY105"/>
  <c r="AY111"/>
  <c r="O23" i="23"/>
  <c r="Q23" s="1"/>
  <c r="R23" s="1"/>
  <c r="O26"/>
  <c r="Q26" s="1"/>
  <c r="R26" s="1"/>
  <c r="O20"/>
  <c r="Q20" s="1"/>
  <c r="R20" s="1"/>
  <c r="O22"/>
  <c r="Q22" s="1"/>
  <c r="R22" s="1"/>
  <c r="AZ3" i="14"/>
  <c r="AU102"/>
  <c r="AU103"/>
  <c r="AU106"/>
  <c r="AU104"/>
  <c r="AU105"/>
  <c r="R87" i="17"/>
  <c r="O86"/>
  <c r="AU110" i="14"/>
  <c r="AU109"/>
  <c r="AU113"/>
  <c r="L76" i="17"/>
  <c r="P76" s="1"/>
  <c r="Z76"/>
  <c r="AU111" i="14"/>
  <c r="AU108"/>
  <c r="AU112"/>
  <c r="AU107"/>
  <c r="AU115"/>
  <c r="AU114"/>
  <c r="BA66"/>
  <c r="AU116"/>
  <c r="BA68"/>
  <c r="H25" i="23"/>
  <c r="H28"/>
  <c r="H24"/>
  <c r="H20"/>
  <c r="O21"/>
  <c r="Q21" s="1"/>
  <c r="R21" s="1"/>
  <c r="O25"/>
  <c r="Q25" s="1"/>
  <c r="R25" s="1"/>
  <c r="S129" i="14"/>
  <c r="H151" i="7"/>
  <c r="H77"/>
  <c r="I76"/>
  <c r="H152"/>
  <c r="I151"/>
  <c r="H4"/>
  <c r="I3"/>
  <c r="I2"/>
  <c r="I150"/>
  <c r="S77" i="14"/>
  <c r="S126"/>
  <c r="S32"/>
  <c r="S81"/>
  <c r="S33"/>
  <c r="S127"/>
  <c r="S86"/>
  <c r="S85"/>
  <c r="S132"/>
  <c r="S84"/>
  <c r="S83"/>
  <c r="S131"/>
  <c r="S82"/>
  <c r="S28"/>
  <c r="S124"/>
  <c r="S75"/>
  <c r="D3"/>
  <c r="U3" s="1"/>
  <c r="AC3"/>
  <c r="AC51" s="1"/>
  <c r="AC99" s="1"/>
  <c r="AC27"/>
  <c r="AD4"/>
  <c r="AD52" s="1"/>
  <c r="AD100" s="1"/>
  <c r="D6"/>
  <c r="U6" s="1"/>
  <c r="AC6"/>
  <c r="AC54" s="1"/>
  <c r="AC102" s="1"/>
  <c r="D8"/>
  <c r="U8" s="1"/>
  <c r="AC8"/>
  <c r="AC56" s="1"/>
  <c r="AC104" s="1"/>
  <c r="D10"/>
  <c r="U10" s="1"/>
  <c r="AC10"/>
  <c r="AC58" s="1"/>
  <c r="AC106" s="1"/>
  <c r="AD12"/>
  <c r="AD60" s="1"/>
  <c r="AD108" s="1"/>
  <c r="AC35"/>
  <c r="D14"/>
  <c r="U14" s="1"/>
  <c r="AC14"/>
  <c r="AC62" s="1"/>
  <c r="AC110" s="1"/>
  <c r="D17"/>
  <c r="AC17"/>
  <c r="AC65" s="1"/>
  <c r="AC113" s="1"/>
  <c r="D16"/>
  <c r="U16" s="1"/>
  <c r="AC16"/>
  <c r="AC64" s="1"/>
  <c r="AC112" s="1"/>
  <c r="S136"/>
  <c r="S135"/>
  <c r="S88"/>
  <c r="S79"/>
  <c r="S40"/>
  <c r="S130"/>
  <c r="S36"/>
  <c r="S29"/>
  <c r="S134"/>
  <c r="S78"/>
  <c r="S128"/>
  <c r="S37"/>
  <c r="S80"/>
  <c r="S76"/>
  <c r="S87"/>
  <c r="S123"/>
  <c r="D12"/>
  <c r="U12" s="1"/>
  <c r="AD5"/>
  <c r="AD53" s="1"/>
  <c r="AD101" s="1"/>
  <c r="AC28"/>
  <c r="AD7"/>
  <c r="AD55" s="1"/>
  <c r="AD103" s="1"/>
  <c r="AC30"/>
  <c r="AD9"/>
  <c r="AD57" s="1"/>
  <c r="AD105" s="1"/>
  <c r="AC32"/>
  <c r="AD11"/>
  <c r="AD59" s="1"/>
  <c r="AD107" s="1"/>
  <c r="AC34"/>
  <c r="AD13"/>
  <c r="AD61" s="1"/>
  <c r="AD109" s="1"/>
  <c r="AC36"/>
  <c r="AD15"/>
  <c r="AD63" s="1"/>
  <c r="AD111" s="1"/>
  <c r="AC38"/>
  <c r="D4"/>
  <c r="U4" s="1"/>
  <c r="J25" i="19"/>
  <c r="E26"/>
  <c r="E27" s="1"/>
  <c r="E28" s="1"/>
  <c r="C29"/>
  <c r="D28"/>
  <c r="D29" s="1"/>
  <c r="F28"/>
  <c r="B103" i="14"/>
  <c r="B55"/>
  <c r="V7"/>
  <c r="B107"/>
  <c r="B59"/>
  <c r="V11"/>
  <c r="B61"/>
  <c r="B109"/>
  <c r="V13"/>
  <c r="B99"/>
  <c r="B51"/>
  <c r="V3"/>
  <c r="B52"/>
  <c r="B100"/>
  <c r="V4"/>
  <c r="B102"/>
  <c r="B54"/>
  <c r="V6"/>
  <c r="B56"/>
  <c r="B104"/>
  <c r="V8"/>
  <c r="B106"/>
  <c r="B58"/>
  <c r="V10"/>
  <c r="B60"/>
  <c r="B108"/>
  <c r="V12"/>
  <c r="B110"/>
  <c r="B62"/>
  <c r="V14"/>
  <c r="B65"/>
  <c r="B113"/>
  <c r="V17"/>
  <c r="D7"/>
  <c r="U7" s="1"/>
  <c r="D11"/>
  <c r="U11" s="1"/>
  <c r="B101"/>
  <c r="B53"/>
  <c r="V5"/>
  <c r="B57"/>
  <c r="B105"/>
  <c r="V9"/>
  <c r="B111"/>
  <c r="B63"/>
  <c r="V15"/>
  <c r="B64"/>
  <c r="B112"/>
  <c r="V16"/>
  <c r="D15"/>
  <c r="U15" s="1"/>
  <c r="D5"/>
  <c r="U5" s="1"/>
  <c r="D9"/>
  <c r="U9" s="1"/>
  <c r="D13"/>
  <c r="U13" s="1"/>
  <c r="K26" i="19"/>
  <c r="K27" s="1"/>
  <c r="I26"/>
  <c r="I27" s="1"/>
  <c r="H27"/>
  <c r="BA116" i="14" l="1"/>
  <c r="L86" i="17"/>
  <c r="Z86"/>
  <c r="BA115" i="14"/>
  <c r="BA114"/>
  <c r="R88" i="17"/>
  <c r="O87"/>
  <c r="BA67" i="14"/>
  <c r="R81" i="17"/>
  <c r="X65" i="14"/>
  <c r="U17"/>
  <c r="X60"/>
  <c r="F12"/>
  <c r="F17"/>
  <c r="X61"/>
  <c r="F13"/>
  <c r="G13" s="1"/>
  <c r="X59"/>
  <c r="F11"/>
  <c r="H34" s="1"/>
  <c r="L5"/>
  <c r="N5" s="1"/>
  <c r="X53"/>
  <c r="F5"/>
  <c r="H28" s="1"/>
  <c r="X57"/>
  <c r="F9"/>
  <c r="H32" s="1"/>
  <c r="X55"/>
  <c r="F7"/>
  <c r="G7" s="1"/>
  <c r="X56"/>
  <c r="F8"/>
  <c r="L4"/>
  <c r="X52"/>
  <c r="F4"/>
  <c r="X63"/>
  <c r="F15"/>
  <c r="H38" s="1"/>
  <c r="L16"/>
  <c r="N16" s="1"/>
  <c r="X64"/>
  <c r="F16"/>
  <c r="X62"/>
  <c r="F14"/>
  <c r="X58"/>
  <c r="F10"/>
  <c r="X54"/>
  <c r="F6"/>
  <c r="L3"/>
  <c r="N3" s="1"/>
  <c r="X51"/>
  <c r="F3"/>
  <c r="G3" s="1"/>
  <c r="AF31"/>
  <c r="AF33"/>
  <c r="I77" i="7"/>
  <c r="H78"/>
  <c r="I152"/>
  <c r="H153"/>
  <c r="I4"/>
  <c r="H5"/>
  <c r="AF27" i="14"/>
  <c r="AF30"/>
  <c r="AF38"/>
  <c r="AF36"/>
  <c r="L10"/>
  <c r="N10" s="1"/>
  <c r="AF34"/>
  <c r="L17"/>
  <c r="L12"/>
  <c r="N12" s="1"/>
  <c r="L8"/>
  <c r="N8" s="1"/>
  <c r="AF26"/>
  <c r="AD32"/>
  <c r="AD36"/>
  <c r="AD28"/>
  <c r="L6"/>
  <c r="AD35"/>
  <c r="U38"/>
  <c r="U39"/>
  <c r="U37"/>
  <c r="U33"/>
  <c r="U29"/>
  <c r="U26"/>
  <c r="U28"/>
  <c r="AD16"/>
  <c r="AD64" s="1"/>
  <c r="AD112" s="1"/>
  <c r="AC39"/>
  <c r="AD14"/>
  <c r="AD62" s="1"/>
  <c r="AD110" s="1"/>
  <c r="AC37"/>
  <c r="AD10"/>
  <c r="AD58" s="1"/>
  <c r="AD106" s="1"/>
  <c r="AC33"/>
  <c r="AD6"/>
  <c r="AD54" s="1"/>
  <c r="AD102" s="1"/>
  <c r="AC29"/>
  <c r="AD3"/>
  <c r="AD51" s="1"/>
  <c r="AD99" s="1"/>
  <c r="AC26"/>
  <c r="U32"/>
  <c r="U30"/>
  <c r="U35"/>
  <c r="U40"/>
  <c r="U31"/>
  <c r="AF32"/>
  <c r="AF25"/>
  <c r="L14"/>
  <c r="N14" s="1"/>
  <c r="AF28"/>
  <c r="I3"/>
  <c r="AD38"/>
  <c r="AD34"/>
  <c r="AD30"/>
  <c r="AD27"/>
  <c r="U36"/>
  <c r="U34"/>
  <c r="U27"/>
  <c r="AD17"/>
  <c r="AD65" s="1"/>
  <c r="AD113" s="1"/>
  <c r="AC40"/>
  <c r="AD8"/>
  <c r="AD56" s="1"/>
  <c r="AD104" s="1"/>
  <c r="AC31"/>
  <c r="L13"/>
  <c r="N13" s="1"/>
  <c r="AF37"/>
  <c r="L15"/>
  <c r="N15" s="1"/>
  <c r="J26" i="19"/>
  <c r="J27" s="1"/>
  <c r="J28" s="1"/>
  <c r="F29"/>
  <c r="F30" s="1"/>
  <c r="E29"/>
  <c r="C30"/>
  <c r="D30"/>
  <c r="D108" i="14"/>
  <c r="F108" s="1"/>
  <c r="V108"/>
  <c r="D55"/>
  <c r="F55" s="1"/>
  <c r="V55"/>
  <c r="D64"/>
  <c r="F64" s="1"/>
  <c r="C9" i="23" s="1"/>
  <c r="E9" s="1"/>
  <c r="F9" s="1"/>
  <c r="V64" i="14"/>
  <c r="D53"/>
  <c r="F53" s="1"/>
  <c r="V53"/>
  <c r="V62"/>
  <c r="D62"/>
  <c r="F62" s="1"/>
  <c r="C7" i="23" s="1"/>
  <c r="E7" s="1"/>
  <c r="F7" s="1"/>
  <c r="D60" i="14"/>
  <c r="F60" s="1"/>
  <c r="C5" i="23" s="1"/>
  <c r="E5" s="1"/>
  <c r="F5" s="1"/>
  <c r="V60" i="14"/>
  <c r="V54"/>
  <c r="D54"/>
  <c r="F54" s="1"/>
  <c r="D52"/>
  <c r="F52" s="1"/>
  <c r="V52"/>
  <c r="D59"/>
  <c r="F59" s="1"/>
  <c r="C4" i="23" s="1"/>
  <c r="E4" s="1"/>
  <c r="F4" s="1"/>
  <c r="V59" i="14"/>
  <c r="D103"/>
  <c r="F103" s="1"/>
  <c r="V103"/>
  <c r="L7"/>
  <c r="N7" s="1"/>
  <c r="AF29"/>
  <c r="AF35"/>
  <c r="D112"/>
  <c r="F112" s="1"/>
  <c r="V112"/>
  <c r="D111"/>
  <c r="F111" s="1"/>
  <c r="V111"/>
  <c r="D106"/>
  <c r="F106" s="1"/>
  <c r="V106"/>
  <c r="D100"/>
  <c r="F100" s="1"/>
  <c r="V100"/>
  <c r="D99"/>
  <c r="F99" s="1"/>
  <c r="V99"/>
  <c r="D63"/>
  <c r="F63" s="1"/>
  <c r="C8" i="23" s="1"/>
  <c r="E8" s="1"/>
  <c r="F8" s="1"/>
  <c r="V63" i="14"/>
  <c r="D57"/>
  <c r="F57" s="1"/>
  <c r="C2" i="23" s="1"/>
  <c r="E2" s="1"/>
  <c r="F2" s="1"/>
  <c r="V57" i="14"/>
  <c r="D65"/>
  <c r="F65" s="1"/>
  <c r="C10" i="23" s="1"/>
  <c r="E10" s="1"/>
  <c r="F10" s="1"/>
  <c r="V65" i="14"/>
  <c r="D58"/>
  <c r="F58" s="1"/>
  <c r="C3" i="23" s="1"/>
  <c r="E3" s="1"/>
  <c r="F3" s="1"/>
  <c r="V58" i="14"/>
  <c r="D56"/>
  <c r="F56" s="1"/>
  <c r="V56"/>
  <c r="D51"/>
  <c r="F51" s="1"/>
  <c r="V51"/>
  <c r="D61"/>
  <c r="F61" s="1"/>
  <c r="C6" i="23" s="1"/>
  <c r="E6" s="1"/>
  <c r="F6" s="1"/>
  <c r="V61" i="14"/>
  <c r="D105"/>
  <c r="F105" s="1"/>
  <c r="V105"/>
  <c r="D101"/>
  <c r="F101" s="1"/>
  <c r="V101"/>
  <c r="D113"/>
  <c r="V113"/>
  <c r="D110"/>
  <c r="F110" s="1"/>
  <c r="V110"/>
  <c r="D104"/>
  <c r="F104" s="1"/>
  <c r="V104"/>
  <c r="D102"/>
  <c r="F102" s="1"/>
  <c r="V102"/>
  <c r="D109"/>
  <c r="F109" s="1"/>
  <c r="V109"/>
  <c r="D107"/>
  <c r="F107" s="1"/>
  <c r="V107"/>
  <c r="L11"/>
  <c r="N11" s="1"/>
  <c r="L9"/>
  <c r="N9" s="1"/>
  <c r="K28" i="19"/>
  <c r="H28"/>
  <c r="I28"/>
  <c r="P86" i="17" l="1"/>
  <c r="E44"/>
  <c r="L87"/>
  <c r="Z87"/>
  <c r="R89"/>
  <c r="O88"/>
  <c r="R77"/>
  <c r="R82"/>
  <c r="O81"/>
  <c r="AF39" i="14"/>
  <c r="O6"/>
  <c r="N6"/>
  <c r="N17"/>
  <c r="O17" s="1"/>
  <c r="O4"/>
  <c r="N4"/>
  <c r="U113"/>
  <c r="F113"/>
  <c r="V32"/>
  <c r="H26"/>
  <c r="I26" s="1"/>
  <c r="Z26" s="1"/>
  <c r="V34"/>
  <c r="V28"/>
  <c r="H79" i="7"/>
  <c r="I78"/>
  <c r="I5"/>
  <c r="H6"/>
  <c r="H154"/>
  <c r="I153"/>
  <c r="V31" i="14"/>
  <c r="V35"/>
  <c r="V39"/>
  <c r="V37"/>
  <c r="V27"/>
  <c r="V30"/>
  <c r="G11"/>
  <c r="V40"/>
  <c r="V33"/>
  <c r="AD33"/>
  <c r="V29"/>
  <c r="AD39"/>
  <c r="G5"/>
  <c r="AD31"/>
  <c r="H30"/>
  <c r="I30" s="1"/>
  <c r="H36"/>
  <c r="I36" s="1"/>
  <c r="V36"/>
  <c r="G9"/>
  <c r="H27"/>
  <c r="G4"/>
  <c r="W84"/>
  <c r="H40"/>
  <c r="G17"/>
  <c r="W126"/>
  <c r="X103"/>
  <c r="X9"/>
  <c r="W32"/>
  <c r="W76"/>
  <c r="W74"/>
  <c r="H29"/>
  <c r="G6"/>
  <c r="W85"/>
  <c r="X112"/>
  <c r="W135"/>
  <c r="W75"/>
  <c r="W82"/>
  <c r="W132"/>
  <c r="X109"/>
  <c r="H31"/>
  <c r="G8"/>
  <c r="W88"/>
  <c r="W131"/>
  <c r="X108"/>
  <c r="W78"/>
  <c r="X101"/>
  <c r="W124"/>
  <c r="W125"/>
  <c r="X102"/>
  <c r="W33"/>
  <c r="X10"/>
  <c r="W37"/>
  <c r="X14"/>
  <c r="H39"/>
  <c r="G16"/>
  <c r="W38"/>
  <c r="X15"/>
  <c r="W123"/>
  <c r="X100"/>
  <c r="W130"/>
  <c r="X107"/>
  <c r="W79"/>
  <c r="W136"/>
  <c r="X113"/>
  <c r="W35"/>
  <c r="X12"/>
  <c r="W128"/>
  <c r="X105"/>
  <c r="W122"/>
  <c r="X99"/>
  <c r="W77"/>
  <c r="W81"/>
  <c r="H37"/>
  <c r="G14"/>
  <c r="W87"/>
  <c r="W134"/>
  <c r="X111"/>
  <c r="V38"/>
  <c r="G15"/>
  <c r="AD40"/>
  <c r="AD29"/>
  <c r="AD37"/>
  <c r="W34"/>
  <c r="X11"/>
  <c r="X104"/>
  <c r="W127"/>
  <c r="W83"/>
  <c r="W129"/>
  <c r="X106"/>
  <c r="X4"/>
  <c r="W27"/>
  <c r="X13"/>
  <c r="W36"/>
  <c r="X8"/>
  <c r="W31"/>
  <c r="X17"/>
  <c r="Y17" s="1"/>
  <c r="W40"/>
  <c r="H35"/>
  <c r="G12"/>
  <c r="X7"/>
  <c r="W30"/>
  <c r="W80"/>
  <c r="X5"/>
  <c r="W28"/>
  <c r="W26"/>
  <c r="X3"/>
  <c r="W29"/>
  <c r="X6"/>
  <c r="H33"/>
  <c r="G10"/>
  <c r="X110"/>
  <c r="W133"/>
  <c r="X16"/>
  <c r="W39"/>
  <c r="W86"/>
  <c r="O9"/>
  <c r="O15"/>
  <c r="O16"/>
  <c r="O12"/>
  <c r="D31" i="19"/>
  <c r="D32" s="1"/>
  <c r="D33" s="1"/>
  <c r="D34" s="1"/>
  <c r="F31"/>
  <c r="E30"/>
  <c r="C31"/>
  <c r="U59" i="14"/>
  <c r="L59"/>
  <c r="N59" s="1"/>
  <c r="I59"/>
  <c r="I64"/>
  <c r="U64"/>
  <c r="L64"/>
  <c r="N64" s="1"/>
  <c r="I108"/>
  <c r="L108"/>
  <c r="N108" s="1"/>
  <c r="U108"/>
  <c r="L109"/>
  <c r="N109" s="1"/>
  <c r="I109"/>
  <c r="U109"/>
  <c r="I104"/>
  <c r="U104"/>
  <c r="L104"/>
  <c r="N104" s="1"/>
  <c r="L113"/>
  <c r="N113" s="1"/>
  <c r="I113"/>
  <c r="L105"/>
  <c r="N105" s="1"/>
  <c r="I105"/>
  <c r="U105"/>
  <c r="U51"/>
  <c r="I51"/>
  <c r="L51"/>
  <c r="N51" s="1"/>
  <c r="G51"/>
  <c r="U58"/>
  <c r="L58"/>
  <c r="N58" s="1"/>
  <c r="I58"/>
  <c r="U57"/>
  <c r="L57"/>
  <c r="N57" s="1"/>
  <c r="I57"/>
  <c r="I99"/>
  <c r="L99"/>
  <c r="N99" s="1"/>
  <c r="U99"/>
  <c r="AR99" s="1"/>
  <c r="L106"/>
  <c r="N106" s="1"/>
  <c r="I106"/>
  <c r="U106"/>
  <c r="I112"/>
  <c r="L112"/>
  <c r="N112" s="1"/>
  <c r="U112"/>
  <c r="U54"/>
  <c r="L54"/>
  <c r="N54" s="1"/>
  <c r="I54"/>
  <c r="U62"/>
  <c r="I62"/>
  <c r="L62"/>
  <c r="N62" s="1"/>
  <c r="L103"/>
  <c r="N103" s="1"/>
  <c r="I103"/>
  <c r="U103"/>
  <c r="U52"/>
  <c r="L52"/>
  <c r="N52" s="1"/>
  <c r="I52"/>
  <c r="L60"/>
  <c r="N60" s="1"/>
  <c r="U60"/>
  <c r="I60"/>
  <c r="L53"/>
  <c r="N53" s="1"/>
  <c r="I53"/>
  <c r="U53"/>
  <c r="U55"/>
  <c r="L55"/>
  <c r="N55" s="1"/>
  <c r="I55"/>
  <c r="L107"/>
  <c r="N107" s="1"/>
  <c r="I107"/>
  <c r="U107"/>
  <c r="L102"/>
  <c r="N102" s="1"/>
  <c r="I102"/>
  <c r="U102"/>
  <c r="L110"/>
  <c r="N110" s="1"/>
  <c r="I110"/>
  <c r="U110"/>
  <c r="L101"/>
  <c r="N101" s="1"/>
  <c r="I101"/>
  <c r="U101"/>
  <c r="U61"/>
  <c r="L61"/>
  <c r="N61" s="1"/>
  <c r="I61"/>
  <c r="L56"/>
  <c r="N56" s="1"/>
  <c r="I56"/>
  <c r="U56"/>
  <c r="U65"/>
  <c r="I65"/>
  <c r="L65"/>
  <c r="N65" s="1"/>
  <c r="U63"/>
  <c r="L63"/>
  <c r="N63" s="1"/>
  <c r="I63"/>
  <c r="I100"/>
  <c r="L100"/>
  <c r="N100" s="1"/>
  <c r="U100"/>
  <c r="L111"/>
  <c r="N111" s="1"/>
  <c r="I111"/>
  <c r="U111"/>
  <c r="K29" i="19"/>
  <c r="K30" s="1"/>
  <c r="H29"/>
  <c r="I29"/>
  <c r="I30" s="1"/>
  <c r="J29"/>
  <c r="O11" i="14"/>
  <c r="O13"/>
  <c r="O14"/>
  <c r="O3"/>
  <c r="O10"/>
  <c r="O7"/>
  <c r="O5"/>
  <c r="O8"/>
  <c r="P87" i="17" l="1"/>
  <c r="AS17" i="14"/>
  <c r="AZ17"/>
  <c r="L88" i="17"/>
  <c r="Z88"/>
  <c r="E42"/>
  <c r="E43" s="1"/>
  <c r="E45"/>
  <c r="R90"/>
  <c r="O90" s="1"/>
  <c r="O89"/>
  <c r="O77"/>
  <c r="R78"/>
  <c r="L81"/>
  <c r="Z81"/>
  <c r="R83"/>
  <c r="O82"/>
  <c r="Y5" i="14"/>
  <c r="Y9"/>
  <c r="Y6"/>
  <c r="Y16"/>
  <c r="Y15"/>
  <c r="Y14"/>
  <c r="Y10"/>
  <c r="Y7"/>
  <c r="Y13"/>
  <c r="Y11"/>
  <c r="Y8"/>
  <c r="Y12"/>
  <c r="K51"/>
  <c r="AR51" s="1"/>
  <c r="Y4"/>
  <c r="H74"/>
  <c r="I74" s="1"/>
  <c r="Z74" s="1"/>
  <c r="I38"/>
  <c r="I32"/>
  <c r="I34"/>
  <c r="H80" i="7"/>
  <c r="I79"/>
  <c r="H155"/>
  <c r="I154"/>
  <c r="H7"/>
  <c r="I6"/>
  <c r="X29" i="14"/>
  <c r="Y63"/>
  <c r="Y99"/>
  <c r="Y51"/>
  <c r="I28"/>
  <c r="X129"/>
  <c r="X39"/>
  <c r="X78"/>
  <c r="X85"/>
  <c r="Y112"/>
  <c r="Y56"/>
  <c r="X79"/>
  <c r="X123"/>
  <c r="X33"/>
  <c r="I31"/>
  <c r="X76"/>
  <c r="X126"/>
  <c r="Z17"/>
  <c r="Y113"/>
  <c r="X87"/>
  <c r="I39"/>
  <c r="X86"/>
  <c r="Y61"/>
  <c r="X84"/>
  <c r="X35"/>
  <c r="X131"/>
  <c r="Y108"/>
  <c r="X82"/>
  <c r="Y58"/>
  <c r="X80"/>
  <c r="X32"/>
  <c r="Y57"/>
  <c r="Y105"/>
  <c r="X31"/>
  <c r="Y55"/>
  <c r="I29"/>
  <c r="X77"/>
  <c r="Y101"/>
  <c r="Y100"/>
  <c r="X27"/>
  <c r="Y65"/>
  <c r="Y54"/>
  <c r="Y109"/>
  <c r="Y59"/>
  <c r="Y62"/>
  <c r="Y104"/>
  <c r="Y64"/>
  <c r="X133"/>
  <c r="X28"/>
  <c r="X30"/>
  <c r="Z30" s="1"/>
  <c r="X40"/>
  <c r="X36"/>
  <c r="Z36" s="1"/>
  <c r="X127"/>
  <c r="X81"/>
  <c r="X124"/>
  <c r="X135"/>
  <c r="Y52"/>
  <c r="Y111"/>
  <c r="Y110"/>
  <c r="Y102"/>
  <c r="Y107"/>
  <c r="Y53"/>
  <c r="Y60"/>
  <c r="Y103"/>
  <c r="Y106"/>
  <c r="I33"/>
  <c r="I35"/>
  <c r="X83"/>
  <c r="X34"/>
  <c r="X134"/>
  <c r="I37"/>
  <c r="X128"/>
  <c r="X136"/>
  <c r="X130"/>
  <c r="X38"/>
  <c r="X37"/>
  <c r="X125"/>
  <c r="X88"/>
  <c r="X132"/>
  <c r="X75"/>
  <c r="I40"/>
  <c r="I27"/>
  <c r="G65"/>
  <c r="H88"/>
  <c r="G61"/>
  <c r="H84"/>
  <c r="G110"/>
  <c r="H133"/>
  <c r="G107"/>
  <c r="H130"/>
  <c r="G53"/>
  <c r="H76"/>
  <c r="G103"/>
  <c r="H126"/>
  <c r="G113"/>
  <c r="H136"/>
  <c r="G108"/>
  <c r="H131"/>
  <c r="G54"/>
  <c r="H77"/>
  <c r="G105"/>
  <c r="H128"/>
  <c r="G104"/>
  <c r="H127"/>
  <c r="G64"/>
  <c r="H87"/>
  <c r="G59"/>
  <c r="H82"/>
  <c r="G101"/>
  <c r="H124"/>
  <c r="G52"/>
  <c r="H75"/>
  <c r="G62"/>
  <c r="H85"/>
  <c r="G109"/>
  <c r="H132"/>
  <c r="G63"/>
  <c r="H86"/>
  <c r="G102"/>
  <c r="H125"/>
  <c r="G60"/>
  <c r="H83"/>
  <c r="G106"/>
  <c r="H129"/>
  <c r="G57"/>
  <c r="H80"/>
  <c r="G58"/>
  <c r="H81"/>
  <c r="G111"/>
  <c r="H134"/>
  <c r="G100"/>
  <c r="H123"/>
  <c r="G56"/>
  <c r="H79"/>
  <c r="G55"/>
  <c r="H78"/>
  <c r="G112"/>
  <c r="H135"/>
  <c r="D35" i="19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E31"/>
  <c r="F32"/>
  <c r="C32"/>
  <c r="O111" i="14"/>
  <c r="O56"/>
  <c r="O101"/>
  <c r="O102"/>
  <c r="O60"/>
  <c r="O106"/>
  <c r="O100"/>
  <c r="O61"/>
  <c r="O55"/>
  <c r="O112"/>
  <c r="O57"/>
  <c r="O58"/>
  <c r="O105"/>
  <c r="O109"/>
  <c r="O108"/>
  <c r="O59"/>
  <c r="O65"/>
  <c r="O52"/>
  <c r="O54"/>
  <c r="O99"/>
  <c r="O51"/>
  <c r="O104"/>
  <c r="O64"/>
  <c r="O110"/>
  <c r="O107"/>
  <c r="O53"/>
  <c r="O103"/>
  <c r="O113"/>
  <c r="O63"/>
  <c r="O62"/>
  <c r="K31" i="19"/>
  <c r="J30"/>
  <c r="I31"/>
  <c r="I32" s="1"/>
  <c r="H30"/>
  <c r="P88" i="17" l="1"/>
  <c r="P81"/>
  <c r="Z11" i="14"/>
  <c r="AS11"/>
  <c r="AZ11"/>
  <c r="AS9"/>
  <c r="AZ9"/>
  <c r="U56" i="17"/>
  <c r="AZ110" i="14"/>
  <c r="U6" i="17"/>
  <c r="U46"/>
  <c r="U71"/>
  <c r="Z8" i="14"/>
  <c r="AS8"/>
  <c r="AZ8"/>
  <c r="AS6"/>
  <c r="AZ6"/>
  <c r="U21" i="17"/>
  <c r="U16"/>
  <c r="AS12" i="14"/>
  <c r="BA12" s="1"/>
  <c r="AZ12"/>
  <c r="AS7"/>
  <c r="AZ7"/>
  <c r="AS16"/>
  <c r="BA16" s="1"/>
  <c r="AZ16"/>
  <c r="U61" i="17"/>
  <c r="U26"/>
  <c r="U11"/>
  <c r="U66"/>
  <c r="AZ4" i="14"/>
  <c r="AS14"/>
  <c r="AZ14"/>
  <c r="U51" i="17"/>
  <c r="Z10" i="14"/>
  <c r="AS10"/>
  <c r="AZ10"/>
  <c r="U36" i="17"/>
  <c r="U41"/>
  <c r="U31"/>
  <c r="AS13" i="14"/>
  <c r="AZ13"/>
  <c r="AS15"/>
  <c r="AZ15"/>
  <c r="Z5"/>
  <c r="AZ5"/>
  <c r="U2" i="17"/>
  <c r="L90"/>
  <c r="Z90"/>
  <c r="Z89"/>
  <c r="L89"/>
  <c r="R84"/>
  <c r="O83"/>
  <c r="L82"/>
  <c r="Z82"/>
  <c r="L77"/>
  <c r="P77" s="1"/>
  <c r="Z77"/>
  <c r="O78"/>
  <c r="R79"/>
  <c r="Z13" i="14"/>
  <c r="Z16"/>
  <c r="Z14"/>
  <c r="Z9"/>
  <c r="Z6"/>
  <c r="Z15"/>
  <c r="AS5"/>
  <c r="BA5" s="1"/>
  <c r="Z7"/>
  <c r="Z12"/>
  <c r="BA17"/>
  <c r="AS106"/>
  <c r="AZ106" s="1"/>
  <c r="AS52"/>
  <c r="AS65"/>
  <c r="AS108"/>
  <c r="AZ108" s="1"/>
  <c r="AS112"/>
  <c r="AS54"/>
  <c r="AS55"/>
  <c r="AS56"/>
  <c r="AS103"/>
  <c r="AS102"/>
  <c r="AS59"/>
  <c r="AS105"/>
  <c r="AZ105" s="1"/>
  <c r="AS63"/>
  <c r="AS107"/>
  <c r="AZ107" s="1"/>
  <c r="AS62"/>
  <c r="AS101"/>
  <c r="AS61"/>
  <c r="AS53"/>
  <c r="AS111"/>
  <c r="AZ111" s="1"/>
  <c r="AS104"/>
  <c r="AS100"/>
  <c r="AS60"/>
  <c r="AS110"/>
  <c r="AS64"/>
  <c r="AS109"/>
  <c r="AS57"/>
  <c r="AS58"/>
  <c r="AS113"/>
  <c r="AZ113" s="1"/>
  <c r="AS99"/>
  <c r="AZ99" s="1"/>
  <c r="AS51"/>
  <c r="R2" i="17" s="1"/>
  <c r="Z2" s="1"/>
  <c r="AB2" s="1"/>
  <c r="Z3" i="14"/>
  <c r="K55"/>
  <c r="AR55" s="1"/>
  <c r="K58"/>
  <c r="AR58" s="1"/>
  <c r="K102"/>
  <c r="K52"/>
  <c r="AR52" s="1"/>
  <c r="K104"/>
  <c r="K113"/>
  <c r="K110"/>
  <c r="K112"/>
  <c r="K56"/>
  <c r="AR56" s="1"/>
  <c r="K111"/>
  <c r="K57"/>
  <c r="AR57" s="1"/>
  <c r="K60"/>
  <c r="AR60" s="1"/>
  <c r="K63"/>
  <c r="AR63" s="1"/>
  <c r="K62"/>
  <c r="AR62" s="1"/>
  <c r="K101"/>
  <c r="K64"/>
  <c r="AR64" s="1"/>
  <c r="K105"/>
  <c r="K108"/>
  <c r="K103"/>
  <c r="K107"/>
  <c r="K61"/>
  <c r="AR61" s="1"/>
  <c r="K100"/>
  <c r="K106"/>
  <c r="K109"/>
  <c r="Z109" s="1"/>
  <c r="K59"/>
  <c r="AR59" s="1"/>
  <c r="K54"/>
  <c r="AR54" s="1"/>
  <c r="K53"/>
  <c r="AR53" s="1"/>
  <c r="K65"/>
  <c r="AR65" s="1"/>
  <c r="AS4"/>
  <c r="AS3"/>
  <c r="Z4"/>
  <c r="Z51"/>
  <c r="Z32"/>
  <c r="Z34"/>
  <c r="Z38"/>
  <c r="H8" i="7"/>
  <c r="I7"/>
  <c r="I80"/>
  <c r="H81"/>
  <c r="H156"/>
  <c r="I155"/>
  <c r="Z31" i="14"/>
  <c r="Z39"/>
  <c r="Z29"/>
  <c r="Z33"/>
  <c r="Z28"/>
  <c r="Z37"/>
  <c r="Z40"/>
  <c r="Z35"/>
  <c r="I129"/>
  <c r="Z129" s="1"/>
  <c r="I81"/>
  <c r="Z81" s="1"/>
  <c r="I78"/>
  <c r="Z78" s="1"/>
  <c r="I125"/>
  <c r="Z125" s="1"/>
  <c r="I123"/>
  <c r="Z123" s="1"/>
  <c r="Z27"/>
  <c r="I132"/>
  <c r="Z132" s="1"/>
  <c r="I75"/>
  <c r="Z75" s="1"/>
  <c r="I82"/>
  <c r="Z82" s="1"/>
  <c r="I127"/>
  <c r="Z127" s="1"/>
  <c r="I77"/>
  <c r="Z77" s="1"/>
  <c r="I76"/>
  <c r="Z76" s="1"/>
  <c r="I133"/>
  <c r="Z133" s="1"/>
  <c r="I136"/>
  <c r="Z136" s="1"/>
  <c r="I88"/>
  <c r="Z88" s="1"/>
  <c r="I79"/>
  <c r="Z79" s="1"/>
  <c r="I83"/>
  <c r="Z83" s="1"/>
  <c r="I135"/>
  <c r="Z135" s="1"/>
  <c r="I134"/>
  <c r="Z134" s="1"/>
  <c r="I80"/>
  <c r="Z80" s="1"/>
  <c r="I86"/>
  <c r="Z86" s="1"/>
  <c r="I85"/>
  <c r="Z85" s="1"/>
  <c r="I124"/>
  <c r="Z124" s="1"/>
  <c r="I87"/>
  <c r="Z87" s="1"/>
  <c r="I128"/>
  <c r="Z128" s="1"/>
  <c r="I131"/>
  <c r="Z131" s="1"/>
  <c r="I126"/>
  <c r="Z126" s="1"/>
  <c r="I130"/>
  <c r="Z130" s="1"/>
  <c r="I84"/>
  <c r="Z84" s="1"/>
  <c r="Z53"/>
  <c r="D53" i="19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92" s="1"/>
  <c r="D93" s="1"/>
  <c r="D94" s="1"/>
  <c r="D95" s="1"/>
  <c r="D96" s="1"/>
  <c r="D97" s="1"/>
  <c r="D98" s="1"/>
  <c r="D99" s="1"/>
  <c r="D100" s="1"/>
  <c r="D101" s="1"/>
  <c r="D102" s="1"/>
  <c r="D103" s="1"/>
  <c r="D104" s="1"/>
  <c r="D105" s="1"/>
  <c r="D106" s="1"/>
  <c r="D107" s="1"/>
  <c r="D108" s="1"/>
  <c r="D109" s="1"/>
  <c r="D110" s="1"/>
  <c r="D111" s="1"/>
  <c r="D112" s="1"/>
  <c r="D113" s="1"/>
  <c r="D114" s="1"/>
  <c r="D115" s="1"/>
  <c r="D116" s="1"/>
  <c r="D117" s="1"/>
  <c r="D118" s="1"/>
  <c r="D119" s="1"/>
  <c r="D120" s="1"/>
  <c r="D121" s="1"/>
  <c r="D122" s="1"/>
  <c r="D123" s="1"/>
  <c r="D124" s="1"/>
  <c r="D125" s="1"/>
  <c r="D126" s="1"/>
  <c r="D127" s="1"/>
  <c r="D128" s="1"/>
  <c r="D129" s="1"/>
  <c r="D130" s="1"/>
  <c r="D131" s="1"/>
  <c r="D132" s="1"/>
  <c r="D133" s="1"/>
  <c r="D134" s="1"/>
  <c r="D135" s="1"/>
  <c r="D136" s="1"/>
  <c r="D137" s="1"/>
  <c r="D138" s="1"/>
  <c r="D139" s="1"/>
  <c r="D140" s="1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3" s="1"/>
  <c r="D164" s="1"/>
  <c r="D165" s="1"/>
  <c r="D166" s="1"/>
  <c r="D167" s="1"/>
  <c r="D168" s="1"/>
  <c r="D169" s="1"/>
  <c r="D170" s="1"/>
  <c r="D171" s="1"/>
  <c r="D172" s="1"/>
  <c r="D173" s="1"/>
  <c r="D174" s="1"/>
  <c r="D175" s="1"/>
  <c r="D176" s="1"/>
  <c r="D177" s="1"/>
  <c r="D178" s="1"/>
  <c r="D179" s="1"/>
  <c r="D180" s="1"/>
  <c r="D181" s="1"/>
  <c r="D182" s="1"/>
  <c r="D183" s="1"/>
  <c r="D184" s="1"/>
  <c r="D185" s="1"/>
  <c r="D186" s="1"/>
  <c r="D187" s="1"/>
  <c r="D188" s="1"/>
  <c r="D189" s="1"/>
  <c r="D190" s="1"/>
  <c r="D191" s="1"/>
  <c r="D192" s="1"/>
  <c r="D193" s="1"/>
  <c r="D194" s="1"/>
  <c r="D195" s="1"/>
  <c r="D196" s="1"/>
  <c r="D197" s="1"/>
  <c r="D198" s="1"/>
  <c r="D199" s="1"/>
  <c r="D200" s="1"/>
  <c r="D201" s="1"/>
  <c r="D202" s="1"/>
  <c r="D203" s="1"/>
  <c r="D204" s="1"/>
  <c r="D205" s="1"/>
  <c r="D206" s="1"/>
  <c r="D207" s="1"/>
  <c r="D208" s="1"/>
  <c r="D209" s="1"/>
  <c r="D210" s="1"/>
  <c r="D211" s="1"/>
  <c r="D212" s="1"/>
  <c r="D213" s="1"/>
  <c r="D214" s="1"/>
  <c r="D215" s="1"/>
  <c r="D216" s="1"/>
  <c r="D217" s="1"/>
  <c r="D218" s="1"/>
  <c r="D219" s="1"/>
  <c r="D220" s="1"/>
  <c r="D221" s="1"/>
  <c r="D222" s="1"/>
  <c r="D223" s="1"/>
  <c r="D224" s="1"/>
  <c r="D225" s="1"/>
  <c r="D226" s="1"/>
  <c r="D227" s="1"/>
  <c r="D228" s="1"/>
  <c r="D229" s="1"/>
  <c r="D230" s="1"/>
  <c r="D231" s="1"/>
  <c r="D232" s="1"/>
  <c r="D233" s="1"/>
  <c r="D234" s="1"/>
  <c r="D235" s="1"/>
  <c r="D236" s="1"/>
  <c r="D237" s="1"/>
  <c r="D238" s="1"/>
  <c r="D239" s="1"/>
  <c r="D240" s="1"/>
  <c r="D241" s="1"/>
  <c r="D242" s="1"/>
  <c r="D243" s="1"/>
  <c r="D244" s="1"/>
  <c r="D245" s="1"/>
  <c r="D246" s="1"/>
  <c r="D247" s="1"/>
  <c r="D248" s="1"/>
  <c r="D249" s="1"/>
  <c r="D250" s="1"/>
  <c r="D251" s="1"/>
  <c r="D252" s="1"/>
  <c r="D253" s="1"/>
  <c r="D254" s="1"/>
  <c r="D255" s="1"/>
  <c r="D256" s="1"/>
  <c r="D257" s="1"/>
  <c r="D258" s="1"/>
  <c r="D259" s="1"/>
  <c r="D260" s="1"/>
  <c r="D261" s="1"/>
  <c r="D262" s="1"/>
  <c r="D263" s="1"/>
  <c r="D264" s="1"/>
  <c r="D265" s="1"/>
  <c r="D266" s="1"/>
  <c r="D267" s="1"/>
  <c r="D268" s="1"/>
  <c r="D269" s="1"/>
  <c r="D270" s="1"/>
  <c r="D271" s="1"/>
  <c r="D272" s="1"/>
  <c r="D273" s="1"/>
  <c r="D274" s="1"/>
  <c r="D275" s="1"/>
  <c r="D276" s="1"/>
  <c r="D277" s="1"/>
  <c r="D278" s="1"/>
  <c r="D279" s="1"/>
  <c r="D280" s="1"/>
  <c r="D281" s="1"/>
  <c r="D282" s="1"/>
  <c r="D283" s="1"/>
  <c r="D284" s="1"/>
  <c r="D285" s="1"/>
  <c r="D286" s="1"/>
  <c r="D287" s="1"/>
  <c r="D288" s="1"/>
  <c r="D289" s="1"/>
  <c r="D290" s="1"/>
  <c r="D291" s="1"/>
  <c r="D292" s="1"/>
  <c r="D293" s="1"/>
  <c r="D294" s="1"/>
  <c r="D295" s="1"/>
  <c r="D296" s="1"/>
  <c r="D297" s="1"/>
  <c r="D298" s="1"/>
  <c r="D299" s="1"/>
  <c r="D300" s="1"/>
  <c r="D301" s="1"/>
  <c r="D302" s="1"/>
  <c r="D303" s="1"/>
  <c r="D304" s="1"/>
  <c r="D305" s="1"/>
  <c r="D306" s="1"/>
  <c r="D307" s="1"/>
  <c r="D308" s="1"/>
  <c r="D309" s="1"/>
  <c r="D310" s="1"/>
  <c r="D311" s="1"/>
  <c r="D312" s="1"/>
  <c r="D313" s="1"/>
  <c r="D314" s="1"/>
  <c r="D315" s="1"/>
  <c r="D316" s="1"/>
  <c r="D317" s="1"/>
  <c r="D318" s="1"/>
  <c r="D319" s="1"/>
  <c r="D320" s="1"/>
  <c r="D321" s="1"/>
  <c r="D322" s="1"/>
  <c r="D323" s="1"/>
  <c r="D324" s="1"/>
  <c r="D325" s="1"/>
  <c r="D326" s="1"/>
  <c r="D327" s="1"/>
  <c r="D328" s="1"/>
  <c r="D329" s="1"/>
  <c r="D330" s="1"/>
  <c r="D331" s="1"/>
  <c r="D332" s="1"/>
  <c r="D333" s="1"/>
  <c r="D334" s="1"/>
  <c r="D335" s="1"/>
  <c r="D336" s="1"/>
  <c r="D337" s="1"/>
  <c r="D338" s="1"/>
  <c r="D339" s="1"/>
  <c r="D340" s="1"/>
  <c r="D341" s="1"/>
  <c r="D342" s="1"/>
  <c r="D343" s="1"/>
  <c r="D344" s="1"/>
  <c r="D345" s="1"/>
  <c r="D346" s="1"/>
  <c r="D347" s="1"/>
  <c r="D348" s="1"/>
  <c r="D349" s="1"/>
  <c r="D350" s="1"/>
  <c r="D351" s="1"/>
  <c r="D352" s="1"/>
  <c r="D353" s="1"/>
  <c r="D354" s="1"/>
  <c r="D355" s="1"/>
  <c r="D356" s="1"/>
  <c r="D357" s="1"/>
  <c r="D358" s="1"/>
  <c r="D359" s="1"/>
  <c r="D360" s="1"/>
  <c r="D361" s="1"/>
  <c r="D362" s="1"/>
  <c r="D363" s="1"/>
  <c r="D364" s="1"/>
  <c r="D365" s="1"/>
  <c r="D366" s="1"/>
  <c r="D367" s="1"/>
  <c r="D368" s="1"/>
  <c r="D369" s="1"/>
  <c r="D370" s="1"/>
  <c r="D371" s="1"/>
  <c r="D372" s="1"/>
  <c r="D373" s="1"/>
  <c r="D374" s="1"/>
  <c r="D375" s="1"/>
  <c r="D376" s="1"/>
  <c r="D377" s="1"/>
  <c r="D378" s="1"/>
  <c r="D379" s="1"/>
  <c r="D380" s="1"/>
  <c r="D381" s="1"/>
  <c r="D382" s="1"/>
  <c r="D383" s="1"/>
  <c r="D384" s="1"/>
  <c r="D385" s="1"/>
  <c r="D386" s="1"/>
  <c r="D387" s="1"/>
  <c r="D388" s="1"/>
  <c r="D389" s="1"/>
  <c r="D390" s="1"/>
  <c r="D391" s="1"/>
  <c r="D392" s="1"/>
  <c r="D393" s="1"/>
  <c r="D394" s="1"/>
  <c r="D395" s="1"/>
  <c r="D396" s="1"/>
  <c r="D397" s="1"/>
  <c r="D398" s="1"/>
  <c r="D399" s="1"/>
  <c r="D400" s="1"/>
  <c r="D401" s="1"/>
  <c r="D402" s="1"/>
  <c r="D403" s="1"/>
  <c r="D404" s="1"/>
  <c r="D405" s="1"/>
  <c r="D406" s="1"/>
  <c r="D407" s="1"/>
  <c r="D408" s="1"/>
  <c r="D409" s="1"/>
  <c r="D410" s="1"/>
  <c r="D411" s="1"/>
  <c r="D412" s="1"/>
  <c r="D413" s="1"/>
  <c r="D414" s="1"/>
  <c r="D415" s="1"/>
  <c r="D416" s="1"/>
  <c r="D417" s="1"/>
  <c r="D418" s="1"/>
  <c r="D419" s="1"/>
  <c r="D420" s="1"/>
  <c r="D421" s="1"/>
  <c r="D422" s="1"/>
  <c r="D423" s="1"/>
  <c r="D424" s="1"/>
  <c r="D425" s="1"/>
  <c r="D426" s="1"/>
  <c r="D427" s="1"/>
  <c r="D428" s="1"/>
  <c r="D429" s="1"/>
  <c r="D430" s="1"/>
  <c r="D431" s="1"/>
  <c r="D432" s="1"/>
  <c r="D433" s="1"/>
  <c r="D434" s="1"/>
  <c r="D435" s="1"/>
  <c r="D436" s="1"/>
  <c r="D437" s="1"/>
  <c r="D438" s="1"/>
  <c r="D439" s="1"/>
  <c r="D440" s="1"/>
  <c r="D441" s="1"/>
  <c r="D442" s="1"/>
  <c r="D443" s="1"/>
  <c r="D444" s="1"/>
  <c r="D445" s="1"/>
  <c r="D446" s="1"/>
  <c r="D447" s="1"/>
  <c r="D448" s="1"/>
  <c r="D449" s="1"/>
  <c r="D450" s="1"/>
  <c r="D451" s="1"/>
  <c r="D452" s="1"/>
  <c r="D453" s="1"/>
  <c r="D454" s="1"/>
  <c r="D455" s="1"/>
  <c r="D456" s="1"/>
  <c r="D457" s="1"/>
  <c r="D458" s="1"/>
  <c r="D459" s="1"/>
  <c r="D460" s="1"/>
  <c r="D461" s="1"/>
  <c r="D462" s="1"/>
  <c r="D463" s="1"/>
  <c r="D464" s="1"/>
  <c r="D465" s="1"/>
  <c r="D466" s="1"/>
  <c r="D467" s="1"/>
  <c r="D468" s="1"/>
  <c r="D469" s="1"/>
  <c r="D470" s="1"/>
  <c r="D471" s="1"/>
  <c r="D472" s="1"/>
  <c r="D473" s="1"/>
  <c r="D474" s="1"/>
  <c r="D475" s="1"/>
  <c r="D476" s="1"/>
  <c r="D477" s="1"/>
  <c r="D478" s="1"/>
  <c r="D479" s="1"/>
  <c r="D480" s="1"/>
  <c r="D481" s="1"/>
  <c r="D482" s="1"/>
  <c r="D483" s="1"/>
  <c r="D484" s="1"/>
  <c r="D485" s="1"/>
  <c r="D486" s="1"/>
  <c r="D487" s="1"/>
  <c r="D488" s="1"/>
  <c r="D489" s="1"/>
  <c r="D490" s="1"/>
  <c r="D491" s="1"/>
  <c r="D492" s="1"/>
  <c r="D493" s="1"/>
  <c r="D494" s="1"/>
  <c r="D495" s="1"/>
  <c r="D496" s="1"/>
  <c r="D497" s="1"/>
  <c r="D498" s="1"/>
  <c r="D499" s="1"/>
  <c r="D500" s="1"/>
  <c r="D501" s="1"/>
  <c r="D502" s="1"/>
  <c r="D503" s="1"/>
  <c r="D504" s="1"/>
  <c r="D505" s="1"/>
  <c r="D506" s="1"/>
  <c r="D507" s="1"/>
  <c r="D508" s="1"/>
  <c r="D509" s="1"/>
  <c r="D510" s="1"/>
  <c r="D511" s="1"/>
  <c r="D512" s="1"/>
  <c r="D513" s="1"/>
  <c r="D514" s="1"/>
  <c r="D515" s="1"/>
  <c r="D516" s="1"/>
  <c r="D517" s="1"/>
  <c r="D518" s="1"/>
  <c r="D519" s="1"/>
  <c r="J31"/>
  <c r="E32"/>
  <c r="C33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F33"/>
  <c r="Z60" i="14"/>
  <c r="Z107"/>
  <c r="Z65"/>
  <c r="Z104"/>
  <c r="Z99"/>
  <c r="I33" i="19"/>
  <c r="H31"/>
  <c r="K32"/>
  <c r="P90" i="17" l="1"/>
  <c r="P82"/>
  <c r="P89"/>
  <c r="AY65" i="14"/>
  <c r="AY57"/>
  <c r="BA10"/>
  <c r="BA14"/>
  <c r="AY60"/>
  <c r="AY61"/>
  <c r="AY64"/>
  <c r="AY59"/>
  <c r="AY63"/>
  <c r="AY62"/>
  <c r="AY58"/>
  <c r="BA15"/>
  <c r="BA9"/>
  <c r="AZ51"/>
  <c r="AZ109"/>
  <c r="AZ112"/>
  <c r="BA107"/>
  <c r="BA99"/>
  <c r="AZ65"/>
  <c r="R51" i="17"/>
  <c r="O51" s="1"/>
  <c r="AZ61" i="14"/>
  <c r="AZ63"/>
  <c r="R26" i="17"/>
  <c r="Z26" s="1"/>
  <c r="AB26" s="1"/>
  <c r="AZ56" i="14"/>
  <c r="R21" i="17"/>
  <c r="AZ55" i="14"/>
  <c r="R41" i="17"/>
  <c r="O41" s="1"/>
  <c r="L41" s="1"/>
  <c r="P41" s="1"/>
  <c r="AZ59" i="14"/>
  <c r="AZ62"/>
  <c r="R36" i="17"/>
  <c r="O36" s="1"/>
  <c r="L36" s="1"/>
  <c r="P36" s="1"/>
  <c r="AZ58" i="14"/>
  <c r="R16" i="17"/>
  <c r="Z16" s="1"/>
  <c r="AB16" s="1"/>
  <c r="AZ54" i="14"/>
  <c r="R31" i="17"/>
  <c r="Z31" s="1"/>
  <c r="AB31" s="1"/>
  <c r="AZ57" i="14"/>
  <c r="R11" i="17"/>
  <c r="R12" s="1"/>
  <c r="Z12" s="1"/>
  <c r="AB12" s="1"/>
  <c r="AZ53" i="14"/>
  <c r="R66" i="17"/>
  <c r="O66" s="1"/>
  <c r="L66" s="1"/>
  <c r="AZ64" i="14"/>
  <c r="AZ60"/>
  <c r="R6" i="17"/>
  <c r="Z6" s="1"/>
  <c r="AB6" s="1"/>
  <c r="AZ52" i="14"/>
  <c r="O2" i="17"/>
  <c r="R80"/>
  <c r="O80" s="1"/>
  <c r="O79"/>
  <c r="R85"/>
  <c r="O85" s="1"/>
  <c r="O84"/>
  <c r="L83"/>
  <c r="Z83"/>
  <c r="L78"/>
  <c r="P78" s="1"/>
  <c r="Z78"/>
  <c r="BA8" i="14"/>
  <c r="BA13"/>
  <c r="BA7"/>
  <c r="BA11"/>
  <c r="BA6"/>
  <c r="V11" i="17"/>
  <c r="W11" s="1"/>
  <c r="X11" s="1"/>
  <c r="Z106" i="14"/>
  <c r="V56" i="17"/>
  <c r="W56" s="1"/>
  <c r="X56" s="1"/>
  <c r="Z102" i="14"/>
  <c r="AR102"/>
  <c r="Z21" i="17"/>
  <c r="AB21" s="1"/>
  <c r="AR103" i="14"/>
  <c r="V31" i="17"/>
  <c r="W31" s="1"/>
  <c r="X31" s="1"/>
  <c r="Z59" i="14"/>
  <c r="V41" i="17"/>
  <c r="W41" s="1"/>
  <c r="X41" s="1"/>
  <c r="V66"/>
  <c r="W66" s="1"/>
  <c r="X66" s="1"/>
  <c r="V46"/>
  <c r="W46" s="1"/>
  <c r="X46" s="1"/>
  <c r="AR104" i="14"/>
  <c r="Z55"/>
  <c r="V21" i="17"/>
  <c r="W21" s="1"/>
  <c r="X21" s="1"/>
  <c r="Z108" i="14"/>
  <c r="V71" i="17"/>
  <c r="W71" s="1"/>
  <c r="X71" s="1"/>
  <c r="Z111" i="14"/>
  <c r="Z62"/>
  <c r="V2" i="17"/>
  <c r="W2" s="1"/>
  <c r="X2" s="1"/>
  <c r="Z54" i="14"/>
  <c r="V16" i="17"/>
  <c r="W16" s="1"/>
  <c r="X16" s="1"/>
  <c r="AR100" i="14"/>
  <c r="Z61"/>
  <c r="V51" i="17"/>
  <c r="W51" s="1"/>
  <c r="X51" s="1"/>
  <c r="V61"/>
  <c r="W61" s="1"/>
  <c r="X61" s="1"/>
  <c r="Z56" i="14"/>
  <c r="V26" i="17"/>
  <c r="W26" s="1"/>
  <c r="X26" s="1"/>
  <c r="V36"/>
  <c r="W36" s="1"/>
  <c r="X36" s="1"/>
  <c r="AR101" i="14"/>
  <c r="V6" i="17"/>
  <c r="W6" s="1"/>
  <c r="X6" s="1"/>
  <c r="U22"/>
  <c r="U52"/>
  <c r="U37"/>
  <c r="U42"/>
  <c r="U17"/>
  <c r="U27"/>
  <c r="U67"/>
  <c r="U72"/>
  <c r="U32"/>
  <c r="U47"/>
  <c r="U12"/>
  <c r="U57"/>
  <c r="U7"/>
  <c r="W7" s="1"/>
  <c r="X7" s="1"/>
  <c r="U62"/>
  <c r="BA51" i="14"/>
  <c r="U3" i="17"/>
  <c r="W3" s="1"/>
  <c r="X3" s="1"/>
  <c r="Z64" i="14"/>
  <c r="Z57"/>
  <c r="Z112"/>
  <c r="Z103"/>
  <c r="Z52"/>
  <c r="BA3"/>
  <c r="Z63"/>
  <c r="Z58"/>
  <c r="Z113"/>
  <c r="Z100"/>
  <c r="BA4"/>
  <c r="Z105"/>
  <c r="Z110"/>
  <c r="I156" i="7"/>
  <c r="H157"/>
  <c r="I8"/>
  <c r="H9"/>
  <c r="I81"/>
  <c r="H82"/>
  <c r="Z101" i="14"/>
  <c r="F34" i="19"/>
  <c r="F35" s="1"/>
  <c r="F36" s="1"/>
  <c r="F37" s="1"/>
  <c r="F38" s="1"/>
  <c r="F39" s="1"/>
  <c r="F40" s="1"/>
  <c r="F41" s="1"/>
  <c r="F42" s="1"/>
  <c r="F43" s="1"/>
  <c r="F44" s="1"/>
  <c r="F45" s="1"/>
  <c r="F46" s="1"/>
  <c r="F47" s="1"/>
  <c r="F48" s="1"/>
  <c r="F49" s="1"/>
  <c r="F50" s="1"/>
  <c r="F51" s="1"/>
  <c r="F52" s="1"/>
  <c r="F53" s="1"/>
  <c r="F54" s="1"/>
  <c r="F55" s="1"/>
  <c r="F56" s="1"/>
  <c r="F57" s="1"/>
  <c r="F58" s="1"/>
  <c r="F59" s="1"/>
  <c r="F60" s="1"/>
  <c r="F61" s="1"/>
  <c r="F62" s="1"/>
  <c r="F63" s="1"/>
  <c r="F64" s="1"/>
  <c r="F65" s="1"/>
  <c r="F66" s="1"/>
  <c r="F67" s="1"/>
  <c r="F68" s="1"/>
  <c r="F69" s="1"/>
  <c r="F70" s="1"/>
  <c r="F71" s="1"/>
  <c r="F72" s="1"/>
  <c r="F73" s="1"/>
  <c r="F74" s="1"/>
  <c r="F75" s="1"/>
  <c r="F76" s="1"/>
  <c r="F77" s="1"/>
  <c r="F78" s="1"/>
  <c r="F79" s="1"/>
  <c r="F80" s="1"/>
  <c r="F81" s="1"/>
  <c r="F82" s="1"/>
  <c r="F83" s="1"/>
  <c r="F84" s="1"/>
  <c r="F85" s="1"/>
  <c r="F86" s="1"/>
  <c r="F87" s="1"/>
  <c r="F88" s="1"/>
  <c r="F89" s="1"/>
  <c r="F90" s="1"/>
  <c r="F91" s="1"/>
  <c r="F92" s="1"/>
  <c r="F93" s="1"/>
  <c r="F94" s="1"/>
  <c r="F95" s="1"/>
  <c r="F96" s="1"/>
  <c r="F97" s="1"/>
  <c r="F98" s="1"/>
  <c r="F99" s="1"/>
  <c r="F100" s="1"/>
  <c r="F101" s="1"/>
  <c r="F102" s="1"/>
  <c r="F103" s="1"/>
  <c r="F104" s="1"/>
  <c r="F105" s="1"/>
  <c r="F106" s="1"/>
  <c r="F107" s="1"/>
  <c r="F108" s="1"/>
  <c r="F109" s="1"/>
  <c r="F110" s="1"/>
  <c r="F111" s="1"/>
  <c r="F112" s="1"/>
  <c r="F113" s="1"/>
  <c r="F114" s="1"/>
  <c r="F115" s="1"/>
  <c r="F116" s="1"/>
  <c r="F117" s="1"/>
  <c r="F118" s="1"/>
  <c r="F119" s="1"/>
  <c r="F120" s="1"/>
  <c r="F121" s="1"/>
  <c r="F122" s="1"/>
  <c r="F123" s="1"/>
  <c r="F124" s="1"/>
  <c r="F125" s="1"/>
  <c r="F126" s="1"/>
  <c r="F127" s="1"/>
  <c r="F128" s="1"/>
  <c r="F129" s="1"/>
  <c r="F130" s="1"/>
  <c r="F131" s="1"/>
  <c r="F132" s="1"/>
  <c r="F133" s="1"/>
  <c r="F134" s="1"/>
  <c r="F135" s="1"/>
  <c r="F136" s="1"/>
  <c r="F137" s="1"/>
  <c r="F138" s="1"/>
  <c r="F139" s="1"/>
  <c r="F140" s="1"/>
  <c r="F141" s="1"/>
  <c r="F142" s="1"/>
  <c r="F143" s="1"/>
  <c r="F144" s="1"/>
  <c r="F145" s="1"/>
  <c r="F146" s="1"/>
  <c r="F147" s="1"/>
  <c r="F148" s="1"/>
  <c r="F149" s="1"/>
  <c r="F150" s="1"/>
  <c r="F151" s="1"/>
  <c r="F152" s="1"/>
  <c r="F153" s="1"/>
  <c r="F154" s="1"/>
  <c r="F155" s="1"/>
  <c r="F156" s="1"/>
  <c r="F157" s="1"/>
  <c r="F158" s="1"/>
  <c r="F159" s="1"/>
  <c r="F160" s="1"/>
  <c r="F161" s="1"/>
  <c r="F162" s="1"/>
  <c r="F163" s="1"/>
  <c r="F164" s="1"/>
  <c r="F165" s="1"/>
  <c r="F166" s="1"/>
  <c r="F167" s="1"/>
  <c r="F168" s="1"/>
  <c r="F169" s="1"/>
  <c r="F170" s="1"/>
  <c r="F171" s="1"/>
  <c r="F172" s="1"/>
  <c r="F173" s="1"/>
  <c r="F174" s="1"/>
  <c r="F175" s="1"/>
  <c r="F176" s="1"/>
  <c r="F177" s="1"/>
  <c r="F178" s="1"/>
  <c r="F179" s="1"/>
  <c r="F180" s="1"/>
  <c r="F181" s="1"/>
  <c r="F182" s="1"/>
  <c r="F183" s="1"/>
  <c r="F184" s="1"/>
  <c r="F185" s="1"/>
  <c r="F186" s="1"/>
  <c r="F187" s="1"/>
  <c r="F188" s="1"/>
  <c r="F189" s="1"/>
  <c r="F190" s="1"/>
  <c r="F191" s="1"/>
  <c r="F192" s="1"/>
  <c r="F193" s="1"/>
  <c r="F194" s="1"/>
  <c r="F195" s="1"/>
  <c r="F196" s="1"/>
  <c r="F197" s="1"/>
  <c r="F198" s="1"/>
  <c r="F199" s="1"/>
  <c r="F200" s="1"/>
  <c r="F201" s="1"/>
  <c r="F202" s="1"/>
  <c r="F203" s="1"/>
  <c r="F204" s="1"/>
  <c r="F205" s="1"/>
  <c r="F206" s="1"/>
  <c r="F207" s="1"/>
  <c r="F208" s="1"/>
  <c r="F209" s="1"/>
  <c r="F210" s="1"/>
  <c r="F211" s="1"/>
  <c r="F212" s="1"/>
  <c r="F213" s="1"/>
  <c r="F214" s="1"/>
  <c r="F215" s="1"/>
  <c r="F216" s="1"/>
  <c r="F217" s="1"/>
  <c r="F218" s="1"/>
  <c r="F219" s="1"/>
  <c r="F220" s="1"/>
  <c r="F221" s="1"/>
  <c r="F222" s="1"/>
  <c r="F223" s="1"/>
  <c r="F224" s="1"/>
  <c r="F225" s="1"/>
  <c r="F226" s="1"/>
  <c r="F227" s="1"/>
  <c r="F228" s="1"/>
  <c r="F229" s="1"/>
  <c r="F230" s="1"/>
  <c r="F231" s="1"/>
  <c r="F232" s="1"/>
  <c r="F233" s="1"/>
  <c r="F234" s="1"/>
  <c r="F235" s="1"/>
  <c r="F236" s="1"/>
  <c r="F237" s="1"/>
  <c r="F238" s="1"/>
  <c r="F239" s="1"/>
  <c r="F240" s="1"/>
  <c r="F241" s="1"/>
  <c r="F242" s="1"/>
  <c r="F243" s="1"/>
  <c r="F244" s="1"/>
  <c r="F245" s="1"/>
  <c r="F246" s="1"/>
  <c r="F247" s="1"/>
  <c r="F248" s="1"/>
  <c r="F249" s="1"/>
  <c r="F250" s="1"/>
  <c r="F251" s="1"/>
  <c r="F252" s="1"/>
  <c r="F253" s="1"/>
  <c r="F254" s="1"/>
  <c r="F255" s="1"/>
  <c r="F256" s="1"/>
  <c r="F257" s="1"/>
  <c r="F258" s="1"/>
  <c r="F259" s="1"/>
  <c r="F260" s="1"/>
  <c r="F261" s="1"/>
  <c r="F262" s="1"/>
  <c r="F263" s="1"/>
  <c r="F264" s="1"/>
  <c r="F265" s="1"/>
  <c r="F266" s="1"/>
  <c r="F267" s="1"/>
  <c r="F268" s="1"/>
  <c r="F269" s="1"/>
  <c r="F270" s="1"/>
  <c r="F271" s="1"/>
  <c r="F272" s="1"/>
  <c r="F273" s="1"/>
  <c r="F274" s="1"/>
  <c r="F275" s="1"/>
  <c r="F276" s="1"/>
  <c r="F277" s="1"/>
  <c r="F278" s="1"/>
  <c r="F279" s="1"/>
  <c r="F280" s="1"/>
  <c r="F281" s="1"/>
  <c r="F282" s="1"/>
  <c r="F283" s="1"/>
  <c r="F284" s="1"/>
  <c r="F285" s="1"/>
  <c r="F286" s="1"/>
  <c r="F287" s="1"/>
  <c r="F288" s="1"/>
  <c r="F289" s="1"/>
  <c r="F290" s="1"/>
  <c r="F291" s="1"/>
  <c r="F292" s="1"/>
  <c r="F293" s="1"/>
  <c r="F294" s="1"/>
  <c r="F295" s="1"/>
  <c r="F296" s="1"/>
  <c r="F297" s="1"/>
  <c r="F298" s="1"/>
  <c r="F299" s="1"/>
  <c r="F300" s="1"/>
  <c r="F301" s="1"/>
  <c r="F302" s="1"/>
  <c r="F303" s="1"/>
  <c r="F304" s="1"/>
  <c r="F305" s="1"/>
  <c r="F306" s="1"/>
  <c r="F307" s="1"/>
  <c r="F308" s="1"/>
  <c r="F309" s="1"/>
  <c r="F310" s="1"/>
  <c r="F311" s="1"/>
  <c r="F312" s="1"/>
  <c r="F313" s="1"/>
  <c r="F314" s="1"/>
  <c r="F315" s="1"/>
  <c r="F316" s="1"/>
  <c r="F317" s="1"/>
  <c r="F318" s="1"/>
  <c r="F319" s="1"/>
  <c r="F320" s="1"/>
  <c r="F321" s="1"/>
  <c r="F322" s="1"/>
  <c r="F323" s="1"/>
  <c r="F324" s="1"/>
  <c r="F325" s="1"/>
  <c r="F326" s="1"/>
  <c r="F327" s="1"/>
  <c r="F328" s="1"/>
  <c r="F329" s="1"/>
  <c r="F330" s="1"/>
  <c r="F331" s="1"/>
  <c r="F332" s="1"/>
  <c r="F333" s="1"/>
  <c r="F334" s="1"/>
  <c r="F335" s="1"/>
  <c r="F336" s="1"/>
  <c r="F337" s="1"/>
  <c r="F338" s="1"/>
  <c r="F339" s="1"/>
  <c r="F340" s="1"/>
  <c r="F341" s="1"/>
  <c r="F342" s="1"/>
  <c r="F343" s="1"/>
  <c r="F344" s="1"/>
  <c r="F345" s="1"/>
  <c r="F346" s="1"/>
  <c r="F347" s="1"/>
  <c r="F348" s="1"/>
  <c r="F349" s="1"/>
  <c r="F350" s="1"/>
  <c r="F351" s="1"/>
  <c r="F352" s="1"/>
  <c r="F353" s="1"/>
  <c r="F354" s="1"/>
  <c r="F355" s="1"/>
  <c r="F356" s="1"/>
  <c r="F357" s="1"/>
  <c r="F358" s="1"/>
  <c r="F359" s="1"/>
  <c r="F360" s="1"/>
  <c r="F361" s="1"/>
  <c r="F362" s="1"/>
  <c r="F363" s="1"/>
  <c r="F364" s="1"/>
  <c r="F365" s="1"/>
  <c r="F366" s="1"/>
  <c r="F367" s="1"/>
  <c r="F368" s="1"/>
  <c r="F369" s="1"/>
  <c r="F370" s="1"/>
  <c r="F371" s="1"/>
  <c r="F372" s="1"/>
  <c r="F373" s="1"/>
  <c r="F374" s="1"/>
  <c r="F375" s="1"/>
  <c r="F376" s="1"/>
  <c r="F377" s="1"/>
  <c r="F378" s="1"/>
  <c r="F379" s="1"/>
  <c r="F380" s="1"/>
  <c r="F381" s="1"/>
  <c r="F382" s="1"/>
  <c r="F383" s="1"/>
  <c r="F384" s="1"/>
  <c r="F385" s="1"/>
  <c r="F386" s="1"/>
  <c r="F387" s="1"/>
  <c r="F388" s="1"/>
  <c r="F389" s="1"/>
  <c r="F390" s="1"/>
  <c r="F391" s="1"/>
  <c r="F392" s="1"/>
  <c r="F393" s="1"/>
  <c r="F394" s="1"/>
  <c r="F395" s="1"/>
  <c r="F396" s="1"/>
  <c r="F397" s="1"/>
  <c r="F398" s="1"/>
  <c r="F399" s="1"/>
  <c r="F400" s="1"/>
  <c r="F401" s="1"/>
  <c r="F402" s="1"/>
  <c r="F403" s="1"/>
  <c r="F404" s="1"/>
  <c r="F405" s="1"/>
  <c r="F406" s="1"/>
  <c r="F407" s="1"/>
  <c r="F408" s="1"/>
  <c r="F409" s="1"/>
  <c r="F410" s="1"/>
  <c r="F411" s="1"/>
  <c r="F412" s="1"/>
  <c r="F413" s="1"/>
  <c r="F414" s="1"/>
  <c r="F415" s="1"/>
  <c r="F416" s="1"/>
  <c r="F417" s="1"/>
  <c r="F418" s="1"/>
  <c r="F419" s="1"/>
  <c r="F420" s="1"/>
  <c r="F421" s="1"/>
  <c r="F422" s="1"/>
  <c r="F423" s="1"/>
  <c r="F424" s="1"/>
  <c r="F425" s="1"/>
  <c r="F426" s="1"/>
  <c r="F427" s="1"/>
  <c r="F428" s="1"/>
  <c r="F429" s="1"/>
  <c r="F430" s="1"/>
  <c r="F431" s="1"/>
  <c r="F432" s="1"/>
  <c r="F433" s="1"/>
  <c r="F434" s="1"/>
  <c r="F435" s="1"/>
  <c r="F436" s="1"/>
  <c r="F437" s="1"/>
  <c r="F438" s="1"/>
  <c r="F439" s="1"/>
  <c r="F440" s="1"/>
  <c r="F441" s="1"/>
  <c r="F442" s="1"/>
  <c r="F443" s="1"/>
  <c r="F444" s="1"/>
  <c r="F445" s="1"/>
  <c r="F446" s="1"/>
  <c r="F447" s="1"/>
  <c r="F448" s="1"/>
  <c r="F449" s="1"/>
  <c r="F450" s="1"/>
  <c r="F451" s="1"/>
  <c r="F452" s="1"/>
  <c r="F453" s="1"/>
  <c r="F454" s="1"/>
  <c r="F455" s="1"/>
  <c r="F456" s="1"/>
  <c r="F457" s="1"/>
  <c r="F458" s="1"/>
  <c r="F459" s="1"/>
  <c r="F460" s="1"/>
  <c r="F461" s="1"/>
  <c r="F462" s="1"/>
  <c r="F463" s="1"/>
  <c r="F464" s="1"/>
  <c r="F465" s="1"/>
  <c r="F466" s="1"/>
  <c r="F467" s="1"/>
  <c r="F468" s="1"/>
  <c r="F469" s="1"/>
  <c r="F470" s="1"/>
  <c r="F471" s="1"/>
  <c r="F472" s="1"/>
  <c r="F473" s="1"/>
  <c r="F474" s="1"/>
  <c r="F475" s="1"/>
  <c r="F476" s="1"/>
  <c r="F477" s="1"/>
  <c r="F478" s="1"/>
  <c r="F479" s="1"/>
  <c r="F480" s="1"/>
  <c r="F481" s="1"/>
  <c r="F482" s="1"/>
  <c r="F483" s="1"/>
  <c r="F484" s="1"/>
  <c r="F485" s="1"/>
  <c r="F486" s="1"/>
  <c r="F487" s="1"/>
  <c r="F488" s="1"/>
  <c r="F489" s="1"/>
  <c r="F490" s="1"/>
  <c r="F491" s="1"/>
  <c r="F492" s="1"/>
  <c r="F493" s="1"/>
  <c r="F494" s="1"/>
  <c r="F495" s="1"/>
  <c r="F496" s="1"/>
  <c r="F497" s="1"/>
  <c r="F498" s="1"/>
  <c r="F499" s="1"/>
  <c r="F500" s="1"/>
  <c r="F501" s="1"/>
  <c r="F502" s="1"/>
  <c r="F503" s="1"/>
  <c r="F504" s="1"/>
  <c r="F505" s="1"/>
  <c r="F506" s="1"/>
  <c r="F507" s="1"/>
  <c r="F508" s="1"/>
  <c r="F509" s="1"/>
  <c r="F510" s="1"/>
  <c r="F511" s="1"/>
  <c r="F512" s="1"/>
  <c r="F513" s="1"/>
  <c r="F514" s="1"/>
  <c r="F515" s="1"/>
  <c r="F516" s="1"/>
  <c r="F517" s="1"/>
  <c r="F518" s="1"/>
  <c r="F519" s="1"/>
  <c r="E33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183" s="1"/>
  <c r="E184" s="1"/>
  <c r="E185" s="1"/>
  <c r="E186" s="1"/>
  <c r="E187" s="1"/>
  <c r="E188" s="1"/>
  <c r="E189" s="1"/>
  <c r="E190" s="1"/>
  <c r="E191" s="1"/>
  <c r="E192" s="1"/>
  <c r="E193" s="1"/>
  <c r="E194" s="1"/>
  <c r="E195" s="1"/>
  <c r="E196" s="1"/>
  <c r="E197" s="1"/>
  <c r="E198" s="1"/>
  <c r="E199" s="1"/>
  <c r="E200" s="1"/>
  <c r="E201" s="1"/>
  <c r="E202" s="1"/>
  <c r="E203" s="1"/>
  <c r="E204" s="1"/>
  <c r="E205" s="1"/>
  <c r="E206" s="1"/>
  <c r="E207" s="1"/>
  <c r="E208" s="1"/>
  <c r="E209" s="1"/>
  <c r="E210" s="1"/>
  <c r="E211" s="1"/>
  <c r="E212" s="1"/>
  <c r="E213" s="1"/>
  <c r="E214" s="1"/>
  <c r="E215" s="1"/>
  <c r="E216" s="1"/>
  <c r="E217" s="1"/>
  <c r="E218" s="1"/>
  <c r="E219" s="1"/>
  <c r="E220" s="1"/>
  <c r="E221" s="1"/>
  <c r="E222" s="1"/>
  <c r="E223" s="1"/>
  <c r="E224" s="1"/>
  <c r="E225" s="1"/>
  <c r="E226" s="1"/>
  <c r="E227" s="1"/>
  <c r="E228" s="1"/>
  <c r="E229" s="1"/>
  <c r="E230" s="1"/>
  <c r="E231" s="1"/>
  <c r="E232" s="1"/>
  <c r="E233" s="1"/>
  <c r="E234" s="1"/>
  <c r="E235" s="1"/>
  <c r="E236" s="1"/>
  <c r="E237" s="1"/>
  <c r="E238" s="1"/>
  <c r="E239" s="1"/>
  <c r="E240" s="1"/>
  <c r="E241" s="1"/>
  <c r="E242" s="1"/>
  <c r="E243" s="1"/>
  <c r="E244" s="1"/>
  <c r="E245" s="1"/>
  <c r="E246" s="1"/>
  <c r="E247" s="1"/>
  <c r="E248" s="1"/>
  <c r="E249" s="1"/>
  <c r="E250" s="1"/>
  <c r="E251" s="1"/>
  <c r="E252" s="1"/>
  <c r="E253" s="1"/>
  <c r="E254" s="1"/>
  <c r="E255" s="1"/>
  <c r="E256" s="1"/>
  <c r="E257" s="1"/>
  <c r="E258" s="1"/>
  <c r="E259" s="1"/>
  <c r="E260" s="1"/>
  <c r="E261" s="1"/>
  <c r="E262" s="1"/>
  <c r="E263" s="1"/>
  <c r="E264" s="1"/>
  <c r="E265" s="1"/>
  <c r="E266" s="1"/>
  <c r="E267" s="1"/>
  <c r="E268" s="1"/>
  <c r="E269" s="1"/>
  <c r="E270" s="1"/>
  <c r="E271" s="1"/>
  <c r="E272" s="1"/>
  <c r="E273" s="1"/>
  <c r="E274" s="1"/>
  <c r="E275" s="1"/>
  <c r="E276" s="1"/>
  <c r="E277" s="1"/>
  <c r="E278" s="1"/>
  <c r="E279" s="1"/>
  <c r="E280" s="1"/>
  <c r="E281" s="1"/>
  <c r="E282" s="1"/>
  <c r="E283" s="1"/>
  <c r="E284" s="1"/>
  <c r="E285" s="1"/>
  <c r="E286" s="1"/>
  <c r="E287" s="1"/>
  <c r="E288" s="1"/>
  <c r="E289" s="1"/>
  <c r="E290" s="1"/>
  <c r="E291" s="1"/>
  <c r="E292" s="1"/>
  <c r="E293" s="1"/>
  <c r="E294" s="1"/>
  <c r="E295" s="1"/>
  <c r="E296" s="1"/>
  <c r="E297" s="1"/>
  <c r="E298" s="1"/>
  <c r="E299" s="1"/>
  <c r="E300" s="1"/>
  <c r="E301" s="1"/>
  <c r="E302" s="1"/>
  <c r="E303" s="1"/>
  <c r="E304" s="1"/>
  <c r="E305" s="1"/>
  <c r="E306" s="1"/>
  <c r="E307" s="1"/>
  <c r="E308" s="1"/>
  <c r="E309" s="1"/>
  <c r="E310" s="1"/>
  <c r="E311" s="1"/>
  <c r="E312" s="1"/>
  <c r="E313" s="1"/>
  <c r="E314" s="1"/>
  <c r="E315" s="1"/>
  <c r="E316" s="1"/>
  <c r="E317" s="1"/>
  <c r="E318" s="1"/>
  <c r="E319" s="1"/>
  <c r="E320" s="1"/>
  <c r="E321" s="1"/>
  <c r="E322" s="1"/>
  <c r="E323" s="1"/>
  <c r="E324" s="1"/>
  <c r="E325" s="1"/>
  <c r="E326" s="1"/>
  <c r="E327" s="1"/>
  <c r="E328" s="1"/>
  <c r="E329" s="1"/>
  <c r="E330" s="1"/>
  <c r="E331" s="1"/>
  <c r="E332" s="1"/>
  <c r="E333" s="1"/>
  <c r="E334" s="1"/>
  <c r="E335" s="1"/>
  <c r="E336" s="1"/>
  <c r="E337" s="1"/>
  <c r="E338" s="1"/>
  <c r="E339" s="1"/>
  <c r="E340" s="1"/>
  <c r="E341" s="1"/>
  <c r="E342" s="1"/>
  <c r="E343" s="1"/>
  <c r="E344" s="1"/>
  <c r="E345" s="1"/>
  <c r="E346" s="1"/>
  <c r="E347" s="1"/>
  <c r="E348" s="1"/>
  <c r="E349" s="1"/>
  <c r="E350" s="1"/>
  <c r="E351" s="1"/>
  <c r="E352" s="1"/>
  <c r="E353" s="1"/>
  <c r="E354" s="1"/>
  <c r="E355" s="1"/>
  <c r="E356" s="1"/>
  <c r="E357" s="1"/>
  <c r="E358" s="1"/>
  <c r="E359" s="1"/>
  <c r="E360" s="1"/>
  <c r="E361" s="1"/>
  <c r="E362" s="1"/>
  <c r="E363" s="1"/>
  <c r="E364" s="1"/>
  <c r="E365" s="1"/>
  <c r="E366" s="1"/>
  <c r="E367" s="1"/>
  <c r="E368" s="1"/>
  <c r="E369" s="1"/>
  <c r="E370" s="1"/>
  <c r="E371" s="1"/>
  <c r="E372" s="1"/>
  <c r="E373" s="1"/>
  <c r="E374" s="1"/>
  <c r="E375" s="1"/>
  <c r="E376" s="1"/>
  <c r="E377" s="1"/>
  <c r="E378" s="1"/>
  <c r="E379" s="1"/>
  <c r="E380" s="1"/>
  <c r="E381" s="1"/>
  <c r="E382" s="1"/>
  <c r="E383" s="1"/>
  <c r="E384" s="1"/>
  <c r="E385" s="1"/>
  <c r="E386" s="1"/>
  <c r="E387" s="1"/>
  <c r="E388" s="1"/>
  <c r="E389" s="1"/>
  <c r="E390" s="1"/>
  <c r="E391" s="1"/>
  <c r="E392" s="1"/>
  <c r="E393" s="1"/>
  <c r="E394" s="1"/>
  <c r="E395" s="1"/>
  <c r="E396" s="1"/>
  <c r="E397" s="1"/>
  <c r="E398" s="1"/>
  <c r="E399" s="1"/>
  <c r="E400" s="1"/>
  <c r="E401" s="1"/>
  <c r="E402" s="1"/>
  <c r="E403" s="1"/>
  <c r="E404" s="1"/>
  <c r="E405" s="1"/>
  <c r="E406" s="1"/>
  <c r="E407" s="1"/>
  <c r="E408" s="1"/>
  <c r="E409" s="1"/>
  <c r="E410" s="1"/>
  <c r="E411" s="1"/>
  <c r="E412" s="1"/>
  <c r="E413" s="1"/>
  <c r="E414" s="1"/>
  <c r="E415" s="1"/>
  <c r="E416" s="1"/>
  <c r="E417" s="1"/>
  <c r="E418" s="1"/>
  <c r="E419" s="1"/>
  <c r="E420" s="1"/>
  <c r="E421" s="1"/>
  <c r="E422" s="1"/>
  <c r="E423" s="1"/>
  <c r="E424" s="1"/>
  <c r="E425" s="1"/>
  <c r="E426" s="1"/>
  <c r="E427" s="1"/>
  <c r="E428" s="1"/>
  <c r="E429" s="1"/>
  <c r="E430" s="1"/>
  <c r="E431" s="1"/>
  <c r="E432" s="1"/>
  <c r="E433" s="1"/>
  <c r="E434" s="1"/>
  <c r="E435" s="1"/>
  <c r="E436" s="1"/>
  <c r="E437" s="1"/>
  <c r="E438" s="1"/>
  <c r="E439" s="1"/>
  <c r="E440" s="1"/>
  <c r="E441" s="1"/>
  <c r="E442" s="1"/>
  <c r="E443" s="1"/>
  <c r="E444" s="1"/>
  <c r="E445" s="1"/>
  <c r="E446" s="1"/>
  <c r="E447" s="1"/>
  <c r="E448" s="1"/>
  <c r="E449" s="1"/>
  <c r="E450" s="1"/>
  <c r="E451" s="1"/>
  <c r="E452" s="1"/>
  <c r="E453" s="1"/>
  <c r="E454" s="1"/>
  <c r="E455" s="1"/>
  <c r="E456" s="1"/>
  <c r="E457" s="1"/>
  <c r="E458" s="1"/>
  <c r="E459" s="1"/>
  <c r="E460" s="1"/>
  <c r="E461" s="1"/>
  <c r="E462" s="1"/>
  <c r="E463" s="1"/>
  <c r="E464" s="1"/>
  <c r="E465" s="1"/>
  <c r="E466" s="1"/>
  <c r="E467" s="1"/>
  <c r="E468" s="1"/>
  <c r="E469" s="1"/>
  <c r="E470" s="1"/>
  <c r="E471" s="1"/>
  <c r="E472" s="1"/>
  <c r="E473" s="1"/>
  <c r="E474" s="1"/>
  <c r="E475" s="1"/>
  <c r="E476" s="1"/>
  <c r="E477" s="1"/>
  <c r="E478" s="1"/>
  <c r="E479" s="1"/>
  <c r="E480" s="1"/>
  <c r="E481" s="1"/>
  <c r="E482" s="1"/>
  <c r="E483" s="1"/>
  <c r="E484" s="1"/>
  <c r="E485" s="1"/>
  <c r="E486" s="1"/>
  <c r="E487" s="1"/>
  <c r="E488" s="1"/>
  <c r="E489" s="1"/>
  <c r="E490" s="1"/>
  <c r="E491" s="1"/>
  <c r="E492" s="1"/>
  <c r="E493" s="1"/>
  <c r="E494" s="1"/>
  <c r="E495" s="1"/>
  <c r="E496" s="1"/>
  <c r="E497" s="1"/>
  <c r="E498" s="1"/>
  <c r="E499" s="1"/>
  <c r="E500" s="1"/>
  <c r="E501" s="1"/>
  <c r="E502" s="1"/>
  <c r="E503" s="1"/>
  <c r="E504" s="1"/>
  <c r="E505" s="1"/>
  <c r="E506" s="1"/>
  <c r="E507" s="1"/>
  <c r="E508" s="1"/>
  <c r="E509" s="1"/>
  <c r="E510" s="1"/>
  <c r="E511" s="1"/>
  <c r="E512" s="1"/>
  <c r="E513" s="1"/>
  <c r="E514" s="1"/>
  <c r="E515" s="1"/>
  <c r="E516" s="1"/>
  <c r="E517" s="1"/>
  <c r="E518" s="1"/>
  <c r="E519" s="1"/>
  <c r="J32"/>
  <c r="H32"/>
  <c r="H33" s="1"/>
  <c r="H34" s="1"/>
  <c r="H35" s="1"/>
  <c r="K33"/>
  <c r="I34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I80" s="1"/>
  <c r="I81" s="1"/>
  <c r="I82" s="1"/>
  <c r="I83" s="1"/>
  <c r="I84" s="1"/>
  <c r="I85" s="1"/>
  <c r="I86" s="1"/>
  <c r="I87" s="1"/>
  <c r="I88" s="1"/>
  <c r="I89" s="1"/>
  <c r="I90" s="1"/>
  <c r="I91" s="1"/>
  <c r="I92" s="1"/>
  <c r="I93" s="1"/>
  <c r="I94" s="1"/>
  <c r="I95" s="1"/>
  <c r="I96" s="1"/>
  <c r="I97" s="1"/>
  <c r="I98" s="1"/>
  <c r="I99" s="1"/>
  <c r="I100" s="1"/>
  <c r="I101" s="1"/>
  <c r="I102" s="1"/>
  <c r="I103" s="1"/>
  <c r="I104" s="1"/>
  <c r="I105" s="1"/>
  <c r="I106" s="1"/>
  <c r="I107" s="1"/>
  <c r="I108" s="1"/>
  <c r="I109" s="1"/>
  <c r="I110" s="1"/>
  <c r="I111" s="1"/>
  <c r="I112" s="1"/>
  <c r="I113" s="1"/>
  <c r="I114" s="1"/>
  <c r="I115" s="1"/>
  <c r="I116" s="1"/>
  <c r="I117" s="1"/>
  <c r="I118" s="1"/>
  <c r="I119" s="1"/>
  <c r="I120" s="1"/>
  <c r="I121" s="1"/>
  <c r="I122" s="1"/>
  <c r="I123" s="1"/>
  <c r="I124" s="1"/>
  <c r="I125" s="1"/>
  <c r="I126" s="1"/>
  <c r="I127" s="1"/>
  <c r="I128" s="1"/>
  <c r="I129" s="1"/>
  <c r="I130" s="1"/>
  <c r="I131" s="1"/>
  <c r="I132" s="1"/>
  <c r="I133" s="1"/>
  <c r="I134" s="1"/>
  <c r="I135" s="1"/>
  <c r="I136" s="1"/>
  <c r="I137" s="1"/>
  <c r="I138" s="1"/>
  <c r="I139" s="1"/>
  <c r="I140" s="1"/>
  <c r="I141" s="1"/>
  <c r="I142" s="1"/>
  <c r="I143" s="1"/>
  <c r="I144" s="1"/>
  <c r="I145" s="1"/>
  <c r="I146" s="1"/>
  <c r="I147" s="1"/>
  <c r="I148" s="1"/>
  <c r="I149" s="1"/>
  <c r="I150" s="1"/>
  <c r="I151" s="1"/>
  <c r="I152" s="1"/>
  <c r="I153" s="1"/>
  <c r="I154" s="1"/>
  <c r="I155" s="1"/>
  <c r="I156" s="1"/>
  <c r="I157" s="1"/>
  <c r="I158" s="1"/>
  <c r="I159" s="1"/>
  <c r="I160" s="1"/>
  <c r="I161" s="1"/>
  <c r="I162" s="1"/>
  <c r="I163" s="1"/>
  <c r="I164" s="1"/>
  <c r="I165" s="1"/>
  <c r="I166" s="1"/>
  <c r="I167" s="1"/>
  <c r="I168" s="1"/>
  <c r="I169" s="1"/>
  <c r="I170" s="1"/>
  <c r="I171" s="1"/>
  <c r="I172" s="1"/>
  <c r="I173" s="1"/>
  <c r="I174" s="1"/>
  <c r="I175" s="1"/>
  <c r="I176" s="1"/>
  <c r="I177" s="1"/>
  <c r="I178" s="1"/>
  <c r="I179" s="1"/>
  <c r="I180" s="1"/>
  <c r="I181" s="1"/>
  <c r="I182" s="1"/>
  <c r="I183" s="1"/>
  <c r="I184" s="1"/>
  <c r="I185" s="1"/>
  <c r="I186" s="1"/>
  <c r="I187" s="1"/>
  <c r="I188" s="1"/>
  <c r="I189" s="1"/>
  <c r="I190" s="1"/>
  <c r="I191" s="1"/>
  <c r="I192" s="1"/>
  <c r="I193" s="1"/>
  <c r="I194" s="1"/>
  <c r="I195" s="1"/>
  <c r="I196" s="1"/>
  <c r="I197" s="1"/>
  <c r="I198" s="1"/>
  <c r="I199" s="1"/>
  <c r="I200" s="1"/>
  <c r="I201" s="1"/>
  <c r="I202" s="1"/>
  <c r="I203" s="1"/>
  <c r="I204" s="1"/>
  <c r="I205" s="1"/>
  <c r="I206" s="1"/>
  <c r="I207" s="1"/>
  <c r="I208" s="1"/>
  <c r="I209" s="1"/>
  <c r="I210" s="1"/>
  <c r="I211" s="1"/>
  <c r="I212" s="1"/>
  <c r="I213" s="1"/>
  <c r="I214" s="1"/>
  <c r="I215" s="1"/>
  <c r="I216" s="1"/>
  <c r="I217" s="1"/>
  <c r="I218" s="1"/>
  <c r="I219" s="1"/>
  <c r="I220" s="1"/>
  <c r="I221" s="1"/>
  <c r="I222" s="1"/>
  <c r="I223" s="1"/>
  <c r="I224" s="1"/>
  <c r="I225" s="1"/>
  <c r="I226" s="1"/>
  <c r="I227" s="1"/>
  <c r="I228" s="1"/>
  <c r="I229" s="1"/>
  <c r="I230" s="1"/>
  <c r="I231" s="1"/>
  <c r="I232" s="1"/>
  <c r="I233" s="1"/>
  <c r="I234" s="1"/>
  <c r="I235" s="1"/>
  <c r="I236" s="1"/>
  <c r="I237" s="1"/>
  <c r="I238" s="1"/>
  <c r="I239" s="1"/>
  <c r="I240" s="1"/>
  <c r="I241" s="1"/>
  <c r="I242" s="1"/>
  <c r="I243" s="1"/>
  <c r="I244" s="1"/>
  <c r="I245" s="1"/>
  <c r="I246" s="1"/>
  <c r="I247" s="1"/>
  <c r="I248" s="1"/>
  <c r="I249" s="1"/>
  <c r="I250" s="1"/>
  <c r="I251" s="1"/>
  <c r="I252" s="1"/>
  <c r="I253" s="1"/>
  <c r="I254" s="1"/>
  <c r="I255" s="1"/>
  <c r="I256" s="1"/>
  <c r="I257" s="1"/>
  <c r="I258" s="1"/>
  <c r="I259" s="1"/>
  <c r="I260" s="1"/>
  <c r="I261" s="1"/>
  <c r="I262" s="1"/>
  <c r="I263" s="1"/>
  <c r="I264" s="1"/>
  <c r="I265" s="1"/>
  <c r="I266" s="1"/>
  <c r="I267" s="1"/>
  <c r="I268" s="1"/>
  <c r="I269" s="1"/>
  <c r="I270" s="1"/>
  <c r="I271" s="1"/>
  <c r="I272" s="1"/>
  <c r="I273" s="1"/>
  <c r="I274" s="1"/>
  <c r="I275" s="1"/>
  <c r="I276" s="1"/>
  <c r="I277" s="1"/>
  <c r="I278" s="1"/>
  <c r="I279" s="1"/>
  <c r="I280" s="1"/>
  <c r="I281" s="1"/>
  <c r="I282" s="1"/>
  <c r="I283" s="1"/>
  <c r="I284" s="1"/>
  <c r="I285" s="1"/>
  <c r="I286" s="1"/>
  <c r="I287" s="1"/>
  <c r="I288" s="1"/>
  <c r="I289" s="1"/>
  <c r="I290" s="1"/>
  <c r="I291" s="1"/>
  <c r="I292" s="1"/>
  <c r="I293" s="1"/>
  <c r="I294" s="1"/>
  <c r="I295" s="1"/>
  <c r="I296" s="1"/>
  <c r="I297" s="1"/>
  <c r="I298" s="1"/>
  <c r="I299" s="1"/>
  <c r="I300" s="1"/>
  <c r="I301" s="1"/>
  <c r="I302" s="1"/>
  <c r="I303" s="1"/>
  <c r="I304" s="1"/>
  <c r="I305" s="1"/>
  <c r="I306" s="1"/>
  <c r="I307" s="1"/>
  <c r="I308" s="1"/>
  <c r="I309" s="1"/>
  <c r="I310" s="1"/>
  <c r="I311" s="1"/>
  <c r="I312" s="1"/>
  <c r="I313" s="1"/>
  <c r="I314" s="1"/>
  <c r="I315" s="1"/>
  <c r="I316" s="1"/>
  <c r="I317" s="1"/>
  <c r="I318" s="1"/>
  <c r="I319" s="1"/>
  <c r="I320" s="1"/>
  <c r="I321" s="1"/>
  <c r="I322" s="1"/>
  <c r="I323" s="1"/>
  <c r="I324" s="1"/>
  <c r="I325" s="1"/>
  <c r="I326" s="1"/>
  <c r="I327" s="1"/>
  <c r="I328" s="1"/>
  <c r="I329" s="1"/>
  <c r="I330" s="1"/>
  <c r="I331" s="1"/>
  <c r="I332" s="1"/>
  <c r="I333" s="1"/>
  <c r="I334" s="1"/>
  <c r="I335" s="1"/>
  <c r="I336" s="1"/>
  <c r="I337" s="1"/>
  <c r="I338" s="1"/>
  <c r="I339" s="1"/>
  <c r="I340" s="1"/>
  <c r="I341" s="1"/>
  <c r="I342" s="1"/>
  <c r="I343" s="1"/>
  <c r="I344" s="1"/>
  <c r="I345" s="1"/>
  <c r="I346" s="1"/>
  <c r="I347" s="1"/>
  <c r="I348" s="1"/>
  <c r="I349" s="1"/>
  <c r="I350" s="1"/>
  <c r="I351" s="1"/>
  <c r="I352" s="1"/>
  <c r="I353" s="1"/>
  <c r="I354" s="1"/>
  <c r="I355" s="1"/>
  <c r="I356" s="1"/>
  <c r="I357" s="1"/>
  <c r="I358" s="1"/>
  <c r="I359" s="1"/>
  <c r="I360" s="1"/>
  <c r="I361" s="1"/>
  <c r="I362" s="1"/>
  <c r="I363" s="1"/>
  <c r="I364" s="1"/>
  <c r="I365" s="1"/>
  <c r="I366" s="1"/>
  <c r="I367" s="1"/>
  <c r="I368" s="1"/>
  <c r="I369" s="1"/>
  <c r="I370" s="1"/>
  <c r="I371" s="1"/>
  <c r="I372" s="1"/>
  <c r="I373" s="1"/>
  <c r="I374" s="1"/>
  <c r="I375" s="1"/>
  <c r="I376" s="1"/>
  <c r="I377" s="1"/>
  <c r="I378" s="1"/>
  <c r="I379" s="1"/>
  <c r="I380" s="1"/>
  <c r="I381" s="1"/>
  <c r="I382" s="1"/>
  <c r="I383" s="1"/>
  <c r="I384" s="1"/>
  <c r="I385" s="1"/>
  <c r="I386" s="1"/>
  <c r="I387" s="1"/>
  <c r="I388" s="1"/>
  <c r="I389" s="1"/>
  <c r="I390" s="1"/>
  <c r="I391" s="1"/>
  <c r="I392" s="1"/>
  <c r="I393" s="1"/>
  <c r="I394" s="1"/>
  <c r="I395" s="1"/>
  <c r="I396" s="1"/>
  <c r="I397" s="1"/>
  <c r="I398" s="1"/>
  <c r="I399" s="1"/>
  <c r="I400" s="1"/>
  <c r="I401" s="1"/>
  <c r="I402" s="1"/>
  <c r="I403" s="1"/>
  <c r="I404" s="1"/>
  <c r="I405" s="1"/>
  <c r="I406" s="1"/>
  <c r="I407" s="1"/>
  <c r="I408" s="1"/>
  <c r="I409" s="1"/>
  <c r="I410" s="1"/>
  <c r="I411" s="1"/>
  <c r="I412" s="1"/>
  <c r="I413" s="1"/>
  <c r="I414" s="1"/>
  <c r="I415" s="1"/>
  <c r="I416" s="1"/>
  <c r="I417" s="1"/>
  <c r="I418" s="1"/>
  <c r="I419" s="1"/>
  <c r="I420" s="1"/>
  <c r="I421" s="1"/>
  <c r="I422" s="1"/>
  <c r="I423" s="1"/>
  <c r="I424" s="1"/>
  <c r="I425" s="1"/>
  <c r="I426" s="1"/>
  <c r="I427" s="1"/>
  <c r="I428" s="1"/>
  <c r="I429" s="1"/>
  <c r="I430" s="1"/>
  <c r="I431" s="1"/>
  <c r="I432" s="1"/>
  <c r="I433" s="1"/>
  <c r="I434" s="1"/>
  <c r="I435" s="1"/>
  <c r="I436" s="1"/>
  <c r="I437" s="1"/>
  <c r="I438" s="1"/>
  <c r="I439" s="1"/>
  <c r="I440" s="1"/>
  <c r="I441" s="1"/>
  <c r="I442" s="1"/>
  <c r="I443" s="1"/>
  <c r="I444" s="1"/>
  <c r="I445" s="1"/>
  <c r="I446" s="1"/>
  <c r="I447" s="1"/>
  <c r="I448" s="1"/>
  <c r="I449" s="1"/>
  <c r="I450" s="1"/>
  <c r="I451" s="1"/>
  <c r="I452" s="1"/>
  <c r="I453" s="1"/>
  <c r="I454" s="1"/>
  <c r="I455" s="1"/>
  <c r="I456" s="1"/>
  <c r="I457" s="1"/>
  <c r="I458" s="1"/>
  <c r="I459" s="1"/>
  <c r="I460" s="1"/>
  <c r="I461" s="1"/>
  <c r="I462" s="1"/>
  <c r="I463" s="1"/>
  <c r="I464" s="1"/>
  <c r="I465" s="1"/>
  <c r="I466" s="1"/>
  <c r="I467" s="1"/>
  <c r="I468" s="1"/>
  <c r="I469" s="1"/>
  <c r="I470" s="1"/>
  <c r="I471" s="1"/>
  <c r="I472" s="1"/>
  <c r="I473" s="1"/>
  <c r="I474" s="1"/>
  <c r="I475" s="1"/>
  <c r="I476" s="1"/>
  <c r="I477" s="1"/>
  <c r="I478" s="1"/>
  <c r="I479" s="1"/>
  <c r="I480" s="1"/>
  <c r="I481" s="1"/>
  <c r="I482" s="1"/>
  <c r="I483" s="1"/>
  <c r="I484" s="1"/>
  <c r="I485" s="1"/>
  <c r="I486" s="1"/>
  <c r="I487" s="1"/>
  <c r="I488" s="1"/>
  <c r="I489" s="1"/>
  <c r="I490" s="1"/>
  <c r="I491" s="1"/>
  <c r="I492" s="1"/>
  <c r="I493" s="1"/>
  <c r="I494" s="1"/>
  <c r="I495" s="1"/>
  <c r="I496" s="1"/>
  <c r="I497" s="1"/>
  <c r="I498" s="1"/>
  <c r="I499" s="1"/>
  <c r="I500" s="1"/>
  <c r="I501" s="1"/>
  <c r="I502" s="1"/>
  <c r="I503" s="1"/>
  <c r="I504" s="1"/>
  <c r="I505" s="1"/>
  <c r="I506" s="1"/>
  <c r="I507" s="1"/>
  <c r="I508" s="1"/>
  <c r="I509" s="1"/>
  <c r="I510" s="1"/>
  <c r="I511" s="1"/>
  <c r="I512" s="1"/>
  <c r="I513" s="1"/>
  <c r="I514" s="1"/>
  <c r="I515" s="1"/>
  <c r="I516" s="1"/>
  <c r="I517" s="1"/>
  <c r="I518" s="1"/>
  <c r="I519" s="1"/>
  <c r="P83" i="17" l="1"/>
  <c r="R61"/>
  <c r="Z61" s="1"/>
  <c r="AB61" s="1"/>
  <c r="R46"/>
  <c r="Z46" s="1"/>
  <c r="AB46" s="1"/>
  <c r="R71"/>
  <c r="R72" s="1"/>
  <c r="O72" s="1"/>
  <c r="L72" s="1"/>
  <c r="R56"/>
  <c r="O56" s="1"/>
  <c r="L56" s="1"/>
  <c r="O16"/>
  <c r="P16" s="1"/>
  <c r="AZ100" i="14"/>
  <c r="AZ102"/>
  <c r="BA102" s="1"/>
  <c r="AZ103"/>
  <c r="BA103" s="1"/>
  <c r="BA52"/>
  <c r="AZ101"/>
  <c r="AZ104"/>
  <c r="R37" i="17"/>
  <c r="Z37" s="1"/>
  <c r="AB37" s="1"/>
  <c r="Z36"/>
  <c r="AB36" s="1"/>
  <c r="R3"/>
  <c r="Z3" s="1"/>
  <c r="AB3" s="1"/>
  <c r="Z41"/>
  <c r="AB41" s="1"/>
  <c r="L80"/>
  <c r="P80" s="1"/>
  <c r="Z80"/>
  <c r="L79"/>
  <c r="P79" s="1"/>
  <c r="Z79"/>
  <c r="Z85"/>
  <c r="L85"/>
  <c r="L84"/>
  <c r="Z84"/>
  <c r="Y3"/>
  <c r="Y6"/>
  <c r="Y2"/>
  <c r="Z56"/>
  <c r="AB56" s="1"/>
  <c r="Z66"/>
  <c r="AB66" s="1"/>
  <c r="R17"/>
  <c r="Z17" s="1"/>
  <c r="AB17" s="1"/>
  <c r="O26"/>
  <c r="L26" s="1"/>
  <c r="P26" s="1"/>
  <c r="R22"/>
  <c r="Z22" s="1"/>
  <c r="AB22" s="1"/>
  <c r="R57"/>
  <c r="Z57" s="1"/>
  <c r="AB57" s="1"/>
  <c r="O61"/>
  <c r="L61" s="1"/>
  <c r="BA105" i="14"/>
  <c r="BA59"/>
  <c r="BA60"/>
  <c r="BA110"/>
  <c r="BA62"/>
  <c r="BA57"/>
  <c r="BA100"/>
  <c r="BA111"/>
  <c r="BA58"/>
  <c r="BA106"/>
  <c r="BA109"/>
  <c r="BA113"/>
  <c r="BA108"/>
  <c r="BA64"/>
  <c r="BA65"/>
  <c r="BA54"/>
  <c r="V22" i="17"/>
  <c r="W22" s="1"/>
  <c r="X22" s="1"/>
  <c r="Y21"/>
  <c r="V32"/>
  <c r="W32" s="1"/>
  <c r="X32" s="1"/>
  <c r="Y31"/>
  <c r="V57"/>
  <c r="W57" s="1"/>
  <c r="X57" s="1"/>
  <c r="Y56"/>
  <c r="V62"/>
  <c r="W62" s="1"/>
  <c r="X62" s="1"/>
  <c r="Y61"/>
  <c r="V52"/>
  <c r="W52" s="1"/>
  <c r="X52" s="1"/>
  <c r="Y51"/>
  <c r="V17"/>
  <c r="W17" s="1"/>
  <c r="X17" s="1"/>
  <c r="Y16"/>
  <c r="V72"/>
  <c r="W72" s="1"/>
  <c r="X72" s="1"/>
  <c r="Y71"/>
  <c r="V37"/>
  <c r="W37" s="1"/>
  <c r="X37" s="1"/>
  <c r="Y36"/>
  <c r="V27"/>
  <c r="W27" s="1"/>
  <c r="X27" s="1"/>
  <c r="Y26"/>
  <c r="BA112" i="14"/>
  <c r="O46" i="17"/>
  <c r="L46" s="1"/>
  <c r="P46" s="1"/>
  <c r="R42"/>
  <c r="Z42" s="1"/>
  <c r="AB42" s="1"/>
  <c r="BA63" i="14"/>
  <c r="V67" i="17"/>
  <c r="W67" s="1"/>
  <c r="X67" s="1"/>
  <c r="Y66"/>
  <c r="V12"/>
  <c r="W12" s="1"/>
  <c r="X12" s="1"/>
  <c r="Y11"/>
  <c r="V47"/>
  <c r="W47" s="1"/>
  <c r="X47" s="1"/>
  <c r="Y46"/>
  <c r="V42"/>
  <c r="W42" s="1"/>
  <c r="X42" s="1"/>
  <c r="Y41"/>
  <c r="O21"/>
  <c r="L21" s="1"/>
  <c r="P21" s="1"/>
  <c r="R62"/>
  <c r="O62" s="1"/>
  <c r="L62" s="1"/>
  <c r="BA56" i="14"/>
  <c r="BA53"/>
  <c r="BA61"/>
  <c r="BA55"/>
  <c r="R27" i="17"/>
  <c r="Z27" s="1"/>
  <c r="AB27" s="1"/>
  <c r="U13"/>
  <c r="U68"/>
  <c r="U18"/>
  <c r="U38"/>
  <c r="U73"/>
  <c r="U23"/>
  <c r="U48"/>
  <c r="U28"/>
  <c r="U43"/>
  <c r="U8"/>
  <c r="W8" s="1"/>
  <c r="X8" s="1"/>
  <c r="Y7"/>
  <c r="U63"/>
  <c r="U58"/>
  <c r="U33"/>
  <c r="U53"/>
  <c r="U4"/>
  <c r="W4" s="1"/>
  <c r="X4" s="1"/>
  <c r="R73"/>
  <c r="O73" s="1"/>
  <c r="O31"/>
  <c r="O11"/>
  <c r="F6" s="1"/>
  <c r="R32"/>
  <c r="R33" s="1"/>
  <c r="R34" s="1"/>
  <c r="Z71"/>
  <c r="AB71" s="1"/>
  <c r="O71"/>
  <c r="Z11"/>
  <c r="AB11" s="1"/>
  <c r="R67"/>
  <c r="R68" s="1"/>
  <c r="Z68" s="1"/>
  <c r="AB68" s="1"/>
  <c r="Z51"/>
  <c r="AB51" s="1"/>
  <c r="R52"/>
  <c r="Z52" s="1"/>
  <c r="AB52" s="1"/>
  <c r="R47"/>
  <c r="Z47" s="1"/>
  <c r="AB47" s="1"/>
  <c r="L51"/>
  <c r="R13"/>
  <c r="Z13" s="1"/>
  <c r="AB13" s="1"/>
  <c r="O12"/>
  <c r="P12" s="1"/>
  <c r="H83" i="7"/>
  <c r="I82"/>
  <c r="I157"/>
  <c r="H158"/>
  <c r="H10"/>
  <c r="I9"/>
  <c r="Z72" i="17"/>
  <c r="P72"/>
  <c r="K34" i="19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K208" s="1"/>
  <c r="K209" s="1"/>
  <c r="K210" s="1"/>
  <c r="K211" s="1"/>
  <c r="K212" s="1"/>
  <c r="K213" s="1"/>
  <c r="K214" s="1"/>
  <c r="K215" s="1"/>
  <c r="K216" s="1"/>
  <c r="K217" s="1"/>
  <c r="K218" s="1"/>
  <c r="K219" s="1"/>
  <c r="K220" s="1"/>
  <c r="K221" s="1"/>
  <c r="K222" s="1"/>
  <c r="K223" s="1"/>
  <c r="K224" s="1"/>
  <c r="K225" s="1"/>
  <c r="K226" s="1"/>
  <c r="K227" s="1"/>
  <c r="K228" s="1"/>
  <c r="K229" s="1"/>
  <c r="K230" s="1"/>
  <c r="K231" s="1"/>
  <c r="K232" s="1"/>
  <c r="K233" s="1"/>
  <c r="K234" s="1"/>
  <c r="K235" s="1"/>
  <c r="K236" s="1"/>
  <c r="K237" s="1"/>
  <c r="K238" s="1"/>
  <c r="K239" s="1"/>
  <c r="K240" s="1"/>
  <c r="K241" s="1"/>
  <c r="K242" s="1"/>
  <c r="K243" s="1"/>
  <c r="K244" s="1"/>
  <c r="K245" s="1"/>
  <c r="K246" s="1"/>
  <c r="K247" s="1"/>
  <c r="K248" s="1"/>
  <c r="K249" s="1"/>
  <c r="K250" s="1"/>
  <c r="K251" s="1"/>
  <c r="K252" s="1"/>
  <c r="K253" s="1"/>
  <c r="K254" s="1"/>
  <c r="K255" s="1"/>
  <c r="K256" s="1"/>
  <c r="K257" s="1"/>
  <c r="K258" s="1"/>
  <c r="K259" s="1"/>
  <c r="K260" s="1"/>
  <c r="K261" s="1"/>
  <c r="K262" s="1"/>
  <c r="K263" s="1"/>
  <c r="K264" s="1"/>
  <c r="K265" s="1"/>
  <c r="K266" s="1"/>
  <c r="K267" s="1"/>
  <c r="K268" s="1"/>
  <c r="K269" s="1"/>
  <c r="K270" s="1"/>
  <c r="K271" s="1"/>
  <c r="K272" s="1"/>
  <c r="K273" s="1"/>
  <c r="K274" s="1"/>
  <c r="K275" s="1"/>
  <c r="K276" s="1"/>
  <c r="K277" s="1"/>
  <c r="K278" s="1"/>
  <c r="K279" s="1"/>
  <c r="K280" s="1"/>
  <c r="K281" s="1"/>
  <c r="K282" s="1"/>
  <c r="K283" s="1"/>
  <c r="K284" s="1"/>
  <c r="K285" s="1"/>
  <c r="K286" s="1"/>
  <c r="K287" s="1"/>
  <c r="K288" s="1"/>
  <c r="K289" s="1"/>
  <c r="K290" s="1"/>
  <c r="K291" s="1"/>
  <c r="K292" s="1"/>
  <c r="K293" s="1"/>
  <c r="K294" s="1"/>
  <c r="K295" s="1"/>
  <c r="K296" s="1"/>
  <c r="K297" s="1"/>
  <c r="K298" s="1"/>
  <c r="K299" s="1"/>
  <c r="K300" s="1"/>
  <c r="K301" s="1"/>
  <c r="K302" s="1"/>
  <c r="K303" s="1"/>
  <c r="K304" s="1"/>
  <c r="K305" s="1"/>
  <c r="K306" s="1"/>
  <c r="K307" s="1"/>
  <c r="K308" s="1"/>
  <c r="K309" s="1"/>
  <c r="K310" s="1"/>
  <c r="K311" s="1"/>
  <c r="K312" s="1"/>
  <c r="K313" s="1"/>
  <c r="K314" s="1"/>
  <c r="K315" s="1"/>
  <c r="K316" s="1"/>
  <c r="K317" s="1"/>
  <c r="K318" s="1"/>
  <c r="K319" s="1"/>
  <c r="K320" s="1"/>
  <c r="K321" s="1"/>
  <c r="K322" s="1"/>
  <c r="K323" s="1"/>
  <c r="K324" s="1"/>
  <c r="K325" s="1"/>
  <c r="K326" s="1"/>
  <c r="K327" s="1"/>
  <c r="K328" s="1"/>
  <c r="K329" s="1"/>
  <c r="K330" s="1"/>
  <c r="K331" s="1"/>
  <c r="K332" s="1"/>
  <c r="K333" s="1"/>
  <c r="K334" s="1"/>
  <c r="K335" s="1"/>
  <c r="K336" s="1"/>
  <c r="K337" s="1"/>
  <c r="K338" s="1"/>
  <c r="K339" s="1"/>
  <c r="K340" s="1"/>
  <c r="K341" s="1"/>
  <c r="K342" s="1"/>
  <c r="K343" s="1"/>
  <c r="K344" s="1"/>
  <c r="K345" s="1"/>
  <c r="K346" s="1"/>
  <c r="K347" s="1"/>
  <c r="K348" s="1"/>
  <c r="K349" s="1"/>
  <c r="K350" s="1"/>
  <c r="K351" s="1"/>
  <c r="K352" s="1"/>
  <c r="K353" s="1"/>
  <c r="K354" s="1"/>
  <c r="K355" s="1"/>
  <c r="K356" s="1"/>
  <c r="K357" s="1"/>
  <c r="K358" s="1"/>
  <c r="K359" s="1"/>
  <c r="K360" s="1"/>
  <c r="K361" s="1"/>
  <c r="K362" s="1"/>
  <c r="K363" s="1"/>
  <c r="K364" s="1"/>
  <c r="K365" s="1"/>
  <c r="K366" s="1"/>
  <c r="K367" s="1"/>
  <c r="K368" s="1"/>
  <c r="K369" s="1"/>
  <c r="K370" s="1"/>
  <c r="K371" s="1"/>
  <c r="K372" s="1"/>
  <c r="K373" s="1"/>
  <c r="K374" s="1"/>
  <c r="K375" s="1"/>
  <c r="K376" s="1"/>
  <c r="K377" s="1"/>
  <c r="K378" s="1"/>
  <c r="K379" s="1"/>
  <c r="K380" s="1"/>
  <c r="K381" s="1"/>
  <c r="K382" s="1"/>
  <c r="K383" s="1"/>
  <c r="K384" s="1"/>
  <c r="K385" s="1"/>
  <c r="K386" s="1"/>
  <c r="K387" s="1"/>
  <c r="K388" s="1"/>
  <c r="K389" s="1"/>
  <c r="K390" s="1"/>
  <c r="K391" s="1"/>
  <c r="K392" s="1"/>
  <c r="K393" s="1"/>
  <c r="K394" s="1"/>
  <c r="K395" s="1"/>
  <c r="K396" s="1"/>
  <c r="K397" s="1"/>
  <c r="K398" s="1"/>
  <c r="K399" s="1"/>
  <c r="K400" s="1"/>
  <c r="K401" s="1"/>
  <c r="K402" s="1"/>
  <c r="K403" s="1"/>
  <c r="K404" s="1"/>
  <c r="K405" s="1"/>
  <c r="K406" s="1"/>
  <c r="K407" s="1"/>
  <c r="K408" s="1"/>
  <c r="K409" s="1"/>
  <c r="K410" s="1"/>
  <c r="K411" s="1"/>
  <c r="K412" s="1"/>
  <c r="K413" s="1"/>
  <c r="K414" s="1"/>
  <c r="K415" s="1"/>
  <c r="K416" s="1"/>
  <c r="K417" s="1"/>
  <c r="K418" s="1"/>
  <c r="K419" s="1"/>
  <c r="K420" s="1"/>
  <c r="K421" s="1"/>
  <c r="K422" s="1"/>
  <c r="K423" s="1"/>
  <c r="K424" s="1"/>
  <c r="K425" s="1"/>
  <c r="K426" s="1"/>
  <c r="K427" s="1"/>
  <c r="K428" s="1"/>
  <c r="K429" s="1"/>
  <c r="K430" s="1"/>
  <c r="K431" s="1"/>
  <c r="K432" s="1"/>
  <c r="K433" s="1"/>
  <c r="K434" s="1"/>
  <c r="K435" s="1"/>
  <c r="K436" s="1"/>
  <c r="K437" s="1"/>
  <c r="K438" s="1"/>
  <c r="K439" s="1"/>
  <c r="K440" s="1"/>
  <c r="K441" s="1"/>
  <c r="K442" s="1"/>
  <c r="K443" s="1"/>
  <c r="K444" s="1"/>
  <c r="K445" s="1"/>
  <c r="K446" s="1"/>
  <c r="K447" s="1"/>
  <c r="K448" s="1"/>
  <c r="K449" s="1"/>
  <c r="K450" s="1"/>
  <c r="K451" s="1"/>
  <c r="K452" s="1"/>
  <c r="K453" s="1"/>
  <c r="K454" s="1"/>
  <c r="K455" s="1"/>
  <c r="K456" s="1"/>
  <c r="K457" s="1"/>
  <c r="K458" s="1"/>
  <c r="K459" s="1"/>
  <c r="K460" s="1"/>
  <c r="K461" s="1"/>
  <c r="K462" s="1"/>
  <c r="K463" s="1"/>
  <c r="K464" s="1"/>
  <c r="K465" s="1"/>
  <c r="K466" s="1"/>
  <c r="K467" s="1"/>
  <c r="K468" s="1"/>
  <c r="K469" s="1"/>
  <c r="K470" s="1"/>
  <c r="K471" s="1"/>
  <c r="K472" s="1"/>
  <c r="K473" s="1"/>
  <c r="K474" s="1"/>
  <c r="K475" s="1"/>
  <c r="K476" s="1"/>
  <c r="K477" s="1"/>
  <c r="K478" s="1"/>
  <c r="K479" s="1"/>
  <c r="K480" s="1"/>
  <c r="K481" s="1"/>
  <c r="K482" s="1"/>
  <c r="K483" s="1"/>
  <c r="K484" s="1"/>
  <c r="K485" s="1"/>
  <c r="K486" s="1"/>
  <c r="K487" s="1"/>
  <c r="K488" s="1"/>
  <c r="K489" s="1"/>
  <c r="K490" s="1"/>
  <c r="K491" s="1"/>
  <c r="K492" s="1"/>
  <c r="K493" s="1"/>
  <c r="K494" s="1"/>
  <c r="K495" s="1"/>
  <c r="K496" s="1"/>
  <c r="K497" s="1"/>
  <c r="K498" s="1"/>
  <c r="K499" s="1"/>
  <c r="K500" s="1"/>
  <c r="K501" s="1"/>
  <c r="K502" s="1"/>
  <c r="K503" s="1"/>
  <c r="K504" s="1"/>
  <c r="K505" s="1"/>
  <c r="K506" s="1"/>
  <c r="K507" s="1"/>
  <c r="K508" s="1"/>
  <c r="K509" s="1"/>
  <c r="K510" s="1"/>
  <c r="K511" s="1"/>
  <c r="K512" s="1"/>
  <c r="K513" s="1"/>
  <c r="K514" s="1"/>
  <c r="K515" s="1"/>
  <c r="K516" s="1"/>
  <c r="K517" s="1"/>
  <c r="K518" s="1"/>
  <c r="K519" s="1"/>
  <c r="J33"/>
  <c r="J34" s="1"/>
  <c r="J35" s="1"/>
  <c r="J36" s="1"/>
  <c r="J37" s="1"/>
  <c r="J38" s="1"/>
  <c r="H36"/>
  <c r="P85" i="17" l="1"/>
  <c r="P84"/>
  <c r="O37"/>
  <c r="L37" s="1"/>
  <c r="P37" s="1"/>
  <c r="R38"/>
  <c r="O38" s="1"/>
  <c r="BA101" i="14"/>
  <c r="BA104"/>
  <c r="R58" i="17"/>
  <c r="O58" s="1"/>
  <c r="L58" s="1"/>
  <c r="Y4"/>
  <c r="Y8"/>
  <c r="O33"/>
  <c r="L33" s="1"/>
  <c r="P33" s="1"/>
  <c r="V48"/>
  <c r="W48" s="1"/>
  <c r="X48" s="1"/>
  <c r="V68"/>
  <c r="W68" s="1"/>
  <c r="V38"/>
  <c r="W38" s="1"/>
  <c r="X38" s="1"/>
  <c r="V18"/>
  <c r="W18" s="1"/>
  <c r="X18" s="1"/>
  <c r="Y17"/>
  <c r="V63"/>
  <c r="W63" s="1"/>
  <c r="X63" s="1"/>
  <c r="V33"/>
  <c r="W33" s="1"/>
  <c r="X33" s="1"/>
  <c r="V43"/>
  <c r="W43" s="1"/>
  <c r="X43" s="1"/>
  <c r="V13"/>
  <c r="W13" s="1"/>
  <c r="X13" s="1"/>
  <c r="Y12"/>
  <c r="V28"/>
  <c r="W28" s="1"/>
  <c r="V73"/>
  <c r="W73" s="1"/>
  <c r="X73" s="1"/>
  <c r="V53"/>
  <c r="W53" s="1"/>
  <c r="X53" s="1"/>
  <c r="V58"/>
  <c r="W58" s="1"/>
  <c r="V23"/>
  <c r="W23" s="1"/>
  <c r="R23"/>
  <c r="Z23" s="1"/>
  <c r="AB23" s="1"/>
  <c r="O57"/>
  <c r="O17"/>
  <c r="O42"/>
  <c r="L42" s="1"/>
  <c r="P42" s="1"/>
  <c r="R43"/>
  <c r="R44" s="1"/>
  <c r="Z44" s="1"/>
  <c r="AB44" s="1"/>
  <c r="O22"/>
  <c r="L22" s="1"/>
  <c r="P22" s="1"/>
  <c r="R18"/>
  <c r="Z18" s="1"/>
  <c r="AB18" s="1"/>
  <c r="R63"/>
  <c r="O63" s="1"/>
  <c r="L63" s="1"/>
  <c r="Y47"/>
  <c r="Y22"/>
  <c r="Y37"/>
  <c r="Y43"/>
  <c r="Y62"/>
  <c r="Y32"/>
  <c r="Z62"/>
  <c r="AB62" s="1"/>
  <c r="Y57"/>
  <c r="Y52"/>
  <c r="Y42"/>
  <c r="Y67"/>
  <c r="Y27"/>
  <c r="O68"/>
  <c r="L68" s="1"/>
  <c r="R69"/>
  <c r="Z69" s="1"/>
  <c r="AB69" s="1"/>
  <c r="O27"/>
  <c r="L27" s="1"/>
  <c r="P27" s="1"/>
  <c r="R28"/>
  <c r="Z28" s="1"/>
  <c r="AB28" s="1"/>
  <c r="L31"/>
  <c r="P31" s="1"/>
  <c r="U34"/>
  <c r="U44"/>
  <c r="U74"/>
  <c r="U14"/>
  <c r="U54"/>
  <c r="U59"/>
  <c r="U9"/>
  <c r="W9" s="1"/>
  <c r="X9" s="1"/>
  <c r="U29"/>
  <c r="U24"/>
  <c r="U39"/>
  <c r="U69"/>
  <c r="U64"/>
  <c r="U49"/>
  <c r="U19"/>
  <c r="U5"/>
  <c r="W5" s="1"/>
  <c r="X5" s="1"/>
  <c r="R74"/>
  <c r="O74" s="1"/>
  <c r="L74" s="1"/>
  <c r="L71"/>
  <c r="R53"/>
  <c r="Z53" s="1"/>
  <c r="AB53" s="1"/>
  <c r="O32"/>
  <c r="L32" s="1"/>
  <c r="P32" s="1"/>
  <c r="P11"/>
  <c r="R48"/>
  <c r="R49" s="1"/>
  <c r="Z49" s="1"/>
  <c r="AB49" s="1"/>
  <c r="Z33"/>
  <c r="AB33" s="1"/>
  <c r="O67"/>
  <c r="Z32"/>
  <c r="AB32" s="1"/>
  <c r="Z67"/>
  <c r="AB67" s="1"/>
  <c r="O47"/>
  <c r="L47" s="1"/>
  <c r="P47" s="1"/>
  <c r="O52"/>
  <c r="L52" s="1"/>
  <c r="L73"/>
  <c r="P73" s="1"/>
  <c r="L38"/>
  <c r="P38" s="1"/>
  <c r="Z38"/>
  <c r="AB38" s="1"/>
  <c r="O13"/>
  <c r="P13" s="1"/>
  <c r="R14"/>
  <c r="Z14" s="1"/>
  <c r="AB14" s="1"/>
  <c r="H11" i="7"/>
  <c r="I10"/>
  <c r="H84"/>
  <c r="I83"/>
  <c r="I158"/>
  <c r="H159"/>
  <c r="Z73" i="17"/>
  <c r="L121" i="19"/>
  <c r="Z34" i="17"/>
  <c r="AB34" s="1"/>
  <c r="O34"/>
  <c r="R35"/>
  <c r="J39" i="19"/>
  <c r="H37"/>
  <c r="H38" s="1"/>
  <c r="R39" i="17" l="1"/>
  <c r="O39" s="1"/>
  <c r="L39" s="1"/>
  <c r="P39" s="1"/>
  <c r="Y33"/>
  <c r="Y48"/>
  <c r="Y63"/>
  <c r="R59"/>
  <c r="Z59" s="1"/>
  <c r="AB59" s="1"/>
  <c r="Z63"/>
  <c r="AB63" s="1"/>
  <c r="Z58"/>
  <c r="AB58" s="1"/>
  <c r="Y38"/>
  <c r="Y68"/>
  <c r="X68"/>
  <c r="Y23"/>
  <c r="X23"/>
  <c r="Y28"/>
  <c r="X28"/>
  <c r="Y53"/>
  <c r="Y58"/>
  <c r="X58"/>
  <c r="Y5"/>
  <c r="R45"/>
  <c r="Z45" s="1"/>
  <c r="AB45" s="1"/>
  <c r="R24"/>
  <c r="Z24" s="1"/>
  <c r="AB24" s="1"/>
  <c r="R64"/>
  <c r="R65" s="1"/>
  <c r="Z65" s="1"/>
  <c r="AB65" s="1"/>
  <c r="L57"/>
  <c r="V59"/>
  <c r="W59" s="1"/>
  <c r="X59" s="1"/>
  <c r="V74"/>
  <c r="W74" s="1"/>
  <c r="X74" s="1"/>
  <c r="V34"/>
  <c r="W34" s="1"/>
  <c r="V19"/>
  <c r="W19" s="1"/>
  <c r="X19" s="1"/>
  <c r="Y18"/>
  <c r="V69"/>
  <c r="W69" s="1"/>
  <c r="V24"/>
  <c r="W24" s="1"/>
  <c r="X24" s="1"/>
  <c r="V54"/>
  <c r="W54" s="1"/>
  <c r="X54" s="1"/>
  <c r="V29"/>
  <c r="W29" s="1"/>
  <c r="X29" s="1"/>
  <c r="V44"/>
  <c r="W44" s="1"/>
  <c r="X44" s="1"/>
  <c r="V64"/>
  <c r="W64" s="1"/>
  <c r="X64" s="1"/>
  <c r="V39"/>
  <c r="W39" s="1"/>
  <c r="X39" s="1"/>
  <c r="V49"/>
  <c r="W49" s="1"/>
  <c r="V14"/>
  <c r="W14" s="1"/>
  <c r="X14" s="1"/>
  <c r="Y13"/>
  <c r="O23"/>
  <c r="L23" s="1"/>
  <c r="P23" s="1"/>
  <c r="O43"/>
  <c r="R19"/>
  <c r="Z19" s="1"/>
  <c r="AB19" s="1"/>
  <c r="Z43"/>
  <c r="AB43" s="1"/>
  <c r="O44"/>
  <c r="L44" s="1"/>
  <c r="P44" s="1"/>
  <c r="O18"/>
  <c r="L18" s="1"/>
  <c r="P18" s="1"/>
  <c r="O69"/>
  <c r="L69" s="1"/>
  <c r="R70"/>
  <c r="Z70" s="1"/>
  <c r="AB70" s="1"/>
  <c r="O53"/>
  <c r="L53" s="1"/>
  <c r="L67"/>
  <c r="R29"/>
  <c r="Z29" s="1"/>
  <c r="AB29" s="1"/>
  <c r="O28"/>
  <c r="L28" s="1"/>
  <c r="P28" s="1"/>
  <c r="U70"/>
  <c r="U10"/>
  <c r="W10" s="1"/>
  <c r="X10" s="1"/>
  <c r="Y9"/>
  <c r="U75"/>
  <c r="U20"/>
  <c r="U65"/>
  <c r="U40"/>
  <c r="U30"/>
  <c r="U60"/>
  <c r="U15"/>
  <c r="U45"/>
  <c r="U50"/>
  <c r="U25"/>
  <c r="U55"/>
  <c r="U35"/>
  <c r="R75"/>
  <c r="O75" s="1"/>
  <c r="L75" s="1"/>
  <c r="R54"/>
  <c r="Z54" s="1"/>
  <c r="AB54" s="1"/>
  <c r="O48"/>
  <c r="L48" s="1"/>
  <c r="P48" s="1"/>
  <c r="R50"/>
  <c r="O50" s="1"/>
  <c r="O49"/>
  <c r="Z48"/>
  <c r="AB48" s="1"/>
  <c r="L34"/>
  <c r="P34" s="1"/>
  <c r="R15"/>
  <c r="Z15" s="1"/>
  <c r="AB15" s="1"/>
  <c r="O14"/>
  <c r="P14" s="1"/>
  <c r="F7"/>
  <c r="H12" i="7"/>
  <c r="I11"/>
  <c r="H160"/>
  <c r="I159"/>
  <c r="I84"/>
  <c r="H85"/>
  <c r="Z74" i="17"/>
  <c r="P51"/>
  <c r="Y24"/>
  <c r="O35"/>
  <c r="Z35"/>
  <c r="AB35" s="1"/>
  <c r="J40" i="19"/>
  <c r="J41" s="1"/>
  <c r="H39"/>
  <c r="H40" s="1"/>
  <c r="Z39" i="17" l="1"/>
  <c r="AB39" s="1"/>
  <c r="R40"/>
  <c r="Z40" s="1"/>
  <c r="AB40" s="1"/>
  <c r="R60"/>
  <c r="O60" s="1"/>
  <c r="L60" s="1"/>
  <c r="O59"/>
  <c r="Y64"/>
  <c r="O24"/>
  <c r="L24" s="1"/>
  <c r="P24" s="1"/>
  <c r="Y54"/>
  <c r="Y39"/>
  <c r="Y59"/>
  <c r="Y49"/>
  <c r="X49"/>
  <c r="Y34"/>
  <c r="X34"/>
  <c r="Y69"/>
  <c r="X69"/>
  <c r="Y29"/>
  <c r="Y44"/>
  <c r="O45"/>
  <c r="L45" s="1"/>
  <c r="P45" s="1"/>
  <c r="L43"/>
  <c r="P43" s="1"/>
  <c r="O65"/>
  <c r="Z64"/>
  <c r="AB64" s="1"/>
  <c r="Y10"/>
  <c r="O19"/>
  <c r="R20"/>
  <c r="Z20" s="1"/>
  <c r="AB20" s="1"/>
  <c r="O64"/>
  <c r="L64" s="1"/>
  <c r="R25"/>
  <c r="Z25" s="1"/>
  <c r="AB25" s="1"/>
  <c r="V15"/>
  <c r="W15" s="1"/>
  <c r="X15" s="1"/>
  <c r="Y14"/>
  <c r="V45"/>
  <c r="W45" s="1"/>
  <c r="V70"/>
  <c r="W70" s="1"/>
  <c r="X70" s="1"/>
  <c r="V35"/>
  <c r="W35" s="1"/>
  <c r="X35" s="1"/>
  <c r="V50"/>
  <c r="W50" s="1"/>
  <c r="X50" s="1"/>
  <c r="V65"/>
  <c r="W65" s="1"/>
  <c r="V30"/>
  <c r="W30" s="1"/>
  <c r="V25"/>
  <c r="W25" s="1"/>
  <c r="X25" s="1"/>
  <c r="V20"/>
  <c r="Y19"/>
  <c r="V75"/>
  <c r="W75" s="1"/>
  <c r="X75" s="1"/>
  <c r="V40"/>
  <c r="W40" s="1"/>
  <c r="X40" s="1"/>
  <c r="V55"/>
  <c r="W55" s="1"/>
  <c r="X55" s="1"/>
  <c r="V60"/>
  <c r="W60" s="1"/>
  <c r="O70"/>
  <c r="L70" s="1"/>
  <c r="O54"/>
  <c r="L54" s="1"/>
  <c r="O29"/>
  <c r="L29" s="1"/>
  <c r="P29" s="1"/>
  <c r="Z75"/>
  <c r="R30"/>
  <c r="Z30" s="1"/>
  <c r="AB30" s="1"/>
  <c r="R55"/>
  <c r="O55" s="1"/>
  <c r="Z50"/>
  <c r="AB50" s="1"/>
  <c r="L49"/>
  <c r="P49" s="1"/>
  <c r="L35"/>
  <c r="P35" s="1"/>
  <c r="L50"/>
  <c r="P50" s="1"/>
  <c r="P75"/>
  <c r="P74"/>
  <c r="O15"/>
  <c r="F8" s="1"/>
  <c r="I160" i="7"/>
  <c r="H161"/>
  <c r="H13"/>
  <c r="I12"/>
  <c r="H86"/>
  <c r="I85"/>
  <c r="P52" i="17"/>
  <c r="J42" i="19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178" s="1"/>
  <c r="J179" s="1"/>
  <c r="J180" s="1"/>
  <c r="J181" s="1"/>
  <c r="J182" s="1"/>
  <c r="J183" s="1"/>
  <c r="J184" s="1"/>
  <c r="J185" s="1"/>
  <c r="J186" s="1"/>
  <c r="J187" s="1"/>
  <c r="J188" s="1"/>
  <c r="J189" s="1"/>
  <c r="J190" s="1"/>
  <c r="J191" s="1"/>
  <c r="J192" s="1"/>
  <c r="J193" s="1"/>
  <c r="J194" s="1"/>
  <c r="J195" s="1"/>
  <c r="J196" s="1"/>
  <c r="J197" s="1"/>
  <c r="J198" s="1"/>
  <c r="J199" s="1"/>
  <c r="J200" s="1"/>
  <c r="J201" s="1"/>
  <c r="J202" s="1"/>
  <c r="J203" s="1"/>
  <c r="J204" s="1"/>
  <c r="J205" s="1"/>
  <c r="J206" s="1"/>
  <c r="J207" s="1"/>
  <c r="J208" s="1"/>
  <c r="J209" s="1"/>
  <c r="J210" s="1"/>
  <c r="J211" s="1"/>
  <c r="J212" s="1"/>
  <c r="J213" s="1"/>
  <c r="J214" s="1"/>
  <c r="J215" s="1"/>
  <c r="J216" s="1"/>
  <c r="J217" s="1"/>
  <c r="J218" s="1"/>
  <c r="J219" s="1"/>
  <c r="J220" s="1"/>
  <c r="J221" s="1"/>
  <c r="J222" s="1"/>
  <c r="J223" s="1"/>
  <c r="J224" s="1"/>
  <c r="J225" s="1"/>
  <c r="J226" s="1"/>
  <c r="J227" s="1"/>
  <c r="J228" s="1"/>
  <c r="J229" s="1"/>
  <c r="J230" s="1"/>
  <c r="J231" s="1"/>
  <c r="J232" s="1"/>
  <c r="J233" s="1"/>
  <c r="J234" s="1"/>
  <c r="J235" s="1"/>
  <c r="J236" s="1"/>
  <c r="J237" s="1"/>
  <c r="J238" s="1"/>
  <c r="J239" s="1"/>
  <c r="J240" s="1"/>
  <c r="J241" s="1"/>
  <c r="J242" s="1"/>
  <c r="J243" s="1"/>
  <c r="J244" s="1"/>
  <c r="J245" s="1"/>
  <c r="J246" s="1"/>
  <c r="J247" s="1"/>
  <c r="J248" s="1"/>
  <c r="J249" s="1"/>
  <c r="J250" s="1"/>
  <c r="J251" s="1"/>
  <c r="J252" s="1"/>
  <c r="J253" s="1"/>
  <c r="J254" s="1"/>
  <c r="J255" s="1"/>
  <c r="J256" s="1"/>
  <c r="J257" s="1"/>
  <c r="J258" s="1"/>
  <c r="J259" s="1"/>
  <c r="J260" s="1"/>
  <c r="J261" s="1"/>
  <c r="J262" s="1"/>
  <c r="J263" s="1"/>
  <c r="J264" s="1"/>
  <c r="J265" s="1"/>
  <c r="J266" s="1"/>
  <c r="J267" s="1"/>
  <c r="J268" s="1"/>
  <c r="J269" s="1"/>
  <c r="J270" s="1"/>
  <c r="J271" s="1"/>
  <c r="J272" s="1"/>
  <c r="J273" s="1"/>
  <c r="J274" s="1"/>
  <c r="J275" s="1"/>
  <c r="J276" s="1"/>
  <c r="J277" s="1"/>
  <c r="J278" s="1"/>
  <c r="J279" s="1"/>
  <c r="J280" s="1"/>
  <c r="J281" s="1"/>
  <c r="J282" s="1"/>
  <c r="J283" s="1"/>
  <c r="J284" s="1"/>
  <c r="J285" s="1"/>
  <c r="J286" s="1"/>
  <c r="J287" s="1"/>
  <c r="J288" s="1"/>
  <c r="J289" s="1"/>
  <c r="J290" s="1"/>
  <c r="J291" s="1"/>
  <c r="J292" s="1"/>
  <c r="J293" s="1"/>
  <c r="J294" s="1"/>
  <c r="J295" s="1"/>
  <c r="J296" s="1"/>
  <c r="J297" s="1"/>
  <c r="J298" s="1"/>
  <c r="J299" s="1"/>
  <c r="J300" s="1"/>
  <c r="J301" s="1"/>
  <c r="J302" s="1"/>
  <c r="J303" s="1"/>
  <c r="J304" s="1"/>
  <c r="J305" s="1"/>
  <c r="J306" s="1"/>
  <c r="J307" s="1"/>
  <c r="J308" s="1"/>
  <c r="J309" s="1"/>
  <c r="J310" s="1"/>
  <c r="J311" s="1"/>
  <c r="J312" s="1"/>
  <c r="J313" s="1"/>
  <c r="J314" s="1"/>
  <c r="J315" s="1"/>
  <c r="J316" s="1"/>
  <c r="J317" s="1"/>
  <c r="J318" s="1"/>
  <c r="J319" s="1"/>
  <c r="J320" s="1"/>
  <c r="J321" s="1"/>
  <c r="J322" s="1"/>
  <c r="J323" s="1"/>
  <c r="J324" s="1"/>
  <c r="J325" s="1"/>
  <c r="J326" s="1"/>
  <c r="J327" s="1"/>
  <c r="J328" s="1"/>
  <c r="J329" s="1"/>
  <c r="J330" s="1"/>
  <c r="J331" s="1"/>
  <c r="J332" s="1"/>
  <c r="J333" s="1"/>
  <c r="J334" s="1"/>
  <c r="J335" s="1"/>
  <c r="J336" s="1"/>
  <c r="J337" s="1"/>
  <c r="J338" s="1"/>
  <c r="J339" s="1"/>
  <c r="J340" s="1"/>
  <c r="J341" s="1"/>
  <c r="J342" s="1"/>
  <c r="J343" s="1"/>
  <c r="J344" s="1"/>
  <c r="J345" s="1"/>
  <c r="J346" s="1"/>
  <c r="J347" s="1"/>
  <c r="J348" s="1"/>
  <c r="J349" s="1"/>
  <c r="J350" s="1"/>
  <c r="J351" s="1"/>
  <c r="J352" s="1"/>
  <c r="J353" s="1"/>
  <c r="J354" s="1"/>
  <c r="J355" s="1"/>
  <c r="J356" s="1"/>
  <c r="J357" s="1"/>
  <c r="J358" s="1"/>
  <c r="J359" s="1"/>
  <c r="J360" s="1"/>
  <c r="J361" s="1"/>
  <c r="J362" s="1"/>
  <c r="J363" s="1"/>
  <c r="J364" s="1"/>
  <c r="J365" s="1"/>
  <c r="J366" s="1"/>
  <c r="J367" s="1"/>
  <c r="J368" s="1"/>
  <c r="J369" s="1"/>
  <c r="J370" s="1"/>
  <c r="J371" s="1"/>
  <c r="J372" s="1"/>
  <c r="J373" s="1"/>
  <c r="J374" s="1"/>
  <c r="J375" s="1"/>
  <c r="J376" s="1"/>
  <c r="J377" s="1"/>
  <c r="J378" s="1"/>
  <c r="J379" s="1"/>
  <c r="J380" s="1"/>
  <c r="J381" s="1"/>
  <c r="J382" s="1"/>
  <c r="J383" s="1"/>
  <c r="J384" s="1"/>
  <c r="J385" s="1"/>
  <c r="J386" s="1"/>
  <c r="J387" s="1"/>
  <c r="J388" s="1"/>
  <c r="J389" s="1"/>
  <c r="J390" s="1"/>
  <c r="J391" s="1"/>
  <c r="J392" s="1"/>
  <c r="J393" s="1"/>
  <c r="J394" s="1"/>
  <c r="J395" s="1"/>
  <c r="J396" s="1"/>
  <c r="J397" s="1"/>
  <c r="J398" s="1"/>
  <c r="J399" s="1"/>
  <c r="J400" s="1"/>
  <c r="J401" s="1"/>
  <c r="J402" s="1"/>
  <c r="J403" s="1"/>
  <c r="J404" s="1"/>
  <c r="J405" s="1"/>
  <c r="J406" s="1"/>
  <c r="J407" s="1"/>
  <c r="J408" s="1"/>
  <c r="J409" s="1"/>
  <c r="J410" s="1"/>
  <c r="J411" s="1"/>
  <c r="J412" s="1"/>
  <c r="J413" s="1"/>
  <c r="J414" s="1"/>
  <c r="J415" s="1"/>
  <c r="J416" s="1"/>
  <c r="J417" s="1"/>
  <c r="J418" s="1"/>
  <c r="J419" s="1"/>
  <c r="J420" s="1"/>
  <c r="J421" s="1"/>
  <c r="J422" s="1"/>
  <c r="J423" s="1"/>
  <c r="J424" s="1"/>
  <c r="J425" s="1"/>
  <c r="J426" s="1"/>
  <c r="J427" s="1"/>
  <c r="J428" s="1"/>
  <c r="J429" s="1"/>
  <c r="J430" s="1"/>
  <c r="J431" s="1"/>
  <c r="J432" s="1"/>
  <c r="J433" s="1"/>
  <c r="J434" s="1"/>
  <c r="J435" s="1"/>
  <c r="J436" s="1"/>
  <c r="J437" s="1"/>
  <c r="J438" s="1"/>
  <c r="J439" s="1"/>
  <c r="J440" s="1"/>
  <c r="J441" s="1"/>
  <c r="J442" s="1"/>
  <c r="J443" s="1"/>
  <c r="J444" s="1"/>
  <c r="J445" s="1"/>
  <c r="J446" s="1"/>
  <c r="J447" s="1"/>
  <c r="J448" s="1"/>
  <c r="J449" s="1"/>
  <c r="J450" s="1"/>
  <c r="J451" s="1"/>
  <c r="J452" s="1"/>
  <c r="J453" s="1"/>
  <c r="J454" s="1"/>
  <c r="J455" s="1"/>
  <c r="J456" s="1"/>
  <c r="J457" s="1"/>
  <c r="J458" s="1"/>
  <c r="J459" s="1"/>
  <c r="J460" s="1"/>
  <c r="J461" s="1"/>
  <c r="J462" s="1"/>
  <c r="J463" s="1"/>
  <c r="J464" s="1"/>
  <c r="J465" s="1"/>
  <c r="J466" s="1"/>
  <c r="J467" s="1"/>
  <c r="J468" s="1"/>
  <c r="J469" s="1"/>
  <c r="J470" s="1"/>
  <c r="J471" s="1"/>
  <c r="J472" s="1"/>
  <c r="J473" s="1"/>
  <c r="J474" s="1"/>
  <c r="J475" s="1"/>
  <c r="J476" s="1"/>
  <c r="J477" s="1"/>
  <c r="J478" s="1"/>
  <c r="J479" s="1"/>
  <c r="J480" s="1"/>
  <c r="J481" s="1"/>
  <c r="J482" s="1"/>
  <c r="J483" s="1"/>
  <c r="J484" s="1"/>
  <c r="J485" s="1"/>
  <c r="J486" s="1"/>
  <c r="J487" s="1"/>
  <c r="J488" s="1"/>
  <c r="J489" s="1"/>
  <c r="J490" s="1"/>
  <c r="J491" s="1"/>
  <c r="J492" s="1"/>
  <c r="J493" s="1"/>
  <c r="J494" s="1"/>
  <c r="J495" s="1"/>
  <c r="J496" s="1"/>
  <c r="J497" s="1"/>
  <c r="J498" s="1"/>
  <c r="J499" s="1"/>
  <c r="J500" s="1"/>
  <c r="J501" s="1"/>
  <c r="J502" s="1"/>
  <c r="J503" s="1"/>
  <c r="J504" s="1"/>
  <c r="J505" s="1"/>
  <c r="J506" s="1"/>
  <c r="J507" s="1"/>
  <c r="J508" s="1"/>
  <c r="J509" s="1"/>
  <c r="J510" s="1"/>
  <c r="J511" s="1"/>
  <c r="J512" s="1"/>
  <c r="J513" s="1"/>
  <c r="J514" s="1"/>
  <c r="J515" s="1"/>
  <c r="J516" s="1"/>
  <c r="J517" s="1"/>
  <c r="J518" s="1"/>
  <c r="J519" s="1"/>
  <c r="H41"/>
  <c r="H42" s="1"/>
  <c r="H43" s="1"/>
  <c r="H44" s="1"/>
  <c r="H45" s="1"/>
  <c r="O40" i="17" l="1"/>
  <c r="L40" s="1"/>
  <c r="P40" s="1"/>
  <c r="Y25"/>
  <c r="Y35"/>
  <c r="Z60"/>
  <c r="AB60" s="1"/>
  <c r="O20"/>
  <c r="L20" s="1"/>
  <c r="P20" s="1"/>
  <c r="L65"/>
  <c r="L59"/>
  <c r="L19"/>
  <c r="P19" s="1"/>
  <c r="Y40"/>
  <c r="Y15"/>
  <c r="Y55"/>
  <c r="Y50"/>
  <c r="Y60"/>
  <c r="X60"/>
  <c r="Y45"/>
  <c r="X45"/>
  <c r="Y70"/>
  <c r="Y65"/>
  <c r="X65"/>
  <c r="Y30"/>
  <c r="X30"/>
  <c r="W20"/>
  <c r="X20" s="1"/>
  <c r="O25"/>
  <c r="O30"/>
  <c r="L30" s="1"/>
  <c r="P30" s="1"/>
  <c r="L55"/>
  <c r="Z55"/>
  <c r="AB55" s="1"/>
  <c r="P15"/>
  <c r="H87" i="7"/>
  <c r="I86"/>
  <c r="I161"/>
  <c r="H162"/>
  <c r="I13"/>
  <c r="H14"/>
  <c r="P53" i="17"/>
  <c r="H46" i="19"/>
  <c r="Y20" i="17" l="1"/>
  <c r="L25"/>
  <c r="P25" s="1"/>
  <c r="H88" i="7"/>
  <c r="I87"/>
  <c r="H15"/>
  <c r="I14"/>
  <c r="H163"/>
  <c r="I162"/>
  <c r="P54" i="17"/>
  <c r="H47" i="19"/>
  <c r="H48" s="1"/>
  <c r="H164" i="7" l="1"/>
  <c r="I163"/>
  <c r="H16"/>
  <c r="I15"/>
  <c r="I88"/>
  <c r="H89"/>
  <c r="P55" i="17"/>
  <c r="H49" i="19"/>
  <c r="I164" i="7" l="1"/>
  <c r="H165"/>
  <c r="H90"/>
  <c r="I89"/>
  <c r="H17"/>
  <c r="I16"/>
  <c r="P56" i="17"/>
  <c r="H50" i="19"/>
  <c r="H91" i="7" l="1"/>
  <c r="I90"/>
  <c r="I17"/>
  <c r="H18"/>
  <c r="H166"/>
  <c r="I165"/>
  <c r="P57" i="17"/>
  <c r="H51" i="19"/>
  <c r="H52" s="1"/>
  <c r="H92" i="7" l="1"/>
  <c r="I91"/>
  <c r="I166"/>
  <c r="H167"/>
  <c r="H19"/>
  <c r="I18"/>
  <c r="P58" i="17"/>
  <c r="H53" i="19"/>
  <c r="I92" i="7" l="1"/>
  <c r="H93"/>
  <c r="H20"/>
  <c r="I19"/>
  <c r="H168"/>
  <c r="I167"/>
  <c r="P59" i="17"/>
  <c r="H54" i="19"/>
  <c r="H21" i="7" l="1"/>
  <c r="I20"/>
  <c r="I168"/>
  <c r="H169"/>
  <c r="H94"/>
  <c r="I93"/>
  <c r="P60" i="17"/>
  <c r="H55" i="19"/>
  <c r="H95" i="7" l="1"/>
  <c r="I94"/>
  <c r="I21"/>
  <c r="H22"/>
  <c r="I169"/>
  <c r="H170"/>
  <c r="P61" i="17"/>
  <c r="H56" i="19"/>
  <c r="H57" s="1"/>
  <c r="H96" i="7" l="1"/>
  <c r="I95"/>
  <c r="I170"/>
  <c r="H171"/>
  <c r="H23"/>
  <c r="I22"/>
  <c r="P62" i="17"/>
  <c r="H58" i="19"/>
  <c r="H97" i="7" l="1"/>
  <c r="I96"/>
  <c r="H24"/>
  <c r="I23"/>
  <c r="I171"/>
  <c r="H172"/>
  <c r="P63" i="17"/>
  <c r="H59" i="19"/>
  <c r="H98" i="7" l="1"/>
  <c r="I97"/>
  <c r="I172"/>
  <c r="H173"/>
  <c r="H25"/>
  <c r="I24"/>
  <c r="P64" i="17"/>
  <c r="H60" i="19"/>
  <c r="I25" i="7" l="1"/>
  <c r="H26"/>
  <c r="H99"/>
  <c r="I98"/>
  <c r="H174"/>
  <c r="I173"/>
  <c r="P65" i="17"/>
  <c r="H61" i="19"/>
  <c r="H175" i="7" l="1"/>
  <c r="I174"/>
  <c r="H27"/>
  <c r="I26"/>
  <c r="H100"/>
  <c r="I99"/>
  <c r="P66" i="17"/>
  <c r="H62" i="19"/>
  <c r="H63" s="1"/>
  <c r="I175" i="7" l="1"/>
  <c r="H176"/>
  <c r="H28"/>
  <c r="I27"/>
  <c r="H101"/>
  <c r="I100"/>
  <c r="P67" i="17"/>
  <c r="H64" i="19"/>
  <c r="H102" i="7" l="1"/>
  <c r="I101"/>
  <c r="I176"/>
  <c r="H177"/>
  <c r="I28"/>
  <c r="H29"/>
  <c r="P68" i="17"/>
  <c r="H65" i="19"/>
  <c r="H103" i="7" l="1"/>
  <c r="I102"/>
  <c r="I29"/>
  <c r="H30"/>
  <c r="H178"/>
  <c r="I177"/>
  <c r="P69" i="17"/>
  <c r="H66" i="19"/>
  <c r="H179" i="7" l="1"/>
  <c r="I178"/>
  <c r="H104"/>
  <c r="I103"/>
  <c r="H31"/>
  <c r="I30"/>
  <c r="P70" i="17"/>
  <c r="H67" i="19"/>
  <c r="H68" s="1"/>
  <c r="H32" i="7" l="1"/>
  <c r="I31"/>
  <c r="H180"/>
  <c r="I179"/>
  <c r="H105"/>
  <c r="I104"/>
  <c r="P71" i="17"/>
  <c r="H69" i="19"/>
  <c r="H70" s="1"/>
  <c r="I105" i="7" l="1"/>
  <c r="H106"/>
  <c r="I32"/>
  <c r="H33"/>
  <c r="I180"/>
  <c r="H181"/>
  <c r="H71" i="19"/>
  <c r="I181" i="7" l="1"/>
  <c r="H182"/>
  <c r="H107"/>
  <c r="I106"/>
  <c r="I33"/>
  <c r="H34"/>
  <c r="H72" i="19"/>
  <c r="H35" i="7" l="1"/>
  <c r="I34"/>
  <c r="I182"/>
  <c r="H183"/>
  <c r="H108"/>
  <c r="I107"/>
  <c r="H73" i="19"/>
  <c r="H109" i="7" l="1"/>
  <c r="I108"/>
  <c r="H36"/>
  <c r="I35"/>
  <c r="H184"/>
  <c r="I183"/>
  <c r="H74" i="19"/>
  <c r="H185" i="7" l="1"/>
  <c r="I184"/>
  <c r="I109"/>
  <c r="H110"/>
  <c r="I36"/>
  <c r="H37"/>
  <c r="H75" i="19"/>
  <c r="I185" i="7" l="1"/>
  <c r="H186"/>
  <c r="H38"/>
  <c r="I37"/>
  <c r="H111"/>
  <c r="I110"/>
  <c r="H76" i="19"/>
  <c r="H112" i="7" l="1"/>
  <c r="I111"/>
  <c r="I186"/>
  <c r="H187"/>
  <c r="H39"/>
  <c r="I38"/>
  <c r="H77" i="19"/>
  <c r="H40" i="7" l="1"/>
  <c r="I39"/>
  <c r="H113"/>
  <c r="I112"/>
  <c r="I187"/>
  <c r="H188"/>
  <c r="H78" i="19"/>
  <c r="H41" i="7" l="1"/>
  <c r="I40"/>
  <c r="H189"/>
  <c r="I188"/>
  <c r="H114"/>
  <c r="I113"/>
  <c r="H79" i="19"/>
  <c r="H115" i="7" l="1"/>
  <c r="I114"/>
  <c r="H42"/>
  <c r="I41"/>
  <c r="I189"/>
  <c r="H190"/>
  <c r="H80" i="19"/>
  <c r="H116" i="7" l="1"/>
  <c r="I115"/>
  <c r="I190"/>
  <c r="H191"/>
  <c r="H43"/>
  <c r="I42"/>
  <c r="H81" i="19"/>
  <c r="H44" i="7" l="1"/>
  <c r="I43"/>
  <c r="I116"/>
  <c r="H117"/>
  <c r="H192"/>
  <c r="I191"/>
  <c r="H82" i="19"/>
  <c r="H83" s="1"/>
  <c r="I192" i="7" l="1"/>
  <c r="H193"/>
  <c r="I44"/>
  <c r="H45"/>
  <c r="H118"/>
  <c r="I117"/>
  <c r="H84" i="19"/>
  <c r="H119" i="7" l="1"/>
  <c r="I118"/>
  <c r="I193"/>
  <c r="H194"/>
  <c r="I45"/>
  <c r="H46"/>
  <c r="H85" i="19"/>
  <c r="H120" i="7" l="1"/>
  <c r="I119"/>
  <c r="H47"/>
  <c r="I46"/>
  <c r="I194"/>
  <c r="H195"/>
  <c r="H86" i="19"/>
  <c r="I120" i="7" l="1"/>
  <c r="H121"/>
  <c r="I195"/>
  <c r="H196"/>
  <c r="H48"/>
  <c r="I47"/>
  <c r="H87" i="19"/>
  <c r="H49" i="7" l="1"/>
  <c r="I48"/>
  <c r="H122"/>
  <c r="I121"/>
  <c r="I196"/>
  <c r="H197"/>
  <c r="H88" i="19"/>
  <c r="I49" i="7" l="1"/>
  <c r="H50"/>
  <c r="I197"/>
  <c r="H198"/>
  <c r="H123"/>
  <c r="I122"/>
  <c r="H89" i="19"/>
  <c r="H124" i="7" l="1"/>
  <c r="I123"/>
  <c r="H51"/>
  <c r="I50"/>
  <c r="I198"/>
  <c r="H199"/>
  <c r="H90" i="19"/>
  <c r="I124" i="7" l="1"/>
  <c r="H125"/>
  <c r="I199"/>
  <c r="H200"/>
  <c r="H52"/>
  <c r="I51"/>
  <c r="H91" i="19"/>
  <c r="H53" i="7" l="1"/>
  <c r="I52"/>
  <c r="H126"/>
  <c r="I125"/>
  <c r="I200"/>
  <c r="H201"/>
  <c r="H92" i="19"/>
  <c r="H54" i="7" l="1"/>
  <c r="I53"/>
  <c r="I201"/>
  <c r="H202"/>
  <c r="H127"/>
  <c r="I126"/>
  <c r="H93" i="19"/>
  <c r="H128" i="7" l="1"/>
  <c r="I127"/>
  <c r="H55"/>
  <c r="I54"/>
  <c r="I202"/>
  <c r="H203"/>
  <c r="H94" i="19"/>
  <c r="I128" i="7" l="1"/>
  <c r="H129"/>
  <c r="H204"/>
  <c r="I203"/>
  <c r="H56"/>
  <c r="I55"/>
  <c r="H95" i="19"/>
  <c r="H57" i="7" l="1"/>
  <c r="I56"/>
  <c r="I129"/>
  <c r="H130"/>
  <c r="H205"/>
  <c r="I204"/>
  <c r="H96" i="19"/>
  <c r="I205" i="7" l="1"/>
  <c r="H206"/>
  <c r="H58"/>
  <c r="I57"/>
  <c r="H131"/>
  <c r="I130"/>
  <c r="H97" i="19"/>
  <c r="H132" i="7" l="1"/>
  <c r="I131"/>
  <c r="I206"/>
  <c r="H207"/>
  <c r="H59"/>
  <c r="I58"/>
  <c r="H98" i="19"/>
  <c r="H60" i="7" l="1"/>
  <c r="I59"/>
  <c r="I132"/>
  <c r="H133"/>
  <c r="I207"/>
  <c r="H208"/>
  <c r="H99" i="19"/>
  <c r="H61" i="7" l="1"/>
  <c r="I60"/>
  <c r="I208"/>
  <c r="H209"/>
  <c r="I133"/>
  <c r="H134"/>
  <c r="H100" i="19"/>
  <c r="H62" i="7" l="1"/>
  <c r="I61"/>
  <c r="H135"/>
  <c r="I134"/>
  <c r="I209"/>
  <c r="H210"/>
  <c r="H101" i="19"/>
  <c r="H102" s="1"/>
  <c r="H63" i="7" l="1"/>
  <c r="I62"/>
  <c r="I210"/>
  <c r="H211"/>
  <c r="H136"/>
  <c r="I135"/>
  <c r="H103" i="19"/>
  <c r="H104" s="1"/>
  <c r="H137" i="7" l="1"/>
  <c r="I136"/>
  <c r="H64"/>
  <c r="I63"/>
  <c r="I211"/>
  <c r="H212"/>
  <c r="H105" i="19"/>
  <c r="H138" i="7" l="1"/>
  <c r="I137"/>
  <c r="I212"/>
  <c r="H213"/>
  <c r="I64"/>
  <c r="H65"/>
  <c r="H106" i="19"/>
  <c r="H107" s="1"/>
  <c r="H66" i="7" l="1"/>
  <c r="I65"/>
  <c r="H139"/>
  <c r="I138"/>
  <c r="I213"/>
  <c r="H214"/>
  <c r="H108" i="19"/>
  <c r="H109" s="1"/>
  <c r="H67" i="7" l="1"/>
  <c r="I66"/>
  <c r="I214"/>
  <c r="H215"/>
  <c r="H140"/>
  <c r="I139"/>
  <c r="H110" i="19"/>
  <c r="H68" i="7" l="1"/>
  <c r="I67"/>
  <c r="H141"/>
  <c r="I140"/>
  <c r="I215"/>
  <c r="H216"/>
  <c r="H111" i="19"/>
  <c r="H142" i="7" l="1"/>
  <c r="I141"/>
  <c r="I68"/>
  <c r="H69"/>
  <c r="H217"/>
  <c r="I216"/>
  <c r="H112" i="19"/>
  <c r="I217" i="7" l="1"/>
  <c r="H218"/>
  <c r="H143"/>
  <c r="I142"/>
  <c r="I69"/>
  <c r="H70"/>
  <c r="H113" i="19"/>
  <c r="H71" i="7" l="1"/>
  <c r="I71" s="1"/>
  <c r="I70"/>
  <c r="I218"/>
  <c r="H219"/>
  <c r="I219" s="1"/>
  <c r="H144"/>
  <c r="I143"/>
  <c r="H114" i="19"/>
  <c r="I144" i="7" l="1"/>
  <c r="H145"/>
  <c r="I145" s="1"/>
  <c r="H115" i="19"/>
  <c r="H116" l="1"/>
  <c r="H117" l="1"/>
  <c r="H118" l="1"/>
  <c r="H119" l="1"/>
  <c r="H120" s="1"/>
  <c r="H121" l="1"/>
  <c r="H122" s="1"/>
  <c r="H123" l="1"/>
  <c r="H124" l="1"/>
  <c r="H125" l="1"/>
  <c r="H126" l="1"/>
  <c r="H127" l="1"/>
  <c r="H128" s="1"/>
  <c r="H129" l="1"/>
  <c r="H130" l="1"/>
  <c r="H131" l="1"/>
  <c r="H132" l="1"/>
  <c r="H133" l="1"/>
  <c r="H134" l="1"/>
  <c r="H135" l="1"/>
  <c r="H136" l="1"/>
  <c r="H137" l="1"/>
  <c r="H138" l="1"/>
  <c r="H139" l="1"/>
  <c r="H140" l="1"/>
  <c r="H141" l="1"/>
  <c r="H142" l="1"/>
  <c r="H143" l="1"/>
  <c r="H144" l="1"/>
  <c r="H145" l="1"/>
  <c r="H146" l="1"/>
  <c r="H147" l="1"/>
  <c r="H148" l="1"/>
  <c r="H149" s="1"/>
  <c r="H150" l="1"/>
  <c r="H151" s="1"/>
  <c r="H152" l="1"/>
  <c r="H153" s="1"/>
  <c r="H154" s="1"/>
  <c r="H155" l="1"/>
  <c r="H156" s="1"/>
  <c r="H157" l="1"/>
  <c r="H158" l="1"/>
  <c r="H159" s="1"/>
  <c r="H160" s="1"/>
  <c r="H161" l="1"/>
  <c r="H162" l="1"/>
  <c r="H163" s="1"/>
  <c r="H164" l="1"/>
  <c r="H165" s="1"/>
  <c r="H166" l="1"/>
  <c r="H167" s="1"/>
  <c r="H168" l="1"/>
  <c r="H169" s="1"/>
  <c r="H170" s="1"/>
  <c r="H171" l="1"/>
  <c r="H172" l="1"/>
  <c r="H173" s="1"/>
  <c r="H174" l="1"/>
  <c r="H175" s="1"/>
  <c r="H176" l="1"/>
  <c r="H177" s="1"/>
  <c r="H178" l="1"/>
  <c r="H179" l="1"/>
  <c r="H180" l="1"/>
  <c r="H181" s="1"/>
  <c r="H182" l="1"/>
  <c r="H183" s="1"/>
  <c r="H184" l="1"/>
  <c r="H185" s="1"/>
  <c r="H186" l="1"/>
  <c r="H187" s="1"/>
  <c r="H188" s="1"/>
  <c r="H189" l="1"/>
  <c r="H190" l="1"/>
  <c r="H191" s="1"/>
  <c r="H192" l="1"/>
  <c r="H193" s="1"/>
  <c r="H194" l="1"/>
  <c r="H195" s="1"/>
  <c r="H196" l="1"/>
  <c r="H197" s="1"/>
  <c r="H198" s="1"/>
  <c r="H199" s="1"/>
  <c r="H200" s="1"/>
  <c r="H201" s="1"/>
  <c r="H202" s="1"/>
  <c r="H203" s="1"/>
  <c r="H204" s="1"/>
  <c r="H205" s="1"/>
  <c r="H206" s="1"/>
  <c r="H207" s="1"/>
  <c r="H208" s="1"/>
  <c r="H209" s="1"/>
  <c r="H210" s="1"/>
  <c r="H211" s="1"/>
  <c r="H212" s="1"/>
  <c r="H213" s="1"/>
  <c r="H214" s="1"/>
  <c r="H215" s="1"/>
  <c r="H216" s="1"/>
  <c r="H217" s="1"/>
  <c r="H218" s="1"/>
  <c r="H219" s="1"/>
  <c r="H220" s="1"/>
  <c r="H221" s="1"/>
  <c r="H222" s="1"/>
  <c r="H223" s="1"/>
  <c r="H224" s="1"/>
  <c r="H225" s="1"/>
  <c r="H226" s="1"/>
  <c r="H227" s="1"/>
  <c r="H228" s="1"/>
  <c r="H229" s="1"/>
  <c r="H230" s="1"/>
  <c r="H231" s="1"/>
  <c r="H232" s="1"/>
  <c r="H233" s="1"/>
  <c r="H234" s="1"/>
  <c r="H235" s="1"/>
  <c r="H236" s="1"/>
  <c r="H237" s="1"/>
  <c r="H238" s="1"/>
  <c r="H239" s="1"/>
  <c r="H240" s="1"/>
  <c r="H241" s="1"/>
  <c r="H242" s="1"/>
  <c r="H243" s="1"/>
  <c r="H244" s="1"/>
  <c r="H245" s="1"/>
  <c r="H246" s="1"/>
  <c r="H247" s="1"/>
  <c r="H248" s="1"/>
  <c r="H249" s="1"/>
  <c r="H250" s="1"/>
  <c r="H251" s="1"/>
  <c r="H252" s="1"/>
  <c r="H253" s="1"/>
  <c r="H254" s="1"/>
  <c r="H255" s="1"/>
  <c r="H256" s="1"/>
  <c r="H257" s="1"/>
  <c r="H258" s="1"/>
  <c r="H259" s="1"/>
  <c r="H260" s="1"/>
  <c r="H261" s="1"/>
  <c r="H262" s="1"/>
  <c r="H263" s="1"/>
  <c r="H264" s="1"/>
  <c r="H265" s="1"/>
  <c r="H266" s="1"/>
  <c r="H267" s="1"/>
  <c r="H268" s="1"/>
  <c r="H269" s="1"/>
  <c r="H270" s="1"/>
  <c r="H271" s="1"/>
  <c r="H272" s="1"/>
  <c r="H273" s="1"/>
  <c r="H274" s="1"/>
  <c r="H275" s="1"/>
  <c r="H276" s="1"/>
  <c r="H277" s="1"/>
  <c r="H278" s="1"/>
  <c r="H279" s="1"/>
  <c r="H280" s="1"/>
  <c r="H281" s="1"/>
  <c r="H282" s="1"/>
  <c r="H283" s="1"/>
  <c r="H284" s="1"/>
  <c r="H285" s="1"/>
  <c r="H286" s="1"/>
  <c r="H287" s="1"/>
  <c r="H288" s="1"/>
  <c r="H289" s="1"/>
  <c r="H290" s="1"/>
  <c r="H291" s="1"/>
  <c r="H292" s="1"/>
  <c r="H293" s="1"/>
  <c r="H294" s="1"/>
  <c r="H295" s="1"/>
  <c r="H296" s="1"/>
  <c r="H297" s="1"/>
  <c r="H298" s="1"/>
  <c r="H299" s="1"/>
  <c r="H300" s="1"/>
  <c r="H301" s="1"/>
  <c r="H302" s="1"/>
  <c r="H303" s="1"/>
  <c r="H304" s="1"/>
  <c r="H305" s="1"/>
  <c r="H306" s="1"/>
  <c r="H307" s="1"/>
  <c r="H308" s="1"/>
  <c r="H309" s="1"/>
  <c r="H310" s="1"/>
  <c r="H311" s="1"/>
  <c r="H312" s="1"/>
  <c r="H313" s="1"/>
  <c r="H314" s="1"/>
  <c r="H315" s="1"/>
  <c r="H316" s="1"/>
  <c r="H317" s="1"/>
  <c r="H318" s="1"/>
  <c r="H319" s="1"/>
  <c r="H320" s="1"/>
  <c r="H321" s="1"/>
  <c r="H322" s="1"/>
  <c r="H323" s="1"/>
  <c r="H324" s="1"/>
  <c r="H325" s="1"/>
  <c r="H326" s="1"/>
  <c r="H327" s="1"/>
  <c r="H328" s="1"/>
  <c r="H329" s="1"/>
  <c r="H330" s="1"/>
  <c r="H331" s="1"/>
  <c r="H332" s="1"/>
  <c r="H333" s="1"/>
  <c r="H334" s="1"/>
  <c r="H335" s="1"/>
  <c r="H336" s="1"/>
  <c r="H337" s="1"/>
  <c r="H338" s="1"/>
  <c r="H339" s="1"/>
  <c r="H340" s="1"/>
  <c r="H341" s="1"/>
  <c r="H342" s="1"/>
  <c r="H343" s="1"/>
  <c r="H344" s="1"/>
  <c r="H345" s="1"/>
  <c r="H346" s="1"/>
  <c r="H347" s="1"/>
  <c r="H348" s="1"/>
  <c r="H349" s="1"/>
  <c r="H350" s="1"/>
  <c r="H351" s="1"/>
  <c r="H352" s="1"/>
  <c r="H353" s="1"/>
  <c r="H354" s="1"/>
  <c r="H355" s="1"/>
  <c r="H356" s="1"/>
  <c r="H357" s="1"/>
  <c r="H358" s="1"/>
  <c r="H359" s="1"/>
  <c r="H360" s="1"/>
  <c r="H361" s="1"/>
  <c r="H362" s="1"/>
  <c r="H363" s="1"/>
  <c r="H364" s="1"/>
  <c r="H365" s="1"/>
  <c r="H366" s="1"/>
  <c r="H367" s="1"/>
  <c r="H368" s="1"/>
  <c r="H369" s="1"/>
  <c r="H370" s="1"/>
  <c r="H371" s="1"/>
  <c r="H372" s="1"/>
  <c r="H373" s="1"/>
  <c r="H374" s="1"/>
  <c r="H375" s="1"/>
  <c r="H376" s="1"/>
  <c r="H377" s="1"/>
  <c r="H378" s="1"/>
  <c r="H379" s="1"/>
  <c r="H380" s="1"/>
  <c r="H381" s="1"/>
  <c r="H382" s="1"/>
  <c r="H383" s="1"/>
  <c r="H384" s="1"/>
  <c r="H385" s="1"/>
  <c r="H386" s="1"/>
  <c r="H387" s="1"/>
  <c r="H388" s="1"/>
  <c r="H389" s="1"/>
  <c r="H390" s="1"/>
  <c r="H391" s="1"/>
  <c r="H392" s="1"/>
  <c r="H393" s="1"/>
  <c r="H394" s="1"/>
  <c r="H395" s="1"/>
  <c r="H396" s="1"/>
  <c r="H397" s="1"/>
  <c r="H398" s="1"/>
  <c r="H399" s="1"/>
  <c r="H400" s="1"/>
  <c r="H401" s="1"/>
  <c r="H402" s="1"/>
  <c r="H403" s="1"/>
  <c r="H404" s="1"/>
  <c r="H405" s="1"/>
  <c r="H406" s="1"/>
  <c r="H407" s="1"/>
  <c r="H408" s="1"/>
  <c r="H409" s="1"/>
  <c r="H410" s="1"/>
  <c r="H411" s="1"/>
  <c r="H412" s="1"/>
  <c r="H413" s="1"/>
  <c r="H414" s="1"/>
  <c r="H415" s="1"/>
  <c r="H416" s="1"/>
  <c r="H417" s="1"/>
  <c r="H418" s="1"/>
  <c r="H419" s="1"/>
  <c r="H420" s="1"/>
  <c r="H421" s="1"/>
  <c r="H422" s="1"/>
  <c r="H423" s="1"/>
  <c r="H424" s="1"/>
  <c r="H425" s="1"/>
  <c r="H426" s="1"/>
  <c r="H427" s="1"/>
  <c r="H428" s="1"/>
  <c r="H429" s="1"/>
  <c r="H430" s="1"/>
  <c r="H431" s="1"/>
  <c r="H432" s="1"/>
  <c r="H433" s="1"/>
  <c r="H434" s="1"/>
  <c r="H435" s="1"/>
  <c r="H436" s="1"/>
  <c r="H437" s="1"/>
  <c r="H438" s="1"/>
  <c r="H439" s="1"/>
  <c r="H440" s="1"/>
  <c r="H441" s="1"/>
  <c r="H442" s="1"/>
  <c r="H443" s="1"/>
  <c r="H444" s="1"/>
  <c r="H445" s="1"/>
  <c r="H446" s="1"/>
  <c r="H447" s="1"/>
  <c r="H448" s="1"/>
  <c r="H449" s="1"/>
  <c r="H450" s="1"/>
  <c r="H451" s="1"/>
  <c r="H452" s="1"/>
  <c r="H453" s="1"/>
  <c r="H454" s="1"/>
  <c r="H455" s="1"/>
  <c r="H456" s="1"/>
  <c r="H457" s="1"/>
  <c r="H458" s="1"/>
  <c r="H459" s="1"/>
  <c r="H460" s="1"/>
  <c r="H461" s="1"/>
  <c r="H462" s="1"/>
  <c r="H463" s="1"/>
  <c r="H464" s="1"/>
  <c r="H465" s="1"/>
  <c r="H466" s="1"/>
  <c r="H467" s="1"/>
  <c r="H468" s="1"/>
  <c r="H469" s="1"/>
  <c r="H470" s="1"/>
  <c r="H471" s="1"/>
  <c r="H472" s="1"/>
  <c r="H473" s="1"/>
  <c r="H474" s="1"/>
  <c r="H475" s="1"/>
  <c r="H476" s="1"/>
  <c r="H477" s="1"/>
  <c r="H478" s="1"/>
  <c r="H479" s="1"/>
  <c r="H480" s="1"/>
  <c r="H481" s="1"/>
  <c r="H482" s="1"/>
  <c r="H483" s="1"/>
  <c r="H484" s="1"/>
  <c r="H485" s="1"/>
  <c r="H486" s="1"/>
  <c r="H487" s="1"/>
  <c r="H488" s="1"/>
  <c r="H489" s="1"/>
  <c r="H490" s="1"/>
  <c r="H491" s="1"/>
  <c r="H492" s="1"/>
  <c r="H493" s="1"/>
  <c r="H494" s="1"/>
  <c r="H495" s="1"/>
  <c r="H496" s="1"/>
  <c r="H497" s="1"/>
  <c r="H498" s="1"/>
  <c r="H499" s="1"/>
  <c r="H500" s="1"/>
  <c r="H501" s="1"/>
  <c r="H502" s="1"/>
  <c r="H503" s="1"/>
  <c r="H504" s="1"/>
  <c r="H505" s="1"/>
  <c r="H506" s="1"/>
  <c r="H507" s="1"/>
  <c r="H508" s="1"/>
  <c r="H509" s="1"/>
  <c r="H510" s="1"/>
  <c r="H511" s="1"/>
  <c r="H512" s="1"/>
  <c r="H513" s="1"/>
  <c r="H514" s="1"/>
  <c r="H515" s="1"/>
  <c r="H516" s="1"/>
  <c r="H517" s="1"/>
  <c r="H518" s="1"/>
  <c r="H519" s="1"/>
  <c r="O6" i="17"/>
  <c r="P6" s="1"/>
  <c r="R7"/>
  <c r="Z7" s="1"/>
  <c r="AB7" s="1"/>
  <c r="O7" l="1"/>
  <c r="R4"/>
  <c r="Z4" s="1"/>
  <c r="AB4" s="1"/>
  <c r="R8"/>
  <c r="Z8" s="1"/>
  <c r="AB8" s="1"/>
  <c r="O3"/>
  <c r="P3" s="1"/>
  <c r="P7" l="1"/>
  <c r="F4"/>
  <c r="R5"/>
  <c r="O4"/>
  <c r="R9"/>
  <c r="Z9" s="1"/>
  <c r="AB9" s="1"/>
  <c r="O8"/>
  <c r="P8" s="1"/>
  <c r="P4" l="1"/>
  <c r="F2"/>
  <c r="O5"/>
  <c r="Z5"/>
  <c r="AB5" s="1"/>
  <c r="O9"/>
  <c r="R10"/>
  <c r="Z10" s="1"/>
  <c r="AB10" s="1"/>
  <c r="P9" l="1"/>
  <c r="F5"/>
  <c r="P5"/>
  <c r="F3"/>
  <c r="O10"/>
  <c r="P10" s="1"/>
  <c r="R92"/>
  <c r="R93" l="1"/>
  <c r="O92"/>
  <c r="L92" s="1"/>
  <c r="Z92" l="1"/>
  <c r="R94"/>
  <c r="O93"/>
  <c r="L93" l="1"/>
  <c r="P92"/>
  <c r="Z93"/>
  <c r="R95"/>
  <c r="O95" s="1"/>
  <c r="O94"/>
  <c r="L94" s="1"/>
  <c r="L95" l="1"/>
  <c r="P93"/>
  <c r="Z95"/>
  <c r="Z94"/>
  <c r="P94" l="1"/>
  <c r="P95"/>
  <c r="L17" l="1"/>
  <c r="P17" l="1"/>
</calcChain>
</file>

<file path=xl/sharedStrings.xml><?xml version="1.0" encoding="utf-8"?>
<sst xmlns="http://schemas.openxmlformats.org/spreadsheetml/2006/main" count="615" uniqueCount="381">
  <si>
    <t>戒指</t>
  </si>
  <si>
    <t>金币掉落</t>
  </si>
  <si>
    <t>腰带</t>
  </si>
  <si>
    <t>最大生命值</t>
  </si>
  <si>
    <t>胸甲</t>
  </si>
  <si>
    <t>免控</t>
  </si>
  <si>
    <t>护腿</t>
  </si>
  <si>
    <t>反伤</t>
  </si>
  <si>
    <t>副手</t>
  </si>
  <si>
    <t>破甲</t>
  </si>
  <si>
    <t>武器</t>
  </si>
  <si>
    <t>吸血</t>
  </si>
  <si>
    <t>项链</t>
  </si>
  <si>
    <t>装备掉落</t>
  </si>
  <si>
    <t>头盔</t>
  </si>
  <si>
    <t>回血</t>
  </si>
  <si>
    <t>鞋子</t>
  </si>
  <si>
    <t>获得经验</t>
  </si>
  <si>
    <t>手套</t>
  </si>
  <si>
    <t>暴击伤害</t>
  </si>
  <si>
    <t>LV1</t>
  </si>
  <si>
    <t>LV5</t>
  </si>
  <si>
    <t>LV10</t>
  </si>
  <si>
    <t>LV15</t>
  </si>
  <si>
    <t>LV20</t>
  </si>
  <si>
    <t>LV25</t>
  </si>
  <si>
    <t>LV30</t>
  </si>
  <si>
    <t>LV35</t>
  </si>
  <si>
    <t>LV40</t>
  </si>
  <si>
    <t>武器伤害</t>
  </si>
  <si>
    <t>总属性</t>
  </si>
  <si>
    <t>力</t>
  </si>
  <si>
    <t>敏</t>
  </si>
  <si>
    <t>智</t>
  </si>
  <si>
    <t>耐</t>
  </si>
  <si>
    <t>LV45</t>
  </si>
  <si>
    <t>LV50</t>
  </si>
  <si>
    <t>LV55</t>
  </si>
  <si>
    <t>LV60</t>
  </si>
  <si>
    <t>LV65</t>
  </si>
  <si>
    <t>LV70</t>
  </si>
  <si>
    <t>人物等级</t>
  </si>
  <si>
    <t>升级经验</t>
  </si>
  <si>
    <t>怪物等级</t>
  </si>
  <si>
    <t>怪物经验</t>
  </si>
  <si>
    <t>升级杀怪数</t>
  </si>
  <si>
    <t>所需时间</t>
  </si>
  <si>
    <t>所需时间(小时)</t>
  </si>
  <si>
    <t>累计时间（小时）</t>
  </si>
  <si>
    <t>累计时间（天）</t>
  </si>
  <si>
    <t>标准战斗时间</t>
  </si>
  <si>
    <t>高5级打怪</t>
  </si>
  <si>
    <t>等级</t>
  </si>
  <si>
    <t>人物属性成长</t>
  </si>
  <si>
    <t>耐力</t>
  </si>
  <si>
    <t>主属性</t>
  </si>
  <si>
    <t>其他</t>
  </si>
  <si>
    <t>装备属性</t>
  </si>
  <si>
    <t>人物属性</t>
  </si>
  <si>
    <t>属性攻击力</t>
  </si>
  <si>
    <t>总输出</t>
  </si>
  <si>
    <t>耐力值</t>
  </si>
  <si>
    <t>腰带加血</t>
  </si>
  <si>
    <t>生命总值</t>
  </si>
  <si>
    <t>护甲增值</t>
  </si>
  <si>
    <t>总护甲</t>
  </si>
  <si>
    <t>护甲减伤</t>
  </si>
  <si>
    <t>物抗</t>
  </si>
  <si>
    <t>魔抗</t>
  </si>
  <si>
    <t>物抗减伤</t>
  </si>
  <si>
    <t>魔抗减伤</t>
  </si>
  <si>
    <t>有效生命</t>
  </si>
  <si>
    <t>强化系数</t>
  </si>
  <si>
    <t>腰带属性</t>
  </si>
  <si>
    <t>极品</t>
  </si>
  <si>
    <t>胸甲属性</t>
  </si>
  <si>
    <t>护腿属性</t>
  </si>
  <si>
    <t>法术书</t>
  </si>
  <si>
    <t>副手属性</t>
  </si>
  <si>
    <t>武器属性</t>
  </si>
  <si>
    <t>项链属性</t>
  </si>
  <si>
    <t>头盔属性</t>
  </si>
  <si>
    <t>鞋子属性</t>
  </si>
  <si>
    <t>手套属性</t>
  </si>
  <si>
    <t>id</t>
  </si>
  <si>
    <t>名字(name)</t>
  </si>
  <si>
    <t>等级区间</t>
  </si>
  <si>
    <t>BOSS等级</t>
  </si>
  <si>
    <t>BOSS血量</t>
  </si>
  <si>
    <t>怪物血量</t>
  </si>
  <si>
    <t>新手试炼</t>
  </si>
  <si>
    <t>怒焰裂谷</t>
  </si>
  <si>
    <t>死亡矿井</t>
  </si>
  <si>
    <t>哀嚎洞穴</t>
  </si>
  <si>
    <t>影牙城堡</t>
  </si>
  <si>
    <t>黑暗深渊</t>
  </si>
  <si>
    <t>暴风城监狱</t>
  </si>
  <si>
    <t>诺莫瑞根</t>
  </si>
  <si>
    <t>剃刀沼泽</t>
  </si>
  <si>
    <t>剃刀高地</t>
  </si>
  <si>
    <t>血色修道院</t>
  </si>
  <si>
    <t>奥达曼</t>
  </si>
  <si>
    <t>玛拉顿</t>
  </si>
  <si>
    <t>祖尔法拉克</t>
  </si>
  <si>
    <t>沉没的神庙</t>
  </si>
  <si>
    <t>29-32</t>
  </si>
  <si>
    <t>黑石深渊</t>
  </si>
  <si>
    <t>31-34</t>
  </si>
  <si>
    <t>斯坦索姆</t>
  </si>
  <si>
    <t>33-36</t>
  </si>
  <si>
    <t>黑石塔</t>
  </si>
  <si>
    <t>厄运之槌</t>
  </si>
  <si>
    <t>通灵学院</t>
  </si>
  <si>
    <t>地狱火城墙</t>
  </si>
  <si>
    <t>鲜血熔炉</t>
  </si>
  <si>
    <t>奴隶围栏</t>
  </si>
  <si>
    <t>幽暗沼泽</t>
  </si>
  <si>
    <t>法力陵墓</t>
  </si>
  <si>
    <t>奥金尼地穴</t>
  </si>
  <si>
    <t>旧希尔布拉德丘陵</t>
  </si>
  <si>
    <t>塞泰克大厅</t>
  </si>
  <si>
    <t>蒸汽地窖</t>
  </si>
  <si>
    <t>暗影迷宫</t>
  </si>
  <si>
    <t>能源舰</t>
  </si>
  <si>
    <t>破碎大厅</t>
  </si>
  <si>
    <t>魔导师平台</t>
  </si>
  <si>
    <t>黑色沼泽</t>
  </si>
  <si>
    <t>禁魔监狱</t>
  </si>
  <si>
    <t>生态船</t>
  </si>
  <si>
    <t>品质系数</t>
    <phoneticPr fontId="8" type="noConversion"/>
  </si>
  <si>
    <t>白</t>
    <phoneticPr fontId="8" type="noConversion"/>
  </si>
  <si>
    <t>绿</t>
    <phoneticPr fontId="8" type="noConversion"/>
  </si>
  <si>
    <t>蓝</t>
    <phoneticPr fontId="8" type="noConversion"/>
  </si>
  <si>
    <t>紫</t>
    <phoneticPr fontId="8" type="noConversion"/>
  </si>
  <si>
    <t>橙</t>
    <phoneticPr fontId="8" type="noConversion"/>
  </si>
  <si>
    <t>装备等级系数</t>
    <phoneticPr fontId="8" type="noConversion"/>
  </si>
  <si>
    <t>LV1</t>
    <phoneticPr fontId="8" type="noConversion"/>
  </si>
  <si>
    <t>LV5</t>
    <phoneticPr fontId="8" type="noConversion"/>
  </si>
  <si>
    <t>LV10</t>
    <phoneticPr fontId="8" type="noConversion"/>
  </si>
  <si>
    <t>基础消耗</t>
    <phoneticPr fontId="8" type="noConversion"/>
  </si>
  <si>
    <t>金币消耗系数</t>
    <phoneticPr fontId="8" type="noConversion"/>
  </si>
  <si>
    <t>强化等级系数</t>
    <phoneticPr fontId="8" type="noConversion"/>
  </si>
  <si>
    <t>极品加成</t>
    <phoneticPr fontId="8" type="noConversion"/>
  </si>
  <si>
    <t>部位系数</t>
    <phoneticPr fontId="8" type="noConversion"/>
  </si>
  <si>
    <t>武器</t>
    <phoneticPr fontId="8" type="noConversion"/>
  </si>
  <si>
    <t>副手</t>
    <phoneticPr fontId="8" type="noConversion"/>
  </si>
  <si>
    <t>头</t>
    <phoneticPr fontId="8" type="noConversion"/>
  </si>
  <si>
    <t>胸</t>
    <phoneticPr fontId="8" type="noConversion"/>
  </si>
  <si>
    <t>腿</t>
    <phoneticPr fontId="8" type="noConversion"/>
  </si>
  <si>
    <t>项链</t>
    <phoneticPr fontId="8" type="noConversion"/>
  </si>
  <si>
    <t>戒指</t>
    <phoneticPr fontId="8" type="noConversion"/>
  </si>
  <si>
    <t>鞋</t>
    <phoneticPr fontId="8" type="noConversion"/>
  </si>
  <si>
    <t>手</t>
    <phoneticPr fontId="8" type="noConversion"/>
  </si>
  <si>
    <t>腰带</t>
    <phoneticPr fontId="8" type="noConversion"/>
  </si>
  <si>
    <t>23-26</t>
    <phoneticPr fontId="8" type="noConversion"/>
  </si>
  <si>
    <t>25-28</t>
    <phoneticPr fontId="8" type="noConversion"/>
  </si>
  <si>
    <t>21-24</t>
    <phoneticPr fontId="8" type="noConversion"/>
  </si>
  <si>
    <t>17-20</t>
    <phoneticPr fontId="8" type="noConversion"/>
  </si>
  <si>
    <t>15-18</t>
    <phoneticPr fontId="8" type="noConversion"/>
  </si>
  <si>
    <t>19-22</t>
    <phoneticPr fontId="8" type="noConversion"/>
  </si>
  <si>
    <t>13-16</t>
    <phoneticPr fontId="8" type="noConversion"/>
  </si>
  <si>
    <t>9--12</t>
    <phoneticPr fontId="8" type="noConversion"/>
  </si>
  <si>
    <t>11--14</t>
    <phoneticPr fontId="8" type="noConversion"/>
  </si>
  <si>
    <t>7--10</t>
    <phoneticPr fontId="8" type="noConversion"/>
  </si>
  <si>
    <t>5--8</t>
    <phoneticPr fontId="8" type="noConversion"/>
  </si>
  <si>
    <t>3--6</t>
    <phoneticPr fontId="8" type="noConversion"/>
  </si>
  <si>
    <t>2--4</t>
    <phoneticPr fontId="8" type="noConversion"/>
  </si>
  <si>
    <t>1--3</t>
    <phoneticPr fontId="8" type="noConversion"/>
  </si>
  <si>
    <t>27-30</t>
    <phoneticPr fontId="8" type="noConversion"/>
  </si>
  <si>
    <t>戒指属性</t>
    <phoneticPr fontId="8" type="noConversion"/>
  </si>
  <si>
    <t>护甲</t>
    <phoneticPr fontId="8" type="noConversion"/>
  </si>
  <si>
    <t>生命值</t>
    <phoneticPr fontId="8" type="noConversion"/>
  </si>
  <si>
    <t>魔法值</t>
    <phoneticPr fontId="8" type="noConversion"/>
  </si>
  <si>
    <t>护甲/暴击</t>
    <phoneticPr fontId="8" type="noConversion"/>
  </si>
  <si>
    <t>魔抗</t>
    <phoneticPr fontId="8" type="noConversion"/>
  </si>
  <si>
    <t>物抗</t>
    <phoneticPr fontId="8" type="noConversion"/>
  </si>
  <si>
    <t>闪避</t>
    <phoneticPr fontId="8" type="noConversion"/>
  </si>
  <si>
    <t>暴击</t>
    <phoneticPr fontId="8" type="noConversion"/>
  </si>
  <si>
    <t>腰带占生命比</t>
    <phoneticPr fontId="8" type="noConversion"/>
  </si>
  <si>
    <t>力量</t>
    <phoneticPr fontId="8" type="noConversion"/>
  </si>
  <si>
    <t>敏捷</t>
    <phoneticPr fontId="8" type="noConversion"/>
  </si>
  <si>
    <t>智力</t>
    <phoneticPr fontId="8" type="noConversion"/>
  </si>
  <si>
    <t>耐力</t>
    <phoneticPr fontId="8" type="noConversion"/>
  </si>
  <si>
    <t>属性比例</t>
    <phoneticPr fontId="8" type="noConversion"/>
  </si>
  <si>
    <t>属性暴击</t>
    <phoneticPr fontId="8" type="noConversion"/>
  </si>
  <si>
    <t>暴击率</t>
    <phoneticPr fontId="8" type="noConversion"/>
  </si>
  <si>
    <t>总暴击</t>
    <phoneticPr fontId="8" type="noConversion"/>
  </si>
  <si>
    <t>副手暴击</t>
    <phoneticPr fontId="8" type="noConversion"/>
  </si>
  <si>
    <t>副手护甲</t>
    <phoneticPr fontId="8" type="noConversion"/>
  </si>
  <si>
    <t>暴击伤害</t>
    <phoneticPr fontId="8" type="noConversion"/>
  </si>
  <si>
    <t>副手法力…</t>
    <phoneticPr fontId="8" type="noConversion"/>
  </si>
  <si>
    <t>战斗回合数</t>
    <phoneticPr fontId="8" type="noConversion"/>
  </si>
  <si>
    <t>战士</t>
    <phoneticPr fontId="8" type="noConversion"/>
  </si>
  <si>
    <t>猎人</t>
    <phoneticPr fontId="8" type="noConversion"/>
  </si>
  <si>
    <t>法师</t>
    <phoneticPr fontId="8" type="noConversion"/>
  </si>
  <si>
    <t>副手暴击</t>
    <phoneticPr fontId="8" type="noConversion"/>
  </si>
  <si>
    <t>副手护甲</t>
    <phoneticPr fontId="8" type="noConversion"/>
  </si>
  <si>
    <t>副手法力…</t>
    <phoneticPr fontId="8" type="noConversion"/>
  </si>
  <si>
    <t>35-38</t>
    <phoneticPr fontId="8" type="noConversion"/>
  </si>
  <si>
    <t>37-40</t>
    <phoneticPr fontId="8" type="noConversion"/>
  </si>
  <si>
    <t>39-42</t>
    <phoneticPr fontId="8" type="noConversion"/>
  </si>
  <si>
    <t>41-44</t>
    <phoneticPr fontId="8" type="noConversion"/>
  </si>
  <si>
    <t>43-46</t>
    <phoneticPr fontId="8" type="noConversion"/>
  </si>
  <si>
    <t>45-48</t>
    <phoneticPr fontId="8" type="noConversion"/>
  </si>
  <si>
    <t>47-50</t>
    <phoneticPr fontId="8" type="noConversion"/>
  </si>
  <si>
    <t>49-52</t>
    <phoneticPr fontId="8" type="noConversion"/>
  </si>
  <si>
    <t>51-54</t>
    <phoneticPr fontId="8" type="noConversion"/>
  </si>
  <si>
    <t>53-56</t>
    <phoneticPr fontId="8" type="noConversion"/>
  </si>
  <si>
    <t>55-58</t>
    <phoneticPr fontId="8" type="noConversion"/>
  </si>
  <si>
    <t>57-61</t>
    <phoneticPr fontId="8" type="noConversion"/>
  </si>
  <si>
    <t>等级*500</t>
    <phoneticPr fontId="8" type="noConversion"/>
  </si>
  <si>
    <t>普通培养</t>
    <phoneticPr fontId="8" type="noConversion"/>
  </si>
  <si>
    <t>高级培养</t>
    <phoneticPr fontId="8" type="noConversion"/>
  </si>
  <si>
    <t>白金培养</t>
    <phoneticPr fontId="8" type="noConversion"/>
  </si>
  <si>
    <t>钻石培养</t>
    <phoneticPr fontId="8" type="noConversion"/>
  </si>
  <si>
    <t>20钻</t>
    <phoneticPr fontId="8" type="noConversion"/>
  </si>
  <si>
    <t xml:space="preserve">60钻 </t>
    <phoneticPr fontId="8" type="noConversion"/>
  </si>
  <si>
    <t>200钻</t>
    <phoneticPr fontId="8" type="noConversion"/>
  </si>
  <si>
    <t>换算金币/等级</t>
    <phoneticPr fontId="8" type="noConversion"/>
  </si>
  <si>
    <t>培养属性期望倍数</t>
    <phoneticPr fontId="8" type="noConversion"/>
  </si>
  <si>
    <t>最高培养值</t>
    <phoneticPr fontId="8" type="noConversion"/>
  </si>
  <si>
    <t>单位属性</t>
    <phoneticPr fontId="8" type="noConversion"/>
  </si>
  <si>
    <t>单次培养属性</t>
    <phoneticPr fontId="8" type="noConversion"/>
  </si>
  <si>
    <t>概率系数</t>
    <phoneticPr fontId="8" type="noConversion"/>
  </si>
  <si>
    <t>假定属性总值</t>
    <phoneticPr fontId="8" type="noConversion"/>
  </si>
  <si>
    <t>培养负值</t>
    <phoneticPr fontId="8" type="noConversion"/>
  </si>
  <si>
    <t>增加值</t>
    <phoneticPr fontId="8" type="noConversion"/>
  </si>
  <si>
    <t>增加属性概率</t>
    <phoneticPr fontId="8" type="noConversion"/>
  </si>
  <si>
    <t>40-0</t>
    <phoneticPr fontId="8" type="noConversion"/>
  </si>
  <si>
    <t>潜力=40*（等级-15）/5^2-125*（等级-15）/5+600</t>
    <phoneticPr fontId="8" type="noConversion"/>
  </si>
  <si>
    <t>70级</t>
    <phoneticPr fontId="8" type="noConversion"/>
  </si>
  <si>
    <t>59-62</t>
    <phoneticPr fontId="8" type="noConversion"/>
  </si>
  <si>
    <t>61-64</t>
    <phoneticPr fontId="8" type="noConversion"/>
  </si>
  <si>
    <t>63-66</t>
    <phoneticPr fontId="8" type="noConversion"/>
  </si>
  <si>
    <t>65-68</t>
    <phoneticPr fontId="8" type="noConversion"/>
  </si>
  <si>
    <t>67-70</t>
    <phoneticPr fontId="8" type="noConversion"/>
  </si>
  <si>
    <t>技能倍数</t>
    <phoneticPr fontId="8" type="noConversion"/>
  </si>
  <si>
    <t>参考伤害</t>
    <phoneticPr fontId="8" type="noConversion"/>
  </si>
  <si>
    <t>回合数</t>
    <phoneticPr fontId="8" type="noConversion"/>
  </si>
  <si>
    <t>怪物伤害</t>
    <phoneticPr fontId="8" type="noConversion"/>
  </si>
  <si>
    <t>人物伤害</t>
    <phoneticPr fontId="8" type="noConversion"/>
  </si>
  <si>
    <t>人物血量</t>
    <phoneticPr fontId="8" type="noConversion"/>
  </si>
  <si>
    <t>BOSS伤害</t>
    <phoneticPr fontId="8" type="noConversion"/>
  </si>
  <si>
    <t>力</t>
    <phoneticPr fontId="8" type="noConversion"/>
  </si>
  <si>
    <t>敏</t>
    <phoneticPr fontId="8" type="noConversion"/>
  </si>
  <si>
    <t>智</t>
    <phoneticPr fontId="8" type="noConversion"/>
  </si>
  <si>
    <t>耐</t>
    <phoneticPr fontId="8" type="noConversion"/>
  </si>
  <si>
    <t>越级收益</t>
    <phoneticPr fontId="8" type="noConversion"/>
  </si>
  <si>
    <t>闪避</t>
    <phoneticPr fontId="8" type="noConversion"/>
  </si>
  <si>
    <t>闪避减伤</t>
    <phoneticPr fontId="8" type="noConversion"/>
  </si>
  <si>
    <t>越级装备</t>
    <phoneticPr fontId="8" type="noConversion"/>
  </si>
  <si>
    <t>越级装备</t>
    <phoneticPr fontId="8" type="noConversion"/>
  </si>
  <si>
    <t>护甲减伤</t>
    <phoneticPr fontId="8" type="noConversion"/>
  </si>
  <si>
    <t>物抗减伤</t>
    <phoneticPr fontId="8" type="noConversion"/>
  </si>
  <si>
    <t>越级收益之和</t>
    <phoneticPr fontId="8" type="noConversion"/>
  </si>
  <si>
    <t>韧性</t>
    <phoneticPr fontId="8" type="noConversion"/>
  </si>
  <si>
    <t>韧性减免</t>
    <phoneticPr fontId="8" type="noConversion"/>
  </si>
  <si>
    <t>韧性越级</t>
    <phoneticPr fontId="8" type="noConversion"/>
  </si>
  <si>
    <t>等级</t>
    <phoneticPr fontId="8" type="noConversion"/>
  </si>
  <si>
    <t>越10级打怪</t>
    <phoneticPr fontId="8" type="noConversion"/>
  </si>
  <si>
    <t>神器生命</t>
    <phoneticPr fontId="8" type="noConversion"/>
  </si>
  <si>
    <t>神器吸血</t>
    <phoneticPr fontId="8" type="noConversion"/>
  </si>
  <si>
    <t>神器护甲</t>
    <phoneticPr fontId="8" type="noConversion"/>
  </si>
  <si>
    <t>神器物抗</t>
    <phoneticPr fontId="8" type="noConversion"/>
  </si>
  <si>
    <t>神器星级</t>
    <phoneticPr fontId="8" type="noConversion"/>
  </si>
  <si>
    <t>控制技能消耗</t>
    <phoneticPr fontId="8" type="noConversion"/>
  </si>
  <si>
    <t>提供和盾牌相当的护甲</t>
    <phoneticPr fontId="8" type="noConversion"/>
  </si>
  <si>
    <t>提供稳定的减伤</t>
    <phoneticPr fontId="8" type="noConversion"/>
  </si>
  <si>
    <t>提供比较可观的输出增强</t>
    <phoneticPr fontId="8" type="noConversion"/>
  </si>
  <si>
    <t>提供更高的伤害占比</t>
    <phoneticPr fontId="8" type="noConversion"/>
  </si>
  <si>
    <t>魔抗不要高</t>
    <phoneticPr fontId="8" type="noConversion"/>
  </si>
  <si>
    <t>腰带占生命比不变</t>
    <phoneticPr fontId="8" type="noConversion"/>
  </si>
  <si>
    <t>物抗也不要高</t>
    <phoneticPr fontId="8" type="noConversion"/>
  </si>
  <si>
    <t>闪避可以适当提升</t>
    <phoneticPr fontId="8" type="noConversion"/>
  </si>
  <si>
    <t>暴击保持百分比</t>
    <phoneticPr fontId="8" type="noConversion"/>
  </si>
  <si>
    <t>抗之差</t>
    <phoneticPr fontId="8" type="noConversion"/>
  </si>
  <si>
    <t>经验</t>
    <phoneticPr fontId="8" type="noConversion"/>
  </si>
  <si>
    <t>每天神器最大数</t>
    <phoneticPr fontId="8" type="noConversion"/>
  </si>
  <si>
    <t>乌特加德城堡</t>
  </si>
  <si>
    <t>魔枢</t>
  </si>
  <si>
    <t>艾卓-尼鲁布</t>
  </si>
  <si>
    <t>安卡赫特：古代王国</t>
  </si>
  <si>
    <t>达克萨隆要塞</t>
  </si>
  <si>
    <t>紫罗兰监狱</t>
  </si>
  <si>
    <t>古达克</t>
  </si>
  <si>
    <t>岩石大厅</t>
  </si>
  <si>
    <t>魔环</t>
  </si>
  <si>
    <t>闪电大厅</t>
  </si>
  <si>
    <t>乌特加德之巅</t>
  </si>
  <si>
    <t>冠军的试炼</t>
  </si>
  <si>
    <t>净化斯坦索姆</t>
  </si>
  <si>
    <t>萨隆矿坑</t>
  </si>
  <si>
    <t>灵魂洪炉</t>
  </si>
  <si>
    <t>映像大厅</t>
  </si>
  <si>
    <t>69-72</t>
  </si>
  <si>
    <t>71-74</t>
  </si>
  <si>
    <t>73-76</t>
  </si>
  <si>
    <t>75-78</t>
  </si>
  <si>
    <t>77-80</t>
  </si>
  <si>
    <t>79-82</t>
  </si>
  <si>
    <t>81-84</t>
  </si>
  <si>
    <t>83-86</t>
  </si>
  <si>
    <t>85-88</t>
  </si>
  <si>
    <t>87-90</t>
  </si>
  <si>
    <t>89-92</t>
  </si>
  <si>
    <t>91-94</t>
  </si>
  <si>
    <t>93-96</t>
  </si>
  <si>
    <t>95-98</t>
  </si>
  <si>
    <t>97-100</t>
  </si>
  <si>
    <t>98-101</t>
  </si>
  <si>
    <t>99-102</t>
  </si>
  <si>
    <t>副手</t>
    <phoneticPr fontId="8" type="noConversion"/>
  </si>
  <si>
    <t>护甲</t>
    <phoneticPr fontId="8" type="noConversion"/>
  </si>
  <si>
    <t>腰带</t>
    <phoneticPr fontId="8" type="noConversion"/>
  </si>
  <si>
    <t>抗性</t>
    <phoneticPr fontId="8" type="noConversion"/>
  </si>
  <si>
    <t>武器</t>
    <phoneticPr fontId="8" type="noConversion"/>
  </si>
  <si>
    <t>戒指</t>
    <phoneticPr fontId="8" type="noConversion"/>
  </si>
  <si>
    <t>手套</t>
    <phoneticPr fontId="8" type="noConversion"/>
  </si>
  <si>
    <t>鞋子</t>
    <phoneticPr fontId="8" type="noConversion"/>
  </si>
  <si>
    <t>神器闪避</t>
    <phoneticPr fontId="8" type="noConversion"/>
  </si>
  <si>
    <t>神器伤害</t>
    <phoneticPr fontId="8" type="noConversion"/>
  </si>
  <si>
    <t>神器暴击</t>
    <phoneticPr fontId="8" type="noConversion"/>
  </si>
  <si>
    <t>神器暴伤</t>
    <phoneticPr fontId="8" type="noConversion"/>
  </si>
  <si>
    <t>等级</t>
    <phoneticPr fontId="8" type="noConversion"/>
  </si>
  <si>
    <t>神器加成</t>
    <phoneticPr fontId="8" type="noConversion"/>
  </si>
  <si>
    <t>加成后暴击</t>
    <phoneticPr fontId="8" type="noConversion"/>
  </si>
  <si>
    <t>总收益</t>
    <phoneticPr fontId="8" type="noConversion"/>
  </si>
  <si>
    <t>加成后护甲</t>
    <phoneticPr fontId="8" type="noConversion"/>
  </si>
  <si>
    <t>EHP</t>
    <phoneticPr fontId="8" type="noConversion"/>
  </si>
  <si>
    <t>融合声望</t>
    <phoneticPr fontId="8" type="noConversion"/>
  </si>
  <si>
    <t>打造声望</t>
    <phoneticPr fontId="8" type="noConversion"/>
  </si>
  <si>
    <t>每级属性</t>
    <phoneticPr fontId="8" type="noConversion"/>
  </si>
  <si>
    <t>1000声望总实力</t>
    <phoneticPr fontId="8" type="noConversion"/>
  </si>
  <si>
    <t>总实力增长</t>
    <phoneticPr fontId="8" type="noConversion"/>
  </si>
  <si>
    <t>相对增长</t>
    <phoneticPr fontId="8" type="noConversion"/>
  </si>
  <si>
    <t>1000声望相对实力</t>
    <phoneticPr fontId="8" type="noConversion"/>
  </si>
  <si>
    <t>花费天数</t>
    <phoneticPr fontId="8" type="noConversion"/>
  </si>
  <si>
    <t>每天获得声望</t>
    <phoneticPr fontId="8" type="noConversion"/>
  </si>
  <si>
    <t>技能倍数</t>
    <phoneticPr fontId="8" type="noConversion"/>
  </si>
  <si>
    <t>技能比例</t>
    <phoneticPr fontId="8" type="noConversion"/>
  </si>
  <si>
    <t>技能比例</t>
    <phoneticPr fontId="8" type="noConversion"/>
  </si>
  <si>
    <t>吸血EHP/回合</t>
    <phoneticPr fontId="8" type="noConversion"/>
  </si>
  <si>
    <t>回血EHP/回合</t>
    <phoneticPr fontId="8" type="noConversion"/>
  </si>
  <si>
    <t>佣兵等级</t>
    <phoneticPr fontId="8" type="noConversion"/>
  </si>
  <si>
    <t>培养属性</t>
    <phoneticPr fontId="8" type="noConversion"/>
  </si>
  <si>
    <t>装备属性</t>
    <phoneticPr fontId="8" type="noConversion"/>
  </si>
  <si>
    <t>护甲</t>
    <phoneticPr fontId="8" type="noConversion"/>
  </si>
  <si>
    <t>抗性</t>
    <phoneticPr fontId="8" type="noConversion"/>
  </si>
  <si>
    <t>生命值</t>
    <phoneticPr fontId="8" type="noConversion"/>
  </si>
  <si>
    <t>EHP</t>
    <phoneticPr fontId="8" type="noConversion"/>
  </si>
  <si>
    <t>技能倍数</t>
    <phoneticPr fontId="8" type="noConversion"/>
  </si>
  <si>
    <t>伤害</t>
    <phoneticPr fontId="8" type="noConversion"/>
  </si>
  <si>
    <t>总属性</t>
    <phoneticPr fontId="8" type="noConversion"/>
  </si>
  <si>
    <t>力量</t>
    <phoneticPr fontId="8" type="noConversion"/>
  </si>
  <si>
    <t>敏捷</t>
    <phoneticPr fontId="8" type="noConversion"/>
  </si>
  <si>
    <t>智力</t>
    <phoneticPr fontId="8" type="noConversion"/>
  </si>
  <si>
    <t>耐力</t>
    <phoneticPr fontId="8" type="noConversion"/>
  </si>
  <si>
    <t>抗性减伤</t>
    <phoneticPr fontId="8" type="noConversion"/>
  </si>
  <si>
    <t>护甲减伤</t>
    <phoneticPr fontId="8" type="noConversion"/>
  </si>
  <si>
    <t>强化系数</t>
    <phoneticPr fontId="8" type="noConversion"/>
  </si>
  <si>
    <t>总伤害</t>
    <phoneticPr fontId="8" type="noConversion"/>
  </si>
  <si>
    <t>抗性放大系数</t>
    <phoneticPr fontId="8" type="noConversion"/>
  </si>
  <si>
    <t>生命系数</t>
    <phoneticPr fontId="8" type="noConversion"/>
  </si>
  <si>
    <t>伤害系数</t>
    <phoneticPr fontId="8" type="noConversion"/>
  </si>
  <si>
    <t>属性比例</t>
    <phoneticPr fontId="8" type="noConversion"/>
  </si>
  <si>
    <t>闪避减伤</t>
    <phoneticPr fontId="8" type="noConversion"/>
  </si>
  <si>
    <t>佣兵EHP</t>
    <phoneticPr fontId="8" type="noConversion"/>
  </si>
  <si>
    <t>佣兵DPS</t>
    <phoneticPr fontId="8" type="noConversion"/>
  </si>
  <si>
    <t>佣兵辅助加成</t>
    <phoneticPr fontId="8" type="noConversion"/>
  </si>
  <si>
    <t>佣兵光环DPS</t>
    <phoneticPr fontId="8" type="noConversion"/>
  </si>
  <si>
    <t>佣兵光环EHP</t>
    <phoneticPr fontId="8" type="noConversion"/>
  </si>
  <si>
    <t>合计DPS</t>
    <phoneticPr fontId="8" type="noConversion"/>
  </si>
  <si>
    <t>合计EHP</t>
    <phoneticPr fontId="8" type="noConversion"/>
  </si>
  <si>
    <t>护甲穿透</t>
    <phoneticPr fontId="8" type="noConversion"/>
  </si>
  <si>
    <t>抗性穿透</t>
    <phoneticPr fontId="8" type="noConversion"/>
  </si>
  <si>
    <t>BOSS护甲</t>
    <phoneticPr fontId="8" type="noConversion"/>
  </si>
  <si>
    <t>BOSS抗性</t>
    <phoneticPr fontId="8" type="noConversion"/>
  </si>
  <si>
    <t>参考回合数</t>
    <phoneticPr fontId="8" type="noConversion"/>
  </si>
  <si>
    <t>人物HPS</t>
    <phoneticPr fontId="8" type="noConversion"/>
  </si>
  <si>
    <t>护甲强化系数</t>
    <phoneticPr fontId="8" type="noConversion"/>
  </si>
  <si>
    <t>狂暴机制下参考输出</t>
    <phoneticPr fontId="8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</si>
</sst>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_);[Red]\(0.00\)"/>
  </numFmts>
  <fonts count="17">
    <font>
      <sz val="11"/>
      <color indexed="8"/>
      <name val="宋体"/>
      <family val="2"/>
      <charset val="134"/>
    </font>
    <font>
      <sz val="11"/>
      <color theme="1"/>
      <name val="宋体"/>
      <family val="2"/>
      <charset val="134"/>
      <scheme val="minor"/>
    </font>
    <font>
      <b/>
      <sz val="11"/>
      <color indexed="52"/>
      <name val="宋体"/>
      <family val="3"/>
      <charset val="134"/>
    </font>
    <font>
      <b/>
      <sz val="11"/>
      <color indexed="52"/>
      <name val="宋体"/>
      <family val="2"/>
      <charset val="134"/>
    </font>
    <font>
      <sz val="11"/>
      <color indexed="60"/>
      <name val="宋体"/>
      <family val="2"/>
      <charset val="134"/>
    </font>
    <font>
      <b/>
      <sz val="11"/>
      <color indexed="63"/>
      <name val="宋体"/>
      <family val="2"/>
      <charset val="134"/>
    </font>
    <font>
      <sz val="11"/>
      <color indexed="17"/>
      <name val="宋体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2"/>
      <charset val="134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1"/>
      <color indexed="63"/>
      <name val="宋体"/>
      <family val="3"/>
      <charset val="134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7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14"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</cellStyleXfs>
  <cellXfs count="41">
    <xf numFmtId="0" fontId="0" fillId="0" borderId="0" xfId="0">
      <alignment vertical="center"/>
    </xf>
    <xf numFmtId="176" fontId="0" fillId="0" borderId="0" xfId="0" applyNumberFormat="1" applyFill="1">
      <alignment vertical="center"/>
    </xf>
    <xf numFmtId="0" fontId="2" fillId="2" borderId="1" xfId="3" applyFont="1">
      <alignment vertical="center"/>
    </xf>
    <xf numFmtId="0" fontId="3" fillId="2" borderId="1" xfId="3">
      <alignment vertical="center"/>
    </xf>
    <xf numFmtId="0" fontId="0" fillId="0" borderId="0" xfId="0" applyNumberFormat="1">
      <alignment vertical="center"/>
    </xf>
    <xf numFmtId="0" fontId="4" fillId="3" borderId="0" xfId="2" applyNumberFormat="1">
      <alignment vertical="center"/>
    </xf>
    <xf numFmtId="177" fontId="0" fillId="0" borderId="0" xfId="0" applyNumberFormat="1">
      <alignment vertical="center"/>
    </xf>
    <xf numFmtId="177" fontId="5" fillId="2" borderId="2" xfId="4" applyNumberFormat="1">
      <alignment vertical="center"/>
    </xf>
    <xf numFmtId="0" fontId="0" fillId="0" borderId="0" xfId="0" applyNumberFormat="1" applyFill="1">
      <alignment vertical="center"/>
    </xf>
    <xf numFmtId="0" fontId="6" fillId="4" borderId="0" xfId="1" applyNumberFormat="1">
      <alignment vertical="center"/>
    </xf>
    <xf numFmtId="0" fontId="3" fillId="2" borderId="1" xfId="3" applyNumberFormat="1">
      <alignment vertical="center"/>
    </xf>
    <xf numFmtId="0" fontId="0" fillId="5" borderId="0" xfId="0" applyFill="1">
      <alignment vertical="center"/>
    </xf>
    <xf numFmtId="0" fontId="7" fillId="3" borderId="0" xfId="2" applyFont="1">
      <alignment vertical="center"/>
    </xf>
    <xf numFmtId="176" fontId="7" fillId="3" borderId="0" xfId="2" applyNumberFormat="1" applyFont="1">
      <alignment vertical="center"/>
    </xf>
    <xf numFmtId="0" fontId="6" fillId="4" borderId="0" xfId="1">
      <alignment vertical="center"/>
    </xf>
    <xf numFmtId="176" fontId="0" fillId="0" borderId="0" xfId="0" applyNumberFormat="1">
      <alignment vertical="center"/>
    </xf>
    <xf numFmtId="0" fontId="9" fillId="6" borderId="0" xfId="5" applyNumberFormat="1">
      <alignment vertical="center"/>
    </xf>
    <xf numFmtId="0" fontId="1" fillId="8" borderId="0" xfId="7" applyNumberFormat="1">
      <alignment vertical="center"/>
    </xf>
    <xf numFmtId="0" fontId="1" fillId="7" borderId="0" xfId="6">
      <alignment vertical="center"/>
    </xf>
    <xf numFmtId="177" fontId="11" fillId="7" borderId="0" xfId="6" applyNumberFormat="1" applyFont="1">
      <alignment vertical="center"/>
    </xf>
    <xf numFmtId="0" fontId="10" fillId="9" borderId="0" xfId="8" applyNumberFormat="1">
      <alignment vertical="center"/>
    </xf>
    <xf numFmtId="0" fontId="2" fillId="2" borderId="1" xfId="3" applyNumberFormat="1" applyFont="1">
      <alignment vertical="center"/>
    </xf>
    <xf numFmtId="0" fontId="2" fillId="2" borderId="0" xfId="3" applyNumberFormat="1" applyFont="1" applyBorder="1">
      <alignment vertical="center"/>
    </xf>
    <xf numFmtId="0" fontId="10" fillId="12" borderId="0" xfId="11" applyNumberFormat="1">
      <alignment vertical="center"/>
    </xf>
    <xf numFmtId="0" fontId="10" fillId="11" borderId="0" xfId="10">
      <alignment vertical="center"/>
    </xf>
    <xf numFmtId="0" fontId="10" fillId="11" borderId="0" xfId="10" applyNumberFormat="1">
      <alignment vertical="center"/>
    </xf>
    <xf numFmtId="0" fontId="10" fillId="12" borderId="0" xfId="11">
      <alignment vertical="center"/>
    </xf>
    <xf numFmtId="0" fontId="12" fillId="12" borderId="0" xfId="11" applyNumberFormat="1" applyFont="1">
      <alignment vertical="center"/>
    </xf>
    <xf numFmtId="0" fontId="10" fillId="10" borderId="0" xfId="9">
      <alignment vertical="center"/>
    </xf>
    <xf numFmtId="0" fontId="10" fillId="10" borderId="0" xfId="9" applyNumberFormat="1">
      <alignment vertical="center"/>
    </xf>
    <xf numFmtId="0" fontId="5" fillId="2" borderId="2" xfId="4">
      <alignment vertical="center"/>
    </xf>
    <xf numFmtId="0" fontId="13" fillId="2" borderId="2" xfId="4" applyNumberFormat="1" applyFont="1">
      <alignment vertical="center"/>
    </xf>
    <xf numFmtId="0" fontId="13" fillId="2" borderId="2" xfId="4" applyFont="1">
      <alignment vertical="center"/>
    </xf>
    <xf numFmtId="0" fontId="4" fillId="3" borderId="0" xfId="2">
      <alignment vertical="center"/>
    </xf>
    <xf numFmtId="0" fontId="6" fillId="4" borderId="3" xfId="1" applyBorder="1">
      <alignment vertical="center"/>
    </xf>
    <xf numFmtId="17" fontId="0" fillId="0" borderId="0" xfId="0" applyNumberFormat="1">
      <alignment vertical="center"/>
    </xf>
    <xf numFmtId="0" fontId="14" fillId="0" borderId="0" xfId="12">
      <alignment vertical="center"/>
    </xf>
    <xf numFmtId="0" fontId="13" fillId="2" borderId="0" xfId="4" applyNumberFormat="1" applyFont="1" applyBorder="1">
      <alignment vertical="center"/>
    </xf>
    <xf numFmtId="0" fontId="15" fillId="13" borderId="4" xfId="13" applyNumberFormat="1" applyFill="1">
      <alignment vertical="center"/>
    </xf>
    <xf numFmtId="0" fontId="16" fillId="13" borderId="4" xfId="13" applyFont="1" applyFill="1">
      <alignment vertical="center"/>
    </xf>
    <xf numFmtId="0" fontId="2" fillId="2" borderId="5" xfId="3" applyFont="1" applyBorder="1">
      <alignment vertical="center"/>
    </xf>
  </cellXfs>
  <cellStyles count="14">
    <cellStyle name="40% - 强调文字颜色 3" xfId="6" builtinId="39"/>
    <cellStyle name="40% - 强调文字颜色 4" xfId="7" builtinId="43"/>
    <cellStyle name="60% - 强调文字颜色 5" xfId="8" builtinId="48"/>
    <cellStyle name="差" xfId="2"/>
    <cellStyle name="常规" xfId="0" builtinId="0"/>
    <cellStyle name="好" xfId="1"/>
    <cellStyle name="汇总" xfId="13" builtinId="25"/>
    <cellStyle name="计算" xfId="3"/>
    <cellStyle name="警告文本" xfId="12" builtinId="11"/>
    <cellStyle name="强调文字颜色 1" xfId="9" builtinId="29"/>
    <cellStyle name="强调文字颜色 3" xfId="10" builtinId="37"/>
    <cellStyle name="强调文字颜色 6" xfId="11" builtinId="49"/>
    <cellStyle name="适中" xfId="5" builtinId="28"/>
    <cellStyle name="输出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491550743657043"/>
          <c:y val="6.5289442986293383E-2"/>
          <c:w val="0.53846303587051558"/>
          <c:h val="0.79822506561679785"/>
        </c:manualLayout>
      </c:layout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4"/>
            <c:dispEq val="1"/>
            <c:trendlineLbl>
              <c:numFmt formatCode="General" sourceLinked="0"/>
            </c:trendlineLbl>
          </c:trendline>
          <c:xVal>
            <c:numRef>
              <c:f>天天挂机经验!$A$1:$A$12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天天挂机经验!$B$1:$B$12</c:f>
              <c:numCache>
                <c:formatCode>General</c:formatCode>
                <c:ptCount val="12"/>
                <c:pt idx="0">
                  <c:v>5</c:v>
                </c:pt>
                <c:pt idx="1">
                  <c:v>14</c:v>
                </c:pt>
                <c:pt idx="2">
                  <c:v>44</c:v>
                </c:pt>
                <c:pt idx="3">
                  <c:v>254</c:v>
                </c:pt>
                <c:pt idx="4">
                  <c:v>923</c:v>
                </c:pt>
                <c:pt idx="5">
                  <c:v>2453</c:v>
                </c:pt>
                <c:pt idx="6">
                  <c:v>5363</c:v>
                </c:pt>
                <c:pt idx="7">
                  <c:v>10292</c:v>
                </c:pt>
                <c:pt idx="8">
                  <c:v>18002</c:v>
                </c:pt>
                <c:pt idx="9">
                  <c:v>29372</c:v>
                </c:pt>
                <c:pt idx="10">
                  <c:v>45401</c:v>
                </c:pt>
                <c:pt idx="11">
                  <c:v>67211</c:v>
                </c:pt>
              </c:numCache>
            </c:numRef>
          </c:yVal>
          <c:smooth val="1"/>
        </c:ser>
        <c:axId val="234703104"/>
        <c:axId val="236822528"/>
      </c:scatterChart>
      <c:valAx>
        <c:axId val="234703104"/>
        <c:scaling>
          <c:orientation val="minMax"/>
        </c:scaling>
        <c:axPos val="b"/>
        <c:numFmt formatCode="General" sourceLinked="1"/>
        <c:tickLblPos val="nextTo"/>
        <c:crossAx val="236822528"/>
        <c:crosses val="autoZero"/>
        <c:crossBetween val="midCat"/>
      </c:valAx>
      <c:valAx>
        <c:axId val="236822528"/>
        <c:scaling>
          <c:orientation val="minMax"/>
        </c:scaling>
        <c:axPos val="l"/>
        <c:majorGridlines/>
        <c:numFmt formatCode="General" sourceLinked="1"/>
        <c:tickLblPos val="nextTo"/>
        <c:crossAx val="2347031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489166666666665"/>
          <c:y val="0.27739391951006132"/>
          <c:w val="0.25941666666666863"/>
          <c:h val="0.16743438320210113"/>
        </c:manualLayout>
      </c:layout>
    </c:legend>
    <c:plotVisOnly val="1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4"/>
            <c:dispEq val="1"/>
            <c:trendlineLbl>
              <c:layout>
                <c:manualLayout>
                  <c:x val="0.1753718285214349"/>
                  <c:y val="0.28342847769029217"/>
                </c:manualLayout>
              </c:layout>
              <c:numFmt formatCode="General" sourceLinked="0"/>
            </c:trendlineLbl>
          </c:trendline>
          <c:xVal>
            <c:numRef>
              <c:f>天天挂机经验!$A$71:$A$78</c:f>
              <c:numCache>
                <c:formatCode>General</c:formatCode>
                <c:ptCount val="8"/>
                <c:pt idx="0">
                  <c:v>71</c:v>
                </c:pt>
                <c:pt idx="1">
                  <c:v>72</c:v>
                </c:pt>
                <c:pt idx="2">
                  <c:v>73</c:v>
                </c:pt>
                <c:pt idx="3">
                  <c:v>74</c:v>
                </c:pt>
                <c:pt idx="4">
                  <c:v>75</c:v>
                </c:pt>
                <c:pt idx="5">
                  <c:v>76</c:v>
                </c:pt>
                <c:pt idx="6">
                  <c:v>77</c:v>
                </c:pt>
                <c:pt idx="7">
                  <c:v>78</c:v>
                </c:pt>
              </c:numCache>
            </c:numRef>
          </c:xVal>
          <c:yVal>
            <c:numRef>
              <c:f>天天挂机经验!$B$71:$B$78</c:f>
              <c:numCache>
                <c:formatCode>General</c:formatCode>
                <c:ptCount val="8"/>
                <c:pt idx="0">
                  <c:v>118834800</c:v>
                </c:pt>
                <c:pt idx="1">
                  <c:v>125791410</c:v>
                </c:pt>
                <c:pt idx="2">
                  <c:v>133049040</c:v>
                </c:pt>
                <c:pt idx="3">
                  <c:v>140616250</c:v>
                </c:pt>
                <c:pt idx="4">
                  <c:v>148501720</c:v>
                </c:pt>
                <c:pt idx="5">
                  <c:v>156714250</c:v>
                </c:pt>
                <c:pt idx="6">
                  <c:v>165262760</c:v>
                </c:pt>
                <c:pt idx="7">
                  <c:v>174156290</c:v>
                </c:pt>
              </c:numCache>
            </c:numRef>
          </c:yVal>
          <c:smooth val="1"/>
        </c:ser>
        <c:axId val="236843008"/>
        <c:axId val="236844544"/>
      </c:scatterChart>
      <c:valAx>
        <c:axId val="236843008"/>
        <c:scaling>
          <c:orientation val="minMax"/>
        </c:scaling>
        <c:axPos val="b"/>
        <c:numFmt formatCode="General" sourceLinked="1"/>
        <c:tickLblPos val="nextTo"/>
        <c:crossAx val="236844544"/>
        <c:crosses val="autoZero"/>
        <c:crossBetween val="midCat"/>
      </c:valAx>
      <c:valAx>
        <c:axId val="236844544"/>
        <c:scaling>
          <c:orientation val="minMax"/>
        </c:scaling>
        <c:axPos val="l"/>
        <c:majorGridlines/>
        <c:numFmt formatCode="General" sourceLinked="1"/>
        <c:tickLblPos val="nextTo"/>
        <c:crossAx val="23684300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>
        <c:manualLayout>
          <c:layoutTarget val="inner"/>
          <c:xMode val="edge"/>
          <c:yMode val="edge"/>
          <c:x val="8.7460629921259844E-2"/>
          <c:y val="0.22454870224555265"/>
          <c:w val="0.58775459317585299"/>
          <c:h val="0.64822506561680204"/>
        </c:manualLayout>
      </c:layout>
      <c:scatterChart>
        <c:scatterStyle val="smoothMarker"/>
        <c:ser>
          <c:idx val="0"/>
          <c:order val="0"/>
          <c:tx>
            <c:v>鞋子</c:v>
          </c:tx>
          <c:marker>
            <c:symbol val="none"/>
          </c:marker>
          <c:trendline>
            <c:trendlineType val="poly"/>
            <c:order val="2"/>
            <c:dispEq val="1"/>
            <c:trendlineLbl>
              <c:numFmt formatCode="General" sourceLinked="0"/>
            </c:trendlineLbl>
          </c:trendline>
          <c:xVal>
            <c:numRef>
              <c:f>数值拟合!$A$2:$A$20</c:f>
              <c:numCache>
                <c:formatCode>General</c:formatCode>
                <c:ptCount val="19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57</c:v>
                </c:pt>
                <c:pt idx="11">
                  <c:v>60</c:v>
                </c:pt>
                <c:pt idx="12">
                  <c:v>66</c:v>
                </c:pt>
                <c:pt idx="13">
                  <c:v>72</c:v>
                </c:pt>
                <c:pt idx="14">
                  <c:v>78</c:v>
                </c:pt>
                <c:pt idx="15">
                  <c:v>84</c:v>
                </c:pt>
                <c:pt idx="16">
                  <c:v>87</c:v>
                </c:pt>
                <c:pt idx="17">
                  <c:v>90</c:v>
                </c:pt>
                <c:pt idx="18">
                  <c:v>96</c:v>
                </c:pt>
              </c:numCache>
            </c:numRef>
          </c:xVal>
          <c:yVal>
            <c:numRef>
              <c:f>数值拟合!$B$2:$B$20</c:f>
              <c:numCache>
                <c:formatCode>General</c:formatCode>
                <c:ptCount val="19"/>
                <c:pt idx="0">
                  <c:v>4</c:v>
                </c:pt>
                <c:pt idx="1">
                  <c:v>12</c:v>
                </c:pt>
                <c:pt idx="2">
                  <c:v>24</c:v>
                </c:pt>
                <c:pt idx="3">
                  <c:v>40</c:v>
                </c:pt>
                <c:pt idx="4">
                  <c:v>49</c:v>
                </c:pt>
                <c:pt idx="5">
                  <c:v>59</c:v>
                </c:pt>
                <c:pt idx="6">
                  <c:v>82</c:v>
                </c:pt>
                <c:pt idx="7">
                  <c:v>108</c:v>
                </c:pt>
                <c:pt idx="8">
                  <c:v>138</c:v>
                </c:pt>
                <c:pt idx="9">
                  <c:v>172</c:v>
                </c:pt>
                <c:pt idx="10">
                  <c:v>190</c:v>
                </c:pt>
                <c:pt idx="11">
                  <c:v>209</c:v>
                </c:pt>
                <c:pt idx="12">
                  <c:v>250</c:v>
                </c:pt>
                <c:pt idx="13">
                  <c:v>294</c:v>
                </c:pt>
                <c:pt idx="14">
                  <c:v>342</c:v>
                </c:pt>
                <c:pt idx="15">
                  <c:v>394</c:v>
                </c:pt>
                <c:pt idx="16">
                  <c:v>421</c:v>
                </c:pt>
                <c:pt idx="17">
                  <c:v>449</c:v>
                </c:pt>
                <c:pt idx="18">
                  <c:v>508</c:v>
                </c:pt>
              </c:numCache>
            </c:numRef>
          </c:yVal>
          <c:smooth val="1"/>
        </c:ser>
        <c:axId val="131327872"/>
        <c:axId val="131329408"/>
      </c:scatterChart>
      <c:valAx>
        <c:axId val="131327872"/>
        <c:scaling>
          <c:orientation val="minMax"/>
        </c:scaling>
        <c:axPos val="b"/>
        <c:numFmt formatCode="General" sourceLinked="1"/>
        <c:tickLblPos val="nextTo"/>
        <c:crossAx val="131329408"/>
        <c:crosses val="autoZero"/>
        <c:crossBetween val="midCat"/>
      </c:valAx>
      <c:valAx>
        <c:axId val="131329408"/>
        <c:scaling>
          <c:orientation val="minMax"/>
        </c:scaling>
        <c:axPos val="l"/>
        <c:majorGridlines/>
        <c:numFmt formatCode="General" sourceLinked="1"/>
        <c:tickLblPos val="nextTo"/>
        <c:crossAx val="13132787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scatterChart>
        <c:scatterStyle val="smoothMarker"/>
        <c:ser>
          <c:idx val="0"/>
          <c:order val="0"/>
          <c:tx>
            <c:v>手套</c:v>
          </c:tx>
          <c:marker>
            <c:symbol val="none"/>
          </c:marker>
          <c:trendline>
            <c:trendlineType val="poly"/>
            <c:order val="3"/>
            <c:dispEq val="1"/>
            <c:trendlineLbl>
              <c:numFmt formatCode="General" sourceLinked="0"/>
            </c:trendlineLbl>
          </c:trendline>
          <c:xVal>
            <c:numRef>
              <c:f>数值拟合!$D$2:$D$20</c:f>
              <c:numCache>
                <c:formatCode>General</c:formatCode>
                <c:ptCount val="19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27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57</c:v>
                </c:pt>
                <c:pt idx="11">
                  <c:v>60</c:v>
                </c:pt>
                <c:pt idx="12">
                  <c:v>66</c:v>
                </c:pt>
                <c:pt idx="13">
                  <c:v>72</c:v>
                </c:pt>
                <c:pt idx="14">
                  <c:v>78</c:v>
                </c:pt>
                <c:pt idx="15">
                  <c:v>84</c:v>
                </c:pt>
                <c:pt idx="16">
                  <c:v>87</c:v>
                </c:pt>
                <c:pt idx="17">
                  <c:v>90</c:v>
                </c:pt>
                <c:pt idx="18">
                  <c:v>96</c:v>
                </c:pt>
              </c:numCache>
            </c:numRef>
          </c:xVal>
          <c:yVal>
            <c:numRef>
              <c:f>数值拟合!$E$2:$E$20</c:f>
              <c:numCache>
                <c:formatCode>General</c:formatCode>
                <c:ptCount val="19"/>
                <c:pt idx="0">
                  <c:v>12</c:v>
                </c:pt>
                <c:pt idx="1">
                  <c:v>43</c:v>
                </c:pt>
                <c:pt idx="2">
                  <c:v>106</c:v>
                </c:pt>
                <c:pt idx="3">
                  <c:v>211</c:v>
                </c:pt>
                <c:pt idx="4">
                  <c:v>282</c:v>
                </c:pt>
                <c:pt idx="5">
                  <c:v>368</c:v>
                </c:pt>
                <c:pt idx="6">
                  <c:v>588</c:v>
                </c:pt>
                <c:pt idx="7">
                  <c:v>880</c:v>
                </c:pt>
                <c:pt idx="8">
                  <c:v>1256</c:v>
                </c:pt>
                <c:pt idx="9">
                  <c:v>1726</c:v>
                </c:pt>
                <c:pt idx="10">
                  <c:v>1999</c:v>
                </c:pt>
                <c:pt idx="11">
                  <c:v>2300</c:v>
                </c:pt>
                <c:pt idx="12">
                  <c:v>2988</c:v>
                </c:pt>
                <c:pt idx="13">
                  <c:v>3801</c:v>
                </c:pt>
                <c:pt idx="14">
                  <c:v>4750</c:v>
                </c:pt>
                <c:pt idx="15">
                  <c:v>5844</c:v>
                </c:pt>
                <c:pt idx="16">
                  <c:v>6499</c:v>
                </c:pt>
                <c:pt idx="17">
                  <c:v>7094</c:v>
                </c:pt>
                <c:pt idx="18">
                  <c:v>8510</c:v>
                </c:pt>
              </c:numCache>
            </c:numRef>
          </c:yVal>
          <c:smooth val="1"/>
        </c:ser>
        <c:axId val="2973696"/>
        <c:axId val="2975232"/>
      </c:scatterChart>
      <c:valAx>
        <c:axId val="2973696"/>
        <c:scaling>
          <c:orientation val="minMax"/>
        </c:scaling>
        <c:axPos val="b"/>
        <c:numFmt formatCode="General" sourceLinked="1"/>
        <c:tickLblPos val="nextTo"/>
        <c:crossAx val="2975232"/>
        <c:crosses val="autoZero"/>
        <c:crossBetween val="midCat"/>
      </c:valAx>
      <c:valAx>
        <c:axId val="2975232"/>
        <c:scaling>
          <c:orientation val="minMax"/>
        </c:scaling>
        <c:axPos val="l"/>
        <c:majorGridlines/>
        <c:numFmt formatCode="General" sourceLinked="1"/>
        <c:tickLblPos val="nextTo"/>
        <c:crossAx val="297369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scatterChart>
        <c:scatterStyle val="smoothMarker"/>
        <c:ser>
          <c:idx val="0"/>
          <c:order val="0"/>
          <c:tx>
            <c:v>戒指</c:v>
          </c:tx>
          <c:marker>
            <c:symbol val="none"/>
          </c:marker>
          <c:trendline>
            <c:trendlineType val="poly"/>
            <c:order val="2"/>
            <c:dispEq val="1"/>
            <c:trendlineLbl>
              <c:numFmt formatCode="General" sourceLinked="0"/>
            </c:trendlineLbl>
          </c:trendline>
          <c:xVal>
            <c:numRef>
              <c:f>数值拟合!$G$2:$G$20</c:f>
              <c:numCache>
                <c:formatCode>General</c:formatCode>
                <c:ptCount val="19"/>
                <c:pt idx="0">
                  <c:v>8</c:v>
                </c:pt>
                <c:pt idx="1">
                  <c:v>14</c:v>
                </c:pt>
                <c:pt idx="2">
                  <c:v>17</c:v>
                </c:pt>
                <c:pt idx="3">
                  <c:v>20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44</c:v>
                </c:pt>
                <c:pt idx="8">
                  <c:v>47</c:v>
                </c:pt>
                <c:pt idx="9">
                  <c:v>50</c:v>
                </c:pt>
                <c:pt idx="10">
                  <c:v>56</c:v>
                </c:pt>
                <c:pt idx="11">
                  <c:v>62</c:v>
                </c:pt>
                <c:pt idx="12">
                  <c:v>68</c:v>
                </c:pt>
                <c:pt idx="13">
                  <c:v>74</c:v>
                </c:pt>
                <c:pt idx="14">
                  <c:v>77</c:v>
                </c:pt>
                <c:pt idx="15">
                  <c:v>80</c:v>
                </c:pt>
                <c:pt idx="16">
                  <c:v>86</c:v>
                </c:pt>
                <c:pt idx="17">
                  <c:v>92</c:v>
                </c:pt>
                <c:pt idx="18">
                  <c:v>98</c:v>
                </c:pt>
              </c:numCache>
            </c:numRef>
          </c:xVal>
          <c:yVal>
            <c:numRef>
              <c:f>数值拟合!$H$2:$H$20</c:f>
              <c:numCache>
                <c:formatCode>General</c:formatCode>
                <c:ptCount val="19"/>
                <c:pt idx="0">
                  <c:v>80</c:v>
                </c:pt>
                <c:pt idx="1">
                  <c:v>150</c:v>
                </c:pt>
                <c:pt idx="2">
                  <c:v>190</c:v>
                </c:pt>
                <c:pt idx="3">
                  <c:v>240</c:v>
                </c:pt>
                <c:pt idx="4">
                  <c:v>340</c:v>
                </c:pt>
                <c:pt idx="5">
                  <c:v>460</c:v>
                </c:pt>
                <c:pt idx="6">
                  <c:v>590</c:v>
                </c:pt>
                <c:pt idx="7">
                  <c:v>740</c:v>
                </c:pt>
                <c:pt idx="8">
                  <c:v>820</c:v>
                </c:pt>
                <c:pt idx="9">
                  <c:v>900</c:v>
                </c:pt>
                <c:pt idx="10">
                  <c:v>1080</c:v>
                </c:pt>
                <c:pt idx="11">
                  <c:v>1260</c:v>
                </c:pt>
                <c:pt idx="12">
                  <c:v>1470</c:v>
                </c:pt>
                <c:pt idx="13">
                  <c:v>1690</c:v>
                </c:pt>
                <c:pt idx="14">
                  <c:v>1800</c:v>
                </c:pt>
                <c:pt idx="15">
                  <c:v>1920</c:v>
                </c:pt>
                <c:pt idx="16">
                  <c:v>2170</c:v>
                </c:pt>
                <c:pt idx="17">
                  <c:v>2430</c:v>
                </c:pt>
                <c:pt idx="18">
                  <c:v>2700</c:v>
                </c:pt>
              </c:numCache>
            </c:numRef>
          </c:yVal>
          <c:smooth val="1"/>
        </c:ser>
        <c:axId val="3000192"/>
        <c:axId val="3001728"/>
      </c:scatterChart>
      <c:valAx>
        <c:axId val="3000192"/>
        <c:scaling>
          <c:orientation val="minMax"/>
        </c:scaling>
        <c:axPos val="b"/>
        <c:numFmt formatCode="General" sourceLinked="1"/>
        <c:tickLblPos val="nextTo"/>
        <c:crossAx val="3001728"/>
        <c:crosses val="autoZero"/>
        <c:crossBetween val="midCat"/>
      </c:valAx>
      <c:valAx>
        <c:axId val="3001728"/>
        <c:scaling>
          <c:orientation val="minMax"/>
        </c:scaling>
        <c:axPos val="l"/>
        <c:majorGridlines/>
        <c:numFmt formatCode="General" sourceLinked="1"/>
        <c:tickLblPos val="nextTo"/>
        <c:crossAx val="300019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scatterChart>
        <c:scatterStyle val="smoothMarker"/>
        <c:ser>
          <c:idx val="0"/>
          <c:order val="0"/>
          <c:tx>
            <c:v>武器</c:v>
          </c:tx>
          <c:marker>
            <c:symbol val="none"/>
          </c:marker>
          <c:trendline>
            <c:trendlineType val="poly"/>
            <c:order val="3"/>
            <c:dispEq val="1"/>
            <c:trendlineLbl>
              <c:numFmt formatCode="General" sourceLinked="0"/>
            </c:trendlineLbl>
          </c:trendline>
          <c:xVal>
            <c:numRef>
              <c:f>数值拟合!$J$2:$J$35</c:f>
              <c:numCache>
                <c:formatCode>General</c:formatCode>
                <c:ptCount val="34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19</c:v>
                </c:pt>
                <c:pt idx="7">
                  <c:v>22</c:v>
                </c:pt>
                <c:pt idx="8">
                  <c:v>25</c:v>
                </c:pt>
                <c:pt idx="9">
                  <c:v>28</c:v>
                </c:pt>
                <c:pt idx="10">
                  <c:v>31</c:v>
                </c:pt>
                <c:pt idx="11">
                  <c:v>34</c:v>
                </c:pt>
                <c:pt idx="12">
                  <c:v>37</c:v>
                </c:pt>
                <c:pt idx="13">
                  <c:v>40</c:v>
                </c:pt>
                <c:pt idx="14">
                  <c:v>43</c:v>
                </c:pt>
                <c:pt idx="15">
                  <c:v>46</c:v>
                </c:pt>
                <c:pt idx="16">
                  <c:v>49</c:v>
                </c:pt>
                <c:pt idx="17">
                  <c:v>52</c:v>
                </c:pt>
                <c:pt idx="18">
                  <c:v>55</c:v>
                </c:pt>
                <c:pt idx="19">
                  <c:v>58</c:v>
                </c:pt>
                <c:pt idx="20">
                  <c:v>61</c:v>
                </c:pt>
                <c:pt idx="21">
                  <c:v>64</c:v>
                </c:pt>
                <c:pt idx="22">
                  <c:v>67</c:v>
                </c:pt>
                <c:pt idx="23">
                  <c:v>70</c:v>
                </c:pt>
                <c:pt idx="24">
                  <c:v>73</c:v>
                </c:pt>
                <c:pt idx="25">
                  <c:v>76</c:v>
                </c:pt>
                <c:pt idx="26">
                  <c:v>79</c:v>
                </c:pt>
                <c:pt idx="27">
                  <c:v>82</c:v>
                </c:pt>
                <c:pt idx="28">
                  <c:v>85</c:v>
                </c:pt>
                <c:pt idx="29">
                  <c:v>88</c:v>
                </c:pt>
                <c:pt idx="30">
                  <c:v>91</c:v>
                </c:pt>
                <c:pt idx="31">
                  <c:v>94</c:v>
                </c:pt>
                <c:pt idx="32">
                  <c:v>97</c:v>
                </c:pt>
                <c:pt idx="33">
                  <c:v>100</c:v>
                </c:pt>
              </c:numCache>
            </c:numRef>
          </c:xVal>
          <c:yVal>
            <c:numRef>
              <c:f>数值拟合!$K$2:$K$35</c:f>
              <c:numCache>
                <c:formatCode>General</c:formatCode>
                <c:ptCount val="34"/>
                <c:pt idx="0">
                  <c:v>8</c:v>
                </c:pt>
                <c:pt idx="1">
                  <c:v>17</c:v>
                </c:pt>
                <c:pt idx="2">
                  <c:v>30</c:v>
                </c:pt>
                <c:pt idx="3">
                  <c:v>56</c:v>
                </c:pt>
                <c:pt idx="4">
                  <c:v>98</c:v>
                </c:pt>
                <c:pt idx="5">
                  <c:v>156</c:v>
                </c:pt>
                <c:pt idx="6">
                  <c:v>234</c:v>
                </c:pt>
                <c:pt idx="7">
                  <c:v>339</c:v>
                </c:pt>
                <c:pt idx="8">
                  <c:v>471</c:v>
                </c:pt>
                <c:pt idx="9">
                  <c:v>630</c:v>
                </c:pt>
                <c:pt idx="10">
                  <c:v>825</c:v>
                </c:pt>
                <c:pt idx="11">
                  <c:v>1059</c:v>
                </c:pt>
                <c:pt idx="12">
                  <c:v>1329</c:v>
                </c:pt>
                <c:pt idx="13">
                  <c:v>1647</c:v>
                </c:pt>
                <c:pt idx="14">
                  <c:v>2010</c:v>
                </c:pt>
                <c:pt idx="15">
                  <c:v>2421</c:v>
                </c:pt>
                <c:pt idx="16">
                  <c:v>2889</c:v>
                </c:pt>
                <c:pt idx="17">
                  <c:v>3411</c:v>
                </c:pt>
                <c:pt idx="18">
                  <c:v>3993</c:v>
                </c:pt>
                <c:pt idx="19">
                  <c:v>4641</c:v>
                </c:pt>
                <c:pt idx="20">
                  <c:v>5352</c:v>
                </c:pt>
                <c:pt idx="21">
                  <c:v>6132</c:v>
                </c:pt>
                <c:pt idx="22">
                  <c:v>6987</c:v>
                </c:pt>
                <c:pt idx="23">
                  <c:v>7917</c:v>
                </c:pt>
                <c:pt idx="24">
                  <c:v>8925</c:v>
                </c:pt>
                <c:pt idx="25">
                  <c:v>10017</c:v>
                </c:pt>
                <c:pt idx="26">
                  <c:v>11193</c:v>
                </c:pt>
                <c:pt idx="27">
                  <c:v>12459</c:v>
                </c:pt>
                <c:pt idx="28">
                  <c:v>13821</c:v>
                </c:pt>
                <c:pt idx="29">
                  <c:v>15273</c:v>
                </c:pt>
                <c:pt idx="30">
                  <c:v>16827</c:v>
                </c:pt>
                <c:pt idx="31">
                  <c:v>18480</c:v>
                </c:pt>
                <c:pt idx="32">
                  <c:v>20238</c:v>
                </c:pt>
                <c:pt idx="33">
                  <c:v>22107</c:v>
                </c:pt>
              </c:numCache>
            </c:numRef>
          </c:yVal>
          <c:smooth val="1"/>
        </c:ser>
        <c:axId val="236990464"/>
        <c:axId val="236992000"/>
      </c:scatterChart>
      <c:valAx>
        <c:axId val="236990464"/>
        <c:scaling>
          <c:orientation val="minMax"/>
        </c:scaling>
        <c:axPos val="b"/>
        <c:numFmt formatCode="General" sourceLinked="1"/>
        <c:tickLblPos val="nextTo"/>
        <c:crossAx val="236992000"/>
        <c:crosses val="autoZero"/>
        <c:crossBetween val="midCat"/>
      </c:valAx>
      <c:valAx>
        <c:axId val="236992000"/>
        <c:scaling>
          <c:orientation val="minMax"/>
        </c:scaling>
        <c:axPos val="l"/>
        <c:majorGridlines/>
        <c:numFmt formatCode="General" sourceLinked="1"/>
        <c:tickLblPos val="nextTo"/>
        <c:crossAx val="23699046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scatterChart>
        <c:scatterStyle val="smoothMarker"/>
        <c:ser>
          <c:idx val="0"/>
          <c:order val="0"/>
          <c:tx>
            <c:v>抗性</c:v>
          </c:tx>
          <c:marker>
            <c:symbol val="none"/>
          </c:marker>
          <c:trendline>
            <c:trendlineType val="poly"/>
            <c:order val="3"/>
            <c:dispEq val="1"/>
            <c:trendlineLbl>
              <c:numFmt formatCode="General" sourceLinked="0"/>
            </c:trendlineLbl>
          </c:trendline>
          <c:xVal>
            <c:numRef>
              <c:f>数值拟合!$M$2:$M$20</c:f>
              <c:numCache>
                <c:formatCode>General</c:formatCode>
                <c:ptCount val="19"/>
                <c:pt idx="0">
                  <c:v>8</c:v>
                </c:pt>
                <c:pt idx="1">
                  <c:v>14</c:v>
                </c:pt>
                <c:pt idx="2">
                  <c:v>17</c:v>
                </c:pt>
                <c:pt idx="3">
                  <c:v>20</c:v>
                </c:pt>
                <c:pt idx="4">
                  <c:v>26</c:v>
                </c:pt>
                <c:pt idx="5">
                  <c:v>32</c:v>
                </c:pt>
                <c:pt idx="6">
                  <c:v>38</c:v>
                </c:pt>
                <c:pt idx="7">
                  <c:v>44</c:v>
                </c:pt>
                <c:pt idx="8">
                  <c:v>47</c:v>
                </c:pt>
                <c:pt idx="9">
                  <c:v>50</c:v>
                </c:pt>
                <c:pt idx="10">
                  <c:v>56</c:v>
                </c:pt>
                <c:pt idx="11">
                  <c:v>62</c:v>
                </c:pt>
                <c:pt idx="12">
                  <c:v>68</c:v>
                </c:pt>
                <c:pt idx="13">
                  <c:v>74</c:v>
                </c:pt>
                <c:pt idx="14">
                  <c:v>77</c:v>
                </c:pt>
                <c:pt idx="15">
                  <c:v>80</c:v>
                </c:pt>
                <c:pt idx="16">
                  <c:v>86</c:v>
                </c:pt>
                <c:pt idx="17">
                  <c:v>92</c:v>
                </c:pt>
                <c:pt idx="18">
                  <c:v>98</c:v>
                </c:pt>
              </c:numCache>
            </c:numRef>
          </c:xVal>
          <c:yVal>
            <c:numRef>
              <c:f>数值拟合!$N$2:$N$20</c:f>
              <c:numCache>
                <c:formatCode>General</c:formatCode>
                <c:ptCount val="19"/>
                <c:pt idx="0">
                  <c:v>20</c:v>
                </c:pt>
                <c:pt idx="1">
                  <c:v>64</c:v>
                </c:pt>
                <c:pt idx="2">
                  <c:v>96</c:v>
                </c:pt>
                <c:pt idx="3">
                  <c:v>136</c:v>
                </c:pt>
                <c:pt idx="4">
                  <c:v>237</c:v>
                </c:pt>
                <c:pt idx="5">
                  <c:v>372</c:v>
                </c:pt>
                <c:pt idx="6">
                  <c:v>542</c:v>
                </c:pt>
                <c:pt idx="7">
                  <c:v>751</c:v>
                </c:pt>
                <c:pt idx="8">
                  <c:v>870</c:v>
                </c:pt>
                <c:pt idx="9">
                  <c:v>1000</c:v>
                </c:pt>
                <c:pt idx="10">
                  <c:v>1292</c:v>
                </c:pt>
                <c:pt idx="11">
                  <c:v>1629</c:v>
                </c:pt>
                <c:pt idx="12">
                  <c:v>2016</c:v>
                </c:pt>
                <c:pt idx="13">
                  <c:v>2453</c:v>
                </c:pt>
                <c:pt idx="14">
                  <c:v>2691</c:v>
                </c:pt>
                <c:pt idx="15">
                  <c:v>2944</c:v>
                </c:pt>
                <c:pt idx="16">
                  <c:v>3490</c:v>
                </c:pt>
                <c:pt idx="17">
                  <c:v>4096</c:v>
                </c:pt>
                <c:pt idx="18">
                  <c:v>4763</c:v>
                </c:pt>
              </c:numCache>
            </c:numRef>
          </c:yVal>
          <c:smooth val="1"/>
        </c:ser>
        <c:axId val="237033344"/>
        <c:axId val="237034880"/>
      </c:scatterChart>
      <c:valAx>
        <c:axId val="237033344"/>
        <c:scaling>
          <c:orientation val="minMax"/>
        </c:scaling>
        <c:axPos val="b"/>
        <c:numFmt formatCode="General" sourceLinked="1"/>
        <c:tickLblPos val="nextTo"/>
        <c:crossAx val="237034880"/>
        <c:crosses val="autoZero"/>
        <c:crossBetween val="midCat"/>
      </c:valAx>
      <c:valAx>
        <c:axId val="237034880"/>
        <c:scaling>
          <c:orientation val="minMax"/>
        </c:scaling>
        <c:axPos val="l"/>
        <c:majorGridlines/>
        <c:numFmt formatCode="General" sourceLinked="1"/>
        <c:tickLblPos val="nextTo"/>
        <c:crossAx val="23703334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>
        <c:manualLayout>
          <c:layoutTarget val="inner"/>
          <c:xMode val="edge"/>
          <c:yMode val="edge"/>
          <c:x val="0.1128495188101479"/>
          <c:y val="0.22454870224555265"/>
          <c:w val="0.55958792650918665"/>
          <c:h val="0.64822506561680204"/>
        </c:manualLayout>
      </c:layout>
      <c:scatterChart>
        <c:scatterStyle val="smoothMarker"/>
        <c:ser>
          <c:idx val="0"/>
          <c:order val="0"/>
          <c:tx>
            <c:v>腰带</c:v>
          </c:tx>
          <c:marker>
            <c:symbol val="none"/>
          </c:marker>
          <c:trendline>
            <c:trendlineType val="poly"/>
            <c:order val="2"/>
            <c:dispEq val="1"/>
            <c:trendlineLbl>
              <c:numFmt formatCode="General" sourceLinked="0"/>
            </c:trendlineLbl>
          </c:trendline>
          <c:xVal>
            <c:numRef>
              <c:f>数值拟合!$P$2:$P$20</c:f>
              <c:numCache>
                <c:formatCode>General</c:formatCode>
                <c:ptCount val="19"/>
                <c:pt idx="0">
                  <c:v>5</c:v>
                </c:pt>
                <c:pt idx="1">
                  <c:v>11</c:v>
                </c:pt>
                <c:pt idx="2">
                  <c:v>17</c:v>
                </c:pt>
                <c:pt idx="3">
                  <c:v>23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41</c:v>
                </c:pt>
                <c:pt idx="8">
                  <c:v>47</c:v>
                </c:pt>
                <c:pt idx="9">
                  <c:v>53</c:v>
                </c:pt>
                <c:pt idx="10">
                  <c:v>59</c:v>
                </c:pt>
                <c:pt idx="11">
                  <c:v>62</c:v>
                </c:pt>
                <c:pt idx="12">
                  <c:v>65</c:v>
                </c:pt>
                <c:pt idx="13">
                  <c:v>71</c:v>
                </c:pt>
                <c:pt idx="14">
                  <c:v>77</c:v>
                </c:pt>
                <c:pt idx="15">
                  <c:v>83</c:v>
                </c:pt>
                <c:pt idx="16">
                  <c:v>89</c:v>
                </c:pt>
                <c:pt idx="17">
                  <c:v>92</c:v>
                </c:pt>
                <c:pt idx="18">
                  <c:v>95</c:v>
                </c:pt>
              </c:numCache>
            </c:numRef>
          </c:xVal>
          <c:yVal>
            <c:numRef>
              <c:f>数值拟合!$Q$2:$Q$20</c:f>
              <c:numCache>
                <c:formatCode>General</c:formatCode>
                <c:ptCount val="19"/>
                <c:pt idx="0">
                  <c:v>100</c:v>
                </c:pt>
                <c:pt idx="1">
                  <c:v>480</c:v>
                </c:pt>
                <c:pt idx="2">
                  <c:v>1160</c:v>
                </c:pt>
                <c:pt idx="3">
                  <c:v>2120</c:v>
                </c:pt>
                <c:pt idx="4">
                  <c:v>3360</c:v>
                </c:pt>
                <c:pt idx="5">
                  <c:v>4100</c:v>
                </c:pt>
                <c:pt idx="6">
                  <c:v>4900</c:v>
                </c:pt>
                <c:pt idx="7">
                  <c:v>6720</c:v>
                </c:pt>
                <c:pt idx="8">
                  <c:v>8840</c:v>
                </c:pt>
                <c:pt idx="9">
                  <c:v>11240</c:v>
                </c:pt>
                <c:pt idx="10">
                  <c:v>13920</c:v>
                </c:pt>
                <c:pt idx="11">
                  <c:v>15380</c:v>
                </c:pt>
                <c:pt idx="12">
                  <c:v>16900</c:v>
                </c:pt>
                <c:pt idx="13">
                  <c:v>20160</c:v>
                </c:pt>
                <c:pt idx="14">
                  <c:v>23700</c:v>
                </c:pt>
                <c:pt idx="15">
                  <c:v>27600</c:v>
                </c:pt>
                <c:pt idx="16">
                  <c:v>31700</c:v>
                </c:pt>
                <c:pt idx="17">
                  <c:v>33900</c:v>
                </c:pt>
                <c:pt idx="18">
                  <c:v>36000</c:v>
                </c:pt>
              </c:numCache>
            </c:numRef>
          </c:yVal>
          <c:smooth val="1"/>
        </c:ser>
        <c:axId val="238252032"/>
        <c:axId val="238253568"/>
      </c:scatterChart>
      <c:valAx>
        <c:axId val="238252032"/>
        <c:scaling>
          <c:orientation val="minMax"/>
        </c:scaling>
        <c:axPos val="b"/>
        <c:numFmt formatCode="General" sourceLinked="1"/>
        <c:tickLblPos val="nextTo"/>
        <c:crossAx val="238253568"/>
        <c:crosses val="autoZero"/>
        <c:crossBetween val="midCat"/>
      </c:valAx>
      <c:valAx>
        <c:axId val="238253568"/>
        <c:scaling>
          <c:orientation val="minMax"/>
        </c:scaling>
        <c:axPos val="l"/>
        <c:majorGridlines/>
        <c:numFmt formatCode="General" sourceLinked="1"/>
        <c:tickLblPos val="nextTo"/>
        <c:crossAx val="23825203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scatterChart>
        <c:scatterStyle val="smoothMarker"/>
        <c:ser>
          <c:idx val="0"/>
          <c:order val="0"/>
          <c:tx>
            <c:v>护甲</c:v>
          </c:tx>
          <c:marker>
            <c:symbol val="none"/>
          </c:marker>
          <c:trendline>
            <c:trendlineType val="poly"/>
            <c:order val="3"/>
            <c:dispEq val="1"/>
            <c:trendlineLbl>
              <c:numFmt formatCode="General" sourceLinked="0"/>
            </c:trendlineLbl>
          </c:trendline>
          <c:xVal>
            <c:numRef>
              <c:f>数值拟合!$S$2:$S$25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31</c:v>
                </c:pt>
                <c:pt idx="8">
                  <c:v>35</c:v>
                </c:pt>
                <c:pt idx="9">
                  <c:v>39</c:v>
                </c:pt>
                <c:pt idx="10">
                  <c:v>43</c:v>
                </c:pt>
                <c:pt idx="11">
                  <c:v>47</c:v>
                </c:pt>
                <c:pt idx="12">
                  <c:v>51</c:v>
                </c:pt>
                <c:pt idx="13">
                  <c:v>55</c:v>
                </c:pt>
                <c:pt idx="14">
                  <c:v>59</c:v>
                </c:pt>
                <c:pt idx="15">
                  <c:v>63</c:v>
                </c:pt>
                <c:pt idx="16">
                  <c:v>67</c:v>
                </c:pt>
                <c:pt idx="17">
                  <c:v>71</c:v>
                </c:pt>
                <c:pt idx="18">
                  <c:v>75</c:v>
                </c:pt>
                <c:pt idx="19">
                  <c:v>79</c:v>
                </c:pt>
                <c:pt idx="20">
                  <c:v>83</c:v>
                </c:pt>
                <c:pt idx="21">
                  <c:v>87</c:v>
                </c:pt>
                <c:pt idx="22">
                  <c:v>91</c:v>
                </c:pt>
                <c:pt idx="23">
                  <c:v>95</c:v>
                </c:pt>
              </c:numCache>
            </c:numRef>
          </c:xVal>
          <c:yVal>
            <c:numRef>
              <c:f>数值拟合!$T$2:$T$25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20</c:v>
                </c:pt>
                <c:pt idx="3">
                  <c:v>39</c:v>
                </c:pt>
                <c:pt idx="4">
                  <c:v>66</c:v>
                </c:pt>
                <c:pt idx="5">
                  <c:v>104</c:v>
                </c:pt>
                <c:pt idx="6">
                  <c:v>153</c:v>
                </c:pt>
                <c:pt idx="7">
                  <c:v>216</c:v>
                </c:pt>
                <c:pt idx="8">
                  <c:v>293</c:v>
                </c:pt>
                <c:pt idx="9">
                  <c:v>387</c:v>
                </c:pt>
                <c:pt idx="10">
                  <c:v>498</c:v>
                </c:pt>
                <c:pt idx="11">
                  <c:v>629</c:v>
                </c:pt>
                <c:pt idx="12">
                  <c:v>781</c:v>
                </c:pt>
                <c:pt idx="13">
                  <c:v>955</c:v>
                </c:pt>
                <c:pt idx="14">
                  <c:v>1153</c:v>
                </c:pt>
                <c:pt idx="15">
                  <c:v>1377</c:v>
                </c:pt>
                <c:pt idx="16">
                  <c:v>1628</c:v>
                </c:pt>
                <c:pt idx="17">
                  <c:v>1907</c:v>
                </c:pt>
                <c:pt idx="18">
                  <c:v>2217</c:v>
                </c:pt>
                <c:pt idx="19">
                  <c:v>2558</c:v>
                </c:pt>
                <c:pt idx="20">
                  <c:v>2933</c:v>
                </c:pt>
                <c:pt idx="21">
                  <c:v>3342</c:v>
                </c:pt>
                <c:pt idx="22">
                  <c:v>3788</c:v>
                </c:pt>
                <c:pt idx="23">
                  <c:v>4271</c:v>
                </c:pt>
              </c:numCache>
            </c:numRef>
          </c:yVal>
          <c:smooth val="1"/>
        </c:ser>
        <c:axId val="238279296"/>
        <c:axId val="238293376"/>
      </c:scatterChart>
      <c:valAx>
        <c:axId val="238279296"/>
        <c:scaling>
          <c:orientation val="minMax"/>
        </c:scaling>
        <c:axPos val="b"/>
        <c:numFmt formatCode="General" sourceLinked="1"/>
        <c:tickLblPos val="nextTo"/>
        <c:crossAx val="238293376"/>
        <c:crosses val="autoZero"/>
        <c:crossBetween val="midCat"/>
      </c:valAx>
      <c:valAx>
        <c:axId val="238293376"/>
        <c:scaling>
          <c:orientation val="minMax"/>
        </c:scaling>
        <c:axPos val="l"/>
        <c:majorGridlines/>
        <c:numFmt formatCode="General" sourceLinked="1"/>
        <c:tickLblPos val="nextTo"/>
        <c:crossAx val="23827929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scatterChart>
        <c:scatterStyle val="smoothMarker"/>
        <c:ser>
          <c:idx val="0"/>
          <c:order val="0"/>
          <c:tx>
            <c:v>副手</c:v>
          </c:tx>
          <c:marker>
            <c:symbol val="none"/>
          </c:marker>
          <c:trendline>
            <c:trendlineType val="poly"/>
            <c:order val="3"/>
            <c:dispEq val="1"/>
            <c:trendlineLbl>
              <c:numFmt formatCode="General" sourceLinked="0"/>
            </c:trendlineLbl>
          </c:trendline>
          <c:xVal>
            <c:numRef>
              <c:f>数值拟合!$V$2:$V$26</c:f>
              <c:numCache>
                <c:formatCode>General</c:formatCode>
                <c:ptCount val="25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42</c:v>
                </c:pt>
                <c:pt idx="11">
                  <c:v>46</c:v>
                </c:pt>
                <c:pt idx="12">
                  <c:v>50</c:v>
                </c:pt>
                <c:pt idx="13">
                  <c:v>54</c:v>
                </c:pt>
                <c:pt idx="14">
                  <c:v>58</c:v>
                </c:pt>
                <c:pt idx="15">
                  <c:v>62</c:v>
                </c:pt>
                <c:pt idx="16">
                  <c:v>66</c:v>
                </c:pt>
                <c:pt idx="17">
                  <c:v>70</c:v>
                </c:pt>
                <c:pt idx="18">
                  <c:v>74</c:v>
                </c:pt>
                <c:pt idx="19">
                  <c:v>78</c:v>
                </c:pt>
                <c:pt idx="20">
                  <c:v>82</c:v>
                </c:pt>
                <c:pt idx="21">
                  <c:v>86</c:v>
                </c:pt>
                <c:pt idx="22">
                  <c:v>90</c:v>
                </c:pt>
                <c:pt idx="23">
                  <c:v>94</c:v>
                </c:pt>
                <c:pt idx="24">
                  <c:v>98</c:v>
                </c:pt>
              </c:numCache>
            </c:numRef>
          </c:xVal>
          <c:yVal>
            <c:numRef>
              <c:f>数值拟合!$W$2:$W$26</c:f>
              <c:numCache>
                <c:formatCode>General</c:formatCode>
                <c:ptCount val="25"/>
                <c:pt idx="0">
                  <c:v>4</c:v>
                </c:pt>
                <c:pt idx="1">
                  <c:v>12</c:v>
                </c:pt>
                <c:pt idx="2">
                  <c:v>30</c:v>
                </c:pt>
                <c:pt idx="3">
                  <c:v>60</c:v>
                </c:pt>
                <c:pt idx="4">
                  <c:v>106</c:v>
                </c:pt>
                <c:pt idx="5">
                  <c:v>171</c:v>
                </c:pt>
                <c:pt idx="6">
                  <c:v>257</c:v>
                </c:pt>
                <c:pt idx="7">
                  <c:v>368</c:v>
                </c:pt>
                <c:pt idx="8">
                  <c:v>507</c:v>
                </c:pt>
                <c:pt idx="9">
                  <c:v>676</c:v>
                </c:pt>
                <c:pt idx="10">
                  <c:v>880</c:v>
                </c:pt>
                <c:pt idx="11">
                  <c:v>1121</c:v>
                </c:pt>
                <c:pt idx="12">
                  <c:v>1402</c:v>
                </c:pt>
                <c:pt idx="13">
                  <c:v>1726</c:v>
                </c:pt>
                <c:pt idx="14">
                  <c:v>2096</c:v>
                </c:pt>
                <c:pt idx="15">
                  <c:v>2516</c:v>
                </c:pt>
                <c:pt idx="16">
                  <c:v>2988</c:v>
                </c:pt>
                <c:pt idx="17">
                  <c:v>3516</c:v>
                </c:pt>
                <c:pt idx="18">
                  <c:v>4102</c:v>
                </c:pt>
                <c:pt idx="19">
                  <c:v>4750</c:v>
                </c:pt>
                <c:pt idx="20">
                  <c:v>5462</c:v>
                </c:pt>
                <c:pt idx="21">
                  <c:v>6243</c:v>
                </c:pt>
                <c:pt idx="22">
                  <c:v>7094</c:v>
                </c:pt>
                <c:pt idx="23">
                  <c:v>8019</c:v>
                </c:pt>
                <c:pt idx="24">
                  <c:v>9021</c:v>
                </c:pt>
              </c:numCache>
            </c:numRef>
          </c:yVal>
          <c:smooth val="1"/>
        </c:ser>
        <c:axId val="238321664"/>
        <c:axId val="238323200"/>
      </c:scatterChart>
      <c:valAx>
        <c:axId val="238321664"/>
        <c:scaling>
          <c:orientation val="minMax"/>
        </c:scaling>
        <c:axPos val="b"/>
        <c:numFmt formatCode="General" sourceLinked="1"/>
        <c:tickLblPos val="nextTo"/>
        <c:crossAx val="238323200"/>
        <c:crosses val="autoZero"/>
        <c:crossBetween val="midCat"/>
      </c:valAx>
      <c:valAx>
        <c:axId val="238323200"/>
        <c:scaling>
          <c:orientation val="minMax"/>
        </c:scaling>
        <c:axPos val="l"/>
        <c:majorGridlines/>
        <c:numFmt formatCode="General" sourceLinked="1"/>
        <c:tickLblPos val="nextTo"/>
        <c:crossAx val="23832166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scatterChart>
        <c:scatterStyle val="lineMarker"/>
        <c:ser>
          <c:idx val="0"/>
          <c:order val="0"/>
          <c:tx>
            <c:v>武器DPS</c:v>
          </c:tx>
          <c:spPr>
            <a:ln w="28575">
              <a:noFill/>
            </a:ln>
          </c:spPr>
          <c:trendline>
            <c:trendlineType val="poly"/>
            <c:order val="3"/>
            <c:dispEq val="1"/>
            <c:trendlineLbl>
              <c:layout>
                <c:manualLayout>
                  <c:x val="0.14158770778652671"/>
                  <c:y val="-6.6418051910177911E-2"/>
                </c:manualLayout>
              </c:layout>
              <c:numFmt formatCode="General" sourceLinked="0"/>
            </c:trendlineLbl>
          </c:trendline>
          <c:yVal>
            <c:numRef>
              <c:f>装备属性设计!$Q$3:$Q$17</c:f>
              <c:numCache>
                <c:formatCode>General</c:formatCode>
                <c:ptCount val="15"/>
                <c:pt idx="0">
                  <c:v>8</c:v>
                </c:pt>
                <c:pt idx="1">
                  <c:v>30</c:v>
                </c:pt>
                <c:pt idx="2">
                  <c:v>96</c:v>
                </c:pt>
                <c:pt idx="3">
                  <c:v>156</c:v>
                </c:pt>
                <c:pt idx="4">
                  <c:v>338</c:v>
                </c:pt>
                <c:pt idx="5">
                  <c:v>531</c:v>
                </c:pt>
                <c:pt idx="6">
                  <c:v>825</c:v>
                </c:pt>
                <c:pt idx="7">
                  <c:v>1329</c:v>
                </c:pt>
                <c:pt idx="8">
                  <c:v>2010</c:v>
                </c:pt>
                <c:pt idx="9">
                  <c:v>2563</c:v>
                </c:pt>
                <c:pt idx="10">
                  <c:v>3291</c:v>
                </c:pt>
                <c:pt idx="11">
                  <c:v>4228</c:v>
                </c:pt>
                <c:pt idx="12">
                  <c:v>6021</c:v>
                </c:pt>
                <c:pt idx="13">
                  <c:v>7859</c:v>
                </c:pt>
                <c:pt idx="14">
                  <c:v>9808</c:v>
                </c:pt>
              </c:numCache>
            </c:numRef>
          </c:yVal>
        </c:ser>
        <c:axId val="238356736"/>
        <c:axId val="238379008"/>
      </c:scatterChart>
      <c:valAx>
        <c:axId val="238356736"/>
        <c:scaling>
          <c:orientation val="minMax"/>
        </c:scaling>
        <c:axPos val="b"/>
        <c:tickLblPos val="nextTo"/>
        <c:crossAx val="238379008"/>
        <c:crosses val="autoZero"/>
        <c:crossBetween val="midCat"/>
      </c:valAx>
      <c:valAx>
        <c:axId val="238379008"/>
        <c:scaling>
          <c:orientation val="minMax"/>
        </c:scaling>
        <c:axPos val="l"/>
        <c:majorGridlines/>
        <c:numFmt formatCode="General" sourceLinked="1"/>
        <c:tickLblPos val="nextTo"/>
        <c:crossAx val="23835673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layout>
        <c:manualLayout>
          <c:xMode val="edge"/>
          <c:yMode val="edge"/>
          <c:x val="0.4108193350831148"/>
          <c:y val="0"/>
        </c:manualLayout>
      </c:layout>
    </c:title>
    <c:plotArea>
      <c:layout/>
      <c:scatterChart>
        <c:scatterStyle val="lineMarker"/>
        <c:ser>
          <c:idx val="0"/>
          <c:order val="0"/>
          <c:tx>
            <c:v>总属性</c:v>
          </c:tx>
          <c:spPr>
            <a:ln w="28575">
              <a:noFill/>
            </a:ln>
          </c:spPr>
          <c:trendline>
            <c:trendlineType val="poly"/>
            <c:order val="2"/>
            <c:dispEq val="1"/>
            <c:trendlineLbl>
              <c:layout/>
              <c:numFmt formatCode="General" sourceLinked="0"/>
            </c:trendlineLbl>
          </c:trendline>
          <c:yVal>
            <c:numRef>
              <c:f>装备属性设计!$AG$6:$AG$18</c:f>
              <c:numCache>
                <c:formatCode>General</c:formatCode>
                <c:ptCount val="13"/>
                <c:pt idx="0">
                  <c:v>1136</c:v>
                </c:pt>
                <c:pt idx="1">
                  <c:v>1480</c:v>
                </c:pt>
                <c:pt idx="2">
                  <c:v>1752</c:v>
                </c:pt>
                <c:pt idx="3">
                  <c:v>2416</c:v>
                </c:pt>
                <c:pt idx="4">
                  <c:v>3168</c:v>
                </c:pt>
                <c:pt idx="5">
                  <c:v>3864</c:v>
                </c:pt>
                <c:pt idx="6">
                  <c:v>5088</c:v>
                </c:pt>
                <c:pt idx="7">
                  <c:v>5840</c:v>
                </c:pt>
                <c:pt idx="8">
                  <c:v>7200</c:v>
                </c:pt>
                <c:pt idx="9">
                  <c:v>9400</c:v>
                </c:pt>
                <c:pt idx="10">
                  <c:v>11380</c:v>
                </c:pt>
                <c:pt idx="11">
                  <c:v>13680</c:v>
                </c:pt>
                <c:pt idx="12">
                  <c:v>15440</c:v>
                </c:pt>
              </c:numCache>
            </c:numRef>
          </c:yVal>
        </c:ser>
        <c:axId val="238408064"/>
        <c:axId val="238409600"/>
      </c:scatterChart>
      <c:valAx>
        <c:axId val="238408064"/>
        <c:scaling>
          <c:orientation val="minMax"/>
        </c:scaling>
        <c:axPos val="b"/>
        <c:tickLblPos val="nextTo"/>
        <c:crossAx val="238409600"/>
        <c:crosses val="autoZero"/>
        <c:crossBetween val="midCat"/>
      </c:valAx>
      <c:valAx>
        <c:axId val="238409600"/>
        <c:scaling>
          <c:orientation val="minMax"/>
        </c:scaling>
        <c:axPos val="l"/>
        <c:majorGridlines/>
        <c:numFmt formatCode="General" sourceLinked="1"/>
        <c:tickLblPos val="nextTo"/>
        <c:crossAx val="2384080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Eq val="1"/>
            <c:trendlineLbl>
              <c:numFmt formatCode="General" sourceLinked="0"/>
            </c:trendlineLbl>
          </c:trendline>
          <c:xVal>
            <c:numRef>
              <c:f>装备属性设计!$AF$6:$AF$18</c:f>
              <c:numCache>
                <c:formatCode>General</c:formatCode>
                <c:ptCount val="13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55</c:v>
                </c:pt>
                <c:pt idx="9">
                  <c:v>60</c:v>
                </c:pt>
                <c:pt idx="10">
                  <c:v>65</c:v>
                </c:pt>
                <c:pt idx="11">
                  <c:v>70</c:v>
                </c:pt>
                <c:pt idx="12">
                  <c:v>75</c:v>
                </c:pt>
              </c:numCache>
            </c:numRef>
          </c:xVal>
          <c:yVal>
            <c:numRef>
              <c:f>装备属性设计!$AG$6:$AG$18</c:f>
              <c:numCache>
                <c:formatCode>General</c:formatCode>
                <c:ptCount val="13"/>
                <c:pt idx="0">
                  <c:v>1136</c:v>
                </c:pt>
                <c:pt idx="1">
                  <c:v>1480</c:v>
                </c:pt>
                <c:pt idx="2">
                  <c:v>1752</c:v>
                </c:pt>
                <c:pt idx="3">
                  <c:v>2416</c:v>
                </c:pt>
                <c:pt idx="4">
                  <c:v>3168</c:v>
                </c:pt>
                <c:pt idx="5">
                  <c:v>3864</c:v>
                </c:pt>
                <c:pt idx="6">
                  <c:v>5088</c:v>
                </c:pt>
                <c:pt idx="7">
                  <c:v>5840</c:v>
                </c:pt>
                <c:pt idx="8">
                  <c:v>7200</c:v>
                </c:pt>
                <c:pt idx="9">
                  <c:v>9400</c:v>
                </c:pt>
                <c:pt idx="10">
                  <c:v>11380</c:v>
                </c:pt>
                <c:pt idx="11">
                  <c:v>13680</c:v>
                </c:pt>
                <c:pt idx="12">
                  <c:v>15440</c:v>
                </c:pt>
              </c:numCache>
            </c:numRef>
          </c:yVal>
        </c:ser>
        <c:axId val="238835968"/>
        <c:axId val="238841856"/>
      </c:scatterChart>
      <c:valAx>
        <c:axId val="238835968"/>
        <c:scaling>
          <c:orientation val="minMax"/>
        </c:scaling>
        <c:axPos val="b"/>
        <c:numFmt formatCode="General" sourceLinked="1"/>
        <c:tickLblPos val="nextTo"/>
        <c:crossAx val="238841856"/>
        <c:crosses val="autoZero"/>
        <c:crossBetween val="midCat"/>
      </c:valAx>
      <c:valAx>
        <c:axId val="238841856"/>
        <c:scaling>
          <c:orientation val="minMax"/>
        </c:scaling>
        <c:axPos val="l"/>
        <c:majorGridlines/>
        <c:numFmt formatCode="General" sourceLinked="1"/>
        <c:tickLblPos val="nextTo"/>
        <c:crossAx val="23883596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diamond"/>
            <c:size val="5"/>
            <c:spPr>
              <a:solidFill>
                <a:srgbClr val="333399"/>
              </a:solidFill>
              <a:ln>
                <a:solidFill>
                  <a:srgbClr val="000099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Eq val="1"/>
            <c:trendlineLbl>
              <c:layout>
                <c:manualLayout>
                  <c:x val="3.519907674552801E-2"/>
                  <c:y val="0.20727365208545301"/>
                </c:manualLayout>
              </c:layout>
              <c:numFmt formatCode="General" sourceLinked="0"/>
              <c:spPr>
                <a:noFill/>
                <a:ln>
                  <a:noFill/>
                </a:ln>
              </c:spPr>
              <c:txPr>
                <a:bodyPr rot="0" vert="horz"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endParaRPr lang="zh-CN"/>
                </a:p>
              </c:txPr>
            </c:trendlineLbl>
          </c:trendline>
          <c:yVal>
            <c:numRef>
              <c:f>地图强度!$M$5:$M$70</c:f>
              <c:numCache>
                <c:formatCode>0.00_ </c:formatCode>
                <c:ptCount val="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</c:v>
                </c:pt>
                <c:pt idx="13">
                  <c:v>0.95</c:v>
                </c:pt>
                <c:pt idx="14">
                  <c:v>1</c:v>
                </c:pt>
                <c:pt idx="15">
                  <c:v>1.05</c:v>
                </c:pt>
                <c:pt idx="16">
                  <c:v>1.1000000000000001</c:v>
                </c:pt>
                <c:pt idx="17">
                  <c:v>1.1499999999999999</c:v>
                </c:pt>
                <c:pt idx="18">
                  <c:v>1.2</c:v>
                </c:pt>
                <c:pt idx="19">
                  <c:v>1.25</c:v>
                </c:pt>
                <c:pt idx="20">
                  <c:v>1.3</c:v>
                </c:pt>
                <c:pt idx="21">
                  <c:v>1.35</c:v>
                </c:pt>
                <c:pt idx="22">
                  <c:v>1.4</c:v>
                </c:pt>
                <c:pt idx="23">
                  <c:v>1.45</c:v>
                </c:pt>
                <c:pt idx="24">
                  <c:v>1.5</c:v>
                </c:pt>
                <c:pt idx="25">
                  <c:v>1.55</c:v>
                </c:pt>
                <c:pt idx="26">
                  <c:v>1.6</c:v>
                </c:pt>
                <c:pt idx="27">
                  <c:v>1.65</c:v>
                </c:pt>
                <c:pt idx="28">
                  <c:v>1.7</c:v>
                </c:pt>
                <c:pt idx="29">
                  <c:v>1.75</c:v>
                </c:pt>
                <c:pt idx="30">
                  <c:v>1.8</c:v>
                </c:pt>
                <c:pt idx="31">
                  <c:v>1.85</c:v>
                </c:pt>
                <c:pt idx="32">
                  <c:v>1.9</c:v>
                </c:pt>
                <c:pt idx="33">
                  <c:v>1.95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</c:numCache>
            </c:numRef>
          </c:yVal>
        </c:ser>
        <c:axId val="239310336"/>
        <c:axId val="239311872"/>
      </c:scatterChart>
      <c:valAx>
        <c:axId val="239310336"/>
        <c:scaling>
          <c:orientation val="minMax"/>
        </c:scaling>
        <c:axPos val="b"/>
        <c:majorTickMark val="in"/>
        <c:tickLblPos val="nextTo"/>
        <c:spPr>
          <a:ln w="25400">
            <a:solidFill>
              <a:srgbClr val="003366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3366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239311872"/>
        <c:crosses val="autoZero"/>
        <c:crossBetween val="midCat"/>
      </c:valAx>
      <c:valAx>
        <c:axId val="239311872"/>
        <c:scaling>
          <c:orientation val="minMax"/>
        </c:scaling>
        <c:axPos val="l"/>
        <c:majorGridlines>
          <c:spPr>
            <a:ln w="12700">
              <a:solidFill>
                <a:srgbClr val="000080"/>
              </a:solidFill>
              <a:prstDash val="solid"/>
            </a:ln>
          </c:spPr>
        </c:majorGridlines>
        <c:numFmt formatCode="0.00_ " sourceLinked="1"/>
        <c:majorTickMark val="in"/>
        <c:tickLblPos val="nextTo"/>
        <c:spPr>
          <a:ln w="25400">
            <a:solidFill>
              <a:srgbClr val="003366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3366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239310336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r"/>
      <c:legendEntry>
        <c:idx val="1"/>
        <c:txPr>
          <a:bodyPr/>
          <a:lstStyle/>
          <a:p>
            <a:pPr>
              <a:defRPr sz="1200" b="0" i="0" u="none" strike="noStrike" baseline="0">
                <a:solidFill>
                  <a:srgbClr val="003366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</c:legendEntry>
      <c:legendEntry>
        <c:idx val="0"/>
        <c:txPr>
          <a:bodyPr/>
          <a:lstStyle/>
          <a:p>
            <a:pPr>
              <a:defRPr sz="1200" b="0" i="0" u="none" strike="noStrike" baseline="0">
                <a:solidFill>
                  <a:srgbClr val="003366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</c:legendEntry>
      <c:spPr>
        <a:noFill/>
        <a:ln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3366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</c:chart>
  <c:spPr>
    <a:solidFill>
      <a:srgbClr val="F3F7FB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3366"/>
          </a:solidFill>
          <a:latin typeface="宋体"/>
          <a:ea typeface="宋体"/>
          <a:cs typeface="宋体"/>
        </a:defRPr>
      </a:pPr>
      <a:endParaRPr lang="zh-CN"/>
    </a:p>
  </c:tx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20173840769903933"/>
          <c:y val="6.9919072615923034E-2"/>
          <c:w val="0.67306714785651789"/>
          <c:h val="0.79822506561679785"/>
        </c:manualLayout>
      </c:layout>
      <c:lineChart>
        <c:grouping val="standard"/>
        <c:ser>
          <c:idx val="0"/>
          <c:order val="0"/>
          <c:marker>
            <c:symbol val="none"/>
          </c:marker>
          <c:trendline>
            <c:trendlineType val="poly"/>
            <c:order val="3"/>
            <c:dispEq val="1"/>
            <c:trendlineLbl>
              <c:numFmt formatCode="General" sourceLinked="0"/>
            </c:trendlineLbl>
          </c:trendline>
          <c:val>
            <c:numRef>
              <c:f>地图强度!$L$3:$L$37</c:f>
              <c:numCache>
                <c:formatCode>General</c:formatCode>
                <c:ptCount val="35"/>
                <c:pt idx="0">
                  <c:v>120</c:v>
                </c:pt>
                <c:pt idx="1">
                  <c:v>136</c:v>
                </c:pt>
                <c:pt idx="2">
                  <c:v>149</c:v>
                </c:pt>
                <c:pt idx="3">
                  <c:v>175</c:v>
                </c:pt>
                <c:pt idx="4">
                  <c:v>189</c:v>
                </c:pt>
                <c:pt idx="5">
                  <c:v>210</c:v>
                </c:pt>
                <c:pt idx="6">
                  <c:v>238</c:v>
                </c:pt>
                <c:pt idx="7">
                  <c:v>304</c:v>
                </c:pt>
                <c:pt idx="8">
                  <c:v>344</c:v>
                </c:pt>
                <c:pt idx="9">
                  <c:v>416</c:v>
                </c:pt>
                <c:pt idx="10">
                  <c:v>476</c:v>
                </c:pt>
                <c:pt idx="11">
                  <c:v>544</c:v>
                </c:pt>
                <c:pt idx="12">
                  <c:v>648</c:v>
                </c:pt>
                <c:pt idx="13">
                  <c:v>779</c:v>
                </c:pt>
                <c:pt idx="14">
                  <c:v>1740</c:v>
                </c:pt>
                <c:pt idx="15">
                  <c:v>2111</c:v>
                </c:pt>
                <c:pt idx="16">
                  <c:v>2555</c:v>
                </c:pt>
                <c:pt idx="17">
                  <c:v>3083</c:v>
                </c:pt>
                <c:pt idx="18">
                  <c:v>3713</c:v>
                </c:pt>
                <c:pt idx="19">
                  <c:v>4264</c:v>
                </c:pt>
                <c:pt idx="20">
                  <c:v>4887</c:v>
                </c:pt>
                <c:pt idx="21">
                  <c:v>5591</c:v>
                </c:pt>
                <c:pt idx="22">
                  <c:v>6386</c:v>
                </c:pt>
                <c:pt idx="23">
                  <c:v>7357</c:v>
                </c:pt>
                <c:pt idx="24">
                  <c:v>8542</c:v>
                </c:pt>
                <c:pt idx="25">
                  <c:v>9904</c:v>
                </c:pt>
                <c:pt idx="26">
                  <c:v>11469</c:v>
                </c:pt>
                <c:pt idx="27">
                  <c:v>13266</c:v>
                </c:pt>
                <c:pt idx="28">
                  <c:v>15326</c:v>
                </c:pt>
                <c:pt idx="29">
                  <c:v>17278</c:v>
                </c:pt>
                <c:pt idx="30">
                  <c:v>19460</c:v>
                </c:pt>
                <c:pt idx="31">
                  <c:v>21896</c:v>
                </c:pt>
                <c:pt idx="32">
                  <c:v>24614</c:v>
                </c:pt>
                <c:pt idx="33">
                  <c:v>27647</c:v>
                </c:pt>
                <c:pt idx="34">
                  <c:v>30844</c:v>
                </c:pt>
              </c:numCache>
            </c:numRef>
          </c:val>
        </c:ser>
        <c:marker val="1"/>
        <c:axId val="239327872"/>
        <c:axId val="238944640"/>
      </c:lineChart>
      <c:catAx>
        <c:axId val="239327872"/>
        <c:scaling>
          <c:orientation val="minMax"/>
        </c:scaling>
        <c:axPos val="b"/>
        <c:tickLblPos val="nextTo"/>
        <c:crossAx val="238944640"/>
        <c:crosses val="autoZero"/>
        <c:auto val="1"/>
        <c:lblAlgn val="ctr"/>
        <c:lblOffset val="100"/>
      </c:catAx>
      <c:valAx>
        <c:axId val="238944640"/>
        <c:scaling>
          <c:orientation val="minMax"/>
        </c:scaling>
        <c:axPos val="l"/>
        <c:majorGridlines/>
        <c:numFmt formatCode="General" sourceLinked="1"/>
        <c:tickLblPos val="nextTo"/>
        <c:crossAx val="23932787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3"/>
            <c:dispEq val="1"/>
            <c:trendlineLbl>
              <c:layout>
                <c:manualLayout>
                  <c:x val="0.28417825896762938"/>
                  <c:y val="0.6610050306211912"/>
                </c:manualLayout>
              </c:layout>
              <c:numFmt formatCode="General" sourceLinked="0"/>
            </c:trendlineLbl>
          </c:trendline>
          <c:yVal>
            <c:numRef>
              <c:f>地图强度!$E$9:$E$19</c:f>
              <c:numCache>
                <c:formatCode>General</c:formatCode>
                <c:ptCount val="11"/>
                <c:pt idx="0">
                  <c:v>3180</c:v>
                </c:pt>
                <c:pt idx="1">
                  <c:v>4602</c:v>
                </c:pt>
                <c:pt idx="2">
                  <c:v>6526</c:v>
                </c:pt>
                <c:pt idx="3">
                  <c:v>9108</c:v>
                </c:pt>
                <c:pt idx="4">
                  <c:v>12475</c:v>
                </c:pt>
                <c:pt idx="5">
                  <c:v>16830</c:v>
                </c:pt>
                <c:pt idx="6">
                  <c:v>22275</c:v>
                </c:pt>
                <c:pt idx="7">
                  <c:v>29121</c:v>
                </c:pt>
                <c:pt idx="8">
                  <c:v>37584</c:v>
                </c:pt>
                <c:pt idx="9">
                  <c:v>47980</c:v>
                </c:pt>
                <c:pt idx="10">
                  <c:v>60482</c:v>
                </c:pt>
              </c:numCache>
            </c:numRef>
          </c:yVal>
        </c:ser>
        <c:axId val="238965120"/>
        <c:axId val="238966656"/>
      </c:scatterChart>
      <c:valAx>
        <c:axId val="238965120"/>
        <c:scaling>
          <c:orientation val="minMax"/>
        </c:scaling>
        <c:axPos val="b"/>
        <c:tickLblPos val="nextTo"/>
        <c:crossAx val="238966656"/>
        <c:crosses val="autoZero"/>
        <c:crossBetween val="midCat"/>
      </c:valAx>
      <c:valAx>
        <c:axId val="238966656"/>
        <c:scaling>
          <c:orientation val="minMax"/>
        </c:scaling>
        <c:axPos val="l"/>
        <c:majorGridlines/>
        <c:numFmt formatCode="General" sourceLinked="1"/>
        <c:tickLblPos val="nextTo"/>
        <c:crossAx val="23896512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13</xdr:row>
      <xdr:rowOff>152400</xdr:rowOff>
    </xdr:from>
    <xdr:to>
      <xdr:col>11</xdr:col>
      <xdr:colOff>9525</xdr:colOff>
      <xdr:row>29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333375</xdr:colOff>
      <xdr:row>51</xdr:row>
      <xdr:rowOff>161925</xdr:rowOff>
    </xdr:from>
    <xdr:to>
      <xdr:col>11</xdr:col>
      <xdr:colOff>104775</xdr:colOff>
      <xdr:row>67</xdr:row>
      <xdr:rowOff>161925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133350</xdr:rowOff>
    </xdr:from>
    <xdr:to>
      <xdr:col>6</xdr:col>
      <xdr:colOff>457200</xdr:colOff>
      <xdr:row>37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53</xdr:row>
      <xdr:rowOff>133350</xdr:rowOff>
    </xdr:from>
    <xdr:to>
      <xdr:col>6</xdr:col>
      <xdr:colOff>457200</xdr:colOff>
      <xdr:row>69</xdr:row>
      <xdr:rowOff>133350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142875</xdr:rowOff>
    </xdr:from>
    <xdr:to>
      <xdr:col>6</xdr:col>
      <xdr:colOff>457200</xdr:colOff>
      <xdr:row>53</xdr:row>
      <xdr:rowOff>142875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304800</xdr:colOff>
      <xdr:row>21</xdr:row>
      <xdr:rowOff>152400</xdr:rowOff>
    </xdr:from>
    <xdr:to>
      <xdr:col>13</xdr:col>
      <xdr:colOff>76200</xdr:colOff>
      <xdr:row>37</xdr:row>
      <xdr:rowOff>152400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333375</xdr:colOff>
      <xdr:row>37</xdr:row>
      <xdr:rowOff>76200</xdr:rowOff>
    </xdr:from>
    <xdr:to>
      <xdr:col>13</xdr:col>
      <xdr:colOff>104775</xdr:colOff>
      <xdr:row>53</xdr:row>
      <xdr:rowOff>76200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257175</xdr:colOff>
      <xdr:row>53</xdr:row>
      <xdr:rowOff>28575</xdr:rowOff>
    </xdr:from>
    <xdr:to>
      <xdr:col>13</xdr:col>
      <xdr:colOff>28575</xdr:colOff>
      <xdr:row>69</xdr:row>
      <xdr:rowOff>28575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609600</xdr:colOff>
      <xdr:row>25</xdr:row>
      <xdr:rowOff>152400</xdr:rowOff>
    </xdr:from>
    <xdr:to>
      <xdr:col>19</xdr:col>
      <xdr:colOff>381000</xdr:colOff>
      <xdr:row>41</xdr:row>
      <xdr:rowOff>152400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647700</xdr:colOff>
      <xdr:row>41</xdr:row>
      <xdr:rowOff>66675</xdr:rowOff>
    </xdr:from>
    <xdr:to>
      <xdr:col>19</xdr:col>
      <xdr:colOff>419100</xdr:colOff>
      <xdr:row>57</xdr:row>
      <xdr:rowOff>66675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44</xdr:row>
      <xdr:rowOff>123825</xdr:rowOff>
    </xdr:from>
    <xdr:to>
      <xdr:col>12</xdr:col>
      <xdr:colOff>304800</xdr:colOff>
      <xdr:row>60</xdr:row>
      <xdr:rowOff>123825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504825</xdr:colOff>
      <xdr:row>26</xdr:row>
      <xdr:rowOff>161925</xdr:rowOff>
    </xdr:from>
    <xdr:to>
      <xdr:col>24</xdr:col>
      <xdr:colOff>276225</xdr:colOff>
      <xdr:row>42</xdr:row>
      <xdr:rowOff>161925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428625</xdr:colOff>
      <xdr:row>27</xdr:row>
      <xdr:rowOff>142875</xdr:rowOff>
    </xdr:from>
    <xdr:to>
      <xdr:col>34</xdr:col>
      <xdr:colOff>200025</xdr:colOff>
      <xdr:row>43</xdr:row>
      <xdr:rowOff>142875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61595</xdr:colOff>
      <xdr:row>3</xdr:row>
      <xdr:rowOff>26035</xdr:rowOff>
    </xdr:from>
    <xdr:to>
      <xdr:col>36</xdr:col>
      <xdr:colOff>204470</xdr:colOff>
      <xdr:row>18</xdr:row>
      <xdr:rowOff>78105</xdr:rowOff>
    </xdr:to>
    <xdr:graphicFrame macro="">
      <xdr:nvGraphicFramePr>
        <xdr:cNvPr id="1741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285750</xdr:colOff>
      <xdr:row>20</xdr:row>
      <xdr:rowOff>104775</xdr:rowOff>
    </xdr:from>
    <xdr:to>
      <xdr:col>35</xdr:col>
      <xdr:colOff>57150</xdr:colOff>
      <xdr:row>36</xdr:row>
      <xdr:rowOff>104775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9525</xdr:colOff>
      <xdr:row>38</xdr:row>
      <xdr:rowOff>57150</xdr:rowOff>
    </xdr:from>
    <xdr:to>
      <xdr:col>35</xdr:col>
      <xdr:colOff>466725</xdr:colOff>
      <xdr:row>54</xdr:row>
      <xdr:rowOff>57150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934;&#33521;&#21103;&#2641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ua/Resource_Product/trunk/&#31574;&#21010;&#25968;&#25454;&#34920;/&#25112;&#26007;&#21442;&#25968;/&#25112;&#26007;&#21442;&#25968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战士难度"/>
      <sheetName val="猎人难度"/>
      <sheetName val="法师难度"/>
      <sheetName val="怪物抗性与玩家穿透"/>
      <sheetName val="怪物模型"/>
      <sheetName val="怪物生成器"/>
    </sheetNames>
    <sheetDataSet>
      <sheetData sheetId="0"/>
      <sheetData sheetId="1"/>
      <sheetData sheetId="2"/>
      <sheetData sheetId="3"/>
      <sheetData sheetId="4">
        <row r="2">
          <cell r="A2">
            <v>30</v>
          </cell>
          <cell r="B2">
            <v>16</v>
          </cell>
          <cell r="C2">
            <v>14</v>
          </cell>
          <cell r="D2">
            <v>20</v>
          </cell>
          <cell r="E2">
            <v>0</v>
          </cell>
          <cell r="F2">
            <v>17.241379310344826</v>
          </cell>
          <cell r="G2">
            <v>0</v>
          </cell>
          <cell r="H2">
            <v>2815</v>
          </cell>
          <cell r="I2">
            <v>1550</v>
          </cell>
        </row>
        <row r="3">
          <cell r="A3">
            <v>31</v>
          </cell>
          <cell r="B3">
            <v>18</v>
          </cell>
          <cell r="C3">
            <v>15</v>
          </cell>
          <cell r="D3">
            <v>50</v>
          </cell>
          <cell r="E3">
            <v>0</v>
          </cell>
          <cell r="F3">
            <v>42.372881355932201</v>
          </cell>
          <cell r="G3">
            <v>0</v>
          </cell>
          <cell r="H3">
            <v>3000</v>
          </cell>
          <cell r="I3">
            <v>1600</v>
          </cell>
        </row>
        <row r="4">
          <cell r="A4">
            <v>32</v>
          </cell>
          <cell r="B4">
            <v>20</v>
          </cell>
          <cell r="C4">
            <v>16</v>
          </cell>
          <cell r="D4">
            <v>80</v>
          </cell>
          <cell r="E4">
            <v>10</v>
          </cell>
          <cell r="F4">
            <v>66.666666666666671</v>
          </cell>
          <cell r="G4">
            <v>8.6206896551724128</v>
          </cell>
          <cell r="H4">
            <v>3191</v>
          </cell>
          <cell r="I4">
            <v>1650</v>
          </cell>
        </row>
        <row r="5">
          <cell r="A5">
            <v>33</v>
          </cell>
          <cell r="B5">
            <v>22</v>
          </cell>
          <cell r="C5">
            <v>17</v>
          </cell>
          <cell r="D5">
            <v>110</v>
          </cell>
          <cell r="E5">
            <v>20</v>
          </cell>
          <cell r="F5">
            <v>90.163934426229517</v>
          </cell>
          <cell r="G5">
            <v>17.094017094017094</v>
          </cell>
          <cell r="H5">
            <v>3388</v>
          </cell>
          <cell r="I5">
            <v>1700</v>
          </cell>
        </row>
        <row r="6">
          <cell r="A6">
            <v>34</v>
          </cell>
          <cell r="B6">
            <v>24</v>
          </cell>
          <cell r="C6">
            <v>18</v>
          </cell>
          <cell r="D6">
            <v>140</v>
          </cell>
          <cell r="E6">
            <v>30</v>
          </cell>
          <cell r="F6">
            <v>112.9032258064516</v>
          </cell>
          <cell r="G6">
            <v>25.423728813559322</v>
          </cell>
          <cell r="H6">
            <v>3591</v>
          </cell>
          <cell r="I6">
            <v>1750</v>
          </cell>
        </row>
        <row r="7">
          <cell r="A7">
            <v>35</v>
          </cell>
          <cell r="B7">
            <v>26</v>
          </cell>
          <cell r="C7">
            <v>19</v>
          </cell>
          <cell r="D7">
            <v>170</v>
          </cell>
          <cell r="E7">
            <v>40</v>
          </cell>
          <cell r="F7">
            <v>134.92063492063494</v>
          </cell>
          <cell r="G7">
            <v>33.613445378151262</v>
          </cell>
          <cell r="H7">
            <v>3800</v>
          </cell>
          <cell r="I7">
            <v>1800</v>
          </cell>
        </row>
        <row r="8">
          <cell r="A8">
            <v>36</v>
          </cell>
          <cell r="B8">
            <v>28</v>
          </cell>
          <cell r="C8">
            <v>20</v>
          </cell>
          <cell r="D8">
            <v>200</v>
          </cell>
          <cell r="E8">
            <v>50</v>
          </cell>
          <cell r="F8">
            <v>156.25</v>
          </cell>
          <cell r="G8">
            <v>41.666666666666671</v>
          </cell>
          <cell r="H8">
            <v>4015</v>
          </cell>
          <cell r="I8">
            <v>1850</v>
          </cell>
        </row>
        <row r="9">
          <cell r="A9">
            <v>37</v>
          </cell>
          <cell r="B9">
            <v>30</v>
          </cell>
          <cell r="C9">
            <v>21</v>
          </cell>
          <cell r="D9">
            <v>230</v>
          </cell>
          <cell r="E9">
            <v>60</v>
          </cell>
          <cell r="F9">
            <v>176.92307692307691</v>
          </cell>
          <cell r="G9">
            <v>49.586776859504134</v>
          </cell>
          <cell r="H9">
            <v>4236</v>
          </cell>
          <cell r="I9">
            <v>1900</v>
          </cell>
        </row>
        <row r="10">
          <cell r="A10">
            <v>38</v>
          </cell>
          <cell r="B10">
            <v>32</v>
          </cell>
          <cell r="C10">
            <v>22</v>
          </cell>
          <cell r="D10">
            <v>260</v>
          </cell>
          <cell r="E10">
            <v>70</v>
          </cell>
          <cell r="F10">
            <v>196.96969696969697</v>
          </cell>
          <cell r="G10">
            <v>57.377049180327873</v>
          </cell>
          <cell r="H10">
            <v>4463</v>
          </cell>
          <cell r="I10">
            <v>1950</v>
          </cell>
        </row>
        <row r="11">
          <cell r="A11">
            <v>39</v>
          </cell>
          <cell r="B11">
            <v>34</v>
          </cell>
          <cell r="C11">
            <v>23</v>
          </cell>
          <cell r="D11">
            <v>290</v>
          </cell>
          <cell r="E11">
            <v>80</v>
          </cell>
          <cell r="F11">
            <v>216.41791044776119</v>
          </cell>
          <cell r="G11">
            <v>65.040650406504056</v>
          </cell>
          <cell r="H11">
            <v>4696</v>
          </cell>
          <cell r="I11">
            <v>2000</v>
          </cell>
        </row>
        <row r="12">
          <cell r="A12">
            <v>40</v>
          </cell>
          <cell r="B12">
            <v>36</v>
          </cell>
          <cell r="C12">
            <v>24</v>
          </cell>
          <cell r="D12">
            <v>320</v>
          </cell>
          <cell r="E12">
            <v>90</v>
          </cell>
          <cell r="F12">
            <v>235.29411764705884</v>
          </cell>
          <cell r="G12">
            <v>72.58064516129032</v>
          </cell>
          <cell r="H12">
            <v>4935</v>
          </cell>
          <cell r="I12">
            <v>2050</v>
          </cell>
        </row>
        <row r="13">
          <cell r="A13">
            <v>41</v>
          </cell>
          <cell r="B13">
            <v>38</v>
          </cell>
          <cell r="C13">
            <v>25</v>
          </cell>
          <cell r="D13">
            <v>350</v>
          </cell>
          <cell r="E13">
            <v>100</v>
          </cell>
          <cell r="F13">
            <v>253.62318840579709</v>
          </cell>
          <cell r="G13">
            <v>80</v>
          </cell>
          <cell r="H13">
            <v>5180</v>
          </cell>
          <cell r="I13">
            <v>2100</v>
          </cell>
        </row>
        <row r="14">
          <cell r="A14">
            <v>42</v>
          </cell>
          <cell r="B14">
            <v>40</v>
          </cell>
          <cell r="C14">
            <v>26</v>
          </cell>
          <cell r="D14">
            <v>380</v>
          </cell>
          <cell r="E14">
            <v>110</v>
          </cell>
          <cell r="F14">
            <v>271.42857142857144</v>
          </cell>
          <cell r="G14">
            <v>87.301587301587304</v>
          </cell>
          <cell r="H14">
            <v>5431</v>
          </cell>
          <cell r="I14">
            <v>2150</v>
          </cell>
        </row>
        <row r="15">
          <cell r="A15">
            <v>43</v>
          </cell>
          <cell r="B15">
            <v>42</v>
          </cell>
          <cell r="C15">
            <v>27</v>
          </cell>
          <cell r="D15">
            <v>410</v>
          </cell>
          <cell r="E15">
            <v>120</v>
          </cell>
          <cell r="F15">
            <v>288.73239436619718</v>
          </cell>
          <cell r="G15">
            <v>94.488188976377941</v>
          </cell>
          <cell r="H15">
            <v>5688</v>
          </cell>
          <cell r="I15">
            <v>2200</v>
          </cell>
        </row>
        <row r="16">
          <cell r="A16">
            <v>44</v>
          </cell>
          <cell r="B16">
            <v>44</v>
          </cell>
          <cell r="C16">
            <v>28</v>
          </cell>
          <cell r="D16">
            <v>440</v>
          </cell>
          <cell r="E16">
            <v>130</v>
          </cell>
          <cell r="F16">
            <v>305.55555555555554</v>
          </cell>
          <cell r="G16">
            <v>101.5625</v>
          </cell>
          <cell r="H16">
            <v>5951</v>
          </cell>
          <cell r="I16">
            <v>2250</v>
          </cell>
        </row>
        <row r="17">
          <cell r="A17">
            <v>45</v>
          </cell>
          <cell r="B17">
            <v>46</v>
          </cell>
          <cell r="C17">
            <v>29</v>
          </cell>
          <cell r="D17">
            <v>470</v>
          </cell>
          <cell r="E17">
            <v>140</v>
          </cell>
          <cell r="F17">
            <v>321.91780821917814</v>
          </cell>
          <cell r="G17">
            <v>108.52713178294574</v>
          </cell>
          <cell r="H17">
            <v>6220</v>
          </cell>
          <cell r="I17">
            <v>2300</v>
          </cell>
        </row>
        <row r="18">
          <cell r="A18">
            <v>46</v>
          </cell>
          <cell r="B18">
            <v>48</v>
          </cell>
          <cell r="C18">
            <v>30</v>
          </cell>
          <cell r="D18">
            <v>500</v>
          </cell>
          <cell r="E18">
            <v>150</v>
          </cell>
          <cell r="F18">
            <v>337.83783783783781</v>
          </cell>
          <cell r="G18">
            <v>115.38461538461537</v>
          </cell>
          <cell r="H18">
            <v>6495</v>
          </cell>
          <cell r="I18">
            <v>2350</v>
          </cell>
        </row>
        <row r="19">
          <cell r="A19">
            <v>47</v>
          </cell>
          <cell r="B19">
            <v>50</v>
          </cell>
          <cell r="C19">
            <v>31</v>
          </cell>
          <cell r="D19">
            <v>1000</v>
          </cell>
          <cell r="E19">
            <v>300</v>
          </cell>
          <cell r="F19">
            <v>666.66666666666674</v>
          </cell>
          <cell r="G19">
            <v>229.00763358778624</v>
          </cell>
          <cell r="H19">
            <v>6776</v>
          </cell>
          <cell r="I19">
            <v>2400</v>
          </cell>
        </row>
        <row r="20">
          <cell r="A20">
            <v>48</v>
          </cell>
          <cell r="B20">
            <v>52</v>
          </cell>
          <cell r="C20">
            <v>32</v>
          </cell>
          <cell r="D20">
            <v>1500</v>
          </cell>
          <cell r="E20">
            <v>450</v>
          </cell>
          <cell r="F20">
            <v>986.84210526315792</v>
          </cell>
          <cell r="G20">
            <v>340.90909090909088</v>
          </cell>
          <cell r="H20">
            <v>7063</v>
          </cell>
          <cell r="I20">
            <v>2450</v>
          </cell>
        </row>
        <row r="21">
          <cell r="A21">
            <v>49</v>
          </cell>
          <cell r="B21">
            <v>54</v>
          </cell>
          <cell r="C21">
            <v>33</v>
          </cell>
          <cell r="D21">
            <v>2000</v>
          </cell>
          <cell r="E21">
            <v>600</v>
          </cell>
          <cell r="F21">
            <v>1298.7012987012986</v>
          </cell>
          <cell r="G21">
            <v>451.12781954887214</v>
          </cell>
          <cell r="H21">
            <v>7356</v>
          </cell>
          <cell r="I21">
            <v>2500</v>
          </cell>
        </row>
        <row r="22">
          <cell r="A22">
            <v>50</v>
          </cell>
          <cell r="B22">
            <v>56</v>
          </cell>
          <cell r="C22">
            <v>34</v>
          </cell>
          <cell r="D22">
            <v>2500</v>
          </cell>
          <cell r="E22">
            <v>750</v>
          </cell>
          <cell r="F22">
            <v>1602.5641025641023</v>
          </cell>
          <cell r="G22">
            <v>559.70149253731336</v>
          </cell>
          <cell r="H22">
            <v>7655</v>
          </cell>
          <cell r="I22">
            <v>2550</v>
          </cell>
        </row>
        <row r="23">
          <cell r="A23">
            <v>51</v>
          </cell>
          <cell r="B23">
            <v>58</v>
          </cell>
          <cell r="C23">
            <v>35</v>
          </cell>
          <cell r="D23">
            <v>3000</v>
          </cell>
          <cell r="E23">
            <v>900</v>
          </cell>
          <cell r="F23">
            <v>1898.7341772151899</v>
          </cell>
          <cell r="G23">
            <v>666.66666666666663</v>
          </cell>
          <cell r="H23">
            <v>7960</v>
          </cell>
          <cell r="I23">
            <v>2600</v>
          </cell>
        </row>
        <row r="24">
          <cell r="A24">
            <v>52</v>
          </cell>
          <cell r="B24">
            <v>60</v>
          </cell>
          <cell r="C24">
            <v>36</v>
          </cell>
          <cell r="D24">
            <v>3500</v>
          </cell>
          <cell r="E24">
            <v>1050</v>
          </cell>
          <cell r="F24">
            <v>2187.5</v>
          </cell>
          <cell r="G24">
            <v>772.05882352941182</v>
          </cell>
          <cell r="H24">
            <v>8271</v>
          </cell>
          <cell r="I24">
            <v>2650</v>
          </cell>
        </row>
        <row r="25">
          <cell r="A25">
            <v>53</v>
          </cell>
          <cell r="B25">
            <v>62</v>
          </cell>
          <cell r="C25">
            <v>37</v>
          </cell>
          <cell r="D25">
            <v>4000</v>
          </cell>
          <cell r="E25">
            <v>1200</v>
          </cell>
          <cell r="F25">
            <v>2469.1358024691363</v>
          </cell>
          <cell r="G25">
            <v>875.91240875912411</v>
          </cell>
          <cell r="H25">
            <v>8588</v>
          </cell>
          <cell r="I25">
            <v>2700</v>
          </cell>
        </row>
        <row r="26">
          <cell r="A26">
            <v>54</v>
          </cell>
          <cell r="B26">
            <v>64</v>
          </cell>
          <cell r="C26">
            <v>38</v>
          </cell>
          <cell r="D26">
            <v>4500</v>
          </cell>
          <cell r="E26">
            <v>1350</v>
          </cell>
          <cell r="F26">
            <v>2743.9024390243903</v>
          </cell>
          <cell r="G26">
            <v>978.26086956521738</v>
          </cell>
          <cell r="H26">
            <v>8911</v>
          </cell>
          <cell r="I26">
            <v>2750</v>
          </cell>
        </row>
        <row r="27">
          <cell r="A27">
            <v>55</v>
          </cell>
          <cell r="B27">
            <v>66</v>
          </cell>
          <cell r="C27">
            <v>39</v>
          </cell>
          <cell r="D27">
            <v>5000</v>
          </cell>
          <cell r="E27">
            <v>1500</v>
          </cell>
          <cell r="F27">
            <v>3012.0481927710839</v>
          </cell>
          <cell r="G27">
            <v>1079.1366906474821</v>
          </cell>
          <cell r="H27">
            <v>9240</v>
          </cell>
          <cell r="I27">
            <v>2800</v>
          </cell>
        </row>
        <row r="28">
          <cell r="A28">
            <v>56</v>
          </cell>
          <cell r="B28">
            <v>68</v>
          </cell>
          <cell r="C28">
            <v>40</v>
          </cell>
          <cell r="D28">
            <v>5500</v>
          </cell>
          <cell r="E28">
            <v>1650</v>
          </cell>
          <cell r="F28">
            <v>3273.8095238095239</v>
          </cell>
          <cell r="G28">
            <v>1178.5714285714287</v>
          </cell>
          <cell r="H28">
            <v>9575</v>
          </cell>
          <cell r="I28">
            <v>2850</v>
          </cell>
        </row>
        <row r="29">
          <cell r="A29">
            <v>57</v>
          </cell>
          <cell r="B29">
            <v>70</v>
          </cell>
          <cell r="C29">
            <v>41</v>
          </cell>
          <cell r="D29">
            <v>6000</v>
          </cell>
          <cell r="E29">
            <v>1800</v>
          </cell>
          <cell r="F29">
            <v>3529.4117647058824</v>
          </cell>
          <cell r="G29">
            <v>1276.5957446808511</v>
          </cell>
          <cell r="H29">
            <v>9916</v>
          </cell>
          <cell r="I29">
            <v>2900</v>
          </cell>
        </row>
        <row r="30">
          <cell r="A30">
            <v>58</v>
          </cell>
          <cell r="B30">
            <v>72</v>
          </cell>
          <cell r="C30">
            <v>42</v>
          </cell>
          <cell r="D30">
            <v>6500</v>
          </cell>
          <cell r="E30">
            <v>1950</v>
          </cell>
          <cell r="F30">
            <v>3779.0697674418598</v>
          </cell>
          <cell r="G30">
            <v>1373.2394366197182</v>
          </cell>
          <cell r="H30">
            <v>10263</v>
          </cell>
          <cell r="I30">
            <v>2950</v>
          </cell>
        </row>
        <row r="31">
          <cell r="A31">
            <v>59</v>
          </cell>
          <cell r="B31">
            <v>74</v>
          </cell>
          <cell r="C31">
            <v>43</v>
          </cell>
          <cell r="D31">
            <v>7000</v>
          </cell>
          <cell r="E31">
            <v>2100</v>
          </cell>
          <cell r="F31">
            <v>4022.9885057471261</v>
          </cell>
          <cell r="G31">
            <v>1468.5314685314686</v>
          </cell>
          <cell r="H31">
            <v>10616</v>
          </cell>
          <cell r="I31">
            <v>3000</v>
          </cell>
        </row>
        <row r="32">
          <cell r="A32">
            <v>60</v>
          </cell>
          <cell r="B32">
            <v>76</v>
          </cell>
          <cell r="C32">
            <v>44</v>
          </cell>
          <cell r="D32">
            <v>7500</v>
          </cell>
          <cell r="E32">
            <v>2250</v>
          </cell>
          <cell r="F32">
            <v>4261.363636363636</v>
          </cell>
          <cell r="G32">
            <v>1562.5</v>
          </cell>
          <cell r="H32">
            <v>10975</v>
          </cell>
          <cell r="I32">
            <v>3050</v>
          </cell>
        </row>
        <row r="33">
          <cell r="A33">
            <v>61</v>
          </cell>
          <cell r="B33">
            <v>78</v>
          </cell>
          <cell r="C33">
            <v>45</v>
          </cell>
          <cell r="D33">
            <v>8000</v>
          </cell>
          <cell r="E33">
            <v>2400</v>
          </cell>
          <cell r="F33">
            <v>4494.3820224719102</v>
          </cell>
          <cell r="G33">
            <v>1655.1724137931035</v>
          </cell>
          <cell r="H33">
            <v>11340</v>
          </cell>
          <cell r="I33">
            <v>3100</v>
          </cell>
        </row>
        <row r="34">
          <cell r="A34">
            <v>62</v>
          </cell>
          <cell r="B34">
            <v>80</v>
          </cell>
          <cell r="C34">
            <v>46</v>
          </cell>
          <cell r="D34">
            <v>8500</v>
          </cell>
          <cell r="E34">
            <v>2550</v>
          </cell>
          <cell r="F34">
            <v>4722.2222222222226</v>
          </cell>
          <cell r="G34">
            <v>1746.5753424657537</v>
          </cell>
          <cell r="H34">
            <v>11711</v>
          </cell>
          <cell r="I34">
            <v>3150</v>
          </cell>
        </row>
        <row r="35">
          <cell r="A35">
            <v>63</v>
          </cell>
          <cell r="B35">
            <v>82</v>
          </cell>
          <cell r="C35">
            <v>47</v>
          </cell>
          <cell r="D35">
            <v>9000</v>
          </cell>
          <cell r="E35">
            <v>2700</v>
          </cell>
          <cell r="F35">
            <v>4945.0549450549452</v>
          </cell>
          <cell r="G35">
            <v>1836.7346938775509</v>
          </cell>
          <cell r="H35">
            <v>12088</v>
          </cell>
          <cell r="I35">
            <v>3200</v>
          </cell>
        </row>
        <row r="36">
          <cell r="A36">
            <v>64</v>
          </cell>
          <cell r="B36">
            <v>84</v>
          </cell>
          <cell r="C36">
            <v>48</v>
          </cell>
          <cell r="D36">
            <v>9500</v>
          </cell>
          <cell r="E36">
            <v>2850</v>
          </cell>
          <cell r="F36">
            <v>5163.0434782608691</v>
          </cell>
          <cell r="G36">
            <v>1925.6756756756756</v>
          </cell>
          <cell r="H36">
            <v>12471</v>
          </cell>
          <cell r="I36">
            <v>3250</v>
          </cell>
        </row>
        <row r="37">
          <cell r="A37">
            <v>65</v>
          </cell>
          <cell r="B37">
            <v>86</v>
          </cell>
          <cell r="C37">
            <v>49</v>
          </cell>
          <cell r="D37">
            <v>10000</v>
          </cell>
          <cell r="E37">
            <v>3000</v>
          </cell>
          <cell r="F37">
            <v>5376.3440860215051</v>
          </cell>
          <cell r="G37">
            <v>2013.4228187919462</v>
          </cell>
          <cell r="H37">
            <v>12860</v>
          </cell>
          <cell r="I37">
            <v>3300</v>
          </cell>
        </row>
        <row r="38">
          <cell r="A38">
            <v>66</v>
          </cell>
          <cell r="B38">
            <v>88</v>
          </cell>
          <cell r="C38">
            <v>50</v>
          </cell>
          <cell r="D38">
            <v>10500</v>
          </cell>
          <cell r="E38">
            <v>3150</v>
          </cell>
          <cell r="F38">
            <v>5585.1063829787236</v>
          </cell>
          <cell r="G38">
            <v>2100.0000000000005</v>
          </cell>
          <cell r="H38">
            <v>13255</v>
          </cell>
          <cell r="I38">
            <v>3350</v>
          </cell>
        </row>
        <row r="39">
          <cell r="A39">
            <v>67</v>
          </cell>
          <cell r="B39">
            <v>90</v>
          </cell>
          <cell r="C39">
            <v>51</v>
          </cell>
          <cell r="D39">
            <v>11000</v>
          </cell>
          <cell r="E39">
            <v>3300</v>
          </cell>
          <cell r="F39">
            <v>5789.4736842105276</v>
          </cell>
          <cell r="G39">
            <v>2185.4304635761591</v>
          </cell>
          <cell r="H39">
            <v>13656</v>
          </cell>
          <cell r="I39">
            <v>3400</v>
          </cell>
        </row>
        <row r="40">
          <cell r="A40">
            <v>68</v>
          </cell>
          <cell r="B40">
            <v>92</v>
          </cell>
          <cell r="C40">
            <v>52</v>
          </cell>
          <cell r="D40">
            <v>11500</v>
          </cell>
          <cell r="E40">
            <v>3450</v>
          </cell>
          <cell r="F40">
            <v>5989.5833333333321</v>
          </cell>
          <cell r="G40">
            <v>2269.7368421052633</v>
          </cell>
          <cell r="H40">
            <v>14063</v>
          </cell>
          <cell r="I40">
            <v>3450</v>
          </cell>
        </row>
        <row r="41">
          <cell r="A41">
            <v>69</v>
          </cell>
          <cell r="B41">
            <v>94</v>
          </cell>
          <cell r="C41">
            <v>53</v>
          </cell>
          <cell r="D41">
            <v>12000</v>
          </cell>
          <cell r="E41">
            <v>3600</v>
          </cell>
          <cell r="F41">
            <v>6185.567010309278</v>
          </cell>
          <cell r="G41">
            <v>2352.9411764705883</v>
          </cell>
          <cell r="H41">
            <v>14476</v>
          </cell>
          <cell r="I41">
            <v>3500</v>
          </cell>
        </row>
        <row r="42">
          <cell r="A42">
            <v>70</v>
          </cell>
          <cell r="B42">
            <v>96</v>
          </cell>
          <cell r="C42">
            <v>54</v>
          </cell>
          <cell r="D42">
            <v>12500</v>
          </cell>
          <cell r="E42">
            <v>3750</v>
          </cell>
          <cell r="F42">
            <v>6377.5510204081638</v>
          </cell>
          <cell r="G42">
            <v>2435.0649350649351</v>
          </cell>
          <cell r="H42">
            <v>14895</v>
          </cell>
          <cell r="I42">
            <v>3550</v>
          </cell>
        </row>
        <row r="43">
          <cell r="A43">
            <v>71</v>
          </cell>
          <cell r="B43">
            <v>98</v>
          </cell>
          <cell r="C43">
            <v>55</v>
          </cell>
          <cell r="D43">
            <v>13000</v>
          </cell>
          <cell r="E43">
            <v>3900</v>
          </cell>
          <cell r="F43">
            <v>6565.6565656565645</v>
          </cell>
          <cell r="G43">
            <v>2516.1290322580644</v>
          </cell>
          <cell r="H43">
            <v>15320</v>
          </cell>
          <cell r="I43">
            <v>3610</v>
          </cell>
        </row>
        <row r="44">
          <cell r="A44">
            <v>72</v>
          </cell>
          <cell r="B44">
            <v>100</v>
          </cell>
          <cell r="C44">
            <v>56</v>
          </cell>
          <cell r="D44">
            <v>13500</v>
          </cell>
          <cell r="E44">
            <v>4050</v>
          </cell>
          <cell r="F44">
            <v>6750</v>
          </cell>
          <cell r="G44">
            <v>2596.1538461538457</v>
          </cell>
          <cell r="H44">
            <v>15751</v>
          </cell>
          <cell r="I44">
            <v>3680</v>
          </cell>
        </row>
        <row r="45">
          <cell r="A45">
            <v>73</v>
          </cell>
          <cell r="B45">
            <v>102</v>
          </cell>
          <cell r="C45">
            <v>57</v>
          </cell>
          <cell r="D45">
            <v>14000</v>
          </cell>
          <cell r="E45">
            <v>4200</v>
          </cell>
          <cell r="F45">
            <v>6930.6930693069307</v>
          </cell>
          <cell r="G45">
            <v>2675.1592356687902</v>
          </cell>
          <cell r="H45">
            <v>16188</v>
          </cell>
          <cell r="I45">
            <v>3760</v>
          </cell>
        </row>
        <row r="46">
          <cell r="A46">
            <v>74</v>
          </cell>
          <cell r="B46">
            <v>104</v>
          </cell>
          <cell r="C46">
            <v>58</v>
          </cell>
          <cell r="D46">
            <v>14500</v>
          </cell>
          <cell r="E46">
            <v>4350</v>
          </cell>
          <cell r="F46">
            <v>7107.8431372549021</v>
          </cell>
          <cell r="G46">
            <v>2753.1645569620255</v>
          </cell>
          <cell r="H46">
            <v>16631</v>
          </cell>
          <cell r="I46">
            <v>3850</v>
          </cell>
        </row>
        <row r="47">
          <cell r="A47">
            <v>75</v>
          </cell>
          <cell r="B47">
            <v>106</v>
          </cell>
          <cell r="C47">
            <v>59</v>
          </cell>
          <cell r="D47">
            <v>15000</v>
          </cell>
          <cell r="E47">
            <v>4500</v>
          </cell>
          <cell r="F47">
            <v>7281.5533980582522</v>
          </cell>
          <cell r="G47">
            <v>2830.1886792452833</v>
          </cell>
          <cell r="H47">
            <v>17080</v>
          </cell>
          <cell r="I47">
            <v>3950</v>
          </cell>
        </row>
        <row r="48">
          <cell r="A48">
            <v>76</v>
          </cell>
          <cell r="B48">
            <v>108</v>
          </cell>
          <cell r="C48">
            <v>60</v>
          </cell>
          <cell r="D48">
            <v>15500</v>
          </cell>
          <cell r="E48">
            <v>4650</v>
          </cell>
          <cell r="F48">
            <v>7451.9230769230762</v>
          </cell>
          <cell r="G48">
            <v>2906.25</v>
          </cell>
          <cell r="H48">
            <v>17535</v>
          </cell>
          <cell r="I48">
            <v>4060</v>
          </cell>
        </row>
        <row r="49">
          <cell r="A49">
            <v>77</v>
          </cell>
          <cell r="B49">
            <v>110</v>
          </cell>
          <cell r="C49">
            <v>61</v>
          </cell>
          <cell r="D49">
            <v>16000</v>
          </cell>
          <cell r="E49">
            <v>4800</v>
          </cell>
          <cell r="F49">
            <v>7619.0476190476184</v>
          </cell>
          <cell r="G49">
            <v>2981.3664596273293</v>
          </cell>
          <cell r="H49">
            <v>17996</v>
          </cell>
          <cell r="I49">
            <v>4180</v>
          </cell>
        </row>
        <row r="50">
          <cell r="A50">
            <v>78</v>
          </cell>
          <cell r="B50">
            <v>112</v>
          </cell>
          <cell r="C50">
            <v>62</v>
          </cell>
          <cell r="D50">
            <v>16500</v>
          </cell>
          <cell r="E50">
            <v>4950</v>
          </cell>
          <cell r="F50">
            <v>7783.0188679245284</v>
          </cell>
          <cell r="G50">
            <v>3055.5555555555561</v>
          </cell>
          <cell r="H50">
            <v>18463</v>
          </cell>
          <cell r="I50">
            <v>4310</v>
          </cell>
        </row>
        <row r="51">
          <cell r="A51">
            <v>79</v>
          </cell>
          <cell r="B51">
            <v>114</v>
          </cell>
          <cell r="C51">
            <v>63</v>
          </cell>
          <cell r="D51">
            <v>17000</v>
          </cell>
          <cell r="E51">
            <v>5100</v>
          </cell>
          <cell r="F51">
            <v>7943.9252336448608</v>
          </cell>
          <cell r="G51">
            <v>3128.8343558282209</v>
          </cell>
          <cell r="H51">
            <v>18936</v>
          </cell>
          <cell r="I51">
            <v>4450</v>
          </cell>
        </row>
        <row r="52">
          <cell r="A52">
            <v>80</v>
          </cell>
          <cell r="B52">
            <v>116</v>
          </cell>
          <cell r="C52">
            <v>64</v>
          </cell>
          <cell r="D52">
            <v>17500</v>
          </cell>
          <cell r="E52">
            <v>5250</v>
          </cell>
          <cell r="F52">
            <v>8101.8518518518513</v>
          </cell>
          <cell r="G52">
            <v>3201.2195121951218</v>
          </cell>
          <cell r="H52">
            <v>19415</v>
          </cell>
          <cell r="I52">
            <v>4600</v>
          </cell>
        </row>
        <row r="53">
          <cell r="A53">
            <v>81</v>
          </cell>
          <cell r="B53">
            <v>118</v>
          </cell>
          <cell r="C53">
            <v>65</v>
          </cell>
          <cell r="D53">
            <v>18000</v>
          </cell>
          <cell r="E53">
            <v>5400</v>
          </cell>
          <cell r="F53">
            <v>8256.880733944954</v>
          </cell>
          <cell r="G53">
            <v>3272.727272727273</v>
          </cell>
          <cell r="H53">
            <v>19900</v>
          </cell>
          <cell r="I53">
            <v>4760</v>
          </cell>
        </row>
        <row r="54">
          <cell r="A54">
            <v>82</v>
          </cell>
          <cell r="B54">
            <v>120</v>
          </cell>
          <cell r="C54">
            <v>66</v>
          </cell>
          <cell r="D54">
            <v>18500</v>
          </cell>
          <cell r="E54">
            <v>5550</v>
          </cell>
          <cell r="F54">
            <v>8409.0909090909099</v>
          </cell>
          <cell r="G54">
            <v>3343.3734939759033</v>
          </cell>
          <cell r="H54">
            <v>20391</v>
          </cell>
          <cell r="I54">
            <v>4930</v>
          </cell>
        </row>
        <row r="55">
          <cell r="A55">
            <v>83</v>
          </cell>
          <cell r="B55">
            <v>122</v>
          </cell>
          <cell r="C55">
            <v>67</v>
          </cell>
          <cell r="D55">
            <v>19000</v>
          </cell>
          <cell r="E55">
            <v>5700</v>
          </cell>
          <cell r="F55">
            <v>8558.5585585585577</v>
          </cell>
          <cell r="G55">
            <v>3413.1736526946111</v>
          </cell>
          <cell r="H55">
            <v>20888</v>
          </cell>
          <cell r="I55">
            <v>5110</v>
          </cell>
        </row>
        <row r="56">
          <cell r="A56">
            <v>84</v>
          </cell>
          <cell r="B56">
            <v>124</v>
          </cell>
          <cell r="C56">
            <v>68</v>
          </cell>
          <cell r="D56">
            <v>19500</v>
          </cell>
          <cell r="E56">
            <v>5850</v>
          </cell>
          <cell r="F56">
            <v>8705.3571428571431</v>
          </cell>
          <cell r="G56">
            <v>3482.1428571428573</v>
          </cell>
          <cell r="H56">
            <v>21391</v>
          </cell>
          <cell r="I56">
            <v>5300</v>
          </cell>
        </row>
        <row r="57">
          <cell r="A57">
            <v>85</v>
          </cell>
          <cell r="B57">
            <v>126</v>
          </cell>
          <cell r="C57">
            <v>69</v>
          </cell>
          <cell r="D57">
            <v>20000</v>
          </cell>
          <cell r="E57">
            <v>6000</v>
          </cell>
          <cell r="F57">
            <v>8849.5575221238942</v>
          </cell>
          <cell r="G57">
            <v>3550.2958579881656</v>
          </cell>
          <cell r="H57">
            <v>21900</v>
          </cell>
          <cell r="I57">
            <v>5500</v>
          </cell>
        </row>
        <row r="58">
          <cell r="A58">
            <v>86</v>
          </cell>
          <cell r="B58">
            <v>128</v>
          </cell>
          <cell r="C58">
            <v>70</v>
          </cell>
          <cell r="D58">
            <v>21000</v>
          </cell>
          <cell r="E58">
            <v>6400</v>
          </cell>
          <cell r="F58">
            <v>9210.5263157894751</v>
          </cell>
          <cell r="G58">
            <v>3764.7058823529414</v>
          </cell>
          <cell r="H58">
            <v>22415</v>
          </cell>
          <cell r="I58">
            <v>5710</v>
          </cell>
        </row>
        <row r="59">
          <cell r="A59">
            <v>87</v>
          </cell>
          <cell r="B59">
            <v>130</v>
          </cell>
          <cell r="C59">
            <v>71</v>
          </cell>
          <cell r="D59">
            <v>22000</v>
          </cell>
          <cell r="E59">
            <v>6800</v>
          </cell>
          <cell r="F59">
            <v>9565.217391304348</v>
          </cell>
          <cell r="G59">
            <v>3976.6081871345027</v>
          </cell>
          <cell r="H59">
            <v>22936</v>
          </cell>
          <cell r="I59">
            <v>5930</v>
          </cell>
        </row>
        <row r="60">
          <cell r="A60">
            <v>88</v>
          </cell>
          <cell r="B60">
            <v>132</v>
          </cell>
          <cell r="C60">
            <v>72</v>
          </cell>
          <cell r="D60">
            <v>23000</v>
          </cell>
          <cell r="E60">
            <v>7200</v>
          </cell>
          <cell r="F60">
            <v>9913.7931034482754</v>
          </cell>
          <cell r="G60">
            <v>4186.0465116279065</v>
          </cell>
          <cell r="H60">
            <v>23463</v>
          </cell>
          <cell r="I60">
            <v>6160</v>
          </cell>
        </row>
        <row r="61">
          <cell r="A61">
            <v>89</v>
          </cell>
          <cell r="B61">
            <v>134</v>
          </cell>
          <cell r="C61">
            <v>73</v>
          </cell>
          <cell r="D61">
            <v>24000</v>
          </cell>
          <cell r="E61">
            <v>7600</v>
          </cell>
          <cell r="F61">
            <v>10256.410256410258</v>
          </cell>
          <cell r="G61">
            <v>4393.0635838150283</v>
          </cell>
          <cell r="H61">
            <v>23996</v>
          </cell>
          <cell r="I61">
            <v>6400</v>
          </cell>
        </row>
        <row r="62">
          <cell r="A62">
            <v>90</v>
          </cell>
          <cell r="B62">
            <v>136</v>
          </cell>
          <cell r="C62">
            <v>74</v>
          </cell>
          <cell r="D62">
            <v>25000</v>
          </cell>
          <cell r="E62">
            <v>8000</v>
          </cell>
          <cell r="F62">
            <v>10593.22033898305</v>
          </cell>
          <cell r="G62">
            <v>4597.7011494252874</v>
          </cell>
          <cell r="H62">
            <v>24535</v>
          </cell>
          <cell r="I62">
            <v>6650</v>
          </cell>
        </row>
        <row r="63">
          <cell r="A63">
            <v>91</v>
          </cell>
          <cell r="B63">
            <v>138</v>
          </cell>
          <cell r="C63">
            <v>75</v>
          </cell>
          <cell r="D63">
            <v>26000</v>
          </cell>
          <cell r="E63">
            <v>8400</v>
          </cell>
          <cell r="F63">
            <v>10924.369747899158</v>
          </cell>
          <cell r="G63">
            <v>4800</v>
          </cell>
          <cell r="H63">
            <v>25080</v>
          </cell>
          <cell r="I63">
            <v>6910</v>
          </cell>
        </row>
        <row r="64">
          <cell r="A64">
            <v>92</v>
          </cell>
          <cell r="B64">
            <v>140</v>
          </cell>
          <cell r="C64">
            <v>76</v>
          </cell>
          <cell r="D64">
            <v>27000</v>
          </cell>
          <cell r="E64">
            <v>8800</v>
          </cell>
          <cell r="F64">
            <v>11249.999999999998</v>
          </cell>
          <cell r="G64">
            <v>4999.9999999999991</v>
          </cell>
          <cell r="H64">
            <v>25631</v>
          </cell>
          <cell r="I64">
            <v>7180</v>
          </cell>
        </row>
        <row r="65">
          <cell r="A65">
            <v>93</v>
          </cell>
          <cell r="B65">
            <v>142</v>
          </cell>
          <cell r="C65">
            <v>77</v>
          </cell>
          <cell r="D65">
            <v>28000</v>
          </cell>
          <cell r="E65">
            <v>9200</v>
          </cell>
          <cell r="F65">
            <v>11570.247933884297</v>
          </cell>
          <cell r="G65">
            <v>5197.7401129943501</v>
          </cell>
          <cell r="H65">
            <v>26188</v>
          </cell>
          <cell r="I65">
            <v>7460</v>
          </cell>
        </row>
        <row r="66">
          <cell r="A66">
            <v>94</v>
          </cell>
          <cell r="B66">
            <v>144</v>
          </cell>
          <cell r="C66">
            <v>78</v>
          </cell>
          <cell r="D66">
            <v>29000</v>
          </cell>
          <cell r="E66">
            <v>9600</v>
          </cell>
          <cell r="F66">
            <v>11885.245901639344</v>
          </cell>
          <cell r="G66">
            <v>5393.258426966293</v>
          </cell>
          <cell r="H66">
            <v>26751</v>
          </cell>
          <cell r="I66">
            <v>7750</v>
          </cell>
        </row>
        <row r="67">
          <cell r="A67">
            <v>95</v>
          </cell>
          <cell r="B67">
            <v>146</v>
          </cell>
          <cell r="C67">
            <v>79</v>
          </cell>
          <cell r="D67">
            <v>30000</v>
          </cell>
          <cell r="E67">
            <v>10000</v>
          </cell>
          <cell r="F67">
            <v>12195.121951219511</v>
          </cell>
          <cell r="G67">
            <v>5586.5921787709503</v>
          </cell>
          <cell r="H67">
            <v>27320</v>
          </cell>
          <cell r="I67">
            <v>8050</v>
          </cell>
        </row>
        <row r="68">
          <cell r="A68">
            <v>96</v>
          </cell>
          <cell r="B68">
            <v>148</v>
          </cell>
          <cell r="C68">
            <v>80</v>
          </cell>
          <cell r="D68">
            <v>31000</v>
          </cell>
          <cell r="E68">
            <v>10400</v>
          </cell>
          <cell r="F68">
            <v>12500</v>
          </cell>
          <cell r="G68">
            <v>5777.7777777777783</v>
          </cell>
          <cell r="H68">
            <v>27895</v>
          </cell>
          <cell r="I68">
            <v>8360</v>
          </cell>
        </row>
        <row r="69">
          <cell r="A69">
            <v>97</v>
          </cell>
          <cell r="B69">
            <v>150</v>
          </cell>
          <cell r="C69">
            <v>81</v>
          </cell>
          <cell r="D69">
            <v>32000</v>
          </cell>
          <cell r="E69">
            <v>10800</v>
          </cell>
          <cell r="F69">
            <v>12800</v>
          </cell>
          <cell r="G69">
            <v>5966.8508287292807</v>
          </cell>
          <cell r="H69">
            <v>28476</v>
          </cell>
          <cell r="I69">
            <v>8680</v>
          </cell>
        </row>
        <row r="70">
          <cell r="A70">
            <v>98</v>
          </cell>
          <cell r="B70">
            <v>152</v>
          </cell>
          <cell r="C70">
            <v>82</v>
          </cell>
          <cell r="D70">
            <v>33000</v>
          </cell>
          <cell r="E70">
            <v>11200</v>
          </cell>
          <cell r="F70">
            <v>13095.238095238097</v>
          </cell>
          <cell r="G70">
            <v>6153.8461538461543</v>
          </cell>
          <cell r="H70">
            <v>29063</v>
          </cell>
          <cell r="I70">
            <v>9010</v>
          </cell>
        </row>
        <row r="71">
          <cell r="A71">
            <v>99</v>
          </cell>
          <cell r="B71">
            <v>154</v>
          </cell>
          <cell r="C71">
            <v>83</v>
          </cell>
          <cell r="D71">
            <v>34000</v>
          </cell>
          <cell r="E71">
            <v>11600</v>
          </cell>
          <cell r="F71">
            <v>13385.826771653543</v>
          </cell>
          <cell r="G71">
            <v>6338.7978142076499</v>
          </cell>
          <cell r="H71">
            <v>29656</v>
          </cell>
          <cell r="I71">
            <v>9350</v>
          </cell>
        </row>
        <row r="72">
          <cell r="A72">
            <v>100</v>
          </cell>
          <cell r="B72">
            <v>156</v>
          </cell>
          <cell r="C72">
            <v>84</v>
          </cell>
          <cell r="D72">
            <v>35000</v>
          </cell>
          <cell r="E72">
            <v>12000</v>
          </cell>
          <cell r="F72">
            <v>13671.875</v>
          </cell>
          <cell r="G72">
            <v>6521.7391304347821</v>
          </cell>
          <cell r="H72">
            <v>30255</v>
          </cell>
          <cell r="I72">
            <v>9700</v>
          </cell>
        </row>
        <row r="73">
          <cell r="A73">
            <v>101</v>
          </cell>
          <cell r="D73">
            <v>36000</v>
          </cell>
          <cell r="E73">
            <v>12400</v>
          </cell>
        </row>
        <row r="74">
          <cell r="A74">
            <v>102</v>
          </cell>
          <cell r="D74">
            <v>37000</v>
          </cell>
          <cell r="E74">
            <v>12800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ttleParameter.xml"/>
      <sheetName val="battleParameter.txt"/>
      <sheetName val="抗性占比"/>
    </sheetNames>
    <sheetDataSet>
      <sheetData sheetId="0">
        <row r="6">
          <cell r="A6">
            <v>1</v>
          </cell>
          <cell r="B6">
            <v>60</v>
          </cell>
          <cell r="C6">
            <v>100</v>
          </cell>
          <cell r="D6">
            <v>100</v>
          </cell>
          <cell r="E6">
            <v>60</v>
          </cell>
          <cell r="F6">
            <v>120</v>
          </cell>
          <cell r="G6">
            <v>60</v>
          </cell>
          <cell r="H6">
            <v>15</v>
          </cell>
          <cell r="I6">
            <v>100</v>
          </cell>
          <cell r="J6">
            <v>100</v>
          </cell>
          <cell r="K6">
            <v>100</v>
          </cell>
        </row>
        <row r="7">
          <cell r="A7">
            <v>2</v>
          </cell>
          <cell r="B7">
            <v>71</v>
          </cell>
          <cell r="C7">
            <v>150</v>
          </cell>
          <cell r="D7">
            <v>150</v>
          </cell>
          <cell r="E7">
            <v>71</v>
          </cell>
          <cell r="F7">
            <v>142</v>
          </cell>
          <cell r="G7">
            <v>71</v>
          </cell>
          <cell r="H7">
            <v>17</v>
          </cell>
          <cell r="I7">
            <v>100</v>
          </cell>
          <cell r="J7">
            <v>100</v>
          </cell>
          <cell r="K7">
            <v>100</v>
          </cell>
        </row>
        <row r="8">
          <cell r="A8">
            <v>3</v>
          </cell>
          <cell r="B8">
            <v>88</v>
          </cell>
          <cell r="C8">
            <v>200</v>
          </cell>
          <cell r="D8">
            <v>200</v>
          </cell>
          <cell r="E8">
            <v>88</v>
          </cell>
          <cell r="F8">
            <v>176</v>
          </cell>
          <cell r="G8">
            <v>88</v>
          </cell>
          <cell r="H8">
            <v>22</v>
          </cell>
          <cell r="I8">
            <v>100</v>
          </cell>
          <cell r="J8">
            <v>100</v>
          </cell>
          <cell r="K8">
            <v>100</v>
          </cell>
        </row>
        <row r="9">
          <cell r="A9">
            <v>4</v>
          </cell>
          <cell r="B9">
            <v>111</v>
          </cell>
          <cell r="C9">
            <v>250</v>
          </cell>
          <cell r="D9">
            <v>250</v>
          </cell>
          <cell r="E9">
            <v>111</v>
          </cell>
          <cell r="F9">
            <v>222</v>
          </cell>
          <cell r="G9">
            <v>111</v>
          </cell>
          <cell r="H9">
            <v>27</v>
          </cell>
          <cell r="I9">
            <v>100</v>
          </cell>
          <cell r="J9">
            <v>100</v>
          </cell>
          <cell r="K9">
            <v>100</v>
          </cell>
        </row>
        <row r="10">
          <cell r="A10">
            <v>5</v>
          </cell>
          <cell r="B10">
            <v>140</v>
          </cell>
          <cell r="C10">
            <v>300</v>
          </cell>
          <cell r="D10">
            <v>300</v>
          </cell>
          <cell r="E10">
            <v>140</v>
          </cell>
          <cell r="F10">
            <v>280</v>
          </cell>
          <cell r="G10">
            <v>140</v>
          </cell>
          <cell r="H10">
            <v>35</v>
          </cell>
          <cell r="I10">
            <v>100</v>
          </cell>
          <cell r="J10">
            <v>100</v>
          </cell>
          <cell r="K10">
            <v>100</v>
          </cell>
        </row>
        <row r="11">
          <cell r="A11">
            <v>6</v>
          </cell>
          <cell r="B11">
            <v>175</v>
          </cell>
          <cell r="C11">
            <v>350</v>
          </cell>
          <cell r="D11">
            <v>350</v>
          </cell>
          <cell r="E11">
            <v>175</v>
          </cell>
          <cell r="F11">
            <v>350</v>
          </cell>
          <cell r="G11">
            <v>175</v>
          </cell>
          <cell r="H11">
            <v>43</v>
          </cell>
          <cell r="I11">
            <v>100</v>
          </cell>
          <cell r="J11">
            <v>100</v>
          </cell>
          <cell r="K11">
            <v>100</v>
          </cell>
        </row>
        <row r="12">
          <cell r="A12">
            <v>7</v>
          </cell>
          <cell r="B12">
            <v>216</v>
          </cell>
          <cell r="C12">
            <v>400</v>
          </cell>
          <cell r="D12">
            <v>400</v>
          </cell>
          <cell r="E12">
            <v>216</v>
          </cell>
          <cell r="F12">
            <v>432</v>
          </cell>
          <cell r="G12">
            <v>216</v>
          </cell>
          <cell r="H12">
            <v>54</v>
          </cell>
          <cell r="I12">
            <v>100</v>
          </cell>
          <cell r="J12">
            <v>100</v>
          </cell>
          <cell r="K12">
            <v>100</v>
          </cell>
        </row>
        <row r="13">
          <cell r="A13">
            <v>8</v>
          </cell>
          <cell r="B13">
            <v>263</v>
          </cell>
          <cell r="C13">
            <v>450</v>
          </cell>
          <cell r="D13">
            <v>450</v>
          </cell>
          <cell r="E13">
            <v>263</v>
          </cell>
          <cell r="F13">
            <v>526</v>
          </cell>
          <cell r="G13">
            <v>263</v>
          </cell>
          <cell r="H13">
            <v>65</v>
          </cell>
          <cell r="I13">
            <v>100</v>
          </cell>
          <cell r="J13">
            <v>100</v>
          </cell>
          <cell r="K13">
            <v>100</v>
          </cell>
        </row>
        <row r="14">
          <cell r="A14">
            <v>9</v>
          </cell>
          <cell r="B14">
            <v>316</v>
          </cell>
          <cell r="C14">
            <v>500</v>
          </cell>
          <cell r="D14">
            <v>500</v>
          </cell>
          <cell r="E14">
            <v>316</v>
          </cell>
          <cell r="F14">
            <v>632</v>
          </cell>
          <cell r="G14">
            <v>316</v>
          </cell>
          <cell r="H14">
            <v>79</v>
          </cell>
          <cell r="I14">
            <v>100</v>
          </cell>
          <cell r="J14">
            <v>100</v>
          </cell>
          <cell r="K14">
            <v>100</v>
          </cell>
        </row>
        <row r="15">
          <cell r="A15">
            <v>10</v>
          </cell>
          <cell r="B15">
            <v>375</v>
          </cell>
          <cell r="C15">
            <v>550</v>
          </cell>
          <cell r="D15">
            <v>550</v>
          </cell>
          <cell r="E15">
            <v>375</v>
          </cell>
          <cell r="F15">
            <v>750</v>
          </cell>
          <cell r="G15">
            <v>375</v>
          </cell>
          <cell r="H15">
            <v>93</v>
          </cell>
          <cell r="I15">
            <v>100</v>
          </cell>
          <cell r="J15">
            <v>100</v>
          </cell>
          <cell r="K15">
            <v>100</v>
          </cell>
        </row>
        <row r="16">
          <cell r="A16">
            <v>11</v>
          </cell>
          <cell r="B16">
            <v>440</v>
          </cell>
          <cell r="C16">
            <v>600</v>
          </cell>
          <cell r="D16">
            <v>600</v>
          </cell>
          <cell r="E16">
            <v>440</v>
          </cell>
          <cell r="F16">
            <v>880</v>
          </cell>
          <cell r="G16">
            <v>440</v>
          </cell>
          <cell r="H16">
            <v>110</v>
          </cell>
          <cell r="I16">
            <v>100</v>
          </cell>
          <cell r="J16">
            <v>100</v>
          </cell>
          <cell r="K16">
            <v>100</v>
          </cell>
        </row>
        <row r="17">
          <cell r="A17">
            <v>12</v>
          </cell>
          <cell r="B17">
            <v>511</v>
          </cell>
          <cell r="C17">
            <v>650</v>
          </cell>
          <cell r="D17">
            <v>650</v>
          </cell>
          <cell r="E17">
            <v>511</v>
          </cell>
          <cell r="F17">
            <v>1022</v>
          </cell>
          <cell r="G17">
            <v>511</v>
          </cell>
          <cell r="H17">
            <v>127</v>
          </cell>
          <cell r="I17">
            <v>100</v>
          </cell>
          <cell r="J17">
            <v>100</v>
          </cell>
          <cell r="K17">
            <v>100</v>
          </cell>
        </row>
        <row r="18">
          <cell r="A18">
            <v>13</v>
          </cell>
          <cell r="B18">
            <v>588</v>
          </cell>
          <cell r="C18">
            <v>700</v>
          </cell>
          <cell r="D18">
            <v>700</v>
          </cell>
          <cell r="E18">
            <v>588</v>
          </cell>
          <cell r="F18">
            <v>1176</v>
          </cell>
          <cell r="G18">
            <v>588</v>
          </cell>
          <cell r="H18">
            <v>147</v>
          </cell>
          <cell r="I18">
            <v>100</v>
          </cell>
          <cell r="J18">
            <v>100</v>
          </cell>
          <cell r="K18">
            <v>100</v>
          </cell>
        </row>
        <row r="19">
          <cell r="A19">
            <v>14</v>
          </cell>
          <cell r="B19">
            <v>671</v>
          </cell>
          <cell r="C19">
            <v>750</v>
          </cell>
          <cell r="D19">
            <v>750</v>
          </cell>
          <cell r="E19">
            <v>671</v>
          </cell>
          <cell r="F19">
            <v>1342</v>
          </cell>
          <cell r="G19">
            <v>671</v>
          </cell>
          <cell r="H19">
            <v>167</v>
          </cell>
          <cell r="I19">
            <v>100</v>
          </cell>
          <cell r="J19">
            <v>100</v>
          </cell>
          <cell r="K19">
            <v>100</v>
          </cell>
        </row>
        <row r="20">
          <cell r="A20">
            <v>15</v>
          </cell>
          <cell r="B20">
            <v>760</v>
          </cell>
          <cell r="C20">
            <v>800</v>
          </cell>
          <cell r="D20">
            <v>800</v>
          </cell>
          <cell r="E20">
            <v>760</v>
          </cell>
          <cell r="F20">
            <v>1520</v>
          </cell>
          <cell r="G20">
            <v>760</v>
          </cell>
          <cell r="H20">
            <v>190</v>
          </cell>
          <cell r="I20">
            <v>100</v>
          </cell>
          <cell r="J20">
            <v>100</v>
          </cell>
          <cell r="K20">
            <v>100</v>
          </cell>
        </row>
        <row r="21">
          <cell r="A21">
            <v>16</v>
          </cell>
          <cell r="B21">
            <v>855</v>
          </cell>
          <cell r="C21">
            <v>850</v>
          </cell>
          <cell r="D21">
            <v>850</v>
          </cell>
          <cell r="E21">
            <v>855</v>
          </cell>
          <cell r="F21">
            <v>1710</v>
          </cell>
          <cell r="G21">
            <v>855</v>
          </cell>
          <cell r="H21">
            <v>213</v>
          </cell>
          <cell r="I21">
            <v>100</v>
          </cell>
          <cell r="J21">
            <v>100</v>
          </cell>
          <cell r="K21">
            <v>100</v>
          </cell>
        </row>
        <row r="22">
          <cell r="A22">
            <v>17</v>
          </cell>
          <cell r="B22">
            <v>956</v>
          </cell>
          <cell r="C22">
            <v>900</v>
          </cell>
          <cell r="D22">
            <v>900</v>
          </cell>
          <cell r="E22">
            <v>956</v>
          </cell>
          <cell r="F22">
            <v>1912</v>
          </cell>
          <cell r="G22">
            <v>956</v>
          </cell>
          <cell r="H22">
            <v>239</v>
          </cell>
          <cell r="I22">
            <v>100</v>
          </cell>
          <cell r="J22">
            <v>100</v>
          </cell>
          <cell r="K22">
            <v>100</v>
          </cell>
        </row>
        <row r="23">
          <cell r="A23">
            <v>18</v>
          </cell>
          <cell r="B23">
            <v>1063</v>
          </cell>
          <cell r="C23">
            <v>950</v>
          </cell>
          <cell r="D23">
            <v>950</v>
          </cell>
          <cell r="E23">
            <v>1063</v>
          </cell>
          <cell r="F23">
            <v>2126</v>
          </cell>
          <cell r="G23">
            <v>1063</v>
          </cell>
          <cell r="H23">
            <v>265</v>
          </cell>
          <cell r="I23">
            <v>100</v>
          </cell>
          <cell r="J23">
            <v>100</v>
          </cell>
          <cell r="K23">
            <v>100</v>
          </cell>
        </row>
        <row r="24">
          <cell r="A24">
            <v>19</v>
          </cell>
          <cell r="B24">
            <v>1176</v>
          </cell>
          <cell r="C24">
            <v>1000</v>
          </cell>
          <cell r="D24">
            <v>1000</v>
          </cell>
          <cell r="E24">
            <v>1176</v>
          </cell>
          <cell r="F24">
            <v>2352</v>
          </cell>
          <cell r="G24">
            <v>1176</v>
          </cell>
          <cell r="H24">
            <v>294</v>
          </cell>
          <cell r="I24">
            <v>100</v>
          </cell>
          <cell r="J24">
            <v>100</v>
          </cell>
          <cell r="K24">
            <v>100</v>
          </cell>
        </row>
        <row r="25">
          <cell r="A25">
            <v>20</v>
          </cell>
          <cell r="B25">
            <v>1295</v>
          </cell>
          <cell r="C25">
            <v>1050</v>
          </cell>
          <cell r="D25">
            <v>1050</v>
          </cell>
          <cell r="E25">
            <v>1295</v>
          </cell>
          <cell r="F25">
            <v>2590</v>
          </cell>
          <cell r="G25">
            <v>1295</v>
          </cell>
          <cell r="H25">
            <v>323</v>
          </cell>
          <cell r="I25">
            <v>100</v>
          </cell>
          <cell r="J25">
            <v>100</v>
          </cell>
          <cell r="K25">
            <v>100</v>
          </cell>
        </row>
        <row r="26">
          <cell r="A26">
            <v>21</v>
          </cell>
          <cell r="B26">
            <v>1420</v>
          </cell>
          <cell r="C26">
            <v>1100</v>
          </cell>
          <cell r="D26">
            <v>1100</v>
          </cell>
          <cell r="E26">
            <v>1420</v>
          </cell>
          <cell r="F26">
            <v>2840</v>
          </cell>
          <cell r="G26">
            <v>1420</v>
          </cell>
          <cell r="H26">
            <v>355</v>
          </cell>
          <cell r="I26">
            <v>100</v>
          </cell>
          <cell r="J26">
            <v>100</v>
          </cell>
          <cell r="K26">
            <v>100</v>
          </cell>
        </row>
        <row r="27">
          <cell r="A27">
            <v>22</v>
          </cell>
          <cell r="B27">
            <v>1551</v>
          </cell>
          <cell r="C27">
            <v>1150</v>
          </cell>
          <cell r="D27">
            <v>1150</v>
          </cell>
          <cell r="E27">
            <v>1551</v>
          </cell>
          <cell r="F27">
            <v>3102</v>
          </cell>
          <cell r="G27">
            <v>1551</v>
          </cell>
          <cell r="H27">
            <v>387</v>
          </cell>
          <cell r="I27">
            <v>100</v>
          </cell>
          <cell r="J27">
            <v>100</v>
          </cell>
          <cell r="K27">
            <v>100</v>
          </cell>
        </row>
        <row r="28">
          <cell r="A28">
            <v>23</v>
          </cell>
          <cell r="B28">
            <v>1688</v>
          </cell>
          <cell r="C28">
            <v>1200</v>
          </cell>
          <cell r="D28">
            <v>1200</v>
          </cell>
          <cell r="E28">
            <v>1688</v>
          </cell>
          <cell r="F28">
            <v>3376</v>
          </cell>
          <cell r="G28">
            <v>1688</v>
          </cell>
          <cell r="H28">
            <v>422</v>
          </cell>
          <cell r="I28">
            <v>100</v>
          </cell>
          <cell r="J28">
            <v>100</v>
          </cell>
          <cell r="K28">
            <v>100</v>
          </cell>
        </row>
        <row r="29">
          <cell r="A29">
            <v>24</v>
          </cell>
          <cell r="B29">
            <v>1831</v>
          </cell>
          <cell r="C29">
            <v>1250</v>
          </cell>
          <cell r="D29">
            <v>1250</v>
          </cell>
          <cell r="E29">
            <v>1831</v>
          </cell>
          <cell r="F29">
            <v>3662</v>
          </cell>
          <cell r="G29">
            <v>1831</v>
          </cell>
          <cell r="H29">
            <v>457</v>
          </cell>
          <cell r="I29">
            <v>100</v>
          </cell>
          <cell r="J29">
            <v>100</v>
          </cell>
          <cell r="K29">
            <v>100</v>
          </cell>
        </row>
        <row r="30">
          <cell r="A30">
            <v>25</v>
          </cell>
          <cell r="B30">
            <v>1980</v>
          </cell>
          <cell r="C30">
            <v>1300</v>
          </cell>
          <cell r="D30">
            <v>1300</v>
          </cell>
          <cell r="E30">
            <v>1980</v>
          </cell>
          <cell r="F30">
            <v>3960</v>
          </cell>
          <cell r="G30">
            <v>1980</v>
          </cell>
          <cell r="H30">
            <v>495</v>
          </cell>
          <cell r="I30">
            <v>100</v>
          </cell>
          <cell r="J30">
            <v>100</v>
          </cell>
          <cell r="K30">
            <v>100</v>
          </cell>
        </row>
        <row r="31">
          <cell r="A31">
            <v>26</v>
          </cell>
          <cell r="B31">
            <v>2135</v>
          </cell>
          <cell r="C31">
            <v>1350</v>
          </cell>
          <cell r="D31">
            <v>1350</v>
          </cell>
          <cell r="E31">
            <v>2135</v>
          </cell>
          <cell r="F31">
            <v>4270</v>
          </cell>
          <cell r="G31">
            <v>2135</v>
          </cell>
          <cell r="H31">
            <v>533</v>
          </cell>
          <cell r="I31">
            <v>100</v>
          </cell>
          <cell r="J31">
            <v>100</v>
          </cell>
          <cell r="K31">
            <v>100</v>
          </cell>
        </row>
        <row r="32">
          <cell r="A32">
            <v>27</v>
          </cell>
          <cell r="B32">
            <v>2296</v>
          </cell>
          <cell r="C32">
            <v>1400</v>
          </cell>
          <cell r="D32">
            <v>1400</v>
          </cell>
          <cell r="E32">
            <v>2296</v>
          </cell>
          <cell r="F32">
            <v>4592</v>
          </cell>
          <cell r="G32">
            <v>2296</v>
          </cell>
          <cell r="H32">
            <v>574</v>
          </cell>
          <cell r="I32">
            <v>100</v>
          </cell>
          <cell r="J32">
            <v>100</v>
          </cell>
          <cell r="K32">
            <v>100</v>
          </cell>
        </row>
        <row r="33">
          <cell r="A33">
            <v>28</v>
          </cell>
          <cell r="B33">
            <v>2463</v>
          </cell>
          <cell r="C33">
            <v>1450</v>
          </cell>
          <cell r="D33">
            <v>1450</v>
          </cell>
          <cell r="E33">
            <v>2463</v>
          </cell>
          <cell r="F33">
            <v>4926</v>
          </cell>
          <cell r="G33">
            <v>2463</v>
          </cell>
          <cell r="H33">
            <v>615</v>
          </cell>
          <cell r="I33">
            <v>100</v>
          </cell>
          <cell r="J33">
            <v>100</v>
          </cell>
          <cell r="K33">
            <v>100</v>
          </cell>
        </row>
        <row r="34">
          <cell r="A34">
            <v>29</v>
          </cell>
          <cell r="B34">
            <v>2636</v>
          </cell>
          <cell r="C34">
            <v>1500</v>
          </cell>
          <cell r="D34">
            <v>1500</v>
          </cell>
          <cell r="E34">
            <v>2636</v>
          </cell>
          <cell r="F34">
            <v>5272</v>
          </cell>
          <cell r="G34">
            <v>2636</v>
          </cell>
          <cell r="H34">
            <v>659</v>
          </cell>
          <cell r="I34">
            <v>100</v>
          </cell>
          <cell r="J34">
            <v>100</v>
          </cell>
          <cell r="K34">
            <v>100</v>
          </cell>
        </row>
        <row r="35">
          <cell r="A35">
            <v>30</v>
          </cell>
          <cell r="B35">
            <v>2815</v>
          </cell>
          <cell r="C35">
            <v>1550</v>
          </cell>
          <cell r="D35">
            <v>1550</v>
          </cell>
          <cell r="E35">
            <v>2815</v>
          </cell>
          <cell r="F35">
            <v>5630</v>
          </cell>
          <cell r="G35">
            <v>2815</v>
          </cell>
          <cell r="H35">
            <v>703</v>
          </cell>
          <cell r="I35">
            <v>100</v>
          </cell>
          <cell r="J35">
            <v>100</v>
          </cell>
          <cell r="K35">
            <v>100</v>
          </cell>
        </row>
        <row r="36">
          <cell r="A36">
            <v>31</v>
          </cell>
          <cell r="B36">
            <v>3000</v>
          </cell>
          <cell r="C36">
            <v>1600</v>
          </cell>
          <cell r="D36">
            <v>1600</v>
          </cell>
          <cell r="E36">
            <v>3000</v>
          </cell>
          <cell r="F36">
            <v>6000</v>
          </cell>
          <cell r="G36">
            <v>3000</v>
          </cell>
          <cell r="H36">
            <v>750</v>
          </cell>
          <cell r="I36">
            <v>100</v>
          </cell>
          <cell r="J36">
            <v>100</v>
          </cell>
          <cell r="K36">
            <v>100</v>
          </cell>
        </row>
        <row r="37">
          <cell r="A37">
            <v>32</v>
          </cell>
          <cell r="B37">
            <v>3191</v>
          </cell>
          <cell r="C37">
            <v>1650</v>
          </cell>
          <cell r="D37">
            <v>1650</v>
          </cell>
          <cell r="E37">
            <v>3191</v>
          </cell>
          <cell r="F37">
            <v>6382</v>
          </cell>
          <cell r="G37">
            <v>3191</v>
          </cell>
          <cell r="H37">
            <v>797</v>
          </cell>
          <cell r="I37">
            <v>100</v>
          </cell>
          <cell r="J37">
            <v>100</v>
          </cell>
          <cell r="K37">
            <v>100</v>
          </cell>
        </row>
        <row r="38">
          <cell r="A38">
            <v>33</v>
          </cell>
          <cell r="B38">
            <v>3388</v>
          </cell>
          <cell r="C38">
            <v>1700</v>
          </cell>
          <cell r="D38">
            <v>1700</v>
          </cell>
          <cell r="E38">
            <v>3388</v>
          </cell>
          <cell r="F38">
            <v>6776</v>
          </cell>
          <cell r="G38">
            <v>3388</v>
          </cell>
          <cell r="H38">
            <v>847</v>
          </cell>
          <cell r="I38">
            <v>100</v>
          </cell>
          <cell r="J38">
            <v>100</v>
          </cell>
          <cell r="K38">
            <v>100</v>
          </cell>
        </row>
        <row r="39">
          <cell r="A39">
            <v>34</v>
          </cell>
          <cell r="B39">
            <v>3591</v>
          </cell>
          <cell r="C39">
            <v>1750</v>
          </cell>
          <cell r="D39">
            <v>1750</v>
          </cell>
          <cell r="E39">
            <v>3591</v>
          </cell>
          <cell r="F39">
            <v>7182</v>
          </cell>
          <cell r="G39">
            <v>3591</v>
          </cell>
          <cell r="H39">
            <v>897</v>
          </cell>
          <cell r="I39">
            <v>100</v>
          </cell>
          <cell r="J39">
            <v>100</v>
          </cell>
          <cell r="K39">
            <v>100</v>
          </cell>
        </row>
        <row r="40">
          <cell r="A40">
            <v>35</v>
          </cell>
          <cell r="B40">
            <v>3800</v>
          </cell>
          <cell r="C40">
            <v>1800</v>
          </cell>
          <cell r="D40">
            <v>1800</v>
          </cell>
          <cell r="E40">
            <v>3800</v>
          </cell>
          <cell r="F40">
            <v>7600</v>
          </cell>
          <cell r="G40">
            <v>3800</v>
          </cell>
          <cell r="H40">
            <v>950</v>
          </cell>
          <cell r="I40">
            <v>100</v>
          </cell>
          <cell r="J40">
            <v>100</v>
          </cell>
          <cell r="K40">
            <v>100</v>
          </cell>
        </row>
        <row r="41">
          <cell r="A41">
            <v>36</v>
          </cell>
          <cell r="B41">
            <v>4015</v>
          </cell>
          <cell r="C41">
            <v>1850</v>
          </cell>
          <cell r="D41">
            <v>1850</v>
          </cell>
          <cell r="E41">
            <v>4015</v>
          </cell>
          <cell r="F41">
            <v>8030</v>
          </cell>
          <cell r="G41">
            <v>4015</v>
          </cell>
          <cell r="H41">
            <v>1003</v>
          </cell>
          <cell r="I41">
            <v>100</v>
          </cell>
          <cell r="J41">
            <v>100</v>
          </cell>
          <cell r="K41">
            <v>100</v>
          </cell>
        </row>
        <row r="42">
          <cell r="A42">
            <v>37</v>
          </cell>
          <cell r="B42">
            <v>4236</v>
          </cell>
          <cell r="C42">
            <v>1900</v>
          </cell>
          <cell r="D42">
            <v>1900</v>
          </cell>
          <cell r="E42">
            <v>4236</v>
          </cell>
          <cell r="F42">
            <v>8472</v>
          </cell>
          <cell r="G42">
            <v>4236</v>
          </cell>
          <cell r="H42">
            <v>1059</v>
          </cell>
          <cell r="I42">
            <v>100</v>
          </cell>
          <cell r="J42">
            <v>100</v>
          </cell>
          <cell r="K42">
            <v>100</v>
          </cell>
        </row>
        <row r="43">
          <cell r="A43">
            <v>38</v>
          </cell>
          <cell r="B43">
            <v>4463</v>
          </cell>
          <cell r="C43">
            <v>1950</v>
          </cell>
          <cell r="D43">
            <v>1950</v>
          </cell>
          <cell r="E43">
            <v>4463</v>
          </cell>
          <cell r="F43">
            <v>8926</v>
          </cell>
          <cell r="G43">
            <v>4463</v>
          </cell>
          <cell r="H43">
            <v>1115</v>
          </cell>
          <cell r="I43">
            <v>100</v>
          </cell>
          <cell r="J43">
            <v>100</v>
          </cell>
          <cell r="K43">
            <v>100</v>
          </cell>
        </row>
        <row r="44">
          <cell r="A44">
            <v>39</v>
          </cell>
          <cell r="B44">
            <v>4696</v>
          </cell>
          <cell r="C44">
            <v>2000</v>
          </cell>
          <cell r="D44">
            <v>2000</v>
          </cell>
          <cell r="E44">
            <v>4696</v>
          </cell>
          <cell r="F44">
            <v>9392</v>
          </cell>
          <cell r="G44">
            <v>4696</v>
          </cell>
          <cell r="H44">
            <v>1174</v>
          </cell>
          <cell r="I44">
            <v>100</v>
          </cell>
          <cell r="J44">
            <v>100</v>
          </cell>
          <cell r="K44">
            <v>100</v>
          </cell>
        </row>
        <row r="45">
          <cell r="A45">
            <v>40</v>
          </cell>
          <cell r="B45">
            <v>4935</v>
          </cell>
          <cell r="C45">
            <v>2050</v>
          </cell>
          <cell r="D45">
            <v>2050</v>
          </cell>
          <cell r="E45">
            <v>4935</v>
          </cell>
          <cell r="F45">
            <v>9870</v>
          </cell>
          <cell r="G45">
            <v>4935</v>
          </cell>
          <cell r="H45">
            <v>1233</v>
          </cell>
          <cell r="I45">
            <v>100</v>
          </cell>
          <cell r="J45">
            <v>100</v>
          </cell>
          <cell r="K45">
            <v>100</v>
          </cell>
        </row>
        <row r="46">
          <cell r="A46">
            <v>41</v>
          </cell>
          <cell r="B46">
            <v>5180</v>
          </cell>
          <cell r="C46">
            <v>2100</v>
          </cell>
          <cell r="D46">
            <v>2100</v>
          </cell>
          <cell r="E46">
            <v>5180</v>
          </cell>
          <cell r="F46">
            <v>10360</v>
          </cell>
          <cell r="G46">
            <v>5180</v>
          </cell>
          <cell r="H46">
            <v>1295</v>
          </cell>
          <cell r="I46">
            <v>100</v>
          </cell>
          <cell r="J46">
            <v>100</v>
          </cell>
          <cell r="K46">
            <v>100</v>
          </cell>
        </row>
        <row r="47">
          <cell r="A47">
            <v>42</v>
          </cell>
          <cell r="B47">
            <v>5431</v>
          </cell>
          <cell r="C47">
            <v>2150</v>
          </cell>
          <cell r="D47">
            <v>2150</v>
          </cell>
          <cell r="E47">
            <v>5431</v>
          </cell>
          <cell r="F47">
            <v>10862</v>
          </cell>
          <cell r="G47">
            <v>5431</v>
          </cell>
          <cell r="H47">
            <v>1357</v>
          </cell>
          <cell r="I47">
            <v>100</v>
          </cell>
          <cell r="J47">
            <v>100</v>
          </cell>
          <cell r="K47">
            <v>100</v>
          </cell>
        </row>
        <row r="48">
          <cell r="A48">
            <v>43</v>
          </cell>
          <cell r="B48">
            <v>5688</v>
          </cell>
          <cell r="C48">
            <v>2200</v>
          </cell>
          <cell r="D48">
            <v>2200</v>
          </cell>
          <cell r="E48">
            <v>5688</v>
          </cell>
          <cell r="F48">
            <v>11376</v>
          </cell>
          <cell r="G48">
            <v>5688</v>
          </cell>
          <cell r="H48">
            <v>1422</v>
          </cell>
          <cell r="I48">
            <v>100</v>
          </cell>
          <cell r="J48">
            <v>100</v>
          </cell>
          <cell r="K48">
            <v>100</v>
          </cell>
        </row>
        <row r="49">
          <cell r="A49">
            <v>44</v>
          </cell>
          <cell r="B49">
            <v>5951</v>
          </cell>
          <cell r="C49">
            <v>2250</v>
          </cell>
          <cell r="D49">
            <v>2250</v>
          </cell>
          <cell r="E49">
            <v>5951</v>
          </cell>
          <cell r="F49">
            <v>11902</v>
          </cell>
          <cell r="G49">
            <v>5951</v>
          </cell>
          <cell r="H49">
            <v>1487</v>
          </cell>
          <cell r="I49">
            <v>100</v>
          </cell>
          <cell r="J49">
            <v>100</v>
          </cell>
          <cell r="K49">
            <v>100</v>
          </cell>
        </row>
        <row r="50">
          <cell r="A50">
            <v>45</v>
          </cell>
          <cell r="B50">
            <v>6220</v>
          </cell>
          <cell r="C50">
            <v>2300</v>
          </cell>
          <cell r="D50">
            <v>2300</v>
          </cell>
          <cell r="E50">
            <v>6220</v>
          </cell>
          <cell r="F50">
            <v>12440</v>
          </cell>
          <cell r="G50">
            <v>6220</v>
          </cell>
          <cell r="H50">
            <v>1555</v>
          </cell>
          <cell r="I50">
            <v>100</v>
          </cell>
          <cell r="J50">
            <v>100</v>
          </cell>
          <cell r="K50">
            <v>100</v>
          </cell>
        </row>
        <row r="51">
          <cell r="A51">
            <v>46</v>
          </cell>
          <cell r="B51">
            <v>6495</v>
          </cell>
          <cell r="C51">
            <v>2350</v>
          </cell>
          <cell r="D51">
            <v>2350</v>
          </cell>
          <cell r="E51">
            <v>6495</v>
          </cell>
          <cell r="F51">
            <v>12990</v>
          </cell>
          <cell r="G51">
            <v>6495</v>
          </cell>
          <cell r="H51">
            <v>1623</v>
          </cell>
          <cell r="I51">
            <v>100</v>
          </cell>
          <cell r="J51">
            <v>100</v>
          </cell>
          <cell r="K51">
            <v>100</v>
          </cell>
        </row>
        <row r="52">
          <cell r="A52">
            <v>47</v>
          </cell>
          <cell r="B52">
            <v>6776</v>
          </cell>
          <cell r="C52">
            <v>2400</v>
          </cell>
          <cell r="D52">
            <v>2400</v>
          </cell>
          <cell r="E52">
            <v>6776</v>
          </cell>
          <cell r="F52">
            <v>13552</v>
          </cell>
          <cell r="G52">
            <v>6776</v>
          </cell>
          <cell r="H52">
            <v>1694</v>
          </cell>
          <cell r="I52">
            <v>100</v>
          </cell>
          <cell r="J52">
            <v>100</v>
          </cell>
          <cell r="K52">
            <v>100</v>
          </cell>
        </row>
        <row r="53">
          <cell r="A53">
            <v>48</v>
          </cell>
          <cell r="B53">
            <v>7063</v>
          </cell>
          <cell r="C53">
            <v>2450</v>
          </cell>
          <cell r="D53">
            <v>2450</v>
          </cell>
          <cell r="E53">
            <v>7063</v>
          </cell>
          <cell r="F53">
            <v>14126</v>
          </cell>
          <cell r="G53">
            <v>7063</v>
          </cell>
          <cell r="H53">
            <v>1765</v>
          </cell>
          <cell r="I53">
            <v>100</v>
          </cell>
          <cell r="J53">
            <v>100</v>
          </cell>
          <cell r="K53">
            <v>100</v>
          </cell>
        </row>
        <row r="54">
          <cell r="A54">
            <v>49</v>
          </cell>
          <cell r="B54">
            <v>7356</v>
          </cell>
          <cell r="C54">
            <v>2500</v>
          </cell>
          <cell r="D54">
            <v>2500</v>
          </cell>
          <cell r="E54">
            <v>7356</v>
          </cell>
          <cell r="F54">
            <v>14712</v>
          </cell>
          <cell r="G54">
            <v>7356</v>
          </cell>
          <cell r="H54">
            <v>1839</v>
          </cell>
          <cell r="I54">
            <v>100</v>
          </cell>
          <cell r="J54">
            <v>100</v>
          </cell>
          <cell r="K54">
            <v>100</v>
          </cell>
        </row>
        <row r="55">
          <cell r="A55">
            <v>50</v>
          </cell>
          <cell r="B55">
            <v>7655</v>
          </cell>
          <cell r="C55">
            <v>2550</v>
          </cell>
          <cell r="D55">
            <v>2550</v>
          </cell>
          <cell r="E55">
            <v>7655</v>
          </cell>
          <cell r="F55">
            <v>15310</v>
          </cell>
          <cell r="G55">
            <v>7655</v>
          </cell>
          <cell r="H55">
            <v>1913</v>
          </cell>
          <cell r="I55">
            <v>100</v>
          </cell>
          <cell r="J55">
            <v>100</v>
          </cell>
          <cell r="K55">
            <v>100</v>
          </cell>
        </row>
        <row r="56">
          <cell r="A56">
            <v>51</v>
          </cell>
          <cell r="B56">
            <v>7960</v>
          </cell>
          <cell r="C56">
            <v>2600</v>
          </cell>
          <cell r="D56">
            <v>2600</v>
          </cell>
          <cell r="E56">
            <v>7960</v>
          </cell>
          <cell r="F56">
            <v>15920</v>
          </cell>
          <cell r="G56">
            <v>7960</v>
          </cell>
          <cell r="H56">
            <v>1990</v>
          </cell>
          <cell r="I56">
            <v>100</v>
          </cell>
          <cell r="J56">
            <v>100</v>
          </cell>
          <cell r="K56">
            <v>100</v>
          </cell>
        </row>
        <row r="57">
          <cell r="A57">
            <v>52</v>
          </cell>
          <cell r="B57">
            <v>8271</v>
          </cell>
          <cell r="C57">
            <v>2650</v>
          </cell>
          <cell r="D57">
            <v>2650</v>
          </cell>
          <cell r="E57">
            <v>8271</v>
          </cell>
          <cell r="F57">
            <v>16542</v>
          </cell>
          <cell r="G57">
            <v>8271</v>
          </cell>
          <cell r="H57">
            <v>2067</v>
          </cell>
          <cell r="I57">
            <v>100</v>
          </cell>
          <cell r="J57">
            <v>100</v>
          </cell>
          <cell r="K57">
            <v>100</v>
          </cell>
        </row>
        <row r="58">
          <cell r="A58">
            <v>53</v>
          </cell>
          <cell r="B58">
            <v>8588</v>
          </cell>
          <cell r="C58">
            <v>2700</v>
          </cell>
          <cell r="D58">
            <v>2700</v>
          </cell>
          <cell r="E58">
            <v>8588</v>
          </cell>
          <cell r="F58">
            <v>17176</v>
          </cell>
          <cell r="G58">
            <v>8588</v>
          </cell>
          <cell r="H58">
            <v>2147</v>
          </cell>
          <cell r="I58">
            <v>100</v>
          </cell>
          <cell r="J58">
            <v>100</v>
          </cell>
          <cell r="K58">
            <v>100</v>
          </cell>
        </row>
        <row r="59">
          <cell r="A59">
            <v>54</v>
          </cell>
          <cell r="B59">
            <v>8911</v>
          </cell>
          <cell r="C59">
            <v>2750</v>
          </cell>
          <cell r="D59">
            <v>2750</v>
          </cell>
          <cell r="E59">
            <v>8911</v>
          </cell>
          <cell r="F59">
            <v>17822</v>
          </cell>
          <cell r="G59">
            <v>8911</v>
          </cell>
          <cell r="H59">
            <v>2227</v>
          </cell>
          <cell r="I59">
            <v>100</v>
          </cell>
          <cell r="J59">
            <v>100</v>
          </cell>
          <cell r="K59">
            <v>100</v>
          </cell>
        </row>
        <row r="60">
          <cell r="A60">
            <v>55</v>
          </cell>
          <cell r="B60">
            <v>9240</v>
          </cell>
          <cell r="C60">
            <v>2800</v>
          </cell>
          <cell r="D60">
            <v>2800</v>
          </cell>
          <cell r="E60">
            <v>9240</v>
          </cell>
          <cell r="F60">
            <v>18480</v>
          </cell>
          <cell r="G60">
            <v>9240</v>
          </cell>
          <cell r="H60">
            <v>2310</v>
          </cell>
          <cell r="I60">
            <v>100</v>
          </cell>
          <cell r="J60">
            <v>100</v>
          </cell>
          <cell r="K60">
            <v>100</v>
          </cell>
        </row>
        <row r="61">
          <cell r="A61">
            <v>56</v>
          </cell>
          <cell r="B61">
            <v>9575</v>
          </cell>
          <cell r="C61">
            <v>2850</v>
          </cell>
          <cell r="D61">
            <v>2850</v>
          </cell>
          <cell r="E61">
            <v>9575</v>
          </cell>
          <cell r="F61">
            <v>19150</v>
          </cell>
          <cell r="G61">
            <v>9575</v>
          </cell>
          <cell r="H61">
            <v>2393</v>
          </cell>
          <cell r="I61">
            <v>100</v>
          </cell>
          <cell r="J61">
            <v>100</v>
          </cell>
          <cell r="K61">
            <v>100</v>
          </cell>
        </row>
        <row r="62">
          <cell r="A62">
            <v>57</v>
          </cell>
          <cell r="B62">
            <v>9916</v>
          </cell>
          <cell r="C62">
            <v>2900</v>
          </cell>
          <cell r="D62">
            <v>2900</v>
          </cell>
          <cell r="E62">
            <v>9916</v>
          </cell>
          <cell r="F62">
            <v>19832</v>
          </cell>
          <cell r="G62">
            <v>9916</v>
          </cell>
          <cell r="H62">
            <v>2479</v>
          </cell>
          <cell r="I62">
            <v>100</v>
          </cell>
          <cell r="J62">
            <v>100</v>
          </cell>
          <cell r="K62">
            <v>100</v>
          </cell>
        </row>
        <row r="63">
          <cell r="A63">
            <v>58</v>
          </cell>
          <cell r="B63">
            <v>10263</v>
          </cell>
          <cell r="C63">
            <v>2950</v>
          </cell>
          <cell r="D63">
            <v>2950</v>
          </cell>
          <cell r="E63">
            <v>10263</v>
          </cell>
          <cell r="F63">
            <v>20526</v>
          </cell>
          <cell r="G63">
            <v>10263</v>
          </cell>
          <cell r="H63">
            <v>2565</v>
          </cell>
          <cell r="I63">
            <v>100</v>
          </cell>
          <cell r="J63">
            <v>100</v>
          </cell>
          <cell r="K63">
            <v>100</v>
          </cell>
        </row>
        <row r="64">
          <cell r="A64">
            <v>59</v>
          </cell>
          <cell r="B64">
            <v>10616</v>
          </cell>
          <cell r="C64">
            <v>3000</v>
          </cell>
          <cell r="D64">
            <v>3000</v>
          </cell>
          <cell r="E64">
            <v>10616</v>
          </cell>
          <cell r="F64">
            <v>21232</v>
          </cell>
          <cell r="G64">
            <v>10616</v>
          </cell>
          <cell r="H64">
            <v>2654</v>
          </cell>
          <cell r="I64">
            <v>100</v>
          </cell>
          <cell r="J64">
            <v>100</v>
          </cell>
          <cell r="K64">
            <v>100</v>
          </cell>
        </row>
        <row r="65">
          <cell r="A65">
            <v>60</v>
          </cell>
          <cell r="B65">
            <v>10975</v>
          </cell>
          <cell r="C65">
            <v>3050</v>
          </cell>
          <cell r="D65">
            <v>3050</v>
          </cell>
          <cell r="E65">
            <v>10975</v>
          </cell>
          <cell r="F65">
            <v>21950</v>
          </cell>
          <cell r="G65">
            <v>10975</v>
          </cell>
          <cell r="H65">
            <v>2743</v>
          </cell>
          <cell r="I65">
            <v>100</v>
          </cell>
          <cell r="J65">
            <v>100</v>
          </cell>
          <cell r="K65">
            <v>100</v>
          </cell>
        </row>
        <row r="66">
          <cell r="A66">
            <v>61</v>
          </cell>
          <cell r="B66">
            <v>11340</v>
          </cell>
          <cell r="C66">
            <v>3100</v>
          </cell>
          <cell r="D66">
            <v>3100</v>
          </cell>
          <cell r="E66">
            <v>11340</v>
          </cell>
          <cell r="F66">
            <v>22680</v>
          </cell>
          <cell r="G66">
            <v>11340</v>
          </cell>
          <cell r="H66">
            <v>2835</v>
          </cell>
          <cell r="I66">
            <v>100</v>
          </cell>
          <cell r="J66">
            <v>100</v>
          </cell>
          <cell r="K66">
            <v>100</v>
          </cell>
        </row>
        <row r="67">
          <cell r="A67">
            <v>62</v>
          </cell>
          <cell r="B67">
            <v>11711</v>
          </cell>
          <cell r="C67">
            <v>3150</v>
          </cell>
          <cell r="D67">
            <v>3150</v>
          </cell>
          <cell r="E67">
            <v>11711</v>
          </cell>
          <cell r="F67">
            <v>23422</v>
          </cell>
          <cell r="G67">
            <v>11711</v>
          </cell>
          <cell r="H67">
            <v>2927</v>
          </cell>
          <cell r="I67">
            <v>100</v>
          </cell>
          <cell r="J67">
            <v>100</v>
          </cell>
          <cell r="K67">
            <v>100</v>
          </cell>
        </row>
        <row r="68">
          <cell r="A68">
            <v>63</v>
          </cell>
          <cell r="B68">
            <v>12088</v>
          </cell>
          <cell r="C68">
            <v>3200</v>
          </cell>
          <cell r="D68">
            <v>3200</v>
          </cell>
          <cell r="E68">
            <v>12088</v>
          </cell>
          <cell r="F68">
            <v>24176</v>
          </cell>
          <cell r="G68">
            <v>12088</v>
          </cell>
          <cell r="H68">
            <v>3022</v>
          </cell>
          <cell r="I68">
            <v>100</v>
          </cell>
          <cell r="J68">
            <v>100</v>
          </cell>
          <cell r="K68">
            <v>100</v>
          </cell>
        </row>
        <row r="69">
          <cell r="A69">
            <v>64</v>
          </cell>
          <cell r="B69">
            <v>12471</v>
          </cell>
          <cell r="C69">
            <v>3250</v>
          </cell>
          <cell r="D69">
            <v>3250</v>
          </cell>
          <cell r="E69">
            <v>12471</v>
          </cell>
          <cell r="F69">
            <v>24942</v>
          </cell>
          <cell r="G69">
            <v>12471</v>
          </cell>
          <cell r="H69">
            <v>3117</v>
          </cell>
          <cell r="I69">
            <v>100</v>
          </cell>
          <cell r="J69">
            <v>100</v>
          </cell>
          <cell r="K69">
            <v>100</v>
          </cell>
        </row>
        <row r="70">
          <cell r="A70">
            <v>65</v>
          </cell>
          <cell r="B70">
            <v>12860</v>
          </cell>
          <cell r="C70">
            <v>3300</v>
          </cell>
          <cell r="D70">
            <v>3300</v>
          </cell>
          <cell r="E70">
            <v>12860</v>
          </cell>
          <cell r="F70">
            <v>25720</v>
          </cell>
          <cell r="G70">
            <v>12860</v>
          </cell>
          <cell r="H70">
            <v>3215</v>
          </cell>
          <cell r="I70">
            <v>100</v>
          </cell>
          <cell r="J70">
            <v>100</v>
          </cell>
          <cell r="K70">
            <v>100</v>
          </cell>
        </row>
        <row r="71">
          <cell r="A71">
            <v>66</v>
          </cell>
          <cell r="B71">
            <v>13255</v>
          </cell>
          <cell r="C71">
            <v>3350</v>
          </cell>
          <cell r="D71">
            <v>3350</v>
          </cell>
          <cell r="E71">
            <v>13255</v>
          </cell>
          <cell r="F71">
            <v>26510</v>
          </cell>
          <cell r="G71">
            <v>13255</v>
          </cell>
          <cell r="H71">
            <v>3313</v>
          </cell>
          <cell r="I71">
            <v>100</v>
          </cell>
          <cell r="J71">
            <v>100</v>
          </cell>
          <cell r="K71">
            <v>100</v>
          </cell>
        </row>
        <row r="72">
          <cell r="A72">
            <v>67</v>
          </cell>
          <cell r="B72">
            <v>13656</v>
          </cell>
          <cell r="C72">
            <v>3400</v>
          </cell>
          <cell r="D72">
            <v>3400</v>
          </cell>
          <cell r="E72">
            <v>13656</v>
          </cell>
          <cell r="F72">
            <v>27312</v>
          </cell>
          <cell r="G72">
            <v>13656</v>
          </cell>
          <cell r="H72">
            <v>3414</v>
          </cell>
          <cell r="I72">
            <v>100</v>
          </cell>
          <cell r="J72">
            <v>100</v>
          </cell>
          <cell r="K72">
            <v>100</v>
          </cell>
        </row>
        <row r="73">
          <cell r="A73">
            <v>68</v>
          </cell>
          <cell r="B73">
            <v>14063</v>
          </cell>
          <cell r="C73">
            <v>3450</v>
          </cell>
          <cell r="D73">
            <v>3450</v>
          </cell>
          <cell r="E73">
            <v>14063</v>
          </cell>
          <cell r="F73">
            <v>28126</v>
          </cell>
          <cell r="G73">
            <v>14063</v>
          </cell>
          <cell r="H73">
            <v>3515</v>
          </cell>
          <cell r="I73">
            <v>100</v>
          </cell>
          <cell r="J73">
            <v>100</v>
          </cell>
          <cell r="K73">
            <v>100</v>
          </cell>
        </row>
        <row r="74">
          <cell r="A74">
            <v>69</v>
          </cell>
          <cell r="B74">
            <v>14476</v>
          </cell>
          <cell r="C74">
            <v>3500</v>
          </cell>
          <cell r="D74">
            <v>3500</v>
          </cell>
          <cell r="E74">
            <v>14476</v>
          </cell>
          <cell r="F74">
            <v>28952</v>
          </cell>
          <cell r="G74">
            <v>14476</v>
          </cell>
          <cell r="H74">
            <v>3619</v>
          </cell>
          <cell r="I74">
            <v>100</v>
          </cell>
          <cell r="J74">
            <v>100</v>
          </cell>
          <cell r="K74">
            <v>100</v>
          </cell>
        </row>
        <row r="75">
          <cell r="A75">
            <v>70</v>
          </cell>
          <cell r="B75">
            <v>14895</v>
          </cell>
          <cell r="C75">
            <v>3550</v>
          </cell>
          <cell r="D75">
            <v>3550</v>
          </cell>
          <cell r="E75">
            <v>14895</v>
          </cell>
          <cell r="F75">
            <v>29790</v>
          </cell>
          <cell r="G75">
            <v>14895</v>
          </cell>
          <cell r="H75">
            <v>3723</v>
          </cell>
          <cell r="I75">
            <v>100</v>
          </cell>
          <cell r="J75">
            <v>100</v>
          </cell>
          <cell r="K75">
            <v>100</v>
          </cell>
        </row>
        <row r="76">
          <cell r="A76">
            <v>71</v>
          </cell>
          <cell r="B76">
            <v>15320</v>
          </cell>
          <cell r="C76">
            <v>3610</v>
          </cell>
          <cell r="D76">
            <v>3610</v>
          </cell>
          <cell r="E76">
            <v>15320</v>
          </cell>
          <cell r="F76">
            <v>30640</v>
          </cell>
          <cell r="G76">
            <v>15320</v>
          </cell>
          <cell r="H76">
            <v>3830</v>
          </cell>
          <cell r="I76">
            <v>100</v>
          </cell>
          <cell r="J76">
            <v>100</v>
          </cell>
          <cell r="K76">
            <v>100</v>
          </cell>
        </row>
        <row r="77">
          <cell r="A77">
            <v>72</v>
          </cell>
          <cell r="B77">
            <v>15751</v>
          </cell>
          <cell r="C77">
            <v>3680</v>
          </cell>
          <cell r="D77">
            <v>3680</v>
          </cell>
          <cell r="E77">
            <v>15751</v>
          </cell>
          <cell r="F77">
            <v>31502</v>
          </cell>
          <cell r="G77">
            <v>15751</v>
          </cell>
          <cell r="H77">
            <v>3937</v>
          </cell>
          <cell r="I77">
            <v>100</v>
          </cell>
          <cell r="J77">
            <v>100</v>
          </cell>
          <cell r="K77">
            <v>100</v>
          </cell>
        </row>
        <row r="78">
          <cell r="A78">
            <v>73</v>
          </cell>
          <cell r="B78">
            <v>16188</v>
          </cell>
          <cell r="C78">
            <v>3760</v>
          </cell>
          <cell r="D78">
            <v>3760</v>
          </cell>
          <cell r="E78">
            <v>16188</v>
          </cell>
          <cell r="F78">
            <v>32376</v>
          </cell>
          <cell r="G78">
            <v>16188</v>
          </cell>
          <cell r="H78">
            <v>4047</v>
          </cell>
          <cell r="I78">
            <v>100</v>
          </cell>
          <cell r="J78">
            <v>100</v>
          </cell>
          <cell r="K78">
            <v>100</v>
          </cell>
        </row>
        <row r="79">
          <cell r="A79">
            <v>74</v>
          </cell>
          <cell r="B79">
            <v>16631</v>
          </cell>
          <cell r="C79">
            <v>3850</v>
          </cell>
          <cell r="D79">
            <v>3850</v>
          </cell>
          <cell r="E79">
            <v>16631</v>
          </cell>
          <cell r="F79">
            <v>33262</v>
          </cell>
          <cell r="G79">
            <v>16631</v>
          </cell>
          <cell r="H79">
            <v>4157</v>
          </cell>
          <cell r="I79">
            <v>100</v>
          </cell>
          <cell r="J79">
            <v>100</v>
          </cell>
          <cell r="K79">
            <v>100</v>
          </cell>
        </row>
        <row r="80">
          <cell r="A80">
            <v>75</v>
          </cell>
          <cell r="B80">
            <v>17080</v>
          </cell>
          <cell r="C80">
            <v>3950</v>
          </cell>
          <cell r="D80">
            <v>3950</v>
          </cell>
          <cell r="E80">
            <v>17080</v>
          </cell>
          <cell r="F80">
            <v>34160</v>
          </cell>
          <cell r="G80">
            <v>17080</v>
          </cell>
          <cell r="H80">
            <v>4270</v>
          </cell>
          <cell r="I80">
            <v>100</v>
          </cell>
          <cell r="J80">
            <v>100</v>
          </cell>
          <cell r="K80">
            <v>100</v>
          </cell>
        </row>
        <row r="81">
          <cell r="A81">
            <v>76</v>
          </cell>
          <cell r="B81">
            <v>17535</v>
          </cell>
          <cell r="C81">
            <v>4060</v>
          </cell>
          <cell r="D81">
            <v>4060</v>
          </cell>
          <cell r="E81">
            <v>17535</v>
          </cell>
          <cell r="F81">
            <v>35070</v>
          </cell>
          <cell r="G81">
            <v>17535</v>
          </cell>
          <cell r="H81">
            <v>4383</v>
          </cell>
          <cell r="I81">
            <v>100</v>
          </cell>
          <cell r="J81">
            <v>100</v>
          </cell>
          <cell r="K81">
            <v>100</v>
          </cell>
        </row>
        <row r="82">
          <cell r="A82">
            <v>77</v>
          </cell>
          <cell r="B82">
            <v>17996</v>
          </cell>
          <cell r="C82">
            <v>4180</v>
          </cell>
          <cell r="D82">
            <v>4180</v>
          </cell>
          <cell r="E82">
            <v>17996</v>
          </cell>
          <cell r="F82">
            <v>35992</v>
          </cell>
          <cell r="G82">
            <v>17996</v>
          </cell>
          <cell r="H82">
            <v>4499</v>
          </cell>
          <cell r="I82">
            <v>100</v>
          </cell>
          <cell r="J82">
            <v>100</v>
          </cell>
          <cell r="K82">
            <v>100</v>
          </cell>
        </row>
        <row r="83">
          <cell r="A83">
            <v>78</v>
          </cell>
          <cell r="B83">
            <v>18463</v>
          </cell>
          <cell r="C83">
            <v>4310</v>
          </cell>
          <cell r="D83">
            <v>4310</v>
          </cell>
          <cell r="E83">
            <v>18463</v>
          </cell>
          <cell r="F83">
            <v>36926</v>
          </cell>
          <cell r="G83">
            <v>18463</v>
          </cell>
          <cell r="H83">
            <v>4615</v>
          </cell>
          <cell r="I83">
            <v>100</v>
          </cell>
          <cell r="J83">
            <v>100</v>
          </cell>
          <cell r="K83">
            <v>100</v>
          </cell>
        </row>
        <row r="84">
          <cell r="A84">
            <v>79</v>
          </cell>
          <cell r="B84">
            <v>18936</v>
          </cell>
          <cell r="C84">
            <v>4450</v>
          </cell>
          <cell r="D84">
            <v>4450</v>
          </cell>
          <cell r="E84">
            <v>18936</v>
          </cell>
          <cell r="F84">
            <v>37872</v>
          </cell>
          <cell r="G84">
            <v>18936</v>
          </cell>
          <cell r="H84">
            <v>4734</v>
          </cell>
          <cell r="I84">
            <v>100</v>
          </cell>
          <cell r="J84">
            <v>100</v>
          </cell>
          <cell r="K84">
            <v>100</v>
          </cell>
        </row>
        <row r="85">
          <cell r="A85">
            <v>80</v>
          </cell>
          <cell r="B85">
            <v>19415</v>
          </cell>
          <cell r="C85">
            <v>4600</v>
          </cell>
          <cell r="D85">
            <v>4600</v>
          </cell>
          <cell r="E85">
            <v>19415</v>
          </cell>
          <cell r="F85">
            <v>38830</v>
          </cell>
          <cell r="G85">
            <v>19415</v>
          </cell>
          <cell r="H85">
            <v>4853</v>
          </cell>
          <cell r="I85">
            <v>100</v>
          </cell>
          <cell r="J85">
            <v>100</v>
          </cell>
          <cell r="K85">
            <v>100</v>
          </cell>
        </row>
        <row r="86">
          <cell r="A86">
            <v>81</v>
          </cell>
          <cell r="B86">
            <v>19900</v>
          </cell>
          <cell r="C86">
            <v>4760</v>
          </cell>
          <cell r="D86">
            <v>4760</v>
          </cell>
          <cell r="E86">
            <v>19900</v>
          </cell>
          <cell r="F86">
            <v>39800</v>
          </cell>
          <cell r="G86">
            <v>19900</v>
          </cell>
          <cell r="H86">
            <v>4975</v>
          </cell>
          <cell r="I86">
            <v>100</v>
          </cell>
          <cell r="J86">
            <v>100</v>
          </cell>
          <cell r="K86">
            <v>100</v>
          </cell>
        </row>
        <row r="87">
          <cell r="A87">
            <v>82</v>
          </cell>
          <cell r="B87">
            <v>20391</v>
          </cell>
          <cell r="C87">
            <v>4930</v>
          </cell>
          <cell r="D87">
            <v>4930</v>
          </cell>
          <cell r="E87">
            <v>20391</v>
          </cell>
          <cell r="F87">
            <v>40782</v>
          </cell>
          <cell r="G87">
            <v>20391</v>
          </cell>
          <cell r="H87">
            <v>5097</v>
          </cell>
          <cell r="I87">
            <v>100</v>
          </cell>
          <cell r="J87">
            <v>100</v>
          </cell>
          <cell r="K87">
            <v>100</v>
          </cell>
        </row>
        <row r="88">
          <cell r="A88">
            <v>83</v>
          </cell>
          <cell r="B88">
            <v>20888</v>
          </cell>
          <cell r="C88">
            <v>5110</v>
          </cell>
          <cell r="D88">
            <v>5110</v>
          </cell>
          <cell r="E88">
            <v>20888</v>
          </cell>
          <cell r="F88">
            <v>41776</v>
          </cell>
          <cell r="G88">
            <v>20888</v>
          </cell>
          <cell r="H88">
            <v>5222</v>
          </cell>
          <cell r="I88">
            <v>100</v>
          </cell>
          <cell r="J88">
            <v>100</v>
          </cell>
          <cell r="K88">
            <v>100</v>
          </cell>
        </row>
        <row r="89">
          <cell r="A89">
            <v>84</v>
          </cell>
          <cell r="B89">
            <v>21391</v>
          </cell>
          <cell r="C89">
            <v>5300</v>
          </cell>
          <cell r="D89">
            <v>5300</v>
          </cell>
          <cell r="E89">
            <v>21391</v>
          </cell>
          <cell r="F89">
            <v>42782</v>
          </cell>
          <cell r="G89">
            <v>21391</v>
          </cell>
          <cell r="H89">
            <v>5347</v>
          </cell>
          <cell r="I89">
            <v>100</v>
          </cell>
          <cell r="J89">
            <v>100</v>
          </cell>
          <cell r="K89">
            <v>100</v>
          </cell>
        </row>
        <row r="90">
          <cell r="A90">
            <v>85</v>
          </cell>
          <cell r="B90">
            <v>21900</v>
          </cell>
          <cell r="C90">
            <v>5500</v>
          </cell>
          <cell r="D90">
            <v>5500</v>
          </cell>
          <cell r="E90">
            <v>21900</v>
          </cell>
          <cell r="F90">
            <v>43800</v>
          </cell>
          <cell r="G90">
            <v>21900</v>
          </cell>
          <cell r="H90">
            <v>5475</v>
          </cell>
          <cell r="I90">
            <v>100</v>
          </cell>
          <cell r="J90">
            <v>100</v>
          </cell>
          <cell r="K90">
            <v>100</v>
          </cell>
        </row>
        <row r="91">
          <cell r="A91">
            <v>86</v>
          </cell>
          <cell r="B91">
            <v>22415</v>
          </cell>
          <cell r="C91">
            <v>5710</v>
          </cell>
          <cell r="D91">
            <v>5710</v>
          </cell>
          <cell r="E91">
            <v>22415</v>
          </cell>
          <cell r="F91">
            <v>44830</v>
          </cell>
          <cell r="G91">
            <v>22415</v>
          </cell>
          <cell r="H91">
            <v>5603</v>
          </cell>
          <cell r="I91">
            <v>100</v>
          </cell>
          <cell r="J91">
            <v>100</v>
          </cell>
          <cell r="K91">
            <v>100</v>
          </cell>
        </row>
        <row r="92">
          <cell r="A92">
            <v>87</v>
          </cell>
          <cell r="B92">
            <v>22936</v>
          </cell>
          <cell r="C92">
            <v>5930</v>
          </cell>
          <cell r="D92">
            <v>5930</v>
          </cell>
          <cell r="E92">
            <v>22936</v>
          </cell>
          <cell r="F92">
            <v>45872</v>
          </cell>
          <cell r="G92">
            <v>22936</v>
          </cell>
          <cell r="H92">
            <v>5734</v>
          </cell>
          <cell r="I92">
            <v>100</v>
          </cell>
          <cell r="J92">
            <v>100</v>
          </cell>
          <cell r="K92">
            <v>100</v>
          </cell>
        </row>
        <row r="93">
          <cell r="A93">
            <v>88</v>
          </cell>
          <cell r="B93">
            <v>23463</v>
          </cell>
          <cell r="C93">
            <v>6160</v>
          </cell>
          <cell r="D93">
            <v>6160</v>
          </cell>
          <cell r="E93">
            <v>23463</v>
          </cell>
          <cell r="F93">
            <v>46926</v>
          </cell>
          <cell r="G93">
            <v>23463</v>
          </cell>
          <cell r="H93">
            <v>5865</v>
          </cell>
          <cell r="I93">
            <v>100</v>
          </cell>
          <cell r="J93">
            <v>100</v>
          </cell>
          <cell r="K93">
            <v>100</v>
          </cell>
        </row>
        <row r="94">
          <cell r="A94">
            <v>89</v>
          </cell>
          <cell r="B94">
            <v>23996</v>
          </cell>
          <cell r="C94">
            <v>6400</v>
          </cell>
          <cell r="D94">
            <v>6400</v>
          </cell>
          <cell r="E94">
            <v>23996</v>
          </cell>
          <cell r="F94">
            <v>47992</v>
          </cell>
          <cell r="G94">
            <v>23996</v>
          </cell>
          <cell r="H94">
            <v>5999</v>
          </cell>
          <cell r="I94">
            <v>100</v>
          </cell>
          <cell r="J94">
            <v>100</v>
          </cell>
          <cell r="K94">
            <v>100</v>
          </cell>
        </row>
        <row r="95">
          <cell r="A95">
            <v>90</v>
          </cell>
          <cell r="B95">
            <v>24535</v>
          </cell>
          <cell r="C95">
            <v>6650</v>
          </cell>
          <cell r="D95">
            <v>6650</v>
          </cell>
          <cell r="E95">
            <v>24535</v>
          </cell>
          <cell r="F95">
            <v>49070</v>
          </cell>
          <cell r="G95">
            <v>24535</v>
          </cell>
          <cell r="H95">
            <v>6133</v>
          </cell>
          <cell r="I95">
            <v>100</v>
          </cell>
          <cell r="J95">
            <v>100</v>
          </cell>
          <cell r="K95">
            <v>100</v>
          </cell>
        </row>
        <row r="96">
          <cell r="A96">
            <v>91</v>
          </cell>
          <cell r="B96">
            <v>25080</v>
          </cell>
          <cell r="C96">
            <v>6910</v>
          </cell>
          <cell r="D96">
            <v>6910</v>
          </cell>
          <cell r="E96">
            <v>25080</v>
          </cell>
          <cell r="F96">
            <v>50160</v>
          </cell>
          <cell r="G96">
            <v>25080</v>
          </cell>
          <cell r="H96">
            <v>6270</v>
          </cell>
          <cell r="I96">
            <v>100</v>
          </cell>
          <cell r="J96">
            <v>100</v>
          </cell>
          <cell r="K96">
            <v>100</v>
          </cell>
        </row>
        <row r="97">
          <cell r="A97">
            <v>92</v>
          </cell>
          <cell r="B97">
            <v>25631</v>
          </cell>
          <cell r="C97">
            <v>7180</v>
          </cell>
          <cell r="D97">
            <v>7180</v>
          </cell>
          <cell r="E97">
            <v>25631</v>
          </cell>
          <cell r="F97">
            <v>51262</v>
          </cell>
          <cell r="G97">
            <v>25631</v>
          </cell>
          <cell r="H97">
            <v>6407</v>
          </cell>
          <cell r="I97">
            <v>100</v>
          </cell>
          <cell r="J97">
            <v>100</v>
          </cell>
          <cell r="K97">
            <v>100</v>
          </cell>
        </row>
        <row r="98">
          <cell r="A98">
            <v>93</v>
          </cell>
          <cell r="B98">
            <v>26188</v>
          </cell>
          <cell r="C98">
            <v>7460</v>
          </cell>
          <cell r="D98">
            <v>7460</v>
          </cell>
          <cell r="E98">
            <v>26188</v>
          </cell>
          <cell r="F98">
            <v>52376</v>
          </cell>
          <cell r="G98">
            <v>26188</v>
          </cell>
          <cell r="H98">
            <v>6547</v>
          </cell>
          <cell r="I98">
            <v>100</v>
          </cell>
          <cell r="J98">
            <v>100</v>
          </cell>
          <cell r="K98">
            <v>100</v>
          </cell>
        </row>
        <row r="99">
          <cell r="A99">
            <v>94</v>
          </cell>
          <cell r="B99">
            <v>26751</v>
          </cell>
          <cell r="C99">
            <v>7750</v>
          </cell>
          <cell r="D99">
            <v>7750</v>
          </cell>
          <cell r="E99">
            <v>26751</v>
          </cell>
          <cell r="F99">
            <v>53502</v>
          </cell>
          <cell r="G99">
            <v>26751</v>
          </cell>
          <cell r="H99">
            <v>6687</v>
          </cell>
          <cell r="I99">
            <v>100</v>
          </cell>
          <cell r="J99">
            <v>100</v>
          </cell>
          <cell r="K99">
            <v>100</v>
          </cell>
        </row>
        <row r="100">
          <cell r="A100">
            <v>95</v>
          </cell>
          <cell r="B100">
            <v>27320</v>
          </cell>
          <cell r="C100">
            <v>8050</v>
          </cell>
          <cell r="D100">
            <v>8050</v>
          </cell>
          <cell r="E100">
            <v>27320</v>
          </cell>
          <cell r="F100">
            <v>54640</v>
          </cell>
          <cell r="G100">
            <v>27320</v>
          </cell>
          <cell r="H100">
            <v>6830</v>
          </cell>
          <cell r="I100">
            <v>100</v>
          </cell>
          <cell r="J100">
            <v>100</v>
          </cell>
          <cell r="K100">
            <v>100</v>
          </cell>
        </row>
        <row r="101">
          <cell r="A101">
            <v>96</v>
          </cell>
          <cell r="B101">
            <v>27895</v>
          </cell>
          <cell r="C101">
            <v>8360</v>
          </cell>
          <cell r="D101">
            <v>8360</v>
          </cell>
          <cell r="E101">
            <v>27895</v>
          </cell>
          <cell r="F101">
            <v>55790</v>
          </cell>
          <cell r="G101">
            <v>27895</v>
          </cell>
          <cell r="H101">
            <v>6973</v>
          </cell>
          <cell r="I101">
            <v>100</v>
          </cell>
          <cell r="J101">
            <v>100</v>
          </cell>
          <cell r="K101">
            <v>100</v>
          </cell>
        </row>
        <row r="102">
          <cell r="A102">
            <v>97</v>
          </cell>
          <cell r="B102">
            <v>28476</v>
          </cell>
          <cell r="C102">
            <v>8680</v>
          </cell>
          <cell r="D102">
            <v>8680</v>
          </cell>
          <cell r="E102">
            <v>28476</v>
          </cell>
          <cell r="F102">
            <v>56952</v>
          </cell>
          <cell r="G102">
            <v>28476</v>
          </cell>
          <cell r="H102">
            <v>7119</v>
          </cell>
          <cell r="I102">
            <v>100</v>
          </cell>
          <cell r="J102">
            <v>100</v>
          </cell>
          <cell r="K102">
            <v>100</v>
          </cell>
        </row>
        <row r="103">
          <cell r="A103">
            <v>98</v>
          </cell>
          <cell r="B103">
            <v>29063</v>
          </cell>
          <cell r="C103">
            <v>9010</v>
          </cell>
          <cell r="D103">
            <v>9010</v>
          </cell>
          <cell r="E103">
            <v>29063</v>
          </cell>
          <cell r="F103">
            <v>58126</v>
          </cell>
          <cell r="G103">
            <v>29063</v>
          </cell>
          <cell r="H103">
            <v>7265</v>
          </cell>
          <cell r="I103">
            <v>100</v>
          </cell>
          <cell r="J103">
            <v>100</v>
          </cell>
          <cell r="K103">
            <v>100</v>
          </cell>
        </row>
        <row r="104">
          <cell r="A104">
            <v>99</v>
          </cell>
          <cell r="B104">
            <v>29656</v>
          </cell>
          <cell r="C104">
            <v>9350</v>
          </cell>
          <cell r="D104">
            <v>9350</v>
          </cell>
          <cell r="E104">
            <v>29656</v>
          </cell>
          <cell r="F104">
            <v>59312</v>
          </cell>
          <cell r="G104">
            <v>29656</v>
          </cell>
          <cell r="H104">
            <v>7414</v>
          </cell>
          <cell r="I104">
            <v>100</v>
          </cell>
          <cell r="J104">
            <v>100</v>
          </cell>
          <cell r="K104">
            <v>100</v>
          </cell>
        </row>
        <row r="105">
          <cell r="A105">
            <v>100</v>
          </cell>
          <cell r="B105">
            <v>30255</v>
          </cell>
          <cell r="C105">
            <v>9700</v>
          </cell>
          <cell r="D105">
            <v>9700</v>
          </cell>
          <cell r="E105">
            <v>30255</v>
          </cell>
          <cell r="F105">
            <v>60510</v>
          </cell>
          <cell r="G105">
            <v>30255</v>
          </cell>
          <cell r="H105">
            <v>7563</v>
          </cell>
          <cell r="I105">
            <v>100</v>
          </cell>
          <cell r="J105">
            <v>100</v>
          </cell>
          <cell r="K105">
            <v>100</v>
          </cell>
        </row>
        <row r="106">
          <cell r="A106">
            <v>101</v>
          </cell>
          <cell r="B106">
            <v>30860</v>
          </cell>
          <cell r="C106">
            <v>10060</v>
          </cell>
          <cell r="D106">
            <v>10060</v>
          </cell>
          <cell r="E106">
            <v>30860</v>
          </cell>
          <cell r="F106">
            <v>61720</v>
          </cell>
          <cell r="G106">
            <v>30860</v>
          </cell>
          <cell r="H106">
            <v>7715</v>
          </cell>
          <cell r="I106">
            <v>100</v>
          </cell>
          <cell r="J106">
            <v>100</v>
          </cell>
          <cell r="K106">
            <v>100</v>
          </cell>
        </row>
        <row r="107">
          <cell r="A107">
            <v>102</v>
          </cell>
          <cell r="B107">
            <v>31471</v>
          </cell>
          <cell r="C107">
            <v>10400</v>
          </cell>
          <cell r="D107">
            <v>10400</v>
          </cell>
          <cell r="E107">
            <v>31471</v>
          </cell>
          <cell r="F107">
            <v>62942</v>
          </cell>
          <cell r="G107">
            <v>31471</v>
          </cell>
          <cell r="H107">
            <v>7867</v>
          </cell>
          <cell r="I107">
            <v>100</v>
          </cell>
          <cell r="J107">
            <v>100</v>
          </cell>
          <cell r="K107">
            <v>100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100"/>
  <sheetViews>
    <sheetView topLeftCell="A47" workbookViewId="0">
      <selection activeCell="C78" sqref="C78"/>
    </sheetView>
  </sheetViews>
  <sheetFormatPr defaultRowHeight="13.5"/>
  <cols>
    <col min="2" max="2" width="10.5" bestFit="1" customWidth="1"/>
  </cols>
  <sheetData>
    <row r="1" spans="1:2">
      <c r="A1">
        <v>1</v>
      </c>
      <c r="B1">
        <f t="shared" ref="B1:B32" si="0">ROUND(POWER(A1,4)*5-70/3*POWER(A1,3)+25*POWER(A1,2)+23*A1-25,0)</f>
        <v>5</v>
      </c>
    </row>
    <row r="2" spans="1:2">
      <c r="A2">
        <v>2</v>
      </c>
      <c r="B2">
        <f t="shared" si="0"/>
        <v>14</v>
      </c>
    </row>
    <row r="3" spans="1:2">
      <c r="A3">
        <v>3</v>
      </c>
      <c r="B3">
        <f t="shared" si="0"/>
        <v>44</v>
      </c>
    </row>
    <row r="4" spans="1:2">
      <c r="A4">
        <v>4</v>
      </c>
      <c r="B4">
        <f t="shared" si="0"/>
        <v>254</v>
      </c>
    </row>
    <row r="5" spans="1:2">
      <c r="A5">
        <v>5</v>
      </c>
      <c r="B5">
        <f t="shared" si="0"/>
        <v>923</v>
      </c>
    </row>
    <row r="6" spans="1:2">
      <c r="A6">
        <v>6</v>
      </c>
      <c r="B6">
        <f t="shared" si="0"/>
        <v>2453</v>
      </c>
    </row>
    <row r="7" spans="1:2">
      <c r="A7">
        <v>7</v>
      </c>
      <c r="B7">
        <f t="shared" si="0"/>
        <v>5363</v>
      </c>
    </row>
    <row r="8" spans="1:2">
      <c r="A8">
        <v>8</v>
      </c>
      <c r="B8">
        <f t="shared" si="0"/>
        <v>10292</v>
      </c>
    </row>
    <row r="9" spans="1:2">
      <c r="A9">
        <v>9</v>
      </c>
      <c r="B9">
        <f t="shared" si="0"/>
        <v>18002</v>
      </c>
    </row>
    <row r="10" spans="1:2">
      <c r="A10">
        <v>10</v>
      </c>
      <c r="B10">
        <f t="shared" si="0"/>
        <v>29372</v>
      </c>
    </row>
    <row r="11" spans="1:2">
      <c r="A11">
        <v>11</v>
      </c>
      <c r="B11">
        <f t="shared" si="0"/>
        <v>45401</v>
      </c>
    </row>
    <row r="12" spans="1:2">
      <c r="A12">
        <v>12</v>
      </c>
      <c r="B12">
        <f t="shared" si="0"/>
        <v>67211</v>
      </c>
    </row>
    <row r="13" spans="1:2">
      <c r="A13">
        <v>13</v>
      </c>
      <c r="B13">
        <f t="shared" si="0"/>
        <v>96041</v>
      </c>
    </row>
    <row r="14" spans="1:2">
      <c r="A14">
        <v>14</v>
      </c>
      <c r="B14">
        <f t="shared" si="0"/>
        <v>133250</v>
      </c>
    </row>
    <row r="15" spans="1:2">
      <c r="A15">
        <v>15</v>
      </c>
      <c r="B15">
        <f t="shared" si="0"/>
        <v>180320</v>
      </c>
    </row>
    <row r="16" spans="1:2">
      <c r="A16">
        <v>16</v>
      </c>
      <c r="B16">
        <f t="shared" si="0"/>
        <v>238850</v>
      </c>
    </row>
    <row r="17" spans="1:2">
      <c r="A17">
        <v>17</v>
      </c>
      <c r="B17">
        <f t="shared" si="0"/>
        <v>310559</v>
      </c>
    </row>
    <row r="18" spans="1:2">
      <c r="A18">
        <v>18</v>
      </c>
      <c r="B18">
        <f t="shared" si="0"/>
        <v>397289</v>
      </c>
    </row>
    <row r="19" spans="1:2">
      <c r="A19">
        <v>19</v>
      </c>
      <c r="B19">
        <f t="shared" si="0"/>
        <v>500999</v>
      </c>
    </row>
    <row r="20" spans="1:2">
      <c r="A20">
        <v>20</v>
      </c>
      <c r="B20">
        <f t="shared" si="0"/>
        <v>623768</v>
      </c>
    </row>
    <row r="21" spans="1:2">
      <c r="A21">
        <v>21</v>
      </c>
      <c r="B21">
        <f t="shared" si="0"/>
        <v>767798</v>
      </c>
    </row>
    <row r="22" spans="1:2">
      <c r="A22">
        <v>22</v>
      </c>
      <c r="B22">
        <f t="shared" si="0"/>
        <v>935408</v>
      </c>
    </row>
    <row r="23" spans="1:2">
      <c r="A23">
        <v>23</v>
      </c>
      <c r="B23">
        <f t="shared" si="0"/>
        <v>1129037</v>
      </c>
    </row>
    <row r="24" spans="1:2">
      <c r="A24">
        <v>24</v>
      </c>
      <c r="B24">
        <f t="shared" si="0"/>
        <v>1351247</v>
      </c>
    </row>
    <row r="25" spans="1:2">
      <c r="A25">
        <v>25</v>
      </c>
      <c r="B25">
        <f t="shared" si="0"/>
        <v>1604717</v>
      </c>
    </row>
    <row r="26" spans="1:2">
      <c r="A26">
        <v>26</v>
      </c>
      <c r="B26">
        <f t="shared" si="0"/>
        <v>1892246</v>
      </c>
    </row>
    <row r="27" spans="1:2">
      <c r="A27">
        <v>27</v>
      </c>
      <c r="B27">
        <f t="shared" si="0"/>
        <v>2216756</v>
      </c>
    </row>
    <row r="28" spans="1:2">
      <c r="A28">
        <v>28</v>
      </c>
      <c r="B28">
        <f t="shared" si="0"/>
        <v>2581286</v>
      </c>
    </row>
    <row r="29" spans="1:2">
      <c r="A29">
        <v>29</v>
      </c>
      <c r="B29">
        <f t="shared" si="0"/>
        <v>2988995</v>
      </c>
    </row>
    <row r="30" spans="1:2">
      <c r="A30">
        <v>30</v>
      </c>
      <c r="B30">
        <f t="shared" si="0"/>
        <v>3443165</v>
      </c>
    </row>
    <row r="31" spans="1:2">
      <c r="A31">
        <v>31</v>
      </c>
      <c r="B31">
        <f t="shared" si="0"/>
        <v>3947195</v>
      </c>
    </row>
    <row r="32" spans="1:2">
      <c r="A32">
        <v>32</v>
      </c>
      <c r="B32">
        <f t="shared" si="0"/>
        <v>4504604</v>
      </c>
    </row>
    <row r="33" spans="1:2">
      <c r="A33">
        <v>33</v>
      </c>
      <c r="B33">
        <f t="shared" ref="B33:B64" si="1">ROUND(POWER(A33,4)*5-70/3*POWER(A33,3)+25*POWER(A33,2)+23*A33-25,0)</f>
        <v>5119034</v>
      </c>
    </row>
    <row r="34" spans="1:2">
      <c r="A34">
        <v>34</v>
      </c>
      <c r="B34">
        <f t="shared" si="1"/>
        <v>5794244</v>
      </c>
    </row>
    <row r="35" spans="1:2">
      <c r="A35">
        <v>35</v>
      </c>
      <c r="B35">
        <f t="shared" si="1"/>
        <v>6534113</v>
      </c>
    </row>
    <row r="36" spans="1:2">
      <c r="A36">
        <v>36</v>
      </c>
      <c r="B36">
        <f t="shared" si="1"/>
        <v>7342643</v>
      </c>
    </row>
    <row r="37" spans="1:2">
      <c r="A37">
        <v>37</v>
      </c>
      <c r="B37">
        <f t="shared" si="1"/>
        <v>8223953</v>
      </c>
    </row>
    <row r="38" spans="1:2">
      <c r="A38">
        <v>38</v>
      </c>
      <c r="B38">
        <f t="shared" si="1"/>
        <v>9182282</v>
      </c>
    </row>
    <row r="39" spans="1:2">
      <c r="A39">
        <v>39</v>
      </c>
      <c r="B39">
        <f t="shared" si="1"/>
        <v>10221992</v>
      </c>
    </row>
    <row r="40" spans="1:2">
      <c r="A40">
        <v>40</v>
      </c>
      <c r="B40">
        <f t="shared" si="1"/>
        <v>11347562</v>
      </c>
    </row>
    <row r="41" spans="1:2">
      <c r="A41">
        <v>41</v>
      </c>
      <c r="B41">
        <f t="shared" si="1"/>
        <v>12563591</v>
      </c>
    </row>
    <row r="42" spans="1:2">
      <c r="A42">
        <v>42</v>
      </c>
      <c r="B42">
        <f t="shared" si="1"/>
        <v>13874801</v>
      </c>
    </row>
    <row r="43" spans="1:2">
      <c r="A43">
        <v>43</v>
      </c>
      <c r="B43">
        <f t="shared" si="1"/>
        <v>15286031</v>
      </c>
    </row>
    <row r="44" spans="1:2">
      <c r="A44">
        <v>44</v>
      </c>
      <c r="B44">
        <f t="shared" si="1"/>
        <v>16802240</v>
      </c>
    </row>
    <row r="45" spans="1:2">
      <c r="A45">
        <v>45</v>
      </c>
      <c r="B45">
        <f t="shared" si="1"/>
        <v>18428510</v>
      </c>
    </row>
    <row r="46" spans="1:2">
      <c r="A46">
        <v>46</v>
      </c>
      <c r="B46">
        <f t="shared" si="1"/>
        <v>20170040</v>
      </c>
    </row>
    <row r="47" spans="1:2">
      <c r="A47">
        <v>47</v>
      </c>
      <c r="B47">
        <f t="shared" si="1"/>
        <v>22032149</v>
      </c>
    </row>
    <row r="48" spans="1:2">
      <c r="A48">
        <v>48</v>
      </c>
      <c r="B48">
        <f t="shared" si="1"/>
        <v>24020279</v>
      </c>
    </row>
    <row r="49" spans="1:2">
      <c r="A49">
        <v>49</v>
      </c>
      <c r="B49">
        <f t="shared" si="1"/>
        <v>26139989</v>
      </c>
    </row>
    <row r="50" spans="1:2">
      <c r="A50">
        <v>50</v>
      </c>
      <c r="B50">
        <f t="shared" si="1"/>
        <v>28396958</v>
      </c>
    </row>
    <row r="51" spans="1:2">
      <c r="A51">
        <v>51</v>
      </c>
      <c r="B51">
        <f t="shared" si="1"/>
        <v>30796988</v>
      </c>
    </row>
    <row r="52" spans="1:2">
      <c r="A52">
        <v>52</v>
      </c>
      <c r="B52">
        <f t="shared" si="1"/>
        <v>33345998</v>
      </c>
    </row>
    <row r="53" spans="1:2">
      <c r="A53">
        <v>53</v>
      </c>
      <c r="B53">
        <f t="shared" si="1"/>
        <v>36050027</v>
      </c>
    </row>
    <row r="54" spans="1:2">
      <c r="A54">
        <v>54</v>
      </c>
      <c r="B54">
        <f t="shared" si="1"/>
        <v>38915237</v>
      </c>
    </row>
    <row r="55" spans="1:2">
      <c r="A55">
        <v>55</v>
      </c>
      <c r="B55">
        <f t="shared" si="1"/>
        <v>41947907</v>
      </c>
    </row>
    <row r="56" spans="1:2">
      <c r="A56">
        <v>56</v>
      </c>
      <c r="B56">
        <f t="shared" si="1"/>
        <v>45154436</v>
      </c>
    </row>
    <row r="57" spans="1:2">
      <c r="A57">
        <v>57</v>
      </c>
      <c r="B57">
        <f t="shared" si="1"/>
        <v>48541346</v>
      </c>
    </row>
    <row r="58" spans="1:2">
      <c r="A58">
        <v>58</v>
      </c>
      <c r="B58">
        <f t="shared" si="1"/>
        <v>52115276</v>
      </c>
    </row>
    <row r="59" spans="1:2">
      <c r="A59">
        <v>59</v>
      </c>
      <c r="B59">
        <f t="shared" si="1"/>
        <v>55882985</v>
      </c>
    </row>
    <row r="60" spans="1:2">
      <c r="A60">
        <v>60</v>
      </c>
      <c r="B60">
        <f t="shared" si="1"/>
        <v>59851355</v>
      </c>
    </row>
    <row r="61" spans="1:2">
      <c r="A61">
        <v>61</v>
      </c>
      <c r="B61">
        <f t="shared" si="1"/>
        <v>64027385</v>
      </c>
    </row>
    <row r="62" spans="1:2">
      <c r="A62">
        <v>62</v>
      </c>
      <c r="B62">
        <f t="shared" si="1"/>
        <v>68418194</v>
      </c>
    </row>
    <row r="63" spans="1:2">
      <c r="A63">
        <v>63</v>
      </c>
      <c r="B63">
        <f t="shared" si="1"/>
        <v>73031024</v>
      </c>
    </row>
    <row r="64" spans="1:2">
      <c r="A64">
        <v>64</v>
      </c>
      <c r="B64">
        <f t="shared" si="1"/>
        <v>77873234</v>
      </c>
    </row>
    <row r="65" spans="1:2">
      <c r="A65">
        <v>65</v>
      </c>
      <c r="B65">
        <f t="shared" ref="B65:B70" si="2">ROUND(POWER(A65,4)*5-70/3*POWER(A65,3)+25*POWER(A65,2)+23*A65-25,0)</f>
        <v>82952303</v>
      </c>
    </row>
    <row r="66" spans="1:2">
      <c r="A66">
        <v>66</v>
      </c>
      <c r="B66">
        <f t="shared" si="2"/>
        <v>88275833</v>
      </c>
    </row>
    <row r="67" spans="1:2">
      <c r="A67">
        <v>67</v>
      </c>
      <c r="B67">
        <f t="shared" si="2"/>
        <v>93851543</v>
      </c>
    </row>
    <row r="68" spans="1:2">
      <c r="A68">
        <v>68</v>
      </c>
      <c r="B68">
        <f t="shared" si="2"/>
        <v>99687272</v>
      </c>
    </row>
    <row r="69" spans="1:2">
      <c r="A69">
        <v>69</v>
      </c>
      <c r="B69">
        <f t="shared" si="2"/>
        <v>105790982</v>
      </c>
    </row>
    <row r="70" spans="1:2">
      <c r="A70">
        <v>70</v>
      </c>
      <c r="B70">
        <f t="shared" si="2"/>
        <v>112170752</v>
      </c>
    </row>
    <row r="71" spans="1:2">
      <c r="A71">
        <v>71</v>
      </c>
      <c r="B71">
        <v>118834800</v>
      </c>
    </row>
    <row r="72" spans="1:2">
      <c r="A72">
        <v>72</v>
      </c>
      <c r="B72">
        <v>125791410</v>
      </c>
    </row>
    <row r="73" spans="1:2">
      <c r="A73">
        <v>73</v>
      </c>
      <c r="B73">
        <v>133049040</v>
      </c>
    </row>
    <row r="74" spans="1:2">
      <c r="A74">
        <v>74</v>
      </c>
      <c r="B74">
        <v>140616250</v>
      </c>
    </row>
    <row r="75" spans="1:2">
      <c r="A75">
        <v>75</v>
      </c>
      <c r="B75">
        <v>148501720</v>
      </c>
    </row>
    <row r="76" spans="1:2">
      <c r="A76">
        <v>76</v>
      </c>
      <c r="B76">
        <v>156714250</v>
      </c>
    </row>
    <row r="77" spans="1:2">
      <c r="A77">
        <v>77</v>
      </c>
      <c r="B77">
        <v>165262760</v>
      </c>
    </row>
    <row r="78" spans="1:2">
      <c r="A78">
        <v>78</v>
      </c>
      <c r="B78">
        <v>174156290</v>
      </c>
    </row>
    <row r="79" spans="1:2">
      <c r="A79">
        <v>79</v>
      </c>
      <c r="B79">
        <f t="shared" ref="B79:B100" si="3">ROUND(POWER(A79,4)*5-70/3*POWER(A79,3)+25*POWER(A79,2)+23*A79-25,0)</f>
        <v>183403979</v>
      </c>
    </row>
    <row r="80" spans="1:2">
      <c r="A80">
        <v>80</v>
      </c>
      <c r="B80">
        <f t="shared" si="3"/>
        <v>193015148</v>
      </c>
    </row>
    <row r="81" spans="1:2">
      <c r="A81">
        <v>81</v>
      </c>
      <c r="B81">
        <f t="shared" si="3"/>
        <v>202999178</v>
      </c>
    </row>
    <row r="82" spans="1:2">
      <c r="A82">
        <v>82</v>
      </c>
      <c r="B82">
        <f t="shared" si="3"/>
        <v>213365588</v>
      </c>
    </row>
    <row r="83" spans="1:2">
      <c r="A83">
        <v>83</v>
      </c>
      <c r="B83">
        <f t="shared" si="3"/>
        <v>224124017</v>
      </c>
    </row>
    <row r="84" spans="1:2">
      <c r="A84">
        <v>84</v>
      </c>
      <c r="B84">
        <f t="shared" si="3"/>
        <v>235284227</v>
      </c>
    </row>
    <row r="85" spans="1:2">
      <c r="A85">
        <v>85</v>
      </c>
      <c r="B85">
        <f t="shared" si="3"/>
        <v>246856097</v>
      </c>
    </row>
    <row r="86" spans="1:2">
      <c r="A86">
        <v>86</v>
      </c>
      <c r="B86">
        <f t="shared" si="3"/>
        <v>258849626</v>
      </c>
    </row>
    <row r="87" spans="1:2">
      <c r="A87">
        <v>87</v>
      </c>
      <c r="B87">
        <f t="shared" si="3"/>
        <v>271274936</v>
      </c>
    </row>
    <row r="88" spans="1:2">
      <c r="A88">
        <v>88</v>
      </c>
      <c r="B88">
        <f t="shared" si="3"/>
        <v>284142266</v>
      </c>
    </row>
    <row r="89" spans="1:2">
      <c r="A89">
        <v>89</v>
      </c>
      <c r="B89">
        <f t="shared" si="3"/>
        <v>297461975</v>
      </c>
    </row>
    <row r="90" spans="1:2">
      <c r="A90">
        <v>90</v>
      </c>
      <c r="B90">
        <f t="shared" si="3"/>
        <v>311244545</v>
      </c>
    </row>
    <row r="91" spans="1:2">
      <c r="A91">
        <v>91</v>
      </c>
      <c r="B91">
        <f t="shared" si="3"/>
        <v>325500575</v>
      </c>
    </row>
    <row r="92" spans="1:2">
      <c r="A92">
        <v>92</v>
      </c>
      <c r="B92">
        <f t="shared" si="3"/>
        <v>340240784</v>
      </c>
    </row>
    <row r="93" spans="1:2">
      <c r="A93">
        <v>93</v>
      </c>
      <c r="B93">
        <f t="shared" si="3"/>
        <v>355476014</v>
      </c>
    </row>
    <row r="94" spans="1:2">
      <c r="A94">
        <v>94</v>
      </c>
      <c r="B94">
        <f t="shared" si="3"/>
        <v>371217224</v>
      </c>
    </row>
    <row r="95" spans="1:2">
      <c r="A95">
        <v>95</v>
      </c>
      <c r="B95">
        <f t="shared" si="3"/>
        <v>387475493</v>
      </c>
    </row>
    <row r="96" spans="1:2">
      <c r="A96">
        <v>96</v>
      </c>
      <c r="B96">
        <f t="shared" si="3"/>
        <v>404262023</v>
      </c>
    </row>
    <row r="97" spans="1:2">
      <c r="A97">
        <v>97</v>
      </c>
      <c r="B97">
        <f t="shared" si="3"/>
        <v>421588133</v>
      </c>
    </row>
    <row r="98" spans="1:2">
      <c r="A98">
        <v>98</v>
      </c>
      <c r="B98">
        <f t="shared" si="3"/>
        <v>439465262</v>
      </c>
    </row>
    <row r="99" spans="1:2">
      <c r="A99">
        <v>99</v>
      </c>
      <c r="B99">
        <f t="shared" si="3"/>
        <v>457904972</v>
      </c>
    </row>
    <row r="100" spans="1:2">
      <c r="A100">
        <v>100</v>
      </c>
      <c r="B100">
        <f t="shared" si="3"/>
        <v>476918942</v>
      </c>
    </row>
  </sheetData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W35"/>
  <sheetViews>
    <sheetView topLeftCell="A18" workbookViewId="0">
      <selection activeCell="K35" sqref="K35"/>
    </sheetView>
  </sheetViews>
  <sheetFormatPr defaultRowHeight="13.5"/>
  <sheetData>
    <row r="1" spans="1:23">
      <c r="A1" t="s">
        <v>318</v>
      </c>
      <c r="D1" t="s">
        <v>317</v>
      </c>
      <c r="G1" t="s">
        <v>316</v>
      </c>
      <c r="J1" t="s">
        <v>315</v>
      </c>
      <c r="M1" t="s">
        <v>314</v>
      </c>
      <c r="P1" t="s">
        <v>313</v>
      </c>
      <c r="S1" t="s">
        <v>312</v>
      </c>
      <c r="V1" t="s">
        <v>311</v>
      </c>
    </row>
    <row r="2" spans="1:23">
      <c r="A2">
        <v>6</v>
      </c>
      <c r="B2">
        <v>4</v>
      </c>
      <c r="D2">
        <v>6</v>
      </c>
      <c r="E2">
        <v>12</v>
      </c>
      <c r="G2">
        <v>8</v>
      </c>
      <c r="H2">
        <v>80</v>
      </c>
      <c r="J2">
        <v>1</v>
      </c>
      <c r="K2">
        <v>8</v>
      </c>
      <c r="M2">
        <v>8</v>
      </c>
      <c r="N2">
        <v>20</v>
      </c>
      <c r="P2">
        <v>5</v>
      </c>
      <c r="Q2">
        <v>100</v>
      </c>
      <c r="S2">
        <v>3</v>
      </c>
      <c r="T2">
        <v>3</v>
      </c>
      <c r="V2">
        <v>2</v>
      </c>
      <c r="W2">
        <v>4</v>
      </c>
    </row>
    <row r="3" spans="1:23">
      <c r="A3">
        <v>12</v>
      </c>
      <c r="B3">
        <v>12</v>
      </c>
      <c r="D3">
        <v>12</v>
      </c>
      <c r="E3">
        <v>43</v>
      </c>
      <c r="G3">
        <v>14</v>
      </c>
      <c r="H3">
        <v>150</v>
      </c>
      <c r="J3">
        <v>4</v>
      </c>
      <c r="K3">
        <v>17</v>
      </c>
      <c r="M3">
        <v>14</v>
      </c>
      <c r="N3">
        <v>64</v>
      </c>
      <c r="P3">
        <v>11</v>
      </c>
      <c r="Q3">
        <v>480</v>
      </c>
      <c r="S3">
        <v>7</v>
      </c>
      <c r="T3">
        <v>9</v>
      </c>
      <c r="V3">
        <v>6</v>
      </c>
      <c r="W3">
        <v>12</v>
      </c>
    </row>
    <row r="4" spans="1:23">
      <c r="A4">
        <v>18</v>
      </c>
      <c r="B4">
        <v>24</v>
      </c>
      <c r="D4">
        <v>18</v>
      </c>
      <c r="E4">
        <v>106</v>
      </c>
      <c r="G4">
        <v>17</v>
      </c>
      <c r="H4">
        <v>190</v>
      </c>
      <c r="J4">
        <v>7</v>
      </c>
      <c r="K4">
        <v>30</v>
      </c>
      <c r="M4">
        <v>17</v>
      </c>
      <c r="N4">
        <v>96</v>
      </c>
      <c r="P4">
        <v>17</v>
      </c>
      <c r="Q4">
        <v>1160</v>
      </c>
      <c r="S4">
        <v>11</v>
      </c>
      <c r="T4">
        <v>20</v>
      </c>
      <c r="V4">
        <v>10</v>
      </c>
      <c r="W4">
        <v>30</v>
      </c>
    </row>
    <row r="5" spans="1:23">
      <c r="A5">
        <v>24</v>
      </c>
      <c r="B5">
        <v>40</v>
      </c>
      <c r="D5">
        <v>24</v>
      </c>
      <c r="E5">
        <v>211</v>
      </c>
      <c r="G5">
        <v>20</v>
      </c>
      <c r="H5">
        <v>240</v>
      </c>
      <c r="J5">
        <v>10</v>
      </c>
      <c r="K5">
        <v>56</v>
      </c>
      <c r="M5">
        <v>20</v>
      </c>
      <c r="N5">
        <v>136</v>
      </c>
      <c r="P5">
        <v>23</v>
      </c>
      <c r="Q5">
        <v>2120</v>
      </c>
      <c r="S5">
        <v>15</v>
      </c>
      <c r="T5">
        <v>39</v>
      </c>
      <c r="V5">
        <v>14</v>
      </c>
      <c r="W5">
        <v>60</v>
      </c>
    </row>
    <row r="6" spans="1:23">
      <c r="A6">
        <v>27</v>
      </c>
      <c r="B6">
        <v>49</v>
      </c>
      <c r="D6">
        <v>27</v>
      </c>
      <c r="E6">
        <v>282</v>
      </c>
      <c r="G6">
        <v>26</v>
      </c>
      <c r="H6">
        <v>340</v>
      </c>
      <c r="J6">
        <v>13</v>
      </c>
      <c r="K6">
        <v>98</v>
      </c>
      <c r="M6">
        <v>26</v>
      </c>
      <c r="N6">
        <v>237</v>
      </c>
      <c r="P6">
        <v>29</v>
      </c>
      <c r="Q6">
        <v>3360</v>
      </c>
      <c r="S6">
        <v>19</v>
      </c>
      <c r="T6">
        <v>66</v>
      </c>
      <c r="V6">
        <v>18</v>
      </c>
      <c r="W6">
        <v>106</v>
      </c>
    </row>
    <row r="7" spans="1:23">
      <c r="A7">
        <v>30</v>
      </c>
      <c r="B7">
        <v>59</v>
      </c>
      <c r="D7">
        <v>30</v>
      </c>
      <c r="E7">
        <v>368</v>
      </c>
      <c r="G7">
        <v>32</v>
      </c>
      <c r="H7">
        <v>460</v>
      </c>
      <c r="J7">
        <v>16</v>
      </c>
      <c r="K7">
        <v>156</v>
      </c>
      <c r="M7">
        <v>32</v>
      </c>
      <c r="N7">
        <v>372</v>
      </c>
      <c r="P7">
        <v>32</v>
      </c>
      <c r="Q7">
        <v>4100</v>
      </c>
      <c r="S7">
        <v>23</v>
      </c>
      <c r="T7">
        <v>104</v>
      </c>
      <c r="V7">
        <v>22</v>
      </c>
      <c r="W7">
        <v>171</v>
      </c>
    </row>
    <row r="8" spans="1:23">
      <c r="A8">
        <v>36</v>
      </c>
      <c r="B8">
        <v>82</v>
      </c>
      <c r="D8">
        <v>36</v>
      </c>
      <c r="E8">
        <v>588</v>
      </c>
      <c r="G8">
        <v>38</v>
      </c>
      <c r="H8">
        <v>590</v>
      </c>
      <c r="J8">
        <v>19</v>
      </c>
      <c r="K8">
        <v>234</v>
      </c>
      <c r="M8">
        <v>38</v>
      </c>
      <c r="N8">
        <v>542</v>
      </c>
      <c r="P8">
        <v>35</v>
      </c>
      <c r="Q8">
        <v>4900</v>
      </c>
      <c r="S8">
        <v>27</v>
      </c>
      <c r="T8">
        <v>153</v>
      </c>
      <c r="V8">
        <v>26</v>
      </c>
      <c r="W8">
        <v>257</v>
      </c>
    </row>
    <row r="9" spans="1:23">
      <c r="A9">
        <v>42</v>
      </c>
      <c r="B9">
        <v>108</v>
      </c>
      <c r="D9">
        <v>42</v>
      </c>
      <c r="E9">
        <v>880</v>
      </c>
      <c r="G9">
        <v>44</v>
      </c>
      <c r="H9">
        <v>740</v>
      </c>
      <c r="J9">
        <v>22</v>
      </c>
      <c r="K9">
        <v>339</v>
      </c>
      <c r="M9">
        <v>44</v>
      </c>
      <c r="N9">
        <v>751</v>
      </c>
      <c r="P9">
        <v>41</v>
      </c>
      <c r="Q9">
        <v>6720</v>
      </c>
      <c r="S9">
        <v>31</v>
      </c>
      <c r="T9">
        <v>216</v>
      </c>
      <c r="V9">
        <v>30</v>
      </c>
      <c r="W9">
        <v>368</v>
      </c>
    </row>
    <row r="10" spans="1:23">
      <c r="A10">
        <v>48</v>
      </c>
      <c r="B10">
        <v>138</v>
      </c>
      <c r="D10">
        <v>48</v>
      </c>
      <c r="E10">
        <v>1256</v>
      </c>
      <c r="G10">
        <v>47</v>
      </c>
      <c r="H10">
        <v>820</v>
      </c>
      <c r="J10">
        <v>25</v>
      </c>
      <c r="K10">
        <v>471</v>
      </c>
      <c r="M10">
        <v>47</v>
      </c>
      <c r="N10">
        <v>870</v>
      </c>
      <c r="P10">
        <v>47</v>
      </c>
      <c r="Q10">
        <v>8840</v>
      </c>
      <c r="S10">
        <v>35</v>
      </c>
      <c r="T10">
        <v>293</v>
      </c>
      <c r="V10">
        <v>34</v>
      </c>
      <c r="W10">
        <v>507</v>
      </c>
    </row>
    <row r="11" spans="1:23">
      <c r="A11">
        <v>54</v>
      </c>
      <c r="B11">
        <v>172</v>
      </c>
      <c r="D11">
        <v>54</v>
      </c>
      <c r="E11">
        <v>1726</v>
      </c>
      <c r="G11">
        <v>50</v>
      </c>
      <c r="H11">
        <v>900</v>
      </c>
      <c r="J11">
        <v>28</v>
      </c>
      <c r="K11">
        <v>630</v>
      </c>
      <c r="M11">
        <v>50</v>
      </c>
      <c r="N11">
        <v>1000</v>
      </c>
      <c r="P11">
        <v>53</v>
      </c>
      <c r="Q11">
        <v>11240</v>
      </c>
      <c r="S11">
        <v>39</v>
      </c>
      <c r="T11">
        <v>387</v>
      </c>
      <c r="V11">
        <v>38</v>
      </c>
      <c r="W11">
        <v>676</v>
      </c>
    </row>
    <row r="12" spans="1:23">
      <c r="A12">
        <v>57</v>
      </c>
      <c r="B12">
        <v>190</v>
      </c>
      <c r="D12">
        <v>57</v>
      </c>
      <c r="E12">
        <v>1999</v>
      </c>
      <c r="G12">
        <v>56</v>
      </c>
      <c r="H12">
        <v>1080</v>
      </c>
      <c r="J12">
        <v>31</v>
      </c>
      <c r="K12">
        <v>825</v>
      </c>
      <c r="M12">
        <v>56</v>
      </c>
      <c r="N12">
        <v>1292</v>
      </c>
      <c r="P12">
        <v>59</v>
      </c>
      <c r="Q12">
        <v>13920</v>
      </c>
      <c r="S12">
        <v>43</v>
      </c>
      <c r="T12">
        <v>498</v>
      </c>
      <c r="V12">
        <v>42</v>
      </c>
      <c r="W12">
        <v>880</v>
      </c>
    </row>
    <row r="13" spans="1:23">
      <c r="A13">
        <v>60</v>
      </c>
      <c r="B13">
        <v>209</v>
      </c>
      <c r="D13">
        <v>60</v>
      </c>
      <c r="E13">
        <v>2300</v>
      </c>
      <c r="G13">
        <v>62</v>
      </c>
      <c r="H13">
        <v>1260</v>
      </c>
      <c r="J13">
        <v>34</v>
      </c>
      <c r="K13">
        <v>1059</v>
      </c>
      <c r="M13">
        <v>62</v>
      </c>
      <c r="N13">
        <v>1629</v>
      </c>
      <c r="P13">
        <v>62</v>
      </c>
      <c r="Q13">
        <v>15380</v>
      </c>
      <c r="S13">
        <v>47</v>
      </c>
      <c r="T13">
        <v>629</v>
      </c>
      <c r="V13">
        <v>46</v>
      </c>
      <c r="W13">
        <v>1121</v>
      </c>
    </row>
    <row r="14" spans="1:23">
      <c r="A14">
        <v>66</v>
      </c>
      <c r="B14">
        <v>250</v>
      </c>
      <c r="D14">
        <v>66</v>
      </c>
      <c r="E14">
        <v>2988</v>
      </c>
      <c r="G14">
        <v>68</v>
      </c>
      <c r="H14">
        <v>1470</v>
      </c>
      <c r="J14">
        <v>37</v>
      </c>
      <c r="K14">
        <v>1329</v>
      </c>
      <c r="M14">
        <v>68</v>
      </c>
      <c r="N14">
        <v>2016</v>
      </c>
      <c r="P14">
        <v>65</v>
      </c>
      <c r="Q14">
        <v>16900</v>
      </c>
      <c r="S14">
        <v>51</v>
      </c>
      <c r="T14">
        <v>781</v>
      </c>
      <c r="V14">
        <v>50</v>
      </c>
      <c r="W14">
        <v>1402</v>
      </c>
    </row>
    <row r="15" spans="1:23">
      <c r="A15">
        <v>72</v>
      </c>
      <c r="B15">
        <v>294</v>
      </c>
      <c r="D15">
        <v>72</v>
      </c>
      <c r="E15">
        <v>3801</v>
      </c>
      <c r="G15">
        <v>74</v>
      </c>
      <c r="H15">
        <v>1690</v>
      </c>
      <c r="J15">
        <v>40</v>
      </c>
      <c r="K15">
        <v>1647</v>
      </c>
      <c r="M15">
        <v>74</v>
      </c>
      <c r="N15">
        <v>2453</v>
      </c>
      <c r="P15">
        <v>71</v>
      </c>
      <c r="Q15">
        <v>20160</v>
      </c>
      <c r="S15">
        <v>55</v>
      </c>
      <c r="T15">
        <v>955</v>
      </c>
      <c r="V15">
        <v>54</v>
      </c>
      <c r="W15">
        <v>1726</v>
      </c>
    </row>
    <row r="16" spans="1:23">
      <c r="A16">
        <v>78</v>
      </c>
      <c r="B16">
        <v>342</v>
      </c>
      <c r="D16">
        <v>78</v>
      </c>
      <c r="E16">
        <v>4750</v>
      </c>
      <c r="G16">
        <v>77</v>
      </c>
      <c r="H16">
        <v>1800</v>
      </c>
      <c r="J16">
        <v>43</v>
      </c>
      <c r="K16">
        <v>2010</v>
      </c>
      <c r="M16">
        <v>77</v>
      </c>
      <c r="N16">
        <v>2691</v>
      </c>
      <c r="P16">
        <v>77</v>
      </c>
      <c r="Q16">
        <v>23700</v>
      </c>
      <c r="S16">
        <v>59</v>
      </c>
      <c r="T16">
        <v>1153</v>
      </c>
      <c r="V16">
        <v>58</v>
      </c>
      <c r="W16">
        <v>2096</v>
      </c>
    </row>
    <row r="17" spans="1:23">
      <c r="A17">
        <v>84</v>
      </c>
      <c r="B17">
        <v>394</v>
      </c>
      <c r="D17">
        <v>84</v>
      </c>
      <c r="E17">
        <v>5844</v>
      </c>
      <c r="G17">
        <v>80</v>
      </c>
      <c r="H17">
        <v>1920</v>
      </c>
      <c r="J17">
        <v>46</v>
      </c>
      <c r="K17">
        <v>2421</v>
      </c>
      <c r="M17">
        <v>80</v>
      </c>
      <c r="N17">
        <v>2944</v>
      </c>
      <c r="P17">
        <v>83</v>
      </c>
      <c r="Q17">
        <v>27600</v>
      </c>
      <c r="S17">
        <v>63</v>
      </c>
      <c r="T17">
        <v>1377</v>
      </c>
      <c r="V17">
        <v>62</v>
      </c>
      <c r="W17">
        <v>2516</v>
      </c>
    </row>
    <row r="18" spans="1:23">
      <c r="A18">
        <v>87</v>
      </c>
      <c r="B18">
        <v>421</v>
      </c>
      <c r="D18">
        <v>87</v>
      </c>
      <c r="E18">
        <v>6499</v>
      </c>
      <c r="G18">
        <v>86</v>
      </c>
      <c r="H18">
        <v>2170</v>
      </c>
      <c r="J18">
        <v>49</v>
      </c>
      <c r="K18">
        <v>2889</v>
      </c>
      <c r="M18">
        <v>86</v>
      </c>
      <c r="N18">
        <v>3490</v>
      </c>
      <c r="P18">
        <v>89</v>
      </c>
      <c r="Q18">
        <v>31700</v>
      </c>
      <c r="S18">
        <v>67</v>
      </c>
      <c r="T18">
        <v>1628</v>
      </c>
      <c r="V18">
        <v>66</v>
      </c>
      <c r="W18">
        <v>2988</v>
      </c>
    </row>
    <row r="19" spans="1:23">
      <c r="A19">
        <v>90</v>
      </c>
      <c r="B19">
        <v>449</v>
      </c>
      <c r="D19">
        <v>90</v>
      </c>
      <c r="E19">
        <v>7094</v>
      </c>
      <c r="G19">
        <v>92</v>
      </c>
      <c r="H19">
        <v>2430</v>
      </c>
      <c r="J19">
        <v>52</v>
      </c>
      <c r="K19">
        <v>3411</v>
      </c>
      <c r="M19">
        <v>92</v>
      </c>
      <c r="N19">
        <v>4096</v>
      </c>
      <c r="P19">
        <v>92</v>
      </c>
      <c r="Q19">
        <v>33900</v>
      </c>
      <c r="S19">
        <v>71</v>
      </c>
      <c r="T19">
        <v>1907</v>
      </c>
      <c r="V19">
        <v>70</v>
      </c>
      <c r="W19">
        <v>3516</v>
      </c>
    </row>
    <row r="20" spans="1:23">
      <c r="A20">
        <v>96</v>
      </c>
      <c r="B20">
        <v>508</v>
      </c>
      <c r="D20">
        <v>96</v>
      </c>
      <c r="E20">
        <v>8510</v>
      </c>
      <c r="G20">
        <v>98</v>
      </c>
      <c r="H20">
        <v>2700</v>
      </c>
      <c r="J20">
        <v>55</v>
      </c>
      <c r="K20">
        <v>3993</v>
      </c>
      <c r="M20">
        <v>98</v>
      </c>
      <c r="N20">
        <v>4763</v>
      </c>
      <c r="P20">
        <v>95</v>
      </c>
      <c r="Q20">
        <v>36000</v>
      </c>
      <c r="S20">
        <v>75</v>
      </c>
      <c r="T20">
        <v>2217</v>
      </c>
      <c r="V20">
        <v>74</v>
      </c>
      <c r="W20">
        <v>4102</v>
      </c>
    </row>
    <row r="21" spans="1:23">
      <c r="J21">
        <v>58</v>
      </c>
      <c r="K21">
        <v>4641</v>
      </c>
      <c r="S21">
        <v>79</v>
      </c>
      <c r="T21">
        <v>2558</v>
      </c>
      <c r="V21">
        <v>78</v>
      </c>
      <c r="W21">
        <v>4750</v>
      </c>
    </row>
    <row r="22" spans="1:23">
      <c r="J22">
        <v>61</v>
      </c>
      <c r="K22">
        <v>5352</v>
      </c>
      <c r="S22">
        <v>83</v>
      </c>
      <c r="T22">
        <v>2933</v>
      </c>
      <c r="V22">
        <v>82</v>
      </c>
      <c r="W22">
        <v>5462</v>
      </c>
    </row>
    <row r="23" spans="1:23">
      <c r="J23">
        <v>64</v>
      </c>
      <c r="K23">
        <v>6132</v>
      </c>
      <c r="S23">
        <v>87</v>
      </c>
      <c r="T23">
        <v>3342</v>
      </c>
      <c r="V23">
        <v>86</v>
      </c>
      <c r="W23">
        <v>6243</v>
      </c>
    </row>
    <row r="24" spans="1:23">
      <c r="J24">
        <v>67</v>
      </c>
      <c r="K24">
        <v>6987</v>
      </c>
      <c r="S24">
        <v>91</v>
      </c>
      <c r="T24">
        <v>3788</v>
      </c>
      <c r="V24">
        <v>90</v>
      </c>
      <c r="W24">
        <v>7094</v>
      </c>
    </row>
    <row r="25" spans="1:23">
      <c r="J25">
        <v>70</v>
      </c>
      <c r="K25">
        <v>7917</v>
      </c>
      <c r="S25">
        <v>95</v>
      </c>
      <c r="T25">
        <v>4271</v>
      </c>
      <c r="V25">
        <v>94</v>
      </c>
      <c r="W25">
        <v>8019</v>
      </c>
    </row>
    <row r="26" spans="1:23">
      <c r="J26">
        <v>73</v>
      </c>
      <c r="K26">
        <v>8925</v>
      </c>
      <c r="V26">
        <v>98</v>
      </c>
      <c r="W26">
        <v>9021</v>
      </c>
    </row>
    <row r="27" spans="1:23">
      <c r="J27">
        <v>76</v>
      </c>
      <c r="K27">
        <v>10017</v>
      </c>
    </row>
    <row r="28" spans="1:23">
      <c r="J28">
        <v>79</v>
      </c>
      <c r="K28">
        <v>11193</v>
      </c>
    </row>
    <row r="29" spans="1:23">
      <c r="J29">
        <v>82</v>
      </c>
      <c r="K29">
        <v>12459</v>
      </c>
    </row>
    <row r="30" spans="1:23">
      <c r="J30">
        <v>85</v>
      </c>
      <c r="K30">
        <v>13821</v>
      </c>
    </row>
    <row r="31" spans="1:23">
      <c r="J31">
        <v>88</v>
      </c>
      <c r="K31">
        <v>15273</v>
      </c>
    </row>
    <row r="32" spans="1:23">
      <c r="J32">
        <v>91</v>
      </c>
      <c r="K32">
        <v>16827</v>
      </c>
    </row>
    <row r="33" spans="10:11">
      <c r="J33">
        <v>94</v>
      </c>
      <c r="K33">
        <v>18480</v>
      </c>
    </row>
    <row r="34" spans="10:11">
      <c r="J34">
        <v>97</v>
      </c>
      <c r="K34">
        <v>20238</v>
      </c>
    </row>
    <row r="35" spans="10:11">
      <c r="J35">
        <v>100</v>
      </c>
      <c r="K35">
        <v>22107</v>
      </c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5"/>
  <dimension ref="A1:B10"/>
  <sheetViews>
    <sheetView workbookViewId="0">
      <selection activeCell="H27" sqref="H27"/>
    </sheetView>
  </sheetViews>
  <sheetFormatPr defaultColWidth="9" defaultRowHeight="13.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honeticPr fontId="8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6"/>
  <dimension ref="A1:K219"/>
  <sheetViews>
    <sheetView topLeftCell="A91" workbookViewId="0">
      <selection activeCell="D117" sqref="D117"/>
    </sheetView>
  </sheetViews>
  <sheetFormatPr defaultColWidth="9" defaultRowHeight="13.5"/>
  <cols>
    <col min="1" max="1" width="9" style="8"/>
    <col min="2" max="2" width="12.625" style="1"/>
    <col min="3" max="3" width="9" style="8"/>
    <col min="4" max="4" width="9" style="1"/>
    <col min="5" max="6" width="12.625" style="1"/>
    <col min="7" max="7" width="16.75" style="1" customWidth="1"/>
    <col min="8" max="8" width="16.125" style="1" customWidth="1"/>
    <col min="9" max="9" width="12.625" style="1"/>
  </cols>
  <sheetData>
    <row r="1" spans="1:11">
      <c r="A1" s="8" t="s">
        <v>41</v>
      </c>
      <c r="B1" s="1" t="s">
        <v>42</v>
      </c>
      <c r="C1" s="8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K1" t="s">
        <v>50</v>
      </c>
    </row>
    <row r="2" spans="1:11">
      <c r="A2" s="8">
        <v>1</v>
      </c>
      <c r="B2" s="1">
        <v>10</v>
      </c>
      <c r="C2" s="8">
        <v>1</v>
      </c>
      <c r="D2" s="1">
        <v>10</v>
      </c>
      <c r="E2" s="1">
        <f>B2/D2</f>
        <v>1</v>
      </c>
      <c r="F2" s="1">
        <f>E2*$K$2</f>
        <v>20</v>
      </c>
      <c r="G2" s="1">
        <f>F2/3600</f>
        <v>5.5555555555555558E-3</v>
      </c>
      <c r="H2" s="1">
        <f>G2</f>
        <v>5.5555555555555558E-3</v>
      </c>
      <c r="I2" s="1">
        <f>H2/24</f>
        <v>2.3148148148148149E-4</v>
      </c>
      <c r="K2">
        <v>20</v>
      </c>
    </row>
    <row r="3" spans="1:11">
      <c r="A3" s="8">
        <v>2</v>
      </c>
      <c r="B3" s="1">
        <v>30</v>
      </c>
      <c r="C3" s="8">
        <v>2</v>
      </c>
      <c r="D3" s="1">
        <v>12</v>
      </c>
      <c r="E3" s="1">
        <f>B3/D3</f>
        <v>2.5</v>
      </c>
      <c r="F3" s="1">
        <f>E3*$K$2</f>
        <v>50</v>
      </c>
      <c r="G3" s="1">
        <f>F3/3600</f>
        <v>1.3888888888888888E-2</v>
      </c>
      <c r="H3" s="1">
        <f>H2+G3</f>
        <v>1.9444444444444445E-2</v>
      </c>
      <c r="I3" s="1">
        <f>H3/24</f>
        <v>8.1018518518518516E-4</v>
      </c>
    </row>
    <row r="4" spans="1:11">
      <c r="A4" s="8">
        <v>3</v>
      </c>
      <c r="B4" s="1">
        <v>210</v>
      </c>
      <c r="C4" s="8">
        <v>3</v>
      </c>
      <c r="D4" s="1">
        <v>14</v>
      </c>
      <c r="E4" s="1">
        <f>B4/D4</f>
        <v>15</v>
      </c>
      <c r="F4" s="1">
        <f>E4*$K$2</f>
        <v>300</v>
      </c>
      <c r="G4" s="1">
        <f>F4/3600</f>
        <v>8.3333333333333329E-2</v>
      </c>
      <c r="H4" s="1">
        <f>H3+G4</f>
        <v>0.10277777777777777</v>
      </c>
      <c r="I4" s="1">
        <f>H4/24</f>
        <v>4.2824074074074075E-3</v>
      </c>
    </row>
    <row r="5" spans="1:11">
      <c r="A5" s="8">
        <v>4</v>
      </c>
      <c r="B5" s="1">
        <v>670</v>
      </c>
      <c r="C5" s="8">
        <v>4</v>
      </c>
      <c r="D5" s="1">
        <v>16</v>
      </c>
      <c r="E5" s="1">
        <f>B5/D5</f>
        <v>41.875</v>
      </c>
      <c r="F5" s="1">
        <f>E5*$K$2</f>
        <v>837.5</v>
      </c>
      <c r="G5" s="1">
        <f>F5/3600</f>
        <v>0.2326388888888889</v>
      </c>
      <c r="H5" s="1">
        <f>H4+G5</f>
        <v>0.3354166666666667</v>
      </c>
      <c r="I5" s="1">
        <f>H5/24</f>
        <v>1.3975694444444445E-2</v>
      </c>
    </row>
    <row r="6" spans="1:11">
      <c r="A6" s="8">
        <v>5</v>
      </c>
      <c r="B6" s="1">
        <v>1530</v>
      </c>
      <c r="C6" s="8">
        <v>5</v>
      </c>
      <c r="D6" s="1">
        <v>18</v>
      </c>
      <c r="E6" s="1">
        <f t="shared" ref="E6:E21" si="0">B6/D6</f>
        <v>85</v>
      </c>
      <c r="F6" s="1">
        <f t="shared" ref="F6:F21" si="1">E6*$K$2</f>
        <v>1700</v>
      </c>
      <c r="G6" s="1">
        <f t="shared" ref="G6:G21" si="2">F6/3600</f>
        <v>0.47222222222222221</v>
      </c>
      <c r="H6" s="1">
        <f>H5+G6</f>
        <v>0.80763888888888891</v>
      </c>
      <c r="I6" s="1">
        <f t="shared" ref="I6:I34" si="3">H6/24</f>
        <v>3.3651620370370373E-2</v>
      </c>
    </row>
    <row r="7" spans="1:11">
      <c r="A7" s="8">
        <v>6</v>
      </c>
      <c r="B7" s="1">
        <v>2910</v>
      </c>
      <c r="C7" s="8">
        <v>6</v>
      </c>
      <c r="D7" s="1">
        <v>20</v>
      </c>
      <c r="E7" s="1">
        <f t="shared" si="0"/>
        <v>145.5</v>
      </c>
      <c r="F7" s="1">
        <f t="shared" si="1"/>
        <v>2910</v>
      </c>
      <c r="G7" s="1">
        <f t="shared" si="2"/>
        <v>0.80833333333333335</v>
      </c>
      <c r="H7" s="1">
        <f t="shared" ref="H7:H21" si="4">H6+G7</f>
        <v>1.6159722222222221</v>
      </c>
      <c r="I7" s="1">
        <f t="shared" si="3"/>
        <v>6.7332175925925927E-2</v>
      </c>
    </row>
    <row r="8" spans="1:11">
      <c r="A8" s="8">
        <v>7</v>
      </c>
      <c r="B8" s="1">
        <v>4930</v>
      </c>
      <c r="C8" s="8">
        <v>7</v>
      </c>
      <c r="D8" s="1">
        <v>22</v>
      </c>
      <c r="E8" s="1">
        <f t="shared" si="0"/>
        <v>224.09090909090901</v>
      </c>
      <c r="F8" s="1">
        <f t="shared" si="1"/>
        <v>4481.8181818181802</v>
      </c>
      <c r="G8" s="1">
        <f t="shared" si="2"/>
        <v>1.2449494949494946</v>
      </c>
      <c r="H8" s="1">
        <f t="shared" si="4"/>
        <v>2.8609217171717169</v>
      </c>
      <c r="I8" s="1">
        <f t="shared" si="3"/>
        <v>0.11920507154882154</v>
      </c>
    </row>
    <row r="9" spans="1:11">
      <c r="A9" s="8">
        <v>8</v>
      </c>
      <c r="B9" s="1">
        <v>7710</v>
      </c>
      <c r="C9" s="8">
        <v>8</v>
      </c>
      <c r="D9" s="1">
        <v>24</v>
      </c>
      <c r="E9" s="1">
        <f t="shared" si="0"/>
        <v>321.25</v>
      </c>
      <c r="F9" s="1">
        <f t="shared" si="1"/>
        <v>6425</v>
      </c>
      <c r="G9" s="1">
        <f t="shared" si="2"/>
        <v>1.7847222222222223</v>
      </c>
      <c r="H9" s="1">
        <f t="shared" si="4"/>
        <v>4.6456439393939393</v>
      </c>
      <c r="I9" s="1">
        <f t="shared" si="3"/>
        <v>0.19356849747474747</v>
      </c>
    </row>
    <row r="10" spans="1:11">
      <c r="A10" s="8">
        <v>9</v>
      </c>
      <c r="B10" s="1">
        <v>11370</v>
      </c>
      <c r="C10" s="8">
        <v>9</v>
      </c>
      <c r="D10" s="1">
        <v>28</v>
      </c>
      <c r="E10" s="1">
        <f t="shared" si="0"/>
        <v>406.07142857142901</v>
      </c>
      <c r="F10" s="1">
        <f t="shared" si="1"/>
        <v>8121.4285714285797</v>
      </c>
      <c r="G10" s="1">
        <f t="shared" si="2"/>
        <v>2.2559523809523832</v>
      </c>
      <c r="H10" s="1">
        <f t="shared" si="4"/>
        <v>6.9015963203463224</v>
      </c>
      <c r="I10" s="1">
        <f t="shared" si="3"/>
        <v>0.28756651334776345</v>
      </c>
    </row>
    <row r="11" spans="1:11">
      <c r="A11" s="8">
        <v>10</v>
      </c>
      <c r="B11" s="1">
        <v>16030</v>
      </c>
      <c r="C11" s="8">
        <v>10</v>
      </c>
      <c r="D11" s="1">
        <v>32</v>
      </c>
      <c r="E11" s="1">
        <f t="shared" si="0"/>
        <v>500.9375</v>
      </c>
      <c r="F11" s="1">
        <f t="shared" si="1"/>
        <v>10018.75</v>
      </c>
      <c r="G11" s="1">
        <f t="shared" si="2"/>
        <v>2.7829861111111112</v>
      </c>
      <c r="H11" s="1">
        <f t="shared" si="4"/>
        <v>9.684582431457434</v>
      </c>
      <c r="I11" s="1">
        <f t="shared" si="3"/>
        <v>0.4035242679773931</v>
      </c>
    </row>
    <row r="12" spans="1:11">
      <c r="A12" s="8">
        <v>11</v>
      </c>
      <c r="B12" s="1">
        <v>21810</v>
      </c>
      <c r="C12" s="8">
        <v>11</v>
      </c>
      <c r="D12" s="1">
        <v>36</v>
      </c>
      <c r="E12" s="1">
        <f t="shared" si="0"/>
        <v>605.83333333333303</v>
      </c>
      <c r="F12" s="1">
        <f t="shared" si="1"/>
        <v>12116.666666666661</v>
      </c>
      <c r="G12" s="1">
        <f t="shared" si="2"/>
        <v>3.3657407407407391</v>
      </c>
      <c r="H12" s="1">
        <f t="shared" si="4"/>
        <v>13.050323172198173</v>
      </c>
      <c r="I12" s="1">
        <f t="shared" si="3"/>
        <v>0.54376346550825716</v>
      </c>
    </row>
    <row r="13" spans="1:11">
      <c r="A13" s="8">
        <v>12</v>
      </c>
      <c r="B13" s="1">
        <v>28830</v>
      </c>
      <c r="C13" s="8">
        <v>12</v>
      </c>
      <c r="D13" s="1">
        <v>40</v>
      </c>
      <c r="E13" s="1">
        <f t="shared" si="0"/>
        <v>720.75</v>
      </c>
      <c r="F13" s="1">
        <f t="shared" si="1"/>
        <v>14415</v>
      </c>
      <c r="G13" s="1">
        <f t="shared" si="2"/>
        <v>4.0041666666666664</v>
      </c>
      <c r="H13" s="1">
        <f t="shared" si="4"/>
        <v>17.054489838864839</v>
      </c>
      <c r="I13" s="1">
        <f t="shared" si="3"/>
        <v>0.71060374328603493</v>
      </c>
    </row>
    <row r="14" spans="1:11">
      <c r="A14" s="8">
        <v>13</v>
      </c>
      <c r="B14" s="1">
        <v>37210</v>
      </c>
      <c r="C14" s="8">
        <v>13</v>
      </c>
      <c r="D14" s="1">
        <v>44</v>
      </c>
      <c r="E14" s="1">
        <f t="shared" si="0"/>
        <v>845.68181818181802</v>
      </c>
      <c r="F14" s="1">
        <f t="shared" si="1"/>
        <v>16913.63636363636</v>
      </c>
      <c r="G14" s="1">
        <f t="shared" si="2"/>
        <v>4.6982323232323226</v>
      </c>
      <c r="H14" s="1">
        <f t="shared" si="4"/>
        <v>21.752722162097161</v>
      </c>
      <c r="I14" s="1">
        <f t="shared" si="3"/>
        <v>0.90636342342071508</v>
      </c>
    </row>
    <row r="15" spans="1:11">
      <c r="A15" s="8">
        <v>14</v>
      </c>
      <c r="B15" s="1">
        <v>47070</v>
      </c>
      <c r="C15" s="8">
        <v>14</v>
      </c>
      <c r="D15" s="1">
        <v>48</v>
      </c>
      <c r="E15" s="1">
        <f t="shared" si="0"/>
        <v>980.625</v>
      </c>
      <c r="F15" s="1">
        <f t="shared" si="1"/>
        <v>19612.5</v>
      </c>
      <c r="G15" s="1">
        <f t="shared" si="2"/>
        <v>5.447916666666667</v>
      </c>
      <c r="H15" s="1">
        <f t="shared" si="4"/>
        <v>27.200638828763829</v>
      </c>
      <c r="I15" s="1">
        <f t="shared" si="3"/>
        <v>1.1333599511984929</v>
      </c>
    </row>
    <row r="16" spans="1:11">
      <c r="A16" s="8">
        <v>15</v>
      </c>
      <c r="B16" s="1">
        <v>58530</v>
      </c>
      <c r="C16" s="8">
        <v>15</v>
      </c>
      <c r="D16" s="1">
        <v>52</v>
      </c>
      <c r="E16" s="1">
        <f t="shared" si="0"/>
        <v>1125.5769230769199</v>
      </c>
      <c r="F16" s="1">
        <f t="shared" si="1"/>
        <v>22511.538461538399</v>
      </c>
      <c r="G16" s="1">
        <f t="shared" si="2"/>
        <v>6.2532051282051109</v>
      </c>
      <c r="H16" s="1">
        <f t="shared" si="4"/>
        <v>33.453843956968939</v>
      </c>
      <c r="I16" s="1">
        <f t="shared" si="3"/>
        <v>1.3939101648737058</v>
      </c>
    </row>
    <row r="17" spans="1:9">
      <c r="A17" s="8">
        <v>16</v>
      </c>
      <c r="B17" s="1">
        <v>71710</v>
      </c>
      <c r="C17" s="8">
        <v>16</v>
      </c>
      <c r="D17" s="1">
        <v>56</v>
      </c>
      <c r="E17" s="1">
        <f t="shared" si="0"/>
        <v>1280.5357142857099</v>
      </c>
      <c r="F17" s="1">
        <f t="shared" si="1"/>
        <v>25610.714285714199</v>
      </c>
      <c r="G17" s="1">
        <f t="shared" si="2"/>
        <v>7.1140873015872774</v>
      </c>
      <c r="H17" s="1">
        <f t="shared" si="4"/>
        <v>40.567931258556214</v>
      </c>
      <c r="I17" s="1">
        <f t="shared" si="3"/>
        <v>1.6903304691065089</v>
      </c>
    </row>
    <row r="18" spans="1:9">
      <c r="A18" s="8">
        <v>17</v>
      </c>
      <c r="B18" s="1">
        <v>86730</v>
      </c>
      <c r="C18" s="8">
        <v>17</v>
      </c>
      <c r="D18" s="1">
        <v>60</v>
      </c>
      <c r="E18" s="1">
        <f t="shared" si="0"/>
        <v>1445.5</v>
      </c>
      <c r="F18" s="1">
        <f t="shared" si="1"/>
        <v>28910</v>
      </c>
      <c r="G18" s="1">
        <f t="shared" si="2"/>
        <v>8.030555555555555</v>
      </c>
      <c r="H18" s="1">
        <f t="shared" si="4"/>
        <v>48.598486814111766</v>
      </c>
      <c r="I18" s="1">
        <f t="shared" si="3"/>
        <v>2.0249369505879904</v>
      </c>
    </row>
    <row r="19" spans="1:9">
      <c r="A19" s="8">
        <v>18</v>
      </c>
      <c r="B19" s="1">
        <v>103710</v>
      </c>
      <c r="C19" s="8">
        <v>18</v>
      </c>
      <c r="D19" s="1">
        <v>64</v>
      </c>
      <c r="E19" s="1">
        <f t="shared" si="0"/>
        <v>1620.46875</v>
      </c>
      <c r="F19" s="1">
        <f t="shared" si="1"/>
        <v>32409.375</v>
      </c>
      <c r="G19" s="1">
        <f t="shared" si="2"/>
        <v>9.0026041666666661</v>
      </c>
      <c r="H19" s="1">
        <f t="shared" si="4"/>
        <v>57.60109098077843</v>
      </c>
      <c r="I19" s="1">
        <f t="shared" si="3"/>
        <v>2.4000454575324346</v>
      </c>
    </row>
    <row r="20" spans="1:9">
      <c r="A20" s="8">
        <v>19</v>
      </c>
      <c r="B20" s="1">
        <v>122770</v>
      </c>
      <c r="C20" s="8">
        <v>19</v>
      </c>
      <c r="D20" s="1">
        <v>68</v>
      </c>
      <c r="E20" s="1">
        <f t="shared" si="0"/>
        <v>1805.4411764705901</v>
      </c>
      <c r="F20" s="1">
        <f t="shared" si="1"/>
        <v>36108.823529411806</v>
      </c>
      <c r="G20" s="1">
        <f t="shared" si="2"/>
        <v>10.030228758169946</v>
      </c>
      <c r="H20" s="1">
        <f t="shared" si="4"/>
        <v>67.631319738948378</v>
      </c>
      <c r="I20" s="1">
        <f t="shared" si="3"/>
        <v>2.8179716557895156</v>
      </c>
    </row>
    <row r="21" spans="1:9">
      <c r="A21" s="8">
        <v>20</v>
      </c>
      <c r="B21" s="1">
        <v>144030</v>
      </c>
      <c r="C21" s="8">
        <v>20</v>
      </c>
      <c r="D21" s="1">
        <v>72</v>
      </c>
      <c r="E21" s="1">
        <f t="shared" si="0"/>
        <v>2000.4166666666699</v>
      </c>
      <c r="F21" s="1">
        <f t="shared" si="1"/>
        <v>40008.333333333401</v>
      </c>
      <c r="G21" s="1">
        <f t="shared" si="2"/>
        <v>11.113425925925945</v>
      </c>
      <c r="H21" s="1">
        <f t="shared" si="4"/>
        <v>78.74474566487433</v>
      </c>
      <c r="I21" s="1">
        <f t="shared" si="3"/>
        <v>3.2810310693697637</v>
      </c>
    </row>
    <row r="22" spans="1:9">
      <c r="A22" s="8">
        <v>21</v>
      </c>
      <c r="B22" s="1">
        <v>167610</v>
      </c>
      <c r="C22" s="8">
        <v>21</v>
      </c>
      <c r="D22" s="1">
        <v>78</v>
      </c>
      <c r="E22" s="1">
        <f>B22/D22</f>
        <v>2148.8461538461502</v>
      </c>
      <c r="F22" s="1">
        <f>E22*$K$2</f>
        <v>42976.923076923005</v>
      </c>
      <c r="G22" s="1">
        <f>F22/3600</f>
        <v>11.938034188034168</v>
      </c>
      <c r="H22" s="1">
        <f>H21+G22</f>
        <v>90.682779852908496</v>
      </c>
      <c r="I22" s="1">
        <f t="shared" si="3"/>
        <v>3.7784491605378538</v>
      </c>
    </row>
    <row r="23" spans="1:9">
      <c r="A23" s="8">
        <v>22</v>
      </c>
      <c r="B23" s="1">
        <v>193630</v>
      </c>
      <c r="C23" s="8">
        <v>22</v>
      </c>
      <c r="D23" s="1">
        <v>84</v>
      </c>
      <c r="E23" s="1">
        <f>B23/D23</f>
        <v>2305.11904761905</v>
      </c>
      <c r="F23" s="1">
        <f>E23*$K$2</f>
        <v>46102.380952380998</v>
      </c>
      <c r="G23" s="1">
        <f>F23/3600</f>
        <v>12.806216931216944</v>
      </c>
      <c r="H23" s="1">
        <f>H22+G23</f>
        <v>103.48899678412545</v>
      </c>
      <c r="I23" s="1">
        <f t="shared" si="3"/>
        <v>4.3120415326718939</v>
      </c>
    </row>
    <row r="24" spans="1:9">
      <c r="A24" s="8">
        <v>23</v>
      </c>
      <c r="B24" s="1">
        <v>222210</v>
      </c>
      <c r="C24" s="8">
        <v>23</v>
      </c>
      <c r="D24" s="1">
        <v>90</v>
      </c>
      <c r="E24" s="1">
        <f>B24/D24</f>
        <v>2469</v>
      </c>
      <c r="F24" s="1">
        <f>E24*$K$2</f>
        <v>49380</v>
      </c>
      <c r="G24" s="1">
        <f>F24/3600</f>
        <v>13.716666666666667</v>
      </c>
      <c r="H24" s="1">
        <f>H23+G24</f>
        <v>117.20566345079212</v>
      </c>
      <c r="I24" s="1">
        <f t="shared" si="3"/>
        <v>4.8835693104496718</v>
      </c>
    </row>
    <row r="25" spans="1:9">
      <c r="A25" s="8">
        <v>24</v>
      </c>
      <c r="B25" s="1">
        <v>253470</v>
      </c>
      <c r="C25" s="8">
        <v>24</v>
      </c>
      <c r="D25" s="1">
        <v>96</v>
      </c>
      <c r="E25" s="1">
        <f t="shared" ref="E25:E53" si="5">B25/D25</f>
        <v>2640.3125</v>
      </c>
      <c r="F25" s="1">
        <f t="shared" ref="F25:F53" si="6">E25*$K$2</f>
        <v>52806.25</v>
      </c>
      <c r="G25" s="1">
        <f t="shared" ref="G25:G53" si="7">F25/3600</f>
        <v>14.668402777777779</v>
      </c>
      <c r="H25" s="1">
        <f t="shared" ref="H25:H53" si="8">H24+G25</f>
        <v>131.87406622856989</v>
      </c>
      <c r="I25" s="1">
        <f t="shared" si="3"/>
        <v>5.4947527595237453</v>
      </c>
    </row>
    <row r="26" spans="1:9">
      <c r="A26" s="8">
        <v>25</v>
      </c>
      <c r="B26" s="1">
        <v>287530</v>
      </c>
      <c r="C26" s="8">
        <v>25</v>
      </c>
      <c r="D26" s="1">
        <v>102</v>
      </c>
      <c r="E26" s="1">
        <f t="shared" si="5"/>
        <v>2818.9215686274501</v>
      </c>
      <c r="F26" s="1">
        <f t="shared" si="6"/>
        <v>56378.431372549006</v>
      </c>
      <c r="G26" s="1">
        <f t="shared" si="7"/>
        <v>15.660675381263612</v>
      </c>
      <c r="H26" s="1">
        <f t="shared" si="8"/>
        <v>147.5347416098335</v>
      </c>
      <c r="I26" s="1">
        <f t="shared" si="3"/>
        <v>6.1472809004097293</v>
      </c>
    </row>
    <row r="27" spans="1:9">
      <c r="A27" s="8">
        <v>26</v>
      </c>
      <c r="B27" s="1">
        <v>324510</v>
      </c>
      <c r="C27" s="8">
        <v>26</v>
      </c>
      <c r="D27" s="1">
        <v>108</v>
      </c>
      <c r="E27" s="1">
        <f t="shared" si="5"/>
        <v>3004.7222222222199</v>
      </c>
      <c r="F27" s="1">
        <f t="shared" si="6"/>
        <v>60094.444444444394</v>
      </c>
      <c r="G27" s="1">
        <f t="shared" si="7"/>
        <v>16.692901234567888</v>
      </c>
      <c r="H27" s="1">
        <f t="shared" si="8"/>
        <v>164.2276428444014</v>
      </c>
      <c r="I27" s="1">
        <f t="shared" si="3"/>
        <v>6.8428184518500581</v>
      </c>
    </row>
    <row r="28" spans="1:9">
      <c r="A28" s="8">
        <v>27</v>
      </c>
      <c r="B28" s="1">
        <v>364530</v>
      </c>
      <c r="C28" s="8">
        <v>27</v>
      </c>
      <c r="D28" s="1">
        <v>114</v>
      </c>
      <c r="E28" s="1">
        <f t="shared" si="5"/>
        <v>3197.6315789473701</v>
      </c>
      <c r="F28" s="1">
        <f t="shared" si="6"/>
        <v>63952.631578947403</v>
      </c>
      <c r="G28" s="1">
        <f t="shared" si="7"/>
        <v>17.764619883040947</v>
      </c>
      <c r="H28" s="1">
        <f t="shared" si="8"/>
        <v>181.99226272744235</v>
      </c>
      <c r="I28" s="1">
        <f t="shared" si="3"/>
        <v>7.5830109469767644</v>
      </c>
    </row>
    <row r="29" spans="1:9">
      <c r="A29" s="8">
        <v>28</v>
      </c>
      <c r="B29" s="1">
        <v>407710</v>
      </c>
      <c r="C29" s="8">
        <v>28</v>
      </c>
      <c r="D29" s="1">
        <v>120</v>
      </c>
      <c r="E29" s="1">
        <f t="shared" si="5"/>
        <v>3397.5833333333298</v>
      </c>
      <c r="F29" s="1">
        <f t="shared" si="6"/>
        <v>67951.666666666599</v>
      </c>
      <c r="G29" s="1">
        <f t="shared" si="7"/>
        <v>18.875462962962946</v>
      </c>
      <c r="H29" s="1">
        <f t="shared" si="8"/>
        <v>200.86772569040531</v>
      </c>
      <c r="I29" s="1">
        <f t="shared" si="3"/>
        <v>8.3694885704335551</v>
      </c>
    </row>
    <row r="30" spans="1:9">
      <c r="A30" s="8">
        <v>29</v>
      </c>
      <c r="B30" s="1">
        <v>454170</v>
      </c>
      <c r="C30" s="8">
        <v>29</v>
      </c>
      <c r="D30" s="1">
        <v>126</v>
      </c>
      <c r="E30" s="1">
        <f t="shared" si="5"/>
        <v>3604.5238095238101</v>
      </c>
      <c r="F30" s="1">
        <f t="shared" si="6"/>
        <v>72090.476190476198</v>
      </c>
      <c r="G30" s="1">
        <f t="shared" si="7"/>
        <v>20.025132275132279</v>
      </c>
      <c r="H30" s="1">
        <f t="shared" si="8"/>
        <v>220.89285796553759</v>
      </c>
      <c r="I30" s="1">
        <f t="shared" si="3"/>
        <v>9.2038690818974001</v>
      </c>
    </row>
    <row r="31" spans="1:9">
      <c r="A31" s="8">
        <v>30</v>
      </c>
      <c r="B31" s="1">
        <v>504030</v>
      </c>
      <c r="C31" s="8">
        <v>30</v>
      </c>
      <c r="D31" s="1">
        <v>132</v>
      </c>
      <c r="E31" s="1">
        <f t="shared" si="5"/>
        <v>3818.4090909090901</v>
      </c>
      <c r="F31" s="1">
        <f t="shared" si="6"/>
        <v>76368.181818181794</v>
      </c>
      <c r="G31" s="1">
        <f t="shared" si="7"/>
        <v>21.21338383838383</v>
      </c>
      <c r="H31" s="1">
        <f t="shared" si="8"/>
        <v>242.10624180392142</v>
      </c>
      <c r="I31" s="1">
        <f t="shared" si="3"/>
        <v>10.087760075163393</v>
      </c>
    </row>
    <row r="32" spans="1:9">
      <c r="A32" s="8">
        <v>31</v>
      </c>
      <c r="B32" s="1">
        <v>557410</v>
      </c>
      <c r="C32" s="8">
        <v>31</v>
      </c>
      <c r="D32" s="1">
        <v>138</v>
      </c>
      <c r="E32" s="1">
        <f t="shared" si="5"/>
        <v>4039.20289855072</v>
      </c>
      <c r="F32" s="1">
        <f t="shared" si="6"/>
        <v>80784.057971014394</v>
      </c>
      <c r="G32" s="1">
        <f t="shared" si="7"/>
        <v>22.440016103059556</v>
      </c>
      <c r="H32" s="1">
        <f t="shared" si="8"/>
        <v>264.546257906981</v>
      </c>
      <c r="I32" s="1">
        <f t="shared" si="3"/>
        <v>11.022760746124208</v>
      </c>
    </row>
    <row r="33" spans="1:9">
      <c r="A33" s="8">
        <v>32</v>
      </c>
      <c r="B33" s="1">
        <v>614430</v>
      </c>
      <c r="C33" s="8">
        <v>32</v>
      </c>
      <c r="D33" s="1">
        <v>144</v>
      </c>
      <c r="E33" s="1">
        <f t="shared" si="5"/>
        <v>4266.875</v>
      </c>
      <c r="F33" s="1">
        <f t="shared" si="6"/>
        <v>85337.5</v>
      </c>
      <c r="G33" s="1">
        <f t="shared" si="7"/>
        <v>23.704861111111111</v>
      </c>
      <c r="H33" s="1">
        <f t="shared" si="8"/>
        <v>288.25111901809208</v>
      </c>
      <c r="I33" s="1">
        <f t="shared" si="3"/>
        <v>12.010463292420503</v>
      </c>
    </row>
    <row r="34" spans="1:9">
      <c r="A34" s="8">
        <v>33</v>
      </c>
      <c r="B34" s="1">
        <v>675210</v>
      </c>
      <c r="C34" s="8">
        <v>33</v>
      </c>
      <c r="D34" s="1">
        <v>150</v>
      </c>
      <c r="E34" s="1">
        <f t="shared" si="5"/>
        <v>4501.3999999999996</v>
      </c>
      <c r="F34" s="1">
        <f t="shared" si="6"/>
        <v>90028</v>
      </c>
      <c r="G34" s="1">
        <f t="shared" si="7"/>
        <v>25.007777777777779</v>
      </c>
      <c r="H34" s="1">
        <f t="shared" si="8"/>
        <v>313.25889679586987</v>
      </c>
      <c r="I34" s="1">
        <f t="shared" si="3"/>
        <v>13.052454033161245</v>
      </c>
    </row>
    <row r="35" spans="1:9">
      <c r="A35" s="8">
        <v>34</v>
      </c>
      <c r="B35" s="1">
        <v>739870</v>
      </c>
      <c r="C35" s="8">
        <v>34</v>
      </c>
      <c r="D35" s="1">
        <v>156</v>
      </c>
      <c r="E35" s="1">
        <f t="shared" si="5"/>
        <v>4742.7564102564102</v>
      </c>
      <c r="F35" s="1">
        <f t="shared" si="6"/>
        <v>94855.128205128203</v>
      </c>
      <c r="G35" s="1">
        <f t="shared" si="7"/>
        <v>26.348646723646723</v>
      </c>
      <c r="H35" s="1">
        <f t="shared" si="8"/>
        <v>339.60754351951658</v>
      </c>
      <c r="I35" s="1">
        <f>H35/24</f>
        <v>14.15031431331319</v>
      </c>
    </row>
    <row r="36" spans="1:9">
      <c r="A36" s="8">
        <v>35</v>
      </c>
      <c r="B36" s="1">
        <v>808530</v>
      </c>
      <c r="C36" s="8">
        <v>35</v>
      </c>
      <c r="D36" s="1">
        <v>162</v>
      </c>
      <c r="E36" s="1">
        <f t="shared" si="5"/>
        <v>4990.9259259259297</v>
      </c>
      <c r="F36" s="1">
        <f t="shared" si="6"/>
        <v>99818.518518518598</v>
      </c>
      <c r="G36" s="1">
        <f t="shared" si="7"/>
        <v>27.727366255144055</v>
      </c>
      <c r="H36" s="1">
        <f t="shared" si="8"/>
        <v>367.33490977466062</v>
      </c>
      <c r="I36" s="1">
        <f>H36/24</f>
        <v>15.30562124061086</v>
      </c>
    </row>
    <row r="37" spans="1:9">
      <c r="A37" s="8">
        <v>36</v>
      </c>
      <c r="B37" s="1">
        <v>881310</v>
      </c>
      <c r="C37" s="8">
        <v>36</v>
      </c>
      <c r="D37" s="1">
        <v>170</v>
      </c>
      <c r="E37" s="1">
        <f t="shared" si="5"/>
        <v>5184.1764705882397</v>
      </c>
      <c r="F37" s="1">
        <f t="shared" si="6"/>
        <v>103683.52941176479</v>
      </c>
      <c r="G37" s="1">
        <f t="shared" si="7"/>
        <v>28.800980392156884</v>
      </c>
      <c r="H37" s="1">
        <f t="shared" si="8"/>
        <v>396.13589016681749</v>
      </c>
      <c r="I37" s="1">
        <f>H37/24</f>
        <v>16.505662090284062</v>
      </c>
    </row>
    <row r="38" spans="1:9">
      <c r="A38" s="8">
        <v>37</v>
      </c>
      <c r="B38" s="1">
        <v>958330</v>
      </c>
      <c r="C38" s="8">
        <v>37</v>
      </c>
      <c r="D38" s="1">
        <v>178</v>
      </c>
      <c r="E38" s="1">
        <f t="shared" si="5"/>
        <v>5383.87640449438</v>
      </c>
      <c r="F38" s="1">
        <f t="shared" si="6"/>
        <v>107677.52808988761</v>
      </c>
      <c r="G38" s="1">
        <f t="shared" si="7"/>
        <v>29.910424469413226</v>
      </c>
      <c r="H38" s="1">
        <f t="shared" si="8"/>
        <v>426.0463146362307</v>
      </c>
      <c r="I38" s="1">
        <f t="shared" ref="I38:I71" si="9">H38/24</f>
        <v>17.751929776509613</v>
      </c>
    </row>
    <row r="39" spans="1:9">
      <c r="A39" s="8">
        <v>38</v>
      </c>
      <c r="B39" s="1">
        <v>1039710</v>
      </c>
      <c r="C39" s="8">
        <v>38</v>
      </c>
      <c r="D39" s="1">
        <v>186</v>
      </c>
      <c r="E39" s="1">
        <f t="shared" si="5"/>
        <v>5589.8387096774204</v>
      </c>
      <c r="F39" s="1">
        <f t="shared" si="6"/>
        <v>111796.77419354841</v>
      </c>
      <c r="G39" s="1">
        <f t="shared" si="7"/>
        <v>31.05465949820789</v>
      </c>
      <c r="H39" s="1">
        <f t="shared" si="8"/>
        <v>457.10097413443862</v>
      </c>
      <c r="I39" s="1">
        <f t="shared" si="9"/>
        <v>19.045873922268274</v>
      </c>
    </row>
    <row r="40" spans="1:9">
      <c r="A40" s="8">
        <v>39</v>
      </c>
      <c r="B40" s="1">
        <v>1125570</v>
      </c>
      <c r="C40" s="8">
        <v>39</v>
      </c>
      <c r="D40" s="1">
        <v>194</v>
      </c>
      <c r="E40" s="1">
        <f t="shared" si="5"/>
        <v>5801.9072164948502</v>
      </c>
      <c r="F40" s="1">
        <f t="shared" si="6"/>
        <v>116038.14432989701</v>
      </c>
      <c r="G40" s="1">
        <f t="shared" si="7"/>
        <v>32.23281786941584</v>
      </c>
      <c r="H40" s="1">
        <f t="shared" si="8"/>
        <v>489.33379200385446</v>
      </c>
      <c r="I40" s="1">
        <f t="shared" si="9"/>
        <v>20.388908000160601</v>
      </c>
    </row>
    <row r="41" spans="1:9">
      <c r="A41" s="8">
        <v>40</v>
      </c>
      <c r="B41" s="1">
        <v>1216030</v>
      </c>
      <c r="C41" s="8">
        <v>40</v>
      </c>
      <c r="D41" s="1">
        <v>202</v>
      </c>
      <c r="E41" s="1">
        <f t="shared" si="5"/>
        <v>6019.9504950495002</v>
      </c>
      <c r="F41" s="1">
        <f t="shared" si="6"/>
        <v>120399.00990099</v>
      </c>
      <c r="G41" s="1">
        <f t="shared" si="7"/>
        <v>33.444169416941669</v>
      </c>
      <c r="H41" s="1">
        <f t="shared" si="8"/>
        <v>522.77796142079615</v>
      </c>
      <c r="I41" s="1">
        <f t="shared" si="9"/>
        <v>21.782415059199838</v>
      </c>
    </row>
    <row r="42" spans="1:9">
      <c r="A42" s="8">
        <v>41</v>
      </c>
      <c r="B42" s="1">
        <v>1311210</v>
      </c>
      <c r="C42" s="8">
        <v>41</v>
      </c>
      <c r="D42" s="1">
        <v>210</v>
      </c>
      <c r="E42" s="1">
        <f t="shared" si="5"/>
        <v>6243.8571428571404</v>
      </c>
      <c r="F42" s="1">
        <f t="shared" si="6"/>
        <v>124877.14285714281</v>
      </c>
      <c r="G42" s="1">
        <f t="shared" si="7"/>
        <v>34.688095238095222</v>
      </c>
      <c r="H42" s="1">
        <f t="shared" si="8"/>
        <v>557.46605665889138</v>
      </c>
      <c r="I42" s="1">
        <f t="shared" si="9"/>
        <v>23.227752360787139</v>
      </c>
    </row>
    <row r="43" spans="1:9">
      <c r="A43" s="8">
        <v>42</v>
      </c>
      <c r="B43" s="1">
        <v>1411230</v>
      </c>
      <c r="C43" s="8">
        <v>42</v>
      </c>
      <c r="D43" s="1">
        <v>218</v>
      </c>
      <c r="E43" s="1">
        <f t="shared" si="5"/>
        <v>6473.5321100917399</v>
      </c>
      <c r="F43" s="1">
        <f t="shared" si="6"/>
        <v>129470.64220183479</v>
      </c>
      <c r="G43" s="1">
        <f t="shared" si="7"/>
        <v>35.964067278287445</v>
      </c>
      <c r="H43" s="1">
        <f t="shared" si="8"/>
        <v>593.43012393717879</v>
      </c>
      <c r="I43" s="1">
        <f t="shared" si="9"/>
        <v>24.726255164049117</v>
      </c>
    </row>
    <row r="44" spans="1:9">
      <c r="A44" s="8">
        <v>43</v>
      </c>
      <c r="B44" s="1">
        <v>1516210</v>
      </c>
      <c r="C44" s="8">
        <v>43</v>
      </c>
      <c r="D44" s="1">
        <v>226</v>
      </c>
      <c r="E44" s="1">
        <f t="shared" si="5"/>
        <v>6708.8938053097299</v>
      </c>
      <c r="F44" s="1">
        <f t="shared" si="6"/>
        <v>134177.8761061946</v>
      </c>
      <c r="G44" s="1">
        <f t="shared" si="7"/>
        <v>37.271632251720725</v>
      </c>
      <c r="H44" s="1">
        <f t="shared" si="8"/>
        <v>630.70175618889948</v>
      </c>
      <c r="I44" s="1">
        <f t="shared" si="9"/>
        <v>26.279239841204145</v>
      </c>
    </row>
    <row r="45" spans="1:9">
      <c r="A45" s="8">
        <v>44</v>
      </c>
      <c r="B45" s="1">
        <v>1626270</v>
      </c>
      <c r="C45" s="8">
        <v>44</v>
      </c>
      <c r="D45" s="1">
        <v>234</v>
      </c>
      <c r="E45" s="1">
        <f t="shared" si="5"/>
        <v>6949.8717948717904</v>
      </c>
      <c r="F45" s="1">
        <f t="shared" si="6"/>
        <v>138997.43589743582</v>
      </c>
      <c r="G45" s="1">
        <f t="shared" si="7"/>
        <v>38.610398860398838</v>
      </c>
      <c r="H45" s="1">
        <f t="shared" si="8"/>
        <v>669.31215504929833</v>
      </c>
      <c r="I45" s="1">
        <f t="shared" si="9"/>
        <v>27.88800646038743</v>
      </c>
    </row>
    <row r="46" spans="1:9">
      <c r="A46" s="8">
        <v>45</v>
      </c>
      <c r="B46" s="1">
        <v>1741530</v>
      </c>
      <c r="C46" s="8">
        <v>45</v>
      </c>
      <c r="D46" s="1">
        <v>242</v>
      </c>
      <c r="E46" s="1">
        <f t="shared" si="5"/>
        <v>7196.40495867769</v>
      </c>
      <c r="F46" s="1">
        <f t="shared" si="6"/>
        <v>143928.09917355381</v>
      </c>
      <c r="G46" s="1">
        <f t="shared" si="7"/>
        <v>39.980027548209392</v>
      </c>
      <c r="H46" s="1">
        <f t="shared" si="8"/>
        <v>709.29218259750769</v>
      </c>
      <c r="I46" s="1">
        <f t="shared" si="9"/>
        <v>29.553840941562822</v>
      </c>
    </row>
    <row r="47" spans="1:9">
      <c r="A47" s="8">
        <v>46</v>
      </c>
      <c r="B47" s="1">
        <v>1862110</v>
      </c>
      <c r="C47" s="8">
        <v>46</v>
      </c>
      <c r="D47" s="1">
        <v>250</v>
      </c>
      <c r="E47" s="1">
        <f t="shared" si="5"/>
        <v>7448.44</v>
      </c>
      <c r="F47" s="1">
        <f t="shared" si="6"/>
        <v>148968.79999999999</v>
      </c>
      <c r="G47" s="1">
        <f t="shared" si="7"/>
        <v>41.380222222222216</v>
      </c>
      <c r="H47" s="1">
        <f t="shared" si="8"/>
        <v>750.67240481972988</v>
      </c>
      <c r="I47" s="1">
        <f t="shared" si="9"/>
        <v>31.278016867488745</v>
      </c>
    </row>
    <row r="48" spans="1:9">
      <c r="A48" s="8">
        <v>47</v>
      </c>
      <c r="B48" s="1">
        <v>1988130</v>
      </c>
      <c r="C48" s="8">
        <v>47</v>
      </c>
      <c r="D48" s="1">
        <v>258</v>
      </c>
      <c r="E48" s="1">
        <f t="shared" si="5"/>
        <v>7705.9302325581402</v>
      </c>
      <c r="F48" s="1">
        <f t="shared" si="6"/>
        <v>154118.60465116281</v>
      </c>
      <c r="G48" s="1">
        <f t="shared" si="7"/>
        <v>42.810723514211894</v>
      </c>
      <c r="H48" s="1">
        <f t="shared" si="8"/>
        <v>793.48312833394175</v>
      </c>
      <c r="I48" s="1">
        <f t="shared" si="9"/>
        <v>33.061797013914237</v>
      </c>
    </row>
    <row r="49" spans="1:9">
      <c r="A49" s="8">
        <v>48</v>
      </c>
      <c r="B49" s="1">
        <v>2119710</v>
      </c>
      <c r="C49" s="8">
        <v>48</v>
      </c>
      <c r="D49" s="1">
        <v>266</v>
      </c>
      <c r="E49" s="1">
        <f t="shared" si="5"/>
        <v>7968.8345864661696</v>
      </c>
      <c r="F49" s="1">
        <f t="shared" si="6"/>
        <v>159376.69172932339</v>
      </c>
      <c r="G49" s="1">
        <f t="shared" si="7"/>
        <v>44.271303258145387</v>
      </c>
      <c r="H49" s="1">
        <f t="shared" si="8"/>
        <v>837.75443159208714</v>
      </c>
      <c r="I49" s="1">
        <f t="shared" si="9"/>
        <v>34.906434649670295</v>
      </c>
    </row>
    <row r="50" spans="1:9">
      <c r="A50" s="8">
        <v>49</v>
      </c>
      <c r="B50" s="1">
        <v>2256970</v>
      </c>
      <c r="C50" s="8">
        <v>49</v>
      </c>
      <c r="D50" s="1">
        <v>274</v>
      </c>
      <c r="E50" s="1">
        <f t="shared" si="5"/>
        <v>8237.1167883211692</v>
      </c>
      <c r="F50" s="1">
        <f t="shared" si="6"/>
        <v>164742.33576642338</v>
      </c>
      <c r="G50" s="1">
        <f t="shared" si="7"/>
        <v>45.761759935117603</v>
      </c>
      <c r="H50" s="1">
        <f t="shared" si="8"/>
        <v>883.5161915272048</v>
      </c>
      <c r="I50" s="1">
        <f t="shared" si="9"/>
        <v>36.813174646966864</v>
      </c>
    </row>
    <row r="51" spans="1:9">
      <c r="A51" s="8">
        <v>50</v>
      </c>
      <c r="B51" s="1">
        <v>2400030</v>
      </c>
      <c r="C51" s="8">
        <v>50</v>
      </c>
      <c r="D51" s="1">
        <v>282</v>
      </c>
      <c r="E51" s="1">
        <f t="shared" si="5"/>
        <v>8510.7446808510595</v>
      </c>
      <c r="F51" s="1">
        <f t="shared" si="6"/>
        <v>170214.89361702118</v>
      </c>
      <c r="G51" s="1">
        <f t="shared" si="7"/>
        <v>47.281914893616992</v>
      </c>
      <c r="H51" s="1">
        <f t="shared" si="8"/>
        <v>930.7981064208218</v>
      </c>
      <c r="I51" s="1">
        <f t="shared" si="9"/>
        <v>38.783254434200906</v>
      </c>
    </row>
    <row r="52" spans="1:9">
      <c r="A52" s="8">
        <v>51</v>
      </c>
      <c r="B52" s="1">
        <v>2549010</v>
      </c>
      <c r="C52" s="8">
        <v>51</v>
      </c>
      <c r="D52" s="1">
        <v>292</v>
      </c>
      <c r="E52" s="1">
        <f t="shared" si="5"/>
        <v>8729.4863013698596</v>
      </c>
      <c r="F52" s="1">
        <f t="shared" si="6"/>
        <v>174589.72602739721</v>
      </c>
      <c r="G52" s="1">
        <f t="shared" si="7"/>
        <v>48.497146118721446</v>
      </c>
      <c r="H52" s="1">
        <f t="shared" si="8"/>
        <v>979.2952525395433</v>
      </c>
      <c r="I52" s="1">
        <f t="shared" si="9"/>
        <v>40.803968855814304</v>
      </c>
    </row>
    <row r="53" spans="1:9">
      <c r="A53" s="8">
        <v>52</v>
      </c>
      <c r="B53" s="1">
        <v>2704030</v>
      </c>
      <c r="C53" s="8">
        <v>52</v>
      </c>
      <c r="D53" s="1">
        <v>302</v>
      </c>
      <c r="E53" s="1">
        <f t="shared" si="5"/>
        <v>8953.7417218543105</v>
      </c>
      <c r="F53" s="1">
        <f t="shared" si="6"/>
        <v>179074.83443708622</v>
      </c>
      <c r="G53" s="1">
        <f t="shared" si="7"/>
        <v>49.743009565857285</v>
      </c>
      <c r="H53" s="1">
        <f t="shared" si="8"/>
        <v>1029.0382621054007</v>
      </c>
      <c r="I53" s="1">
        <f t="shared" si="9"/>
        <v>42.876594254391698</v>
      </c>
    </row>
    <row r="54" spans="1:9">
      <c r="A54" s="8">
        <v>53</v>
      </c>
      <c r="B54" s="1">
        <v>2865210</v>
      </c>
      <c r="C54" s="8">
        <v>53</v>
      </c>
      <c r="D54" s="1">
        <v>312</v>
      </c>
      <c r="E54" s="1">
        <f>B54/D54</f>
        <v>9183.3653846153793</v>
      </c>
      <c r="F54" s="1">
        <f>E54*$K$2</f>
        <v>183667.30769230757</v>
      </c>
      <c r="G54" s="1">
        <f>F54/3600</f>
        <v>51.018696581196551</v>
      </c>
      <c r="H54" s="1">
        <f>H53+G54</f>
        <v>1080.0569586865972</v>
      </c>
      <c r="I54" s="1">
        <f t="shared" si="9"/>
        <v>45.002373278608218</v>
      </c>
    </row>
    <row r="55" spans="1:9">
      <c r="A55" s="8">
        <v>54</v>
      </c>
      <c r="B55" s="1">
        <v>3032670</v>
      </c>
      <c r="C55" s="8">
        <v>54</v>
      </c>
      <c r="D55" s="1">
        <v>322</v>
      </c>
      <c r="E55" s="1">
        <f>B55/D55</f>
        <v>9418.2298136646004</v>
      </c>
      <c r="F55" s="1">
        <f>E55*$K$2</f>
        <v>188364.596273292</v>
      </c>
      <c r="G55" s="1">
        <f>F55/3600</f>
        <v>52.323498964803335</v>
      </c>
      <c r="H55" s="1">
        <f>H54+G55</f>
        <v>1132.3804576514005</v>
      </c>
      <c r="I55" s="1">
        <f t="shared" si="9"/>
        <v>47.182519068808354</v>
      </c>
    </row>
    <row r="56" spans="1:9">
      <c r="A56" s="8">
        <v>55</v>
      </c>
      <c r="B56" s="1">
        <v>3206530</v>
      </c>
      <c r="C56" s="8">
        <v>55</v>
      </c>
      <c r="D56" s="1">
        <v>332</v>
      </c>
      <c r="E56" s="1">
        <f>B56/D56</f>
        <v>9658.2228915662708</v>
      </c>
      <c r="F56" s="1">
        <f>E56*$K$2</f>
        <v>193164.45783132542</v>
      </c>
      <c r="G56" s="1">
        <f>F56/3600</f>
        <v>53.656793842034837</v>
      </c>
      <c r="H56" s="1">
        <f>H55+G56</f>
        <v>1186.0372514934354</v>
      </c>
      <c r="I56" s="1">
        <f t="shared" si="9"/>
        <v>49.418218812226478</v>
      </c>
    </row>
    <row r="57" spans="1:9">
      <c r="A57" s="8">
        <v>56</v>
      </c>
      <c r="B57" s="1">
        <v>3386910</v>
      </c>
      <c r="C57" s="8">
        <v>56</v>
      </c>
      <c r="D57" s="1">
        <v>342</v>
      </c>
      <c r="E57" s="1">
        <f t="shared" ref="E57:E71" si="10">B57/D57</f>
        <v>9903.2456140350896</v>
      </c>
      <c r="F57" s="1">
        <f t="shared" ref="F57:F71" si="11">E57*$K$2</f>
        <v>198064.9122807018</v>
      </c>
      <c r="G57" s="1">
        <f t="shared" ref="G57:G71" si="12">F57/3600</f>
        <v>55.018031189083835</v>
      </c>
      <c r="H57" s="1">
        <f t="shared" ref="H57:H71" si="13">H56+G57</f>
        <v>1241.0552826825192</v>
      </c>
      <c r="I57" s="1">
        <f t="shared" si="9"/>
        <v>51.7106367784383</v>
      </c>
    </row>
    <row r="58" spans="1:9">
      <c r="A58" s="8">
        <v>57</v>
      </c>
      <c r="B58" s="1">
        <v>3573930</v>
      </c>
      <c r="C58" s="8">
        <v>57</v>
      </c>
      <c r="D58" s="1">
        <v>352</v>
      </c>
      <c r="E58" s="1">
        <f t="shared" si="10"/>
        <v>10153.210227272701</v>
      </c>
      <c r="F58" s="1">
        <f t="shared" si="11"/>
        <v>203064.20454545401</v>
      </c>
      <c r="G58" s="1">
        <f t="shared" si="12"/>
        <v>56.406723484848335</v>
      </c>
      <c r="H58" s="1">
        <f t="shared" si="13"/>
        <v>1297.4620061673675</v>
      </c>
      <c r="I58" s="1">
        <f t="shared" si="9"/>
        <v>54.060916923640313</v>
      </c>
    </row>
    <row r="59" spans="1:9">
      <c r="A59" s="8">
        <v>58</v>
      </c>
      <c r="B59" s="1">
        <v>3767710</v>
      </c>
      <c r="C59" s="8">
        <v>58</v>
      </c>
      <c r="D59" s="1">
        <v>362</v>
      </c>
      <c r="E59" s="1">
        <f t="shared" si="10"/>
        <v>10408.0386740331</v>
      </c>
      <c r="F59" s="1">
        <f t="shared" si="11"/>
        <v>208160.773480662</v>
      </c>
      <c r="G59" s="1">
        <f t="shared" si="12"/>
        <v>57.822437077961666</v>
      </c>
      <c r="H59" s="1">
        <f t="shared" si="13"/>
        <v>1355.2844432453292</v>
      </c>
      <c r="I59" s="1">
        <f t="shared" si="9"/>
        <v>56.470185135222046</v>
      </c>
    </row>
    <row r="60" spans="1:9">
      <c r="A60" s="8">
        <v>59</v>
      </c>
      <c r="B60" s="1">
        <v>3968370</v>
      </c>
      <c r="C60" s="8">
        <v>59</v>
      </c>
      <c r="D60" s="1">
        <v>372</v>
      </c>
      <c r="E60" s="1">
        <f t="shared" si="10"/>
        <v>10667.6612903226</v>
      </c>
      <c r="F60" s="1">
        <f t="shared" si="11"/>
        <v>213353.22580645198</v>
      </c>
      <c r="G60" s="1">
        <f t="shared" si="12"/>
        <v>59.264784946236659</v>
      </c>
      <c r="H60" s="1">
        <f t="shared" si="13"/>
        <v>1414.5492281915658</v>
      </c>
      <c r="I60" s="1">
        <f t="shared" si="9"/>
        <v>58.939551174648578</v>
      </c>
    </row>
    <row r="61" spans="1:9">
      <c r="A61" s="8">
        <v>60</v>
      </c>
      <c r="B61" s="1">
        <v>4176030</v>
      </c>
      <c r="C61" s="8">
        <v>60</v>
      </c>
      <c r="D61" s="1">
        <v>382</v>
      </c>
      <c r="E61" s="1">
        <f t="shared" si="10"/>
        <v>10932.0157068063</v>
      </c>
      <c r="F61" s="1">
        <f t="shared" si="11"/>
        <v>218640.31413612599</v>
      </c>
      <c r="G61" s="1">
        <f t="shared" si="12"/>
        <v>60.733420593368329</v>
      </c>
      <c r="H61" s="1">
        <f t="shared" si="13"/>
        <v>1475.2826487849341</v>
      </c>
      <c r="I61" s="1">
        <f t="shared" si="9"/>
        <v>61.470110366038917</v>
      </c>
    </row>
    <row r="62" spans="1:9">
      <c r="A62" s="8">
        <v>61</v>
      </c>
      <c r="B62" s="1">
        <v>4390810</v>
      </c>
      <c r="C62" s="8">
        <v>61</v>
      </c>
      <c r="D62" s="1">
        <v>394</v>
      </c>
      <c r="E62" s="1">
        <f t="shared" si="10"/>
        <v>11144.1878172589</v>
      </c>
      <c r="F62" s="1">
        <f t="shared" si="11"/>
        <v>222883.756345178</v>
      </c>
      <c r="G62" s="1">
        <f t="shared" si="12"/>
        <v>61.912154540327222</v>
      </c>
      <c r="H62" s="1">
        <f t="shared" si="13"/>
        <v>1537.1948033252613</v>
      </c>
      <c r="I62" s="1">
        <f t="shared" si="9"/>
        <v>64.049783471885888</v>
      </c>
    </row>
    <row r="63" spans="1:9">
      <c r="A63" s="8">
        <v>62</v>
      </c>
      <c r="B63" s="1">
        <v>4612830</v>
      </c>
      <c r="C63" s="8">
        <v>62</v>
      </c>
      <c r="D63" s="1">
        <v>406</v>
      </c>
      <c r="E63" s="1">
        <f t="shared" si="10"/>
        <v>11361.6502463054</v>
      </c>
      <c r="F63" s="1">
        <f t="shared" si="11"/>
        <v>227233.004926108</v>
      </c>
      <c r="G63" s="1">
        <f t="shared" si="12"/>
        <v>63.120279146141108</v>
      </c>
      <c r="H63" s="1">
        <f t="shared" si="13"/>
        <v>1600.3150824714023</v>
      </c>
      <c r="I63" s="1">
        <f t="shared" si="9"/>
        <v>66.679795102975092</v>
      </c>
    </row>
    <row r="64" spans="1:9">
      <c r="A64" s="8">
        <v>63</v>
      </c>
      <c r="B64" s="1">
        <v>4842210</v>
      </c>
      <c r="C64" s="8">
        <v>63</v>
      </c>
      <c r="D64" s="1">
        <v>418</v>
      </c>
      <c r="E64" s="1">
        <f t="shared" si="10"/>
        <v>11584.234449760799</v>
      </c>
      <c r="F64" s="1">
        <f t="shared" si="11"/>
        <v>231684.68899521598</v>
      </c>
      <c r="G64" s="1">
        <f t="shared" si="12"/>
        <v>64.356858054226663</v>
      </c>
      <c r="H64" s="1">
        <f t="shared" si="13"/>
        <v>1664.671940525629</v>
      </c>
      <c r="I64" s="1">
        <f t="shared" si="9"/>
        <v>69.361330855234542</v>
      </c>
    </row>
    <row r="65" spans="1:9">
      <c r="A65" s="8">
        <v>64</v>
      </c>
      <c r="B65" s="1">
        <v>5079070</v>
      </c>
      <c r="C65" s="8">
        <v>64</v>
      </c>
      <c r="D65" s="1">
        <v>430</v>
      </c>
      <c r="E65" s="1">
        <f t="shared" si="10"/>
        <v>11811.7906976744</v>
      </c>
      <c r="F65" s="1">
        <f t="shared" si="11"/>
        <v>236235.81395348799</v>
      </c>
      <c r="G65" s="1">
        <f t="shared" si="12"/>
        <v>65.621059431524444</v>
      </c>
      <c r="H65" s="1">
        <f t="shared" si="13"/>
        <v>1730.2929999571534</v>
      </c>
      <c r="I65" s="1">
        <f t="shared" si="9"/>
        <v>72.095541664881395</v>
      </c>
    </row>
    <row r="66" spans="1:9">
      <c r="A66" s="8">
        <v>65</v>
      </c>
      <c r="B66" s="1">
        <v>5323530</v>
      </c>
      <c r="C66" s="8">
        <v>65</v>
      </c>
      <c r="D66" s="1">
        <v>442</v>
      </c>
      <c r="E66" s="1">
        <f t="shared" si="10"/>
        <v>12044.185520362</v>
      </c>
      <c r="F66" s="1">
        <f t="shared" si="11"/>
        <v>240883.71040724</v>
      </c>
      <c r="G66" s="1">
        <f t="shared" si="12"/>
        <v>66.912141779788882</v>
      </c>
      <c r="H66" s="1">
        <f t="shared" si="13"/>
        <v>1797.2051417369423</v>
      </c>
      <c r="I66" s="1">
        <f t="shared" si="9"/>
        <v>74.883547572372592</v>
      </c>
    </row>
    <row r="67" spans="1:9">
      <c r="A67" s="8">
        <v>66</v>
      </c>
      <c r="B67" s="1">
        <v>5575710</v>
      </c>
      <c r="C67" s="8">
        <v>66</v>
      </c>
      <c r="D67" s="1">
        <v>454</v>
      </c>
      <c r="E67" s="1">
        <f t="shared" si="10"/>
        <v>12281.299559471399</v>
      </c>
      <c r="F67" s="1">
        <f t="shared" si="11"/>
        <v>245625.99118942799</v>
      </c>
      <c r="G67" s="1">
        <f t="shared" si="12"/>
        <v>68.229441997063333</v>
      </c>
      <c r="H67" s="1">
        <f t="shared" si="13"/>
        <v>1865.4345837340056</v>
      </c>
      <c r="I67" s="1">
        <f t="shared" si="9"/>
        <v>77.726440988916906</v>
      </c>
    </row>
    <row r="68" spans="1:9">
      <c r="A68" s="8">
        <v>67</v>
      </c>
      <c r="B68" s="1">
        <v>5835730</v>
      </c>
      <c r="C68" s="8">
        <v>67</v>
      </c>
      <c r="D68" s="1">
        <v>466</v>
      </c>
      <c r="E68" s="1">
        <f t="shared" si="10"/>
        <v>12523.025751073001</v>
      </c>
      <c r="F68" s="1">
        <f t="shared" si="11"/>
        <v>250460.51502146001</v>
      </c>
      <c r="G68" s="1">
        <f t="shared" si="12"/>
        <v>69.57236528373889</v>
      </c>
      <c r="H68" s="1">
        <f t="shared" si="13"/>
        <v>1935.0069490177445</v>
      </c>
      <c r="I68" s="1">
        <f t="shared" si="9"/>
        <v>80.625289542406023</v>
      </c>
    </row>
    <row r="69" spans="1:9">
      <c r="A69" s="8">
        <v>68</v>
      </c>
      <c r="B69" s="1">
        <v>6103710</v>
      </c>
      <c r="C69" s="8">
        <v>68</v>
      </c>
      <c r="D69" s="1">
        <v>478</v>
      </c>
      <c r="E69" s="1">
        <f t="shared" si="10"/>
        <v>12769.267782426799</v>
      </c>
      <c r="F69" s="1">
        <f t="shared" si="11"/>
        <v>255385.355648536</v>
      </c>
      <c r="G69" s="1">
        <f t="shared" si="12"/>
        <v>70.940376569037781</v>
      </c>
      <c r="H69" s="1">
        <f t="shared" si="13"/>
        <v>2005.9473255867824</v>
      </c>
      <c r="I69" s="1">
        <f t="shared" si="9"/>
        <v>83.581138566115939</v>
      </c>
    </row>
    <row r="70" spans="1:9">
      <c r="A70" s="8">
        <v>69</v>
      </c>
      <c r="B70" s="1">
        <v>6379770</v>
      </c>
      <c r="C70" s="8">
        <v>69</v>
      </c>
      <c r="D70" s="1">
        <v>490</v>
      </c>
      <c r="E70" s="1">
        <f t="shared" si="10"/>
        <v>13019.9387755102</v>
      </c>
      <c r="F70" s="1">
        <f t="shared" si="11"/>
        <v>260398.775510204</v>
      </c>
      <c r="G70" s="1">
        <f t="shared" si="12"/>
        <v>72.332993197278881</v>
      </c>
      <c r="H70" s="1">
        <f t="shared" si="13"/>
        <v>2078.2803187840614</v>
      </c>
      <c r="I70" s="1">
        <f t="shared" si="9"/>
        <v>86.595013282669228</v>
      </c>
    </row>
    <row r="71" spans="1:9">
      <c r="A71" s="8">
        <v>70</v>
      </c>
      <c r="B71" s="1">
        <v>6664030</v>
      </c>
      <c r="C71" s="8">
        <v>70</v>
      </c>
      <c r="D71" s="1">
        <v>502</v>
      </c>
      <c r="E71" s="1">
        <f t="shared" si="10"/>
        <v>13274.960159362599</v>
      </c>
      <c r="F71" s="1">
        <f t="shared" si="11"/>
        <v>265499.20318725199</v>
      </c>
      <c r="G71" s="1">
        <f t="shared" si="12"/>
        <v>73.749778663125554</v>
      </c>
      <c r="H71" s="1">
        <f t="shared" si="13"/>
        <v>2152.030097447187</v>
      </c>
      <c r="I71" s="1">
        <f t="shared" si="9"/>
        <v>89.66792072696613</v>
      </c>
    </row>
    <row r="74" spans="1:9" s="12" customFormat="1">
      <c r="A74" s="5" t="s">
        <v>51</v>
      </c>
      <c r="B74" s="13"/>
      <c r="C74" s="5"/>
      <c r="D74" s="13"/>
      <c r="E74" s="13"/>
      <c r="F74" s="13"/>
      <c r="G74" s="13"/>
      <c r="H74" s="13"/>
      <c r="I74" s="13"/>
    </row>
    <row r="75" spans="1:9">
      <c r="A75" s="8" t="s">
        <v>41</v>
      </c>
      <c r="B75" s="1" t="s">
        <v>42</v>
      </c>
      <c r="C75" s="8" t="s">
        <v>43</v>
      </c>
      <c r="D75" s="1" t="s">
        <v>44</v>
      </c>
    </row>
    <row r="76" spans="1:9">
      <c r="A76" s="8">
        <v>1</v>
      </c>
      <c r="B76" s="1">
        <v>10</v>
      </c>
      <c r="C76" s="8">
        <v>1</v>
      </c>
      <c r="D76" s="1">
        <v>10</v>
      </c>
      <c r="E76" s="1">
        <f>B76/D76</f>
        <v>1</v>
      </c>
      <c r="F76" s="1">
        <f t="shared" ref="F76:F84" si="14">E76*$K$2</f>
        <v>20</v>
      </c>
      <c r="G76" s="1">
        <f t="shared" ref="G76:G84" si="15">F76/3600</f>
        <v>5.5555555555555558E-3</v>
      </c>
      <c r="H76" s="1">
        <f t="shared" ref="H76:H84" si="16">H75+G76</f>
        <v>5.5555555555555558E-3</v>
      </c>
      <c r="I76" s="1">
        <f t="shared" ref="I76:I84" si="17">H76/24</f>
        <v>2.3148148148148149E-4</v>
      </c>
    </row>
    <row r="77" spans="1:9">
      <c r="A77" s="8">
        <v>2</v>
      </c>
      <c r="B77" s="1">
        <v>30</v>
      </c>
      <c r="C77" s="8">
        <v>2</v>
      </c>
      <c r="D77" s="1">
        <v>12</v>
      </c>
      <c r="E77" s="1">
        <f>B77/D77</f>
        <v>2.5</v>
      </c>
      <c r="F77" s="1">
        <f t="shared" si="14"/>
        <v>50</v>
      </c>
      <c r="G77" s="1">
        <f t="shared" si="15"/>
        <v>1.3888888888888888E-2</v>
      </c>
      <c r="H77" s="1">
        <f t="shared" si="16"/>
        <v>1.9444444444444445E-2</v>
      </c>
      <c r="I77" s="1">
        <f t="shared" si="17"/>
        <v>8.1018518518518516E-4</v>
      </c>
    </row>
    <row r="78" spans="1:9">
      <c r="A78" s="8">
        <v>3</v>
      </c>
      <c r="B78" s="1">
        <v>210</v>
      </c>
      <c r="C78" s="8">
        <v>3</v>
      </c>
      <c r="D78" s="1">
        <v>14</v>
      </c>
      <c r="E78" s="1">
        <f>B78/D78</f>
        <v>15</v>
      </c>
      <c r="F78" s="1">
        <f t="shared" si="14"/>
        <v>300</v>
      </c>
      <c r="G78" s="1">
        <f t="shared" si="15"/>
        <v>8.3333333333333329E-2</v>
      </c>
      <c r="H78" s="1">
        <f t="shared" si="16"/>
        <v>0.10277777777777777</v>
      </c>
      <c r="I78" s="1">
        <f t="shared" si="17"/>
        <v>4.2824074074074075E-3</v>
      </c>
    </row>
    <row r="79" spans="1:9">
      <c r="A79" s="8">
        <v>4</v>
      </c>
      <c r="B79" s="1">
        <v>670</v>
      </c>
      <c r="C79" s="8">
        <v>4</v>
      </c>
      <c r="D79" s="1">
        <v>16</v>
      </c>
      <c r="E79" s="1">
        <f t="shared" ref="E79:E85" si="18">B79/D79</f>
        <v>41.875</v>
      </c>
      <c r="F79" s="1">
        <f t="shared" si="14"/>
        <v>837.5</v>
      </c>
      <c r="G79" s="1">
        <f t="shared" si="15"/>
        <v>0.2326388888888889</v>
      </c>
      <c r="H79" s="1">
        <f t="shared" si="16"/>
        <v>0.3354166666666667</v>
      </c>
      <c r="I79" s="1">
        <f t="shared" si="17"/>
        <v>1.3975694444444445E-2</v>
      </c>
    </row>
    <row r="80" spans="1:9">
      <c r="A80" s="8">
        <v>5</v>
      </c>
      <c r="B80" s="1">
        <v>1530</v>
      </c>
      <c r="C80" s="8">
        <v>5</v>
      </c>
      <c r="D80" s="1">
        <v>18</v>
      </c>
      <c r="E80" s="1">
        <f t="shared" si="18"/>
        <v>85</v>
      </c>
      <c r="F80" s="1">
        <f t="shared" si="14"/>
        <v>1700</v>
      </c>
      <c r="G80" s="1">
        <f t="shared" si="15"/>
        <v>0.47222222222222221</v>
      </c>
      <c r="H80" s="1">
        <f t="shared" si="16"/>
        <v>0.80763888888888891</v>
      </c>
      <c r="I80" s="1">
        <f t="shared" si="17"/>
        <v>3.3651620370370373E-2</v>
      </c>
    </row>
    <row r="81" spans="1:9">
      <c r="A81" s="8">
        <v>6</v>
      </c>
      <c r="B81" s="1">
        <v>2910</v>
      </c>
      <c r="C81" s="8">
        <v>6</v>
      </c>
      <c r="D81" s="1">
        <v>20</v>
      </c>
      <c r="E81" s="1">
        <f t="shared" si="18"/>
        <v>145.5</v>
      </c>
      <c r="F81" s="1">
        <f t="shared" si="14"/>
        <v>2910</v>
      </c>
      <c r="G81" s="1">
        <f t="shared" si="15"/>
        <v>0.80833333333333335</v>
      </c>
      <c r="H81" s="1">
        <f t="shared" si="16"/>
        <v>1.6159722222222221</v>
      </c>
      <c r="I81" s="1">
        <f t="shared" si="17"/>
        <v>6.7332175925925927E-2</v>
      </c>
    </row>
    <row r="82" spans="1:9">
      <c r="A82" s="8">
        <v>7</v>
      </c>
      <c r="B82" s="1">
        <v>4930</v>
      </c>
      <c r="C82" s="8">
        <v>7</v>
      </c>
      <c r="D82" s="1">
        <v>22</v>
      </c>
      <c r="E82" s="1">
        <f t="shared" si="18"/>
        <v>224.09090909090901</v>
      </c>
      <c r="F82" s="1">
        <f t="shared" si="14"/>
        <v>4481.8181818181802</v>
      </c>
      <c r="G82" s="1">
        <f t="shared" si="15"/>
        <v>1.2449494949494946</v>
      </c>
      <c r="H82" s="1">
        <f t="shared" si="16"/>
        <v>2.8609217171717169</v>
      </c>
      <c r="I82" s="1">
        <f t="shared" si="17"/>
        <v>0.11920507154882154</v>
      </c>
    </row>
    <row r="83" spans="1:9">
      <c r="A83" s="8">
        <v>8</v>
      </c>
      <c r="B83" s="1">
        <v>7710</v>
      </c>
      <c r="C83" s="8">
        <v>8</v>
      </c>
      <c r="D83" s="1">
        <v>24</v>
      </c>
      <c r="E83" s="1">
        <f t="shared" si="18"/>
        <v>321.25</v>
      </c>
      <c r="F83" s="1">
        <f t="shared" si="14"/>
        <v>6425</v>
      </c>
      <c r="G83" s="1">
        <f t="shared" si="15"/>
        <v>1.7847222222222223</v>
      </c>
      <c r="H83" s="1">
        <f t="shared" si="16"/>
        <v>4.6456439393939393</v>
      </c>
      <c r="I83" s="1">
        <f t="shared" si="17"/>
        <v>0.19356849747474747</v>
      </c>
    </row>
    <row r="84" spans="1:9">
      <c r="A84" s="8">
        <v>9</v>
      </c>
      <c r="B84" s="1">
        <v>11370</v>
      </c>
      <c r="C84" s="8">
        <v>9</v>
      </c>
      <c r="D84" s="1">
        <v>28</v>
      </c>
      <c r="E84" s="1">
        <f t="shared" si="18"/>
        <v>406.07142857142901</v>
      </c>
      <c r="F84" s="1">
        <f t="shared" si="14"/>
        <v>8121.4285714285797</v>
      </c>
      <c r="G84" s="1">
        <f t="shared" si="15"/>
        <v>2.2559523809523832</v>
      </c>
      <c r="H84" s="1">
        <f t="shared" si="16"/>
        <v>6.9015963203463224</v>
      </c>
      <c r="I84" s="1">
        <f t="shared" si="17"/>
        <v>0.28756651334776345</v>
      </c>
    </row>
    <row r="85" spans="1:9">
      <c r="A85" s="8">
        <v>10</v>
      </c>
      <c r="B85" s="1">
        <v>16030</v>
      </c>
      <c r="C85" s="8">
        <v>10</v>
      </c>
      <c r="D85" s="1">
        <v>32</v>
      </c>
      <c r="E85" s="1">
        <f t="shared" si="18"/>
        <v>500.9375</v>
      </c>
      <c r="F85" s="1">
        <f t="shared" ref="F85:F113" si="19">E85*$K$2</f>
        <v>10018.75</v>
      </c>
      <c r="G85" s="1">
        <f t="shared" ref="G85:G113" si="20">F85/3600</f>
        <v>2.7829861111111112</v>
      </c>
      <c r="H85" s="1">
        <f t="shared" ref="H85:H113" si="21">H84+G85</f>
        <v>9.684582431457434</v>
      </c>
      <c r="I85" s="1">
        <f t="shared" ref="I85:I113" si="22">H85/24</f>
        <v>0.4035242679773931</v>
      </c>
    </row>
    <row r="86" spans="1:9">
      <c r="A86" s="8">
        <v>11</v>
      </c>
      <c r="B86" s="1">
        <v>21810</v>
      </c>
      <c r="C86" s="8">
        <v>11</v>
      </c>
      <c r="D86" s="1">
        <v>36</v>
      </c>
      <c r="E86" s="1">
        <f>B86/D85</f>
        <v>681.5625</v>
      </c>
      <c r="F86" s="1">
        <f t="shared" si="19"/>
        <v>13631.25</v>
      </c>
      <c r="G86" s="1">
        <f t="shared" si="20"/>
        <v>3.7864583333333335</v>
      </c>
      <c r="H86" s="1">
        <f t="shared" si="21"/>
        <v>13.471040764790768</v>
      </c>
      <c r="I86" s="1">
        <f t="shared" si="22"/>
        <v>0.56129336519961537</v>
      </c>
    </row>
    <row r="87" spans="1:9">
      <c r="A87" s="8">
        <v>12</v>
      </c>
      <c r="B87" s="1">
        <v>28830</v>
      </c>
      <c r="C87" s="8">
        <v>12</v>
      </c>
      <c r="D87" s="1">
        <v>40</v>
      </c>
      <c r="E87" s="1">
        <f>B87/D85</f>
        <v>900.9375</v>
      </c>
      <c r="F87" s="1">
        <f t="shared" si="19"/>
        <v>18018.75</v>
      </c>
      <c r="G87" s="1">
        <f t="shared" si="20"/>
        <v>5.005208333333333</v>
      </c>
      <c r="H87" s="1">
        <f t="shared" si="21"/>
        <v>18.4762490981241</v>
      </c>
      <c r="I87" s="1">
        <f t="shared" si="22"/>
        <v>0.76984371242183747</v>
      </c>
    </row>
    <row r="88" spans="1:9">
      <c r="A88" s="8">
        <v>13</v>
      </c>
      <c r="B88" s="1">
        <v>37210</v>
      </c>
      <c r="C88" s="8">
        <v>13</v>
      </c>
      <c r="D88" s="1">
        <v>44</v>
      </c>
      <c r="E88" s="1">
        <f>B88/D85</f>
        <v>1162.8125</v>
      </c>
      <c r="F88" s="1">
        <f t="shared" si="19"/>
        <v>23256.25</v>
      </c>
      <c r="G88" s="1">
        <f t="shared" si="20"/>
        <v>6.4600694444444446</v>
      </c>
      <c r="H88" s="1">
        <f t="shared" si="21"/>
        <v>24.936318542568543</v>
      </c>
      <c r="I88" s="1">
        <f t="shared" si="22"/>
        <v>1.0390132726070227</v>
      </c>
    </row>
    <row r="89" spans="1:9">
      <c r="A89" s="8">
        <v>14</v>
      </c>
      <c r="B89" s="1">
        <v>47070</v>
      </c>
      <c r="C89" s="8">
        <v>14</v>
      </c>
      <c r="D89" s="1">
        <v>48</v>
      </c>
      <c r="E89" s="1">
        <f>B89/D85</f>
        <v>1470.9375</v>
      </c>
      <c r="F89" s="1">
        <f t="shared" si="19"/>
        <v>29418.75</v>
      </c>
      <c r="G89" s="1">
        <f t="shared" si="20"/>
        <v>8.171875</v>
      </c>
      <c r="H89" s="1">
        <f t="shared" si="21"/>
        <v>33.108193542568543</v>
      </c>
      <c r="I89" s="1">
        <f t="shared" si="22"/>
        <v>1.3795080642736892</v>
      </c>
    </row>
    <row r="90" spans="1:9">
      <c r="A90" s="8">
        <v>15</v>
      </c>
      <c r="B90" s="1">
        <v>58530</v>
      </c>
      <c r="C90" s="8">
        <v>15</v>
      </c>
      <c r="D90" s="1">
        <v>52</v>
      </c>
      <c r="E90" s="1">
        <f>B90/D85</f>
        <v>1829.0625</v>
      </c>
      <c r="F90" s="1">
        <f t="shared" si="19"/>
        <v>36581.25</v>
      </c>
      <c r="G90" s="1">
        <f t="shared" si="20"/>
        <v>10.161458333333334</v>
      </c>
      <c r="H90" s="1">
        <f t="shared" si="21"/>
        <v>43.269651875901879</v>
      </c>
      <c r="I90" s="1">
        <f t="shared" si="22"/>
        <v>1.8029021614959115</v>
      </c>
    </row>
    <row r="91" spans="1:9">
      <c r="A91" s="8">
        <v>16</v>
      </c>
      <c r="B91" s="1">
        <v>71710</v>
      </c>
      <c r="C91" s="8">
        <v>16</v>
      </c>
      <c r="D91" s="1">
        <v>56</v>
      </c>
      <c r="E91" s="1">
        <f>B91/D86</f>
        <v>1991.94444444444</v>
      </c>
      <c r="F91" s="1">
        <f t="shared" si="19"/>
        <v>39838.888888888803</v>
      </c>
      <c r="G91" s="1">
        <f t="shared" si="20"/>
        <v>11.066358024691334</v>
      </c>
      <c r="H91" s="1">
        <f t="shared" si="21"/>
        <v>54.336009900593211</v>
      </c>
      <c r="I91" s="1">
        <f t="shared" si="22"/>
        <v>2.2640004125247173</v>
      </c>
    </row>
    <row r="92" spans="1:9">
      <c r="A92" s="8">
        <v>17</v>
      </c>
      <c r="B92" s="1">
        <v>86730</v>
      </c>
      <c r="C92" s="8">
        <v>17</v>
      </c>
      <c r="D92" s="1">
        <v>60</v>
      </c>
      <c r="E92" s="1">
        <f>B92/D87</f>
        <v>2168.25</v>
      </c>
      <c r="F92" s="1">
        <f t="shared" si="19"/>
        <v>43365</v>
      </c>
      <c r="G92" s="1">
        <f t="shared" si="20"/>
        <v>12.045833333333333</v>
      </c>
      <c r="H92" s="1">
        <f t="shared" si="21"/>
        <v>66.381843233926546</v>
      </c>
      <c r="I92" s="1">
        <f t="shared" si="22"/>
        <v>2.7659101347469393</v>
      </c>
    </row>
    <row r="93" spans="1:9">
      <c r="A93" s="8">
        <v>18</v>
      </c>
      <c r="B93" s="1">
        <v>103710</v>
      </c>
      <c r="C93" s="8">
        <v>18</v>
      </c>
      <c r="D93" s="1">
        <v>64</v>
      </c>
      <c r="E93" s="1">
        <f>B93/D88</f>
        <v>2357.04545454545</v>
      </c>
      <c r="F93" s="1">
        <f t="shared" si="19"/>
        <v>47140.909090909001</v>
      </c>
      <c r="G93" s="1">
        <f t="shared" si="20"/>
        <v>13.094696969696944</v>
      </c>
      <c r="H93" s="1">
        <f t="shared" si="21"/>
        <v>79.476540203623486</v>
      </c>
      <c r="I93" s="1">
        <f t="shared" si="22"/>
        <v>3.3115225084843121</v>
      </c>
    </row>
    <row r="94" spans="1:9">
      <c r="A94" s="8">
        <v>19</v>
      </c>
      <c r="B94" s="1">
        <v>122770</v>
      </c>
      <c r="C94" s="8">
        <v>19</v>
      </c>
      <c r="D94" s="1">
        <v>68</v>
      </c>
      <c r="E94" s="1">
        <f t="shared" ref="E94:E122" si="23">B94/D89</f>
        <v>2557.7083333333298</v>
      </c>
      <c r="F94" s="1">
        <f t="shared" si="19"/>
        <v>51154.166666666599</v>
      </c>
      <c r="G94" s="1">
        <f t="shared" si="20"/>
        <v>14.209490740740723</v>
      </c>
      <c r="H94" s="1">
        <f t="shared" si="21"/>
        <v>93.686030944364205</v>
      </c>
      <c r="I94" s="1">
        <f t="shared" si="22"/>
        <v>3.903584622681842</v>
      </c>
    </row>
    <row r="95" spans="1:9">
      <c r="A95" s="8">
        <v>20</v>
      </c>
      <c r="B95" s="1">
        <v>144030</v>
      </c>
      <c r="C95" s="8">
        <v>20</v>
      </c>
      <c r="D95" s="1">
        <v>72</v>
      </c>
      <c r="E95" s="1">
        <f t="shared" si="23"/>
        <v>2769.8076923076901</v>
      </c>
      <c r="F95" s="1">
        <f t="shared" si="19"/>
        <v>55396.1538461538</v>
      </c>
      <c r="G95" s="1">
        <f t="shared" si="20"/>
        <v>15.3878205128205</v>
      </c>
      <c r="H95" s="1">
        <f t="shared" si="21"/>
        <v>109.0738514571847</v>
      </c>
      <c r="I95" s="1">
        <f t="shared" si="22"/>
        <v>4.544743810716029</v>
      </c>
    </row>
    <row r="96" spans="1:9">
      <c r="A96" s="8">
        <v>21</v>
      </c>
      <c r="B96" s="1">
        <v>167610</v>
      </c>
      <c r="C96" s="8">
        <v>21</v>
      </c>
      <c r="D96" s="1">
        <v>78</v>
      </c>
      <c r="E96" s="1">
        <f t="shared" si="23"/>
        <v>2993.0357142857101</v>
      </c>
      <c r="F96" s="1">
        <f t="shared" si="19"/>
        <v>59860.714285714203</v>
      </c>
      <c r="G96" s="1">
        <f t="shared" si="20"/>
        <v>16.627976190476168</v>
      </c>
      <c r="H96" s="1">
        <f t="shared" si="21"/>
        <v>125.70182764766088</v>
      </c>
      <c r="I96" s="1">
        <f t="shared" si="22"/>
        <v>5.2375761519858699</v>
      </c>
    </row>
    <row r="97" spans="1:9">
      <c r="A97" s="8">
        <v>22</v>
      </c>
      <c r="B97" s="1">
        <v>193630</v>
      </c>
      <c r="C97" s="8">
        <v>22</v>
      </c>
      <c r="D97" s="1">
        <v>84</v>
      </c>
      <c r="E97" s="1">
        <f t="shared" si="23"/>
        <v>3227.1666666666702</v>
      </c>
      <c r="F97" s="1">
        <f t="shared" si="19"/>
        <v>64543.333333333401</v>
      </c>
      <c r="G97" s="1">
        <f t="shared" si="20"/>
        <v>17.928703703703722</v>
      </c>
      <c r="H97" s="1">
        <f t="shared" si="21"/>
        <v>143.6305313513646</v>
      </c>
      <c r="I97" s="1">
        <f t="shared" si="22"/>
        <v>5.9846054729735245</v>
      </c>
    </row>
    <row r="98" spans="1:9">
      <c r="A98" s="8">
        <v>23</v>
      </c>
      <c r="B98" s="1">
        <v>222210</v>
      </c>
      <c r="C98" s="8">
        <v>23</v>
      </c>
      <c r="D98" s="1">
        <v>90</v>
      </c>
      <c r="E98" s="1">
        <f t="shared" si="23"/>
        <v>3472.03125</v>
      </c>
      <c r="F98" s="1">
        <f t="shared" si="19"/>
        <v>69440.625</v>
      </c>
      <c r="G98" s="1">
        <f t="shared" si="20"/>
        <v>19.2890625</v>
      </c>
      <c r="H98" s="1">
        <f t="shared" si="21"/>
        <v>162.9195938513646</v>
      </c>
      <c r="I98" s="1">
        <f t="shared" si="22"/>
        <v>6.7883164104735245</v>
      </c>
    </row>
    <row r="99" spans="1:9">
      <c r="A99" s="8">
        <v>24</v>
      </c>
      <c r="B99" s="1">
        <v>253470</v>
      </c>
      <c r="C99" s="8">
        <v>24</v>
      </c>
      <c r="D99" s="1">
        <v>96</v>
      </c>
      <c r="E99" s="1">
        <f t="shared" si="23"/>
        <v>3727.5</v>
      </c>
      <c r="F99" s="1">
        <f t="shared" si="19"/>
        <v>74550</v>
      </c>
      <c r="G99" s="1">
        <f t="shared" si="20"/>
        <v>20.708333333333332</v>
      </c>
      <c r="H99" s="1">
        <f t="shared" si="21"/>
        <v>183.62792718469794</v>
      </c>
      <c r="I99" s="1">
        <f t="shared" si="22"/>
        <v>7.6511636326957477</v>
      </c>
    </row>
    <row r="100" spans="1:9">
      <c r="A100" s="8">
        <v>25</v>
      </c>
      <c r="B100" s="1">
        <v>287530</v>
      </c>
      <c r="C100" s="8">
        <v>25</v>
      </c>
      <c r="D100" s="1">
        <v>102</v>
      </c>
      <c r="E100" s="1">
        <f t="shared" si="23"/>
        <v>3993.4722222222199</v>
      </c>
      <c r="F100" s="1">
        <f t="shared" si="19"/>
        <v>79869.444444444394</v>
      </c>
      <c r="G100" s="1">
        <f t="shared" si="20"/>
        <v>22.185956790123441</v>
      </c>
      <c r="H100" s="1">
        <f t="shared" si="21"/>
        <v>205.81388397482138</v>
      </c>
      <c r="I100" s="1">
        <f t="shared" si="22"/>
        <v>8.5755784989508914</v>
      </c>
    </row>
    <row r="101" spans="1:9">
      <c r="A101" s="8">
        <v>26</v>
      </c>
      <c r="B101" s="1">
        <v>324510</v>
      </c>
      <c r="C101" s="8">
        <v>26</v>
      </c>
      <c r="D101" s="1">
        <v>108</v>
      </c>
      <c r="E101" s="1">
        <f t="shared" si="23"/>
        <v>4160.3846153846198</v>
      </c>
      <c r="F101" s="1">
        <f t="shared" si="19"/>
        <v>83207.692307692399</v>
      </c>
      <c r="G101" s="1">
        <f t="shared" si="20"/>
        <v>23.113247863247889</v>
      </c>
      <c r="H101" s="1">
        <f t="shared" si="21"/>
        <v>228.92713183806927</v>
      </c>
      <c r="I101" s="1">
        <f t="shared" si="22"/>
        <v>9.5386304932528869</v>
      </c>
    </row>
    <row r="102" spans="1:9">
      <c r="A102" s="8">
        <v>27</v>
      </c>
      <c r="B102" s="1">
        <v>364530</v>
      </c>
      <c r="C102" s="8">
        <v>27</v>
      </c>
      <c r="D102" s="1">
        <v>114</v>
      </c>
      <c r="E102" s="1">
        <f t="shared" si="23"/>
        <v>4339.6428571428596</v>
      </c>
      <c r="F102" s="1">
        <f t="shared" si="19"/>
        <v>86792.857142857189</v>
      </c>
      <c r="G102" s="1">
        <f t="shared" si="20"/>
        <v>24.109126984126998</v>
      </c>
      <c r="H102" s="1">
        <f t="shared" si="21"/>
        <v>253.03625882219626</v>
      </c>
      <c r="I102" s="1">
        <f t="shared" si="22"/>
        <v>10.543177450924844</v>
      </c>
    </row>
    <row r="103" spans="1:9">
      <c r="A103" s="8">
        <v>28</v>
      </c>
      <c r="B103" s="1">
        <v>407710</v>
      </c>
      <c r="C103" s="8">
        <v>28</v>
      </c>
      <c r="D103" s="1">
        <v>120</v>
      </c>
      <c r="E103" s="1">
        <f t="shared" si="23"/>
        <v>4530.1111111111104</v>
      </c>
      <c r="F103" s="1">
        <f t="shared" si="19"/>
        <v>90602.222222222204</v>
      </c>
      <c r="G103" s="1">
        <f t="shared" si="20"/>
        <v>25.167283950617279</v>
      </c>
      <c r="H103" s="1">
        <f t="shared" si="21"/>
        <v>278.20354277281353</v>
      </c>
      <c r="I103" s="1">
        <f t="shared" si="22"/>
        <v>11.591814282200565</v>
      </c>
    </row>
    <row r="104" spans="1:9">
      <c r="A104" s="8">
        <v>29</v>
      </c>
      <c r="B104" s="1">
        <v>454170</v>
      </c>
      <c r="C104" s="8">
        <v>29</v>
      </c>
      <c r="D104" s="1">
        <v>126</v>
      </c>
      <c r="E104" s="1">
        <f t="shared" si="23"/>
        <v>4730.9375</v>
      </c>
      <c r="F104" s="1">
        <f t="shared" si="19"/>
        <v>94618.75</v>
      </c>
      <c r="G104" s="1">
        <f t="shared" si="20"/>
        <v>26.282986111111111</v>
      </c>
      <c r="H104" s="1">
        <f t="shared" si="21"/>
        <v>304.48652888392462</v>
      </c>
      <c r="I104" s="1">
        <f t="shared" si="22"/>
        <v>12.686938703496859</v>
      </c>
    </row>
    <row r="105" spans="1:9">
      <c r="A105" s="8">
        <v>30</v>
      </c>
      <c r="B105" s="1">
        <v>504030</v>
      </c>
      <c r="C105" s="8">
        <v>30</v>
      </c>
      <c r="D105" s="1">
        <v>132</v>
      </c>
      <c r="E105" s="1">
        <f t="shared" si="23"/>
        <v>4941.4705882352901</v>
      </c>
      <c r="F105" s="1">
        <f t="shared" si="19"/>
        <v>98829.411764705801</v>
      </c>
      <c r="G105" s="1">
        <f t="shared" si="20"/>
        <v>27.452614379084945</v>
      </c>
      <c r="H105" s="1">
        <f t="shared" si="21"/>
        <v>331.93914326300956</v>
      </c>
      <c r="I105" s="1">
        <f t="shared" si="22"/>
        <v>13.830797635958731</v>
      </c>
    </row>
    <row r="106" spans="1:9">
      <c r="A106" s="8">
        <v>31</v>
      </c>
      <c r="B106" s="1">
        <v>557410</v>
      </c>
      <c r="C106" s="8">
        <v>31</v>
      </c>
      <c r="D106" s="1">
        <v>138</v>
      </c>
      <c r="E106" s="1">
        <f t="shared" si="23"/>
        <v>5161.2037037036998</v>
      </c>
      <c r="F106" s="1">
        <f t="shared" si="19"/>
        <v>103224.074074074</v>
      </c>
      <c r="G106" s="1">
        <f t="shared" si="20"/>
        <v>28.673353909465</v>
      </c>
      <c r="H106" s="1">
        <f t="shared" si="21"/>
        <v>360.61249717247455</v>
      </c>
      <c r="I106" s="1">
        <f t="shared" si="22"/>
        <v>15.025520715519773</v>
      </c>
    </row>
    <row r="107" spans="1:9">
      <c r="A107" s="8">
        <v>32</v>
      </c>
      <c r="B107" s="1">
        <v>614430</v>
      </c>
      <c r="C107" s="8">
        <v>32</v>
      </c>
      <c r="D107" s="1">
        <v>144</v>
      </c>
      <c r="E107" s="1">
        <f t="shared" si="23"/>
        <v>5389.7368421052597</v>
      </c>
      <c r="F107" s="1">
        <f t="shared" si="19"/>
        <v>107794.73684210519</v>
      </c>
      <c r="G107" s="1">
        <f t="shared" si="20"/>
        <v>29.942982456140331</v>
      </c>
      <c r="H107" s="1">
        <f t="shared" si="21"/>
        <v>390.55547962861488</v>
      </c>
      <c r="I107" s="1">
        <f t="shared" si="22"/>
        <v>16.273144984525619</v>
      </c>
    </row>
    <row r="108" spans="1:9">
      <c r="A108" s="8">
        <v>33</v>
      </c>
      <c r="B108" s="1">
        <v>675210</v>
      </c>
      <c r="C108" s="8">
        <v>33</v>
      </c>
      <c r="D108" s="1">
        <v>150</v>
      </c>
      <c r="E108" s="1">
        <f t="shared" si="23"/>
        <v>5626.75</v>
      </c>
      <c r="F108" s="1">
        <f t="shared" si="19"/>
        <v>112535</v>
      </c>
      <c r="G108" s="1">
        <f t="shared" si="20"/>
        <v>31.259722222222223</v>
      </c>
      <c r="H108" s="1">
        <f t="shared" si="21"/>
        <v>421.81520185083707</v>
      </c>
      <c r="I108" s="1">
        <f t="shared" si="22"/>
        <v>17.575633410451545</v>
      </c>
    </row>
    <row r="109" spans="1:9">
      <c r="A109" s="8">
        <v>34</v>
      </c>
      <c r="B109" s="1">
        <v>739870</v>
      </c>
      <c r="C109" s="8">
        <v>34</v>
      </c>
      <c r="D109" s="1">
        <v>156</v>
      </c>
      <c r="E109" s="1">
        <f t="shared" si="23"/>
        <v>5871.9841269841299</v>
      </c>
      <c r="F109" s="1">
        <f t="shared" si="19"/>
        <v>117439.6825396826</v>
      </c>
      <c r="G109" s="1">
        <f t="shared" si="20"/>
        <v>32.622134038800723</v>
      </c>
      <c r="H109" s="1">
        <f t="shared" si="21"/>
        <v>454.43733588963778</v>
      </c>
      <c r="I109" s="1">
        <f t="shared" si="22"/>
        <v>18.934888995401575</v>
      </c>
    </row>
    <row r="110" spans="1:9">
      <c r="A110" s="8">
        <v>35</v>
      </c>
      <c r="B110" s="1">
        <v>808530</v>
      </c>
      <c r="C110" s="8">
        <v>35</v>
      </c>
      <c r="D110" s="1">
        <v>162</v>
      </c>
      <c r="E110" s="1">
        <f t="shared" si="23"/>
        <v>6125.2272727272702</v>
      </c>
      <c r="F110" s="1">
        <f t="shared" si="19"/>
        <v>122504.54545454541</v>
      </c>
      <c r="G110" s="1">
        <f t="shared" si="20"/>
        <v>34.029040404040394</v>
      </c>
      <c r="H110" s="1">
        <f t="shared" si="21"/>
        <v>488.46637629367819</v>
      </c>
      <c r="I110" s="1">
        <f t="shared" si="22"/>
        <v>20.352765678903257</v>
      </c>
    </row>
    <row r="111" spans="1:9">
      <c r="A111" s="8">
        <v>36</v>
      </c>
      <c r="B111" s="1">
        <v>881310</v>
      </c>
      <c r="C111" s="8">
        <v>36</v>
      </c>
      <c r="D111" s="1">
        <v>170</v>
      </c>
      <c r="E111" s="1">
        <f t="shared" si="23"/>
        <v>6386.3043478260897</v>
      </c>
      <c r="F111" s="1">
        <f t="shared" si="19"/>
        <v>127726.08695652179</v>
      </c>
      <c r="G111" s="1">
        <f t="shared" si="20"/>
        <v>35.479468599033829</v>
      </c>
      <c r="H111" s="1">
        <f t="shared" si="21"/>
        <v>523.94584489271199</v>
      </c>
      <c r="I111" s="1">
        <f t="shared" si="22"/>
        <v>21.831076870529667</v>
      </c>
    </row>
    <row r="112" spans="1:9">
      <c r="A112" s="8">
        <v>37</v>
      </c>
      <c r="B112" s="1">
        <v>958330</v>
      </c>
      <c r="C112" s="8">
        <v>37</v>
      </c>
      <c r="D112" s="1">
        <v>178</v>
      </c>
      <c r="E112" s="1">
        <f t="shared" si="23"/>
        <v>6655.0694444444398</v>
      </c>
      <c r="F112" s="1">
        <f t="shared" si="19"/>
        <v>133101.38888888879</v>
      </c>
      <c r="G112" s="1">
        <f t="shared" si="20"/>
        <v>36.972608024691333</v>
      </c>
      <c r="H112" s="1">
        <f t="shared" si="21"/>
        <v>560.91845291740333</v>
      </c>
      <c r="I112" s="1">
        <f t="shared" si="22"/>
        <v>23.371602204891804</v>
      </c>
    </row>
    <row r="113" spans="1:9">
      <c r="A113" s="8">
        <v>38</v>
      </c>
      <c r="B113" s="1">
        <v>1039710</v>
      </c>
      <c r="C113" s="8">
        <v>38</v>
      </c>
      <c r="D113" s="1">
        <v>186</v>
      </c>
      <c r="E113" s="1">
        <f t="shared" si="23"/>
        <v>6931.4</v>
      </c>
      <c r="F113" s="1">
        <f t="shared" si="19"/>
        <v>138628</v>
      </c>
      <c r="G113" s="1">
        <f t="shared" si="20"/>
        <v>38.507777777777775</v>
      </c>
      <c r="H113" s="1">
        <f t="shared" si="21"/>
        <v>599.42623069518106</v>
      </c>
      <c r="I113" s="1">
        <f t="shared" si="22"/>
        <v>24.976092945632544</v>
      </c>
    </row>
    <row r="114" spans="1:9">
      <c r="A114" s="8">
        <v>39</v>
      </c>
      <c r="B114" s="1">
        <v>1125570</v>
      </c>
      <c r="C114" s="8">
        <v>39</v>
      </c>
      <c r="D114" s="1">
        <v>194</v>
      </c>
      <c r="E114" s="1">
        <f t="shared" si="23"/>
        <v>7215.1923076923104</v>
      </c>
      <c r="F114" s="1">
        <f>E114*$K$2</f>
        <v>144303.84615384621</v>
      </c>
      <c r="G114" s="1">
        <f>F114/3600</f>
        <v>40.084401709401725</v>
      </c>
      <c r="H114" s="1">
        <f>H113+G114</f>
        <v>639.51063240458279</v>
      </c>
      <c r="I114" s="1">
        <f>H114/24</f>
        <v>26.646276350190949</v>
      </c>
    </row>
    <row r="115" spans="1:9">
      <c r="A115" s="8">
        <v>40</v>
      </c>
      <c r="B115" s="1">
        <v>1216030</v>
      </c>
      <c r="C115" s="8">
        <v>40</v>
      </c>
      <c r="D115" s="1">
        <v>202</v>
      </c>
      <c r="E115" s="1">
        <f t="shared" si="23"/>
        <v>7506.3580246913598</v>
      </c>
      <c r="F115" s="1">
        <f>E115*$K$2</f>
        <v>150127.16049382719</v>
      </c>
      <c r="G115" s="1">
        <f>F115/3600</f>
        <v>41.70198902606311</v>
      </c>
      <c r="H115" s="1">
        <f>H114+G115</f>
        <v>681.21262143064587</v>
      </c>
      <c r="I115" s="1">
        <f>H115/24</f>
        <v>28.383859226276911</v>
      </c>
    </row>
    <row r="116" spans="1:9">
      <c r="A116" s="8">
        <v>41</v>
      </c>
      <c r="B116" s="1">
        <v>1311210</v>
      </c>
      <c r="C116" s="8">
        <v>41</v>
      </c>
      <c r="D116" s="1">
        <v>210</v>
      </c>
      <c r="E116" s="1">
        <f t="shared" si="23"/>
        <v>7713</v>
      </c>
      <c r="F116" s="1">
        <f>E116*$K$2</f>
        <v>154260</v>
      </c>
      <c r="G116" s="1">
        <f>F116/3600</f>
        <v>42.85</v>
      </c>
      <c r="H116" s="1">
        <f>H115+G116</f>
        <v>724.06262143064589</v>
      </c>
      <c r="I116" s="1">
        <f>H116/24</f>
        <v>30.169275892943578</v>
      </c>
    </row>
    <row r="117" spans="1:9">
      <c r="A117" s="8">
        <v>42</v>
      </c>
      <c r="B117" s="1">
        <v>1411230</v>
      </c>
      <c r="C117" s="8">
        <v>42</v>
      </c>
      <c r="D117" s="1">
        <v>218</v>
      </c>
      <c r="E117" s="1">
        <f t="shared" si="23"/>
        <v>7928.2584269662902</v>
      </c>
      <c r="F117" s="1">
        <f t="shared" ref="F117:F145" si="24">E117*$K$2</f>
        <v>158565.16853932579</v>
      </c>
      <c r="G117" s="1">
        <f t="shared" ref="G117:G145" si="25">F117/3600</f>
        <v>44.045880149812717</v>
      </c>
      <c r="H117" s="1">
        <f t="shared" ref="H117:H145" si="26">H116+G117</f>
        <v>768.10850158045855</v>
      </c>
      <c r="I117" s="1">
        <f t="shared" ref="I117:I145" si="27">H117/24</f>
        <v>32.004520899185771</v>
      </c>
    </row>
    <row r="118" spans="1:9">
      <c r="A118" s="8">
        <v>43</v>
      </c>
      <c r="B118" s="1">
        <v>1516210</v>
      </c>
      <c r="C118" s="8">
        <v>43</v>
      </c>
      <c r="D118" s="1">
        <v>226</v>
      </c>
      <c r="E118" s="1">
        <f t="shared" si="23"/>
        <v>8151.6666666666697</v>
      </c>
      <c r="F118" s="1">
        <f t="shared" si="24"/>
        <v>163033.3333333334</v>
      </c>
      <c r="G118" s="1">
        <f t="shared" si="25"/>
        <v>45.287037037037059</v>
      </c>
      <c r="H118" s="1">
        <f t="shared" si="26"/>
        <v>813.39553861749562</v>
      </c>
      <c r="I118" s="1">
        <f t="shared" si="27"/>
        <v>33.891480775728986</v>
      </c>
    </row>
    <row r="119" spans="1:9">
      <c r="A119" s="8">
        <v>44</v>
      </c>
      <c r="B119" s="1">
        <v>1626270</v>
      </c>
      <c r="C119" s="8">
        <v>44</v>
      </c>
      <c r="D119" s="1">
        <v>234</v>
      </c>
      <c r="E119" s="1">
        <f t="shared" si="23"/>
        <v>8382.8350515463899</v>
      </c>
      <c r="F119" s="1">
        <f t="shared" si="24"/>
        <v>167656.7010309278</v>
      </c>
      <c r="G119" s="1">
        <f t="shared" si="25"/>
        <v>46.571305841924385</v>
      </c>
      <c r="H119" s="1">
        <f t="shared" si="26"/>
        <v>859.96684445942003</v>
      </c>
      <c r="I119" s="1">
        <f t="shared" si="27"/>
        <v>35.831951852475832</v>
      </c>
    </row>
    <row r="120" spans="1:9">
      <c r="A120" s="8">
        <v>45</v>
      </c>
      <c r="B120" s="1">
        <v>1741530</v>
      </c>
      <c r="C120" s="8">
        <v>45</v>
      </c>
      <c r="D120" s="1">
        <v>242</v>
      </c>
      <c r="E120" s="1">
        <f t="shared" si="23"/>
        <v>8621.4356435643604</v>
      </c>
      <c r="F120" s="1">
        <f t="shared" si="24"/>
        <v>172428.71287128719</v>
      </c>
      <c r="G120" s="1">
        <f t="shared" si="25"/>
        <v>47.896864686468668</v>
      </c>
      <c r="H120" s="1">
        <f t="shared" si="26"/>
        <v>907.86370914588872</v>
      </c>
      <c r="I120" s="1">
        <f t="shared" si="27"/>
        <v>37.827654547745361</v>
      </c>
    </row>
    <row r="121" spans="1:9">
      <c r="A121" s="8">
        <v>46</v>
      </c>
      <c r="B121" s="1">
        <v>1862110</v>
      </c>
      <c r="C121" s="8">
        <v>46</v>
      </c>
      <c r="D121" s="1">
        <v>250</v>
      </c>
      <c r="E121" s="1">
        <f t="shared" si="23"/>
        <v>8867.1904761904807</v>
      </c>
      <c r="F121" s="1">
        <f t="shared" si="24"/>
        <v>177343.80952380961</v>
      </c>
      <c r="G121" s="1">
        <f t="shared" si="25"/>
        <v>49.262169312169334</v>
      </c>
      <c r="H121" s="1">
        <f t="shared" si="26"/>
        <v>957.12587845805808</v>
      </c>
      <c r="I121" s="1">
        <f t="shared" si="27"/>
        <v>39.880244935752422</v>
      </c>
    </row>
    <row r="122" spans="1:9">
      <c r="A122" s="8">
        <v>47</v>
      </c>
      <c r="B122" s="1">
        <v>1988130</v>
      </c>
      <c r="C122" s="8">
        <v>47</v>
      </c>
      <c r="D122" s="1">
        <v>258</v>
      </c>
      <c r="E122" s="1">
        <f t="shared" si="23"/>
        <v>9119.8623853210993</v>
      </c>
      <c r="F122" s="1">
        <f t="shared" si="24"/>
        <v>182397.247706422</v>
      </c>
      <c r="G122" s="1">
        <f t="shared" si="25"/>
        <v>50.665902140672777</v>
      </c>
      <c r="H122" s="1">
        <f t="shared" si="26"/>
        <v>1007.7917805987308</v>
      </c>
      <c r="I122" s="1">
        <f t="shared" si="27"/>
        <v>41.991324191613785</v>
      </c>
    </row>
    <row r="123" spans="1:9">
      <c r="A123" s="8">
        <v>48</v>
      </c>
      <c r="B123" s="1">
        <v>2119710</v>
      </c>
      <c r="C123" s="8">
        <v>48</v>
      </c>
      <c r="D123" s="1">
        <v>266</v>
      </c>
      <c r="E123" s="1">
        <f>B123/D118</f>
        <v>9379.2477876106204</v>
      </c>
      <c r="F123" s="1">
        <f t="shared" si="24"/>
        <v>187584.95575221241</v>
      </c>
      <c r="G123" s="1">
        <f t="shared" si="25"/>
        <v>52.106932153392336</v>
      </c>
      <c r="H123" s="1">
        <f t="shared" si="26"/>
        <v>1059.8987127521232</v>
      </c>
      <c r="I123" s="1">
        <f t="shared" si="27"/>
        <v>44.162446364671801</v>
      </c>
    </row>
    <row r="124" spans="1:9">
      <c r="A124" s="8">
        <v>49</v>
      </c>
      <c r="B124" s="1">
        <v>2256970</v>
      </c>
      <c r="C124" s="8">
        <v>49</v>
      </c>
      <c r="D124" s="1">
        <v>274</v>
      </c>
      <c r="E124" s="1">
        <f>B124/D119</f>
        <v>9645.1709401709395</v>
      </c>
      <c r="F124" s="1">
        <f t="shared" si="24"/>
        <v>192903.41880341878</v>
      </c>
      <c r="G124" s="1">
        <f t="shared" si="25"/>
        <v>53.584283000949661</v>
      </c>
      <c r="H124" s="1">
        <f t="shared" si="26"/>
        <v>1113.4829957530728</v>
      </c>
      <c r="I124" s="1">
        <f t="shared" si="27"/>
        <v>46.395124823044704</v>
      </c>
    </row>
    <row r="125" spans="1:9">
      <c r="A125" s="8">
        <v>50</v>
      </c>
      <c r="B125" s="1">
        <v>2400030</v>
      </c>
      <c r="C125" s="8">
        <v>50</v>
      </c>
      <c r="D125" s="1">
        <v>282</v>
      </c>
      <c r="E125" s="1">
        <f>B125/D120</f>
        <v>9917.4793388429807</v>
      </c>
      <c r="F125" s="1">
        <f t="shared" si="24"/>
        <v>198349.58677685962</v>
      </c>
      <c r="G125" s="1">
        <f t="shared" si="25"/>
        <v>55.097107438016565</v>
      </c>
      <c r="H125" s="1">
        <f t="shared" si="26"/>
        <v>1168.5801031910894</v>
      </c>
      <c r="I125" s="1">
        <f t="shared" si="27"/>
        <v>48.690837632962058</v>
      </c>
    </row>
    <row r="126" spans="1:9">
      <c r="A126" s="8">
        <v>51</v>
      </c>
      <c r="B126" s="1">
        <v>2549010</v>
      </c>
      <c r="C126" s="8">
        <v>51</v>
      </c>
      <c r="D126" s="1">
        <v>292</v>
      </c>
      <c r="E126" s="1">
        <f t="shared" ref="E126:E145" si="28">B126/D121</f>
        <v>10196.040000000001</v>
      </c>
      <c r="F126" s="1">
        <f t="shared" si="24"/>
        <v>203920.80000000002</v>
      </c>
      <c r="G126" s="1">
        <f t="shared" si="25"/>
        <v>56.644666666666673</v>
      </c>
      <c r="H126" s="1">
        <f t="shared" si="26"/>
        <v>1225.224769857756</v>
      </c>
      <c r="I126" s="1">
        <f t="shared" si="27"/>
        <v>51.051032077406497</v>
      </c>
    </row>
    <row r="127" spans="1:9">
      <c r="A127" s="8">
        <v>52</v>
      </c>
      <c r="B127" s="1">
        <v>2704030</v>
      </c>
      <c r="C127" s="8">
        <v>52</v>
      </c>
      <c r="D127" s="1">
        <v>302</v>
      </c>
      <c r="E127" s="1">
        <f t="shared" si="28"/>
        <v>10480.736434108499</v>
      </c>
      <c r="F127" s="1">
        <f t="shared" si="24"/>
        <v>209614.72868216998</v>
      </c>
      <c r="G127" s="1">
        <f t="shared" si="25"/>
        <v>58.226313522824995</v>
      </c>
      <c r="H127" s="1">
        <f t="shared" si="26"/>
        <v>1283.4510833805809</v>
      </c>
      <c r="I127" s="1">
        <f t="shared" si="27"/>
        <v>53.47712847419087</v>
      </c>
    </row>
    <row r="128" spans="1:9">
      <c r="A128" s="8">
        <v>53</v>
      </c>
      <c r="B128" s="1">
        <v>2865210</v>
      </c>
      <c r="C128" s="8">
        <v>53</v>
      </c>
      <c r="D128" s="1">
        <v>312</v>
      </c>
      <c r="E128" s="1">
        <f t="shared" si="28"/>
        <v>10771.4661654135</v>
      </c>
      <c r="F128" s="1">
        <f t="shared" si="24"/>
        <v>215429.32330826999</v>
      </c>
      <c r="G128" s="1">
        <f t="shared" si="25"/>
        <v>59.84147869674166</v>
      </c>
      <c r="H128" s="1">
        <f t="shared" si="26"/>
        <v>1343.2925620773226</v>
      </c>
      <c r="I128" s="1">
        <f t="shared" si="27"/>
        <v>55.970523419888444</v>
      </c>
    </row>
    <row r="129" spans="1:9">
      <c r="A129" s="8">
        <v>54</v>
      </c>
      <c r="B129" s="1">
        <v>3032670</v>
      </c>
      <c r="C129" s="8">
        <v>54</v>
      </c>
      <c r="D129" s="1">
        <v>322</v>
      </c>
      <c r="E129" s="1">
        <f t="shared" si="28"/>
        <v>11068.1386861314</v>
      </c>
      <c r="F129" s="1">
        <f t="shared" si="24"/>
        <v>221362.77372262802</v>
      </c>
      <c r="G129" s="1">
        <f t="shared" si="25"/>
        <v>61.489659367396669</v>
      </c>
      <c r="H129" s="1">
        <f t="shared" si="26"/>
        <v>1404.7822214447192</v>
      </c>
      <c r="I129" s="1">
        <f t="shared" si="27"/>
        <v>58.532592560196633</v>
      </c>
    </row>
    <row r="130" spans="1:9">
      <c r="A130" s="8">
        <v>55</v>
      </c>
      <c r="B130" s="1">
        <v>3206530</v>
      </c>
      <c r="C130" s="8">
        <v>55</v>
      </c>
      <c r="D130" s="1">
        <v>332</v>
      </c>
      <c r="E130" s="1">
        <f t="shared" si="28"/>
        <v>11370.673758865199</v>
      </c>
      <c r="F130" s="1">
        <f t="shared" si="24"/>
        <v>227413.475177304</v>
      </c>
      <c r="G130" s="1">
        <f t="shared" si="25"/>
        <v>63.170409771473338</v>
      </c>
      <c r="H130" s="1">
        <f t="shared" si="26"/>
        <v>1467.9526312161925</v>
      </c>
      <c r="I130" s="1">
        <f t="shared" si="27"/>
        <v>61.164692967341352</v>
      </c>
    </row>
    <row r="131" spans="1:9">
      <c r="A131" s="8">
        <v>56</v>
      </c>
      <c r="B131" s="1">
        <v>3386910</v>
      </c>
      <c r="C131" s="8">
        <v>56</v>
      </c>
      <c r="D131" s="1">
        <v>342</v>
      </c>
      <c r="E131" s="1">
        <f t="shared" si="28"/>
        <v>11599.006849315099</v>
      </c>
      <c r="F131" s="1">
        <f t="shared" si="24"/>
        <v>231980.13698630198</v>
      </c>
      <c r="G131" s="1">
        <f t="shared" si="25"/>
        <v>64.438926940639433</v>
      </c>
      <c r="H131" s="1">
        <f t="shared" si="26"/>
        <v>1532.3915581568319</v>
      </c>
      <c r="I131" s="1">
        <f t="shared" si="27"/>
        <v>63.849648256534664</v>
      </c>
    </row>
    <row r="132" spans="1:9">
      <c r="A132" s="8">
        <v>57</v>
      </c>
      <c r="B132" s="1">
        <v>3573930</v>
      </c>
      <c r="C132" s="8">
        <v>57</v>
      </c>
      <c r="D132" s="1">
        <v>352</v>
      </c>
      <c r="E132" s="1">
        <f t="shared" si="28"/>
        <v>11834.205298013199</v>
      </c>
      <c r="F132" s="1">
        <f t="shared" si="24"/>
        <v>236684.10596026399</v>
      </c>
      <c r="G132" s="1">
        <f t="shared" si="25"/>
        <v>65.745584988962221</v>
      </c>
      <c r="H132" s="1">
        <f t="shared" si="26"/>
        <v>1598.1371431457942</v>
      </c>
      <c r="I132" s="1">
        <f t="shared" si="27"/>
        <v>66.589047631074763</v>
      </c>
    </row>
    <row r="133" spans="1:9">
      <c r="A133" s="8">
        <v>58</v>
      </c>
      <c r="B133" s="1">
        <v>3767710</v>
      </c>
      <c r="C133" s="8">
        <v>58</v>
      </c>
      <c r="D133" s="1">
        <v>362</v>
      </c>
      <c r="E133" s="1">
        <f t="shared" si="28"/>
        <v>12075.993589743601</v>
      </c>
      <c r="F133" s="1">
        <f t="shared" si="24"/>
        <v>241519.87179487202</v>
      </c>
      <c r="G133" s="1">
        <f t="shared" si="25"/>
        <v>67.088853276353333</v>
      </c>
      <c r="H133" s="1">
        <f t="shared" si="26"/>
        <v>1665.2259964221475</v>
      </c>
      <c r="I133" s="1">
        <f t="shared" si="27"/>
        <v>69.384416517589486</v>
      </c>
    </row>
    <row r="134" spans="1:9">
      <c r="A134" s="8">
        <v>59</v>
      </c>
      <c r="B134" s="1">
        <v>3968370</v>
      </c>
      <c r="C134" s="8">
        <v>59</v>
      </c>
      <c r="D134" s="1">
        <v>372</v>
      </c>
      <c r="E134" s="1">
        <f t="shared" si="28"/>
        <v>12324.130434782601</v>
      </c>
      <c r="F134" s="1">
        <f t="shared" si="24"/>
        <v>246482.60869565202</v>
      </c>
      <c r="G134" s="1">
        <f t="shared" si="25"/>
        <v>68.467391304347785</v>
      </c>
      <c r="H134" s="1">
        <f t="shared" si="26"/>
        <v>1733.6933877264953</v>
      </c>
      <c r="I134" s="1">
        <f t="shared" si="27"/>
        <v>72.237224488603971</v>
      </c>
    </row>
    <row r="135" spans="1:9">
      <c r="A135" s="8">
        <v>60</v>
      </c>
      <c r="B135" s="1">
        <v>4176030</v>
      </c>
      <c r="C135" s="8">
        <v>60</v>
      </c>
      <c r="D135" s="1">
        <v>382</v>
      </c>
      <c r="E135" s="1">
        <f t="shared" si="28"/>
        <v>12578.4036144578</v>
      </c>
      <c r="F135" s="1">
        <f t="shared" si="24"/>
        <v>251568.072289156</v>
      </c>
      <c r="G135" s="1">
        <f t="shared" si="25"/>
        <v>69.880020080321117</v>
      </c>
      <c r="H135" s="1">
        <f t="shared" si="26"/>
        <v>1803.5734078068165</v>
      </c>
      <c r="I135" s="1">
        <f t="shared" si="27"/>
        <v>75.148891991950691</v>
      </c>
    </row>
    <row r="136" spans="1:9">
      <c r="A136" s="8">
        <v>61</v>
      </c>
      <c r="B136" s="1">
        <v>4390810</v>
      </c>
      <c r="C136" s="8">
        <v>61</v>
      </c>
      <c r="D136" s="1">
        <v>394</v>
      </c>
      <c r="E136" s="1">
        <f t="shared" si="28"/>
        <v>12838.625730994199</v>
      </c>
      <c r="F136" s="1">
        <f t="shared" si="24"/>
        <v>256772.51461988399</v>
      </c>
      <c r="G136" s="1">
        <f t="shared" si="25"/>
        <v>71.325698505523334</v>
      </c>
      <c r="H136" s="1">
        <f t="shared" si="26"/>
        <v>1874.8991063123399</v>
      </c>
      <c r="I136" s="1">
        <f t="shared" si="27"/>
        <v>78.12079609634749</v>
      </c>
    </row>
    <row r="137" spans="1:9">
      <c r="A137" s="8">
        <v>62</v>
      </c>
      <c r="B137" s="1">
        <v>4612830</v>
      </c>
      <c r="C137" s="8">
        <v>62</v>
      </c>
      <c r="D137" s="1">
        <v>406</v>
      </c>
      <c r="E137" s="1">
        <f t="shared" si="28"/>
        <v>13104.6306818182</v>
      </c>
      <c r="F137" s="1">
        <f t="shared" si="24"/>
        <v>262092.613636364</v>
      </c>
      <c r="G137" s="1">
        <f t="shared" si="25"/>
        <v>72.803503787878881</v>
      </c>
      <c r="H137" s="1">
        <f t="shared" si="26"/>
        <v>1947.7026101002189</v>
      </c>
      <c r="I137" s="1">
        <f t="shared" si="27"/>
        <v>81.154275420842453</v>
      </c>
    </row>
    <row r="138" spans="1:9">
      <c r="A138" s="8">
        <v>63</v>
      </c>
      <c r="B138" s="1">
        <v>4842210</v>
      </c>
      <c r="C138" s="8">
        <v>63</v>
      </c>
      <c r="D138" s="1">
        <v>418</v>
      </c>
      <c r="E138" s="1">
        <f t="shared" si="28"/>
        <v>13376.270718231999</v>
      </c>
      <c r="F138" s="1">
        <f t="shared" si="24"/>
        <v>267525.41436463996</v>
      </c>
      <c r="G138" s="1">
        <f t="shared" si="25"/>
        <v>74.312615101288884</v>
      </c>
      <c r="H138" s="1">
        <f t="shared" si="26"/>
        <v>2022.0152252015077</v>
      </c>
      <c r="I138" s="1">
        <f t="shared" si="27"/>
        <v>84.250634383396161</v>
      </c>
    </row>
    <row r="139" spans="1:9">
      <c r="A139" s="8">
        <v>64</v>
      </c>
      <c r="B139" s="1">
        <v>5079070</v>
      </c>
      <c r="C139" s="8">
        <v>64</v>
      </c>
      <c r="D139" s="1">
        <v>430</v>
      </c>
      <c r="E139" s="1">
        <f t="shared" si="28"/>
        <v>13653.4139784946</v>
      </c>
      <c r="F139" s="1">
        <f t="shared" si="24"/>
        <v>273068.27956989198</v>
      </c>
      <c r="G139" s="1">
        <f t="shared" si="25"/>
        <v>75.85229988052555</v>
      </c>
      <c r="H139" s="1">
        <f t="shared" si="26"/>
        <v>2097.8675250820334</v>
      </c>
      <c r="I139" s="1">
        <f t="shared" si="27"/>
        <v>87.411146878418052</v>
      </c>
    </row>
    <row r="140" spans="1:9">
      <c r="A140" s="8">
        <v>65</v>
      </c>
      <c r="B140" s="1">
        <v>5323530</v>
      </c>
      <c r="C140" s="8">
        <v>65</v>
      </c>
      <c r="D140" s="1">
        <v>442</v>
      </c>
      <c r="E140" s="1">
        <f t="shared" si="28"/>
        <v>13935.942408377001</v>
      </c>
      <c r="F140" s="1">
        <f t="shared" si="24"/>
        <v>278718.84816754004</v>
      </c>
      <c r="G140" s="1">
        <f t="shared" si="25"/>
        <v>77.421902268761116</v>
      </c>
      <c r="H140" s="1">
        <f t="shared" si="26"/>
        <v>2175.2894273507945</v>
      </c>
      <c r="I140" s="1">
        <f t="shared" si="27"/>
        <v>90.637059472949772</v>
      </c>
    </row>
    <row r="141" spans="1:9">
      <c r="A141" s="8">
        <v>66</v>
      </c>
      <c r="B141" s="1">
        <v>5575710</v>
      </c>
      <c r="C141" s="8">
        <v>66</v>
      </c>
      <c r="D141" s="1">
        <v>454</v>
      </c>
      <c r="E141" s="1">
        <f t="shared" si="28"/>
        <v>14151.548223350301</v>
      </c>
      <c r="F141" s="1">
        <f t="shared" si="24"/>
        <v>283030.96446700604</v>
      </c>
      <c r="G141" s="1">
        <f t="shared" si="25"/>
        <v>78.61971235194612</v>
      </c>
      <c r="H141" s="1">
        <f t="shared" si="26"/>
        <v>2253.9091397027405</v>
      </c>
      <c r="I141" s="1">
        <f t="shared" si="27"/>
        <v>93.912880820947521</v>
      </c>
    </row>
    <row r="142" spans="1:9">
      <c r="A142" s="8">
        <v>67</v>
      </c>
      <c r="B142" s="1">
        <v>5835730</v>
      </c>
      <c r="C142" s="8">
        <v>67</v>
      </c>
      <c r="D142" s="1">
        <v>466</v>
      </c>
      <c r="E142" s="1">
        <f t="shared" si="28"/>
        <v>14373.719211822699</v>
      </c>
      <c r="F142" s="1">
        <f t="shared" si="24"/>
        <v>287474.38423645397</v>
      </c>
      <c r="G142" s="1">
        <f t="shared" si="25"/>
        <v>79.853995621237218</v>
      </c>
      <c r="H142" s="1">
        <f t="shared" si="26"/>
        <v>2333.7631353239776</v>
      </c>
      <c r="I142" s="1">
        <f t="shared" si="27"/>
        <v>97.240130638499068</v>
      </c>
    </row>
    <row r="143" spans="1:9">
      <c r="A143" s="8">
        <v>68</v>
      </c>
      <c r="B143" s="1">
        <v>6103710</v>
      </c>
      <c r="C143" s="8">
        <v>68</v>
      </c>
      <c r="D143" s="1">
        <v>478</v>
      </c>
      <c r="E143" s="1">
        <f t="shared" si="28"/>
        <v>14602.177033492801</v>
      </c>
      <c r="F143" s="1">
        <f t="shared" si="24"/>
        <v>292043.54066985601</v>
      </c>
      <c r="G143" s="1">
        <f t="shared" si="25"/>
        <v>81.123205741626663</v>
      </c>
      <c r="H143" s="1">
        <f t="shared" si="26"/>
        <v>2414.8863410656045</v>
      </c>
      <c r="I143" s="1">
        <f t="shared" si="27"/>
        <v>100.62026421106685</v>
      </c>
    </row>
    <row r="144" spans="1:9">
      <c r="A144" s="8">
        <v>69</v>
      </c>
      <c r="B144" s="1">
        <v>6379770</v>
      </c>
      <c r="C144" s="8">
        <v>69</v>
      </c>
      <c r="D144" s="1">
        <v>490</v>
      </c>
      <c r="E144" s="1">
        <f t="shared" si="28"/>
        <v>14836.6744186047</v>
      </c>
      <c r="F144" s="1">
        <f t="shared" si="24"/>
        <v>296733.488372094</v>
      </c>
      <c r="G144" s="1">
        <f t="shared" si="25"/>
        <v>82.425968992248329</v>
      </c>
      <c r="H144" s="1">
        <f t="shared" si="26"/>
        <v>2497.3123100578528</v>
      </c>
      <c r="I144" s="1">
        <f t="shared" si="27"/>
        <v>104.05467958574387</v>
      </c>
    </row>
    <row r="145" spans="1:9">
      <c r="A145" s="8">
        <v>70</v>
      </c>
      <c r="B145" s="1">
        <v>6664030</v>
      </c>
      <c r="C145" s="8">
        <v>70</v>
      </c>
      <c r="D145" s="1">
        <v>502</v>
      </c>
      <c r="E145" s="1">
        <f t="shared" si="28"/>
        <v>15076.9909502262</v>
      </c>
      <c r="F145" s="1">
        <f t="shared" si="24"/>
        <v>301539.81900452398</v>
      </c>
      <c r="G145" s="1">
        <f t="shared" si="25"/>
        <v>83.761060834589998</v>
      </c>
      <c r="H145" s="1">
        <f t="shared" si="26"/>
        <v>2581.0733708924427</v>
      </c>
      <c r="I145" s="1">
        <f t="shared" si="27"/>
        <v>107.54472378718511</v>
      </c>
    </row>
    <row r="148" spans="1:9" s="12" customFormat="1">
      <c r="A148" s="5" t="s">
        <v>259</v>
      </c>
      <c r="B148" s="13"/>
      <c r="C148" s="5"/>
      <c r="D148" s="13"/>
      <c r="E148" s="13"/>
      <c r="F148" s="13"/>
      <c r="G148" s="13"/>
      <c r="H148" s="13"/>
      <c r="I148" s="13"/>
    </row>
    <row r="149" spans="1:9">
      <c r="A149" s="8" t="s">
        <v>41</v>
      </c>
      <c r="B149" s="1" t="s">
        <v>42</v>
      </c>
      <c r="C149" s="8" t="s">
        <v>43</v>
      </c>
      <c r="D149" s="1" t="s">
        <v>44</v>
      </c>
    </row>
    <row r="150" spans="1:9">
      <c r="A150" s="8">
        <v>1</v>
      </c>
      <c r="B150" s="1">
        <v>10</v>
      </c>
      <c r="C150" s="8">
        <v>1</v>
      </c>
      <c r="D150" s="1">
        <v>10</v>
      </c>
      <c r="E150" s="1">
        <f>B150/D150</f>
        <v>1</v>
      </c>
      <c r="F150" s="1">
        <f>E150*$K$2</f>
        <v>20</v>
      </c>
      <c r="G150" s="1">
        <f>F150/3600</f>
        <v>5.5555555555555558E-3</v>
      </c>
      <c r="H150" s="1">
        <f>H149+G150</f>
        <v>5.5555555555555558E-3</v>
      </c>
      <c r="I150" s="1">
        <f>H150/24</f>
        <v>2.3148148148148149E-4</v>
      </c>
    </row>
    <row r="151" spans="1:9">
      <c r="A151" s="8">
        <v>2</v>
      </c>
      <c r="B151" s="1">
        <v>30</v>
      </c>
      <c r="C151" s="8">
        <v>2</v>
      </c>
      <c r="D151" s="1">
        <v>12</v>
      </c>
      <c r="E151" s="1">
        <f>B151/D151</f>
        <v>2.5</v>
      </c>
      <c r="F151" s="1">
        <f>E151*$K$2</f>
        <v>50</v>
      </c>
      <c r="G151" s="1">
        <f>F151/3600</f>
        <v>1.3888888888888888E-2</v>
      </c>
      <c r="H151" s="1">
        <f>H150+G151</f>
        <v>1.9444444444444445E-2</v>
      </c>
      <c r="I151" s="1">
        <f>H151/24</f>
        <v>8.1018518518518516E-4</v>
      </c>
    </row>
    <row r="152" spans="1:9">
      <c r="A152" s="8">
        <v>3</v>
      </c>
      <c r="B152" s="1">
        <v>210</v>
      </c>
      <c r="C152" s="8">
        <v>3</v>
      </c>
      <c r="D152" s="1">
        <v>14</v>
      </c>
      <c r="E152" s="1">
        <f t="shared" ref="E152:E158" si="29">B152/D152</f>
        <v>15</v>
      </c>
      <c r="F152" s="1">
        <f>E152*$K$2</f>
        <v>300</v>
      </c>
      <c r="G152" s="1">
        <f>F152/3600</f>
        <v>8.3333333333333329E-2</v>
      </c>
      <c r="H152" s="1">
        <f>H151+G152</f>
        <v>0.10277777777777777</v>
      </c>
      <c r="I152" s="1">
        <f>H152/24</f>
        <v>4.2824074074074075E-3</v>
      </c>
    </row>
    <row r="153" spans="1:9">
      <c r="A153" s="8">
        <v>4</v>
      </c>
      <c r="B153" s="1">
        <v>670</v>
      </c>
      <c r="C153" s="8">
        <v>4</v>
      </c>
      <c r="D153" s="1">
        <v>16</v>
      </c>
      <c r="E153" s="1">
        <f t="shared" si="29"/>
        <v>41.875</v>
      </c>
      <c r="F153" s="1">
        <f t="shared" ref="F153:F177" si="30">E153*$K$2</f>
        <v>837.5</v>
      </c>
      <c r="G153" s="1">
        <f t="shared" ref="G153:G177" si="31">F153/3600</f>
        <v>0.2326388888888889</v>
      </c>
      <c r="H153" s="1">
        <f t="shared" ref="H153:H177" si="32">H152+G153</f>
        <v>0.3354166666666667</v>
      </c>
      <c r="I153" s="1">
        <f t="shared" ref="I153:I177" si="33">H153/24</f>
        <v>1.3975694444444445E-2</v>
      </c>
    </row>
    <row r="154" spans="1:9">
      <c r="A154" s="8">
        <v>5</v>
      </c>
      <c r="B154" s="1">
        <v>1530</v>
      </c>
      <c r="C154" s="8">
        <v>5</v>
      </c>
      <c r="D154" s="1">
        <v>18</v>
      </c>
      <c r="E154" s="1">
        <f t="shared" si="29"/>
        <v>85</v>
      </c>
      <c r="F154" s="1">
        <f t="shared" si="30"/>
        <v>1700</v>
      </c>
      <c r="G154" s="1">
        <f t="shared" si="31"/>
        <v>0.47222222222222221</v>
      </c>
      <c r="H154" s="1">
        <f t="shared" si="32"/>
        <v>0.80763888888888891</v>
      </c>
      <c r="I154" s="1">
        <f t="shared" si="33"/>
        <v>3.3651620370370373E-2</v>
      </c>
    </row>
    <row r="155" spans="1:9">
      <c r="A155" s="8">
        <v>6</v>
      </c>
      <c r="B155" s="1">
        <v>2910</v>
      </c>
      <c r="C155" s="8">
        <v>6</v>
      </c>
      <c r="D155" s="1">
        <v>20</v>
      </c>
      <c r="E155" s="1">
        <f t="shared" si="29"/>
        <v>145.5</v>
      </c>
      <c r="F155" s="1">
        <f t="shared" si="30"/>
        <v>2910</v>
      </c>
      <c r="G155" s="1">
        <f t="shared" si="31"/>
        <v>0.80833333333333335</v>
      </c>
      <c r="H155" s="1">
        <f t="shared" si="32"/>
        <v>1.6159722222222221</v>
      </c>
      <c r="I155" s="1">
        <f t="shared" si="33"/>
        <v>6.7332175925925927E-2</v>
      </c>
    </row>
    <row r="156" spans="1:9">
      <c r="A156" s="8">
        <v>7</v>
      </c>
      <c r="B156" s="1">
        <v>4930</v>
      </c>
      <c r="C156" s="8">
        <v>7</v>
      </c>
      <c r="D156" s="1">
        <v>22</v>
      </c>
      <c r="E156" s="1">
        <f t="shared" si="29"/>
        <v>224.09090909090901</v>
      </c>
      <c r="F156" s="1">
        <f t="shared" si="30"/>
        <v>4481.8181818181802</v>
      </c>
      <c r="G156" s="1">
        <f t="shared" si="31"/>
        <v>1.2449494949494946</v>
      </c>
      <c r="H156" s="1">
        <f t="shared" si="32"/>
        <v>2.8609217171717169</v>
      </c>
      <c r="I156" s="1">
        <f t="shared" si="33"/>
        <v>0.11920507154882154</v>
      </c>
    </row>
    <row r="157" spans="1:9">
      <c r="A157" s="8">
        <v>8</v>
      </c>
      <c r="B157" s="1">
        <v>7710</v>
      </c>
      <c r="C157" s="8">
        <v>8</v>
      </c>
      <c r="D157" s="1">
        <v>24</v>
      </c>
      <c r="E157" s="1">
        <f t="shared" si="29"/>
        <v>321.25</v>
      </c>
      <c r="F157" s="1">
        <f t="shared" si="30"/>
        <v>6425</v>
      </c>
      <c r="G157" s="1">
        <f t="shared" si="31"/>
        <v>1.7847222222222223</v>
      </c>
      <c r="H157" s="1">
        <f t="shared" si="32"/>
        <v>4.6456439393939393</v>
      </c>
      <c r="I157" s="1">
        <f t="shared" si="33"/>
        <v>0.19356849747474747</v>
      </c>
    </row>
    <row r="158" spans="1:9">
      <c r="A158" s="8">
        <v>9</v>
      </c>
      <c r="B158" s="1">
        <v>11370</v>
      </c>
      <c r="C158" s="8">
        <v>9</v>
      </c>
      <c r="D158" s="1">
        <v>28</v>
      </c>
      <c r="E158" s="1">
        <f t="shared" si="29"/>
        <v>406.07142857142901</v>
      </c>
      <c r="F158" s="1">
        <f t="shared" si="30"/>
        <v>8121.4285714285797</v>
      </c>
      <c r="G158" s="1">
        <f t="shared" si="31"/>
        <v>2.2559523809523832</v>
      </c>
      <c r="H158" s="1">
        <f t="shared" si="32"/>
        <v>6.9015963203463224</v>
      </c>
      <c r="I158" s="1">
        <f t="shared" si="33"/>
        <v>0.28756651334776345</v>
      </c>
    </row>
    <row r="159" spans="1:9">
      <c r="A159" s="8">
        <v>10</v>
      </c>
      <c r="B159" s="1">
        <v>16030</v>
      </c>
      <c r="C159" s="8">
        <v>10</v>
      </c>
      <c r="D159" s="1">
        <v>32</v>
      </c>
      <c r="E159" s="1">
        <f>B159/D169</f>
        <v>222.63888888888889</v>
      </c>
      <c r="F159" s="1">
        <f t="shared" si="30"/>
        <v>4452.7777777777774</v>
      </c>
      <c r="G159" s="1">
        <f t="shared" si="31"/>
        <v>1.2368827160493827</v>
      </c>
      <c r="H159" s="1">
        <f t="shared" si="32"/>
        <v>8.1384790363957045</v>
      </c>
      <c r="I159" s="1">
        <f t="shared" si="33"/>
        <v>0.33910329318315435</v>
      </c>
    </row>
    <row r="160" spans="1:9">
      <c r="A160" s="8">
        <v>11</v>
      </c>
      <c r="B160" s="1">
        <v>21810</v>
      </c>
      <c r="C160" s="8">
        <v>11</v>
      </c>
      <c r="D160" s="1">
        <v>36</v>
      </c>
      <c r="E160" s="1">
        <f t="shared" ref="E160:E208" si="34">B160/D170</f>
        <v>279.61538461538464</v>
      </c>
      <c r="F160" s="1">
        <f t="shared" si="30"/>
        <v>5592.3076923076933</v>
      </c>
      <c r="G160" s="1">
        <f t="shared" si="31"/>
        <v>1.5534188034188037</v>
      </c>
      <c r="H160" s="1">
        <f t="shared" si="32"/>
        <v>9.6918978398145086</v>
      </c>
      <c r="I160" s="1">
        <f t="shared" si="33"/>
        <v>0.40382907665893786</v>
      </c>
    </row>
    <row r="161" spans="1:9">
      <c r="A161" s="8">
        <v>12</v>
      </c>
      <c r="B161" s="1">
        <v>28830</v>
      </c>
      <c r="C161" s="8">
        <v>12</v>
      </c>
      <c r="D161" s="1">
        <v>40</v>
      </c>
      <c r="E161" s="1">
        <f t="shared" si="34"/>
        <v>343.21428571428572</v>
      </c>
      <c r="F161" s="1">
        <f t="shared" si="30"/>
        <v>6864.2857142857147</v>
      </c>
      <c r="G161" s="1">
        <f t="shared" si="31"/>
        <v>1.9067460317460319</v>
      </c>
      <c r="H161" s="1">
        <f t="shared" si="32"/>
        <v>11.59864387156054</v>
      </c>
      <c r="I161" s="1">
        <f t="shared" si="33"/>
        <v>0.48327682798168919</v>
      </c>
    </row>
    <row r="162" spans="1:9">
      <c r="A162" s="8">
        <v>13</v>
      </c>
      <c r="B162" s="1">
        <v>37210</v>
      </c>
      <c r="C162" s="8">
        <v>13</v>
      </c>
      <c r="D162" s="1">
        <v>44</v>
      </c>
      <c r="E162" s="1">
        <f t="shared" si="34"/>
        <v>413.44444444444446</v>
      </c>
      <c r="F162" s="1">
        <f t="shared" si="30"/>
        <v>8268.8888888888887</v>
      </c>
      <c r="G162" s="1">
        <f t="shared" si="31"/>
        <v>2.2969135802469136</v>
      </c>
      <c r="H162" s="1">
        <f t="shared" si="32"/>
        <v>13.895557451807454</v>
      </c>
      <c r="I162" s="1">
        <f t="shared" si="33"/>
        <v>0.57898156049197724</v>
      </c>
    </row>
    <row r="163" spans="1:9">
      <c r="A163" s="8">
        <v>14</v>
      </c>
      <c r="B163" s="1">
        <v>47070</v>
      </c>
      <c r="C163" s="8">
        <v>14</v>
      </c>
      <c r="D163" s="1">
        <v>48</v>
      </c>
      <c r="E163" s="1">
        <f t="shared" si="34"/>
        <v>490.3125</v>
      </c>
      <c r="F163" s="1">
        <f t="shared" si="30"/>
        <v>9806.25</v>
      </c>
      <c r="G163" s="1">
        <f t="shared" si="31"/>
        <v>2.7239583333333335</v>
      </c>
      <c r="H163" s="1">
        <f t="shared" si="32"/>
        <v>16.619515785140788</v>
      </c>
      <c r="I163" s="1">
        <f t="shared" si="33"/>
        <v>0.69247982438086619</v>
      </c>
    </row>
    <row r="164" spans="1:9">
      <c r="A164" s="8">
        <v>15</v>
      </c>
      <c r="B164" s="1">
        <v>58530</v>
      </c>
      <c r="C164" s="8">
        <v>15</v>
      </c>
      <c r="D164" s="1">
        <v>52</v>
      </c>
      <c r="E164" s="1">
        <f t="shared" si="34"/>
        <v>573.82352941176475</v>
      </c>
      <c r="F164" s="1">
        <f t="shared" si="30"/>
        <v>11476.470588235296</v>
      </c>
      <c r="G164" s="1">
        <f t="shared" si="31"/>
        <v>3.1879084967320264</v>
      </c>
      <c r="H164" s="1">
        <f t="shared" si="32"/>
        <v>19.807424281872812</v>
      </c>
      <c r="I164" s="1">
        <f t="shared" si="33"/>
        <v>0.82530934507803388</v>
      </c>
    </row>
    <row r="165" spans="1:9">
      <c r="A165" s="8">
        <v>16</v>
      </c>
      <c r="B165" s="1">
        <v>71710</v>
      </c>
      <c r="C165" s="8">
        <v>16</v>
      </c>
      <c r="D165" s="1">
        <v>56</v>
      </c>
      <c r="E165" s="1">
        <f t="shared" si="34"/>
        <v>663.98148148148152</v>
      </c>
      <c r="F165" s="1">
        <f t="shared" si="30"/>
        <v>13279.629629629631</v>
      </c>
      <c r="G165" s="1">
        <f t="shared" si="31"/>
        <v>3.6887860082304531</v>
      </c>
      <c r="H165" s="1">
        <f t="shared" si="32"/>
        <v>23.496210290103264</v>
      </c>
      <c r="I165" s="1">
        <f t="shared" si="33"/>
        <v>0.97900876208763599</v>
      </c>
    </row>
    <row r="166" spans="1:9">
      <c r="A166" s="8">
        <v>17</v>
      </c>
      <c r="B166" s="1">
        <v>86730</v>
      </c>
      <c r="C166" s="8">
        <v>17</v>
      </c>
      <c r="D166" s="1">
        <v>60</v>
      </c>
      <c r="E166" s="1">
        <f t="shared" si="34"/>
        <v>760.78947368421052</v>
      </c>
      <c r="F166" s="1">
        <f t="shared" si="30"/>
        <v>15215.78947368421</v>
      </c>
      <c r="G166" s="1">
        <f t="shared" si="31"/>
        <v>4.2266081871345031</v>
      </c>
      <c r="H166" s="1">
        <f t="shared" si="32"/>
        <v>27.722818477237766</v>
      </c>
      <c r="I166" s="1">
        <f t="shared" si="33"/>
        <v>1.1551174365515735</v>
      </c>
    </row>
    <row r="167" spans="1:9">
      <c r="A167" s="8">
        <v>18</v>
      </c>
      <c r="B167" s="1">
        <v>103710</v>
      </c>
      <c r="C167" s="8">
        <v>18</v>
      </c>
      <c r="D167" s="1">
        <v>64</v>
      </c>
      <c r="E167" s="1">
        <f t="shared" si="34"/>
        <v>864.25</v>
      </c>
      <c r="F167" s="1">
        <f t="shared" si="30"/>
        <v>17285</v>
      </c>
      <c r="G167" s="1">
        <f t="shared" si="31"/>
        <v>4.8013888888888889</v>
      </c>
      <c r="H167" s="1">
        <f t="shared" si="32"/>
        <v>32.524207366126653</v>
      </c>
      <c r="I167" s="1">
        <f t="shared" si="33"/>
        <v>1.3551753069219439</v>
      </c>
    </row>
    <row r="168" spans="1:9">
      <c r="A168" s="8">
        <v>19</v>
      </c>
      <c r="B168" s="1">
        <v>122770</v>
      </c>
      <c r="C168" s="8">
        <v>19</v>
      </c>
      <c r="D168" s="1">
        <v>68</v>
      </c>
      <c r="E168" s="1">
        <f t="shared" si="34"/>
        <v>974.3650793650794</v>
      </c>
      <c r="F168" s="1">
        <f t="shared" si="30"/>
        <v>19487.301587301587</v>
      </c>
      <c r="G168" s="1">
        <f t="shared" si="31"/>
        <v>5.413139329805996</v>
      </c>
      <c r="H168" s="1">
        <f t="shared" si="32"/>
        <v>37.937346695932646</v>
      </c>
      <c r="I168" s="1">
        <f t="shared" si="33"/>
        <v>1.5807227789971936</v>
      </c>
    </row>
    <row r="169" spans="1:9">
      <c r="A169" s="8">
        <v>20</v>
      </c>
      <c r="B169" s="1">
        <v>144030</v>
      </c>
      <c r="C169" s="8">
        <v>20</v>
      </c>
      <c r="D169" s="1">
        <v>72</v>
      </c>
      <c r="E169" s="1">
        <f t="shared" si="34"/>
        <v>1091.1363636363637</v>
      </c>
      <c r="F169" s="1">
        <f t="shared" si="30"/>
        <v>21822.727272727276</v>
      </c>
      <c r="G169" s="1">
        <f t="shared" si="31"/>
        <v>6.0618686868686877</v>
      </c>
      <c r="H169" s="1">
        <f t="shared" si="32"/>
        <v>43.999215382801331</v>
      </c>
      <c r="I169" s="1">
        <f t="shared" si="33"/>
        <v>1.8333006409500554</v>
      </c>
    </row>
    <row r="170" spans="1:9">
      <c r="A170" s="8">
        <v>21</v>
      </c>
      <c r="B170" s="1">
        <v>167610</v>
      </c>
      <c r="C170" s="8">
        <v>21</v>
      </c>
      <c r="D170" s="1">
        <v>78</v>
      </c>
      <c r="E170" s="1">
        <f t="shared" si="34"/>
        <v>1214.5652173913043</v>
      </c>
      <c r="F170" s="1">
        <f t="shared" si="30"/>
        <v>24291.304347826084</v>
      </c>
      <c r="G170" s="1">
        <f t="shared" si="31"/>
        <v>6.7475845410628015</v>
      </c>
      <c r="H170" s="1">
        <f t="shared" si="32"/>
        <v>50.746799923864131</v>
      </c>
      <c r="I170" s="1">
        <f t="shared" si="33"/>
        <v>2.114449996827672</v>
      </c>
    </row>
    <row r="171" spans="1:9">
      <c r="A171" s="8">
        <v>22</v>
      </c>
      <c r="B171" s="1">
        <v>193630</v>
      </c>
      <c r="C171" s="8">
        <v>22</v>
      </c>
      <c r="D171" s="1">
        <v>84</v>
      </c>
      <c r="E171" s="1">
        <f t="shared" si="34"/>
        <v>1344.6527777777778</v>
      </c>
      <c r="F171" s="1">
        <f t="shared" si="30"/>
        <v>26893.055555555555</v>
      </c>
      <c r="G171" s="1">
        <f t="shared" si="31"/>
        <v>7.4702932098765427</v>
      </c>
      <c r="H171" s="1">
        <f t="shared" si="32"/>
        <v>58.217093133740676</v>
      </c>
      <c r="I171" s="1">
        <f t="shared" si="33"/>
        <v>2.4257122139058613</v>
      </c>
    </row>
    <row r="172" spans="1:9">
      <c r="A172" s="8">
        <v>23</v>
      </c>
      <c r="B172" s="1">
        <v>222210</v>
      </c>
      <c r="C172" s="8">
        <v>23</v>
      </c>
      <c r="D172" s="1">
        <v>90</v>
      </c>
      <c r="E172" s="1">
        <f t="shared" si="34"/>
        <v>1481.4</v>
      </c>
      <c r="F172" s="1">
        <f t="shared" si="30"/>
        <v>29628</v>
      </c>
      <c r="G172" s="1">
        <f t="shared" si="31"/>
        <v>8.23</v>
      </c>
      <c r="H172" s="1">
        <f t="shared" si="32"/>
        <v>66.44709313374068</v>
      </c>
      <c r="I172" s="1">
        <f t="shared" si="33"/>
        <v>2.7686288805725283</v>
      </c>
    </row>
    <row r="173" spans="1:9">
      <c r="A173" s="8">
        <v>24</v>
      </c>
      <c r="B173" s="1">
        <v>253470</v>
      </c>
      <c r="C173" s="8">
        <v>24</v>
      </c>
      <c r="D173" s="1">
        <v>96</v>
      </c>
      <c r="E173" s="1">
        <f t="shared" si="34"/>
        <v>1624.8076923076924</v>
      </c>
      <c r="F173" s="1">
        <f t="shared" si="30"/>
        <v>32496.153846153848</v>
      </c>
      <c r="G173" s="1">
        <f t="shared" si="31"/>
        <v>9.0267094017094021</v>
      </c>
      <c r="H173" s="1">
        <f t="shared" si="32"/>
        <v>75.473802535450076</v>
      </c>
      <c r="I173" s="1">
        <f t="shared" si="33"/>
        <v>3.1447417723104198</v>
      </c>
    </row>
    <row r="174" spans="1:9">
      <c r="A174" s="8">
        <v>25</v>
      </c>
      <c r="B174" s="1">
        <v>287530</v>
      </c>
      <c r="C174" s="8">
        <v>25</v>
      </c>
      <c r="D174" s="1">
        <v>102</v>
      </c>
      <c r="E174" s="1">
        <f t="shared" si="34"/>
        <v>1774.8765432098764</v>
      </c>
      <c r="F174" s="1">
        <f t="shared" si="30"/>
        <v>35497.530864197528</v>
      </c>
      <c r="G174" s="1">
        <f t="shared" si="31"/>
        <v>9.8604252400548695</v>
      </c>
      <c r="H174" s="1">
        <f t="shared" si="32"/>
        <v>85.334227775504942</v>
      </c>
      <c r="I174" s="1">
        <f t="shared" si="33"/>
        <v>3.5555928239793726</v>
      </c>
    </row>
    <row r="175" spans="1:9">
      <c r="A175" s="8">
        <v>26</v>
      </c>
      <c r="B175" s="1">
        <v>324510</v>
      </c>
      <c r="C175" s="8">
        <v>26</v>
      </c>
      <c r="D175" s="1">
        <v>108</v>
      </c>
      <c r="E175" s="1">
        <f t="shared" si="34"/>
        <v>1908.8823529411766</v>
      </c>
      <c r="F175" s="1">
        <f t="shared" si="30"/>
        <v>38177.647058823532</v>
      </c>
      <c r="G175" s="1">
        <f t="shared" si="31"/>
        <v>10.604901960784314</v>
      </c>
      <c r="H175" s="1">
        <f t="shared" si="32"/>
        <v>95.93912973628926</v>
      </c>
      <c r="I175" s="1">
        <f t="shared" si="33"/>
        <v>3.9974637390120527</v>
      </c>
    </row>
    <row r="176" spans="1:9">
      <c r="A176" s="8">
        <v>27</v>
      </c>
      <c r="B176" s="1">
        <v>364530</v>
      </c>
      <c r="C176" s="8">
        <v>27</v>
      </c>
      <c r="D176" s="1">
        <v>114</v>
      </c>
      <c r="E176" s="1">
        <f t="shared" si="34"/>
        <v>2047.9213483146068</v>
      </c>
      <c r="F176" s="1">
        <f t="shared" si="30"/>
        <v>40958.426966292136</v>
      </c>
      <c r="G176" s="1">
        <f t="shared" si="31"/>
        <v>11.377340823970037</v>
      </c>
      <c r="H176" s="1">
        <f t="shared" si="32"/>
        <v>107.31647056025929</v>
      </c>
      <c r="I176" s="1">
        <f t="shared" si="33"/>
        <v>4.4715196066774707</v>
      </c>
    </row>
    <row r="177" spans="1:9">
      <c r="A177" s="8">
        <v>28</v>
      </c>
      <c r="B177" s="1">
        <v>407710</v>
      </c>
      <c r="C177" s="8">
        <v>28</v>
      </c>
      <c r="D177" s="1">
        <v>120</v>
      </c>
      <c r="E177" s="1">
        <f t="shared" si="34"/>
        <v>2191.989247311828</v>
      </c>
      <c r="F177" s="1">
        <f t="shared" si="30"/>
        <v>43839.784946236556</v>
      </c>
      <c r="G177" s="1">
        <f t="shared" si="31"/>
        <v>12.177718040621265</v>
      </c>
      <c r="H177" s="1">
        <f t="shared" si="32"/>
        <v>119.49418860088056</v>
      </c>
      <c r="I177" s="1">
        <f t="shared" si="33"/>
        <v>4.9789245250366898</v>
      </c>
    </row>
    <row r="178" spans="1:9">
      <c r="A178" s="8">
        <v>29</v>
      </c>
      <c r="B178" s="1">
        <v>454170</v>
      </c>
      <c r="C178" s="8">
        <v>29</v>
      </c>
      <c r="D178" s="1">
        <v>126</v>
      </c>
      <c r="E178" s="1">
        <f t="shared" si="34"/>
        <v>2341.0824742268042</v>
      </c>
      <c r="F178" s="1">
        <f>E178*$K$2</f>
        <v>46821.649484536087</v>
      </c>
      <c r="G178" s="1">
        <f>F178/3600</f>
        <v>13.006013745704468</v>
      </c>
      <c r="H178" s="1">
        <f>H177+G178</f>
        <v>132.50020234658504</v>
      </c>
      <c r="I178" s="1">
        <f>H178/24</f>
        <v>5.5208417644410437</v>
      </c>
    </row>
    <row r="179" spans="1:9">
      <c r="A179" s="8">
        <v>30</v>
      </c>
      <c r="B179" s="1">
        <v>504030</v>
      </c>
      <c r="C179" s="8">
        <v>30</v>
      </c>
      <c r="D179" s="1">
        <v>132</v>
      </c>
      <c r="E179" s="1">
        <f t="shared" si="34"/>
        <v>2495.1980198019801</v>
      </c>
      <c r="F179" s="1">
        <f>E179*$K$2</f>
        <v>49903.960396039605</v>
      </c>
      <c r="G179" s="1">
        <f>F179/3600</f>
        <v>13.862211221122113</v>
      </c>
      <c r="H179" s="1">
        <f>H178+G179</f>
        <v>146.36241356770716</v>
      </c>
      <c r="I179" s="1">
        <f>H179/24</f>
        <v>6.0984338986544655</v>
      </c>
    </row>
    <row r="180" spans="1:9">
      <c r="A180" s="8">
        <v>31</v>
      </c>
      <c r="B180" s="1">
        <v>557410</v>
      </c>
      <c r="C180" s="8">
        <v>31</v>
      </c>
      <c r="D180" s="1">
        <v>138</v>
      </c>
      <c r="E180" s="1">
        <f t="shared" si="34"/>
        <v>2654.3333333333335</v>
      </c>
      <c r="F180" s="1">
        <f>E180*$K$2</f>
        <v>53086.666666666672</v>
      </c>
      <c r="G180" s="1">
        <f>F180/3600</f>
        <v>14.746296296296297</v>
      </c>
      <c r="H180" s="1">
        <f>H179+G180</f>
        <v>161.10870986400346</v>
      </c>
      <c r="I180" s="1">
        <f>H180/24</f>
        <v>6.7128629110001441</v>
      </c>
    </row>
    <row r="181" spans="1:9">
      <c r="A181" s="8">
        <v>32</v>
      </c>
      <c r="B181" s="1">
        <v>614430</v>
      </c>
      <c r="C181" s="8">
        <v>32</v>
      </c>
      <c r="D181" s="1">
        <v>144</v>
      </c>
      <c r="E181" s="1">
        <f t="shared" si="34"/>
        <v>2818.4862385321103</v>
      </c>
      <c r="F181" s="1">
        <f t="shared" ref="F181:F219" si="35">E181*$K$2</f>
        <v>56369.724770642206</v>
      </c>
      <c r="G181" s="1">
        <f t="shared" ref="G181:G219" si="36">F181/3600</f>
        <v>15.658256880733946</v>
      </c>
      <c r="H181" s="1">
        <f t="shared" ref="H181:H219" si="37">H180+G181</f>
        <v>176.7669667447374</v>
      </c>
      <c r="I181" s="1">
        <f t="shared" ref="I181:I219" si="38">H181/24</f>
        <v>7.3652902810307248</v>
      </c>
    </row>
    <row r="182" spans="1:9">
      <c r="A182" s="8">
        <v>33</v>
      </c>
      <c r="B182" s="1">
        <v>675210</v>
      </c>
      <c r="C182" s="8">
        <v>33</v>
      </c>
      <c r="D182" s="1">
        <v>150</v>
      </c>
      <c r="E182" s="1">
        <f t="shared" si="34"/>
        <v>2987.6548672566373</v>
      </c>
      <c r="F182" s="1">
        <f t="shared" si="35"/>
        <v>59753.097345132745</v>
      </c>
      <c r="G182" s="1">
        <f t="shared" si="36"/>
        <v>16.598082595870206</v>
      </c>
      <c r="H182" s="1">
        <f t="shared" si="37"/>
        <v>193.36504934060761</v>
      </c>
      <c r="I182" s="1">
        <f t="shared" si="38"/>
        <v>8.0568770558586511</v>
      </c>
    </row>
    <row r="183" spans="1:9">
      <c r="A183" s="8">
        <v>34</v>
      </c>
      <c r="B183" s="1">
        <v>739870</v>
      </c>
      <c r="C183" s="8">
        <v>34</v>
      </c>
      <c r="D183" s="1">
        <v>156</v>
      </c>
      <c r="E183" s="1">
        <f t="shared" si="34"/>
        <v>3161.8376068376069</v>
      </c>
      <c r="F183" s="1">
        <f t="shared" si="35"/>
        <v>63236.75213675214</v>
      </c>
      <c r="G183" s="1">
        <f t="shared" si="36"/>
        <v>17.565764482431149</v>
      </c>
      <c r="H183" s="1">
        <f t="shared" si="37"/>
        <v>210.93081382303876</v>
      </c>
      <c r="I183" s="1">
        <f t="shared" si="38"/>
        <v>8.7887839092932811</v>
      </c>
    </row>
    <row r="184" spans="1:9">
      <c r="A184" s="8">
        <v>35</v>
      </c>
      <c r="B184" s="1">
        <v>808530</v>
      </c>
      <c r="C184" s="8">
        <v>35</v>
      </c>
      <c r="D184" s="1">
        <v>162</v>
      </c>
      <c r="E184" s="1">
        <f t="shared" si="34"/>
        <v>3341.0330578512398</v>
      </c>
      <c r="F184" s="1">
        <f t="shared" si="35"/>
        <v>66820.661157024791</v>
      </c>
      <c r="G184" s="1">
        <f t="shared" si="36"/>
        <v>18.56129476584022</v>
      </c>
      <c r="H184" s="1">
        <f t="shared" si="37"/>
        <v>229.49210858887898</v>
      </c>
      <c r="I184" s="1">
        <f t="shared" si="38"/>
        <v>9.5621711912032907</v>
      </c>
    </row>
    <row r="185" spans="1:9">
      <c r="A185" s="8">
        <v>36</v>
      </c>
      <c r="B185" s="1">
        <v>881310</v>
      </c>
      <c r="C185" s="8">
        <v>36</v>
      </c>
      <c r="D185" s="1">
        <v>170</v>
      </c>
      <c r="E185" s="1">
        <f t="shared" si="34"/>
        <v>3525.24</v>
      </c>
      <c r="F185" s="1">
        <f t="shared" si="35"/>
        <v>70504.799999999988</v>
      </c>
      <c r="G185" s="1">
        <f t="shared" si="36"/>
        <v>19.584666666666664</v>
      </c>
      <c r="H185" s="1">
        <f t="shared" si="37"/>
        <v>249.07677525554564</v>
      </c>
      <c r="I185" s="1">
        <f t="shared" si="38"/>
        <v>10.378198968981069</v>
      </c>
    </row>
    <row r="186" spans="1:9">
      <c r="A186" s="8">
        <v>37</v>
      </c>
      <c r="B186" s="1">
        <v>958330</v>
      </c>
      <c r="C186" s="8">
        <v>37</v>
      </c>
      <c r="D186" s="1">
        <v>178</v>
      </c>
      <c r="E186" s="1">
        <f t="shared" si="34"/>
        <v>3714.4573643410854</v>
      </c>
      <c r="F186" s="1">
        <f t="shared" si="35"/>
        <v>74289.14728682171</v>
      </c>
      <c r="G186" s="1">
        <f t="shared" si="36"/>
        <v>20.635874246339363</v>
      </c>
      <c r="H186" s="1">
        <f t="shared" si="37"/>
        <v>269.71264950188498</v>
      </c>
      <c r="I186" s="1">
        <f t="shared" si="38"/>
        <v>11.23802706257854</v>
      </c>
    </row>
    <row r="187" spans="1:9">
      <c r="A187" s="8">
        <v>38</v>
      </c>
      <c r="B187" s="1">
        <v>1039710</v>
      </c>
      <c r="C187" s="8">
        <v>38</v>
      </c>
      <c r="D187" s="1">
        <v>186</v>
      </c>
      <c r="E187" s="1">
        <f t="shared" si="34"/>
        <v>3908.6842105263158</v>
      </c>
      <c r="F187" s="1">
        <f t="shared" si="35"/>
        <v>78173.68421052632</v>
      </c>
      <c r="G187" s="1">
        <f t="shared" si="36"/>
        <v>21.714912280701757</v>
      </c>
      <c r="H187" s="1">
        <f t="shared" si="37"/>
        <v>291.42756178258674</v>
      </c>
      <c r="I187" s="1">
        <f t="shared" si="38"/>
        <v>12.142815074274447</v>
      </c>
    </row>
    <row r="188" spans="1:9">
      <c r="A188" s="8">
        <v>39</v>
      </c>
      <c r="B188" s="1">
        <v>1125570</v>
      </c>
      <c r="C188" s="8">
        <v>39</v>
      </c>
      <c r="D188" s="1">
        <v>194</v>
      </c>
      <c r="E188" s="1">
        <f t="shared" si="34"/>
        <v>4107.919708029197</v>
      </c>
      <c r="F188" s="1">
        <f t="shared" si="35"/>
        <v>82158.394160583935</v>
      </c>
      <c r="G188" s="1">
        <f t="shared" si="36"/>
        <v>22.82177615571776</v>
      </c>
      <c r="H188" s="1">
        <f t="shared" si="37"/>
        <v>314.24933793830451</v>
      </c>
      <c r="I188" s="1">
        <f t="shared" si="38"/>
        <v>13.093722414096021</v>
      </c>
    </row>
    <row r="189" spans="1:9">
      <c r="A189" s="8">
        <v>40</v>
      </c>
      <c r="B189" s="1">
        <v>1216030</v>
      </c>
      <c r="C189" s="8">
        <v>40</v>
      </c>
      <c r="D189" s="1">
        <v>202</v>
      </c>
      <c r="E189" s="1">
        <f t="shared" si="34"/>
        <v>4312.1631205673757</v>
      </c>
      <c r="F189" s="1">
        <f t="shared" si="35"/>
        <v>86243.262411347518</v>
      </c>
      <c r="G189" s="1">
        <f t="shared" si="36"/>
        <v>23.956461780929867</v>
      </c>
      <c r="H189" s="1">
        <f t="shared" si="37"/>
        <v>338.20579971923439</v>
      </c>
      <c r="I189" s="1">
        <f t="shared" si="38"/>
        <v>14.091908321634767</v>
      </c>
    </row>
    <row r="190" spans="1:9">
      <c r="A190" s="8">
        <v>41</v>
      </c>
      <c r="B190" s="1">
        <v>1311210</v>
      </c>
      <c r="C190" s="8">
        <v>41</v>
      </c>
      <c r="D190" s="1">
        <v>210</v>
      </c>
      <c r="E190" s="1">
        <f t="shared" si="34"/>
        <v>4490.4452054794519</v>
      </c>
      <c r="F190" s="1">
        <f t="shared" si="35"/>
        <v>89808.904109589042</v>
      </c>
      <c r="G190" s="1">
        <f t="shared" si="36"/>
        <v>24.94691780821918</v>
      </c>
      <c r="H190" s="1">
        <f t="shared" si="37"/>
        <v>363.15271752745355</v>
      </c>
      <c r="I190" s="1">
        <f t="shared" si="38"/>
        <v>15.131363230310564</v>
      </c>
    </row>
    <row r="191" spans="1:9">
      <c r="A191" s="8">
        <v>42</v>
      </c>
      <c r="B191" s="1">
        <v>1411230</v>
      </c>
      <c r="C191" s="8">
        <v>42</v>
      </c>
      <c r="D191" s="1">
        <v>218</v>
      </c>
      <c r="E191" s="1">
        <f t="shared" si="34"/>
        <v>4672.9470198675499</v>
      </c>
      <c r="F191" s="1">
        <f t="shared" si="35"/>
        <v>93458.940397350991</v>
      </c>
      <c r="G191" s="1">
        <f t="shared" si="36"/>
        <v>25.960816777041941</v>
      </c>
      <c r="H191" s="1">
        <f t="shared" si="37"/>
        <v>389.11353430449549</v>
      </c>
      <c r="I191" s="1">
        <f t="shared" si="38"/>
        <v>16.213063929353979</v>
      </c>
    </row>
    <row r="192" spans="1:9">
      <c r="A192" s="8">
        <v>43</v>
      </c>
      <c r="B192" s="1">
        <v>1516210</v>
      </c>
      <c r="C192" s="8">
        <v>43</v>
      </c>
      <c r="D192" s="1">
        <v>226</v>
      </c>
      <c r="E192" s="1">
        <f t="shared" si="34"/>
        <v>4859.6474358974356</v>
      </c>
      <c r="F192" s="1">
        <f t="shared" si="35"/>
        <v>97192.948717948719</v>
      </c>
      <c r="G192" s="1">
        <f t="shared" si="36"/>
        <v>26.998041310541311</v>
      </c>
      <c r="H192" s="1">
        <f t="shared" si="37"/>
        <v>416.11157561503683</v>
      </c>
      <c r="I192" s="1">
        <f t="shared" si="38"/>
        <v>17.3379823172932</v>
      </c>
    </row>
    <row r="193" spans="1:9">
      <c r="A193" s="8">
        <v>44</v>
      </c>
      <c r="B193" s="1">
        <v>1626270</v>
      </c>
      <c r="C193" s="8">
        <v>44</v>
      </c>
      <c r="D193" s="1">
        <v>234</v>
      </c>
      <c r="E193" s="1">
        <f t="shared" si="34"/>
        <v>5050.5279503105594</v>
      </c>
      <c r="F193" s="1">
        <f t="shared" si="35"/>
        <v>101010.55900621119</v>
      </c>
      <c r="G193" s="1">
        <f t="shared" si="36"/>
        <v>28.058488612836442</v>
      </c>
      <c r="H193" s="1">
        <f t="shared" si="37"/>
        <v>444.17006422787324</v>
      </c>
      <c r="I193" s="1">
        <f t="shared" si="38"/>
        <v>18.507086009494717</v>
      </c>
    </row>
    <row r="194" spans="1:9">
      <c r="A194" s="8">
        <v>45</v>
      </c>
      <c r="B194" s="1">
        <v>1741530</v>
      </c>
      <c r="C194" s="8">
        <v>45</v>
      </c>
      <c r="D194" s="1">
        <v>242</v>
      </c>
      <c r="E194" s="1">
        <f t="shared" si="34"/>
        <v>5245.5722891566265</v>
      </c>
      <c r="F194" s="1">
        <f t="shared" si="35"/>
        <v>104911.44578313253</v>
      </c>
      <c r="G194" s="1">
        <f t="shared" si="36"/>
        <v>29.14206827309237</v>
      </c>
      <c r="H194" s="1">
        <f t="shared" si="37"/>
        <v>473.31213250096562</v>
      </c>
      <c r="I194" s="1">
        <f t="shared" si="38"/>
        <v>19.721338854206902</v>
      </c>
    </row>
    <row r="195" spans="1:9">
      <c r="A195" s="8">
        <v>46</v>
      </c>
      <c r="B195" s="1">
        <v>1862110</v>
      </c>
      <c r="C195" s="8">
        <v>46</v>
      </c>
      <c r="D195" s="1">
        <v>250</v>
      </c>
      <c r="E195" s="1">
        <f t="shared" si="34"/>
        <v>5444.7660818713448</v>
      </c>
      <c r="F195" s="1">
        <f t="shared" si="35"/>
        <v>108895.3216374269</v>
      </c>
      <c r="G195" s="1">
        <f t="shared" si="36"/>
        <v>30.248700454840804</v>
      </c>
      <c r="H195" s="1">
        <f t="shared" si="37"/>
        <v>503.5608329558064</v>
      </c>
      <c r="I195" s="1">
        <f t="shared" si="38"/>
        <v>20.9817013731586</v>
      </c>
    </row>
    <row r="196" spans="1:9">
      <c r="A196" s="8">
        <v>47</v>
      </c>
      <c r="B196" s="1">
        <v>1988130</v>
      </c>
      <c r="C196" s="8">
        <v>47</v>
      </c>
      <c r="D196" s="1">
        <v>258</v>
      </c>
      <c r="E196" s="1">
        <f t="shared" si="34"/>
        <v>5648.096590909091</v>
      </c>
      <c r="F196" s="1">
        <f t="shared" si="35"/>
        <v>112961.93181818182</v>
      </c>
      <c r="G196" s="1">
        <f t="shared" si="36"/>
        <v>31.378314393939394</v>
      </c>
      <c r="H196" s="1">
        <f t="shared" si="37"/>
        <v>534.93914734974578</v>
      </c>
      <c r="I196" s="1">
        <f t="shared" si="38"/>
        <v>22.289131139572742</v>
      </c>
    </row>
    <row r="197" spans="1:9">
      <c r="A197" s="8">
        <v>48</v>
      </c>
      <c r="B197" s="1">
        <v>2119710</v>
      </c>
      <c r="C197" s="8">
        <v>48</v>
      </c>
      <c r="D197" s="1">
        <v>266</v>
      </c>
      <c r="E197" s="1">
        <f t="shared" si="34"/>
        <v>5855.5524861878457</v>
      </c>
      <c r="F197" s="1">
        <f t="shared" si="35"/>
        <v>117111.04972375691</v>
      </c>
      <c r="G197" s="1">
        <f t="shared" si="36"/>
        <v>32.530847145488032</v>
      </c>
      <c r="H197" s="1">
        <f t="shared" si="37"/>
        <v>567.46999449523378</v>
      </c>
      <c r="I197" s="1">
        <f t="shared" si="38"/>
        <v>23.644583103968074</v>
      </c>
    </row>
    <row r="198" spans="1:9">
      <c r="A198" s="8">
        <v>49</v>
      </c>
      <c r="B198" s="1">
        <v>2256970</v>
      </c>
      <c r="C198" s="8">
        <v>49</v>
      </c>
      <c r="D198" s="1">
        <v>274</v>
      </c>
      <c r="E198" s="1">
        <f t="shared" si="34"/>
        <v>6067.1236559139788</v>
      </c>
      <c r="F198" s="1">
        <f t="shared" si="35"/>
        <v>121342.47311827958</v>
      </c>
      <c r="G198" s="1">
        <f t="shared" si="36"/>
        <v>33.706242532855441</v>
      </c>
      <c r="H198" s="1">
        <f t="shared" si="37"/>
        <v>601.17623702808919</v>
      </c>
      <c r="I198" s="1">
        <f t="shared" si="38"/>
        <v>25.049009876170384</v>
      </c>
    </row>
    <row r="199" spans="1:9">
      <c r="A199" s="8">
        <v>50</v>
      </c>
      <c r="B199" s="1">
        <v>2400030</v>
      </c>
      <c r="C199" s="8">
        <v>50</v>
      </c>
      <c r="D199" s="1">
        <v>282</v>
      </c>
      <c r="E199" s="1">
        <f t="shared" si="34"/>
        <v>6282.8010471204188</v>
      </c>
      <c r="F199" s="1">
        <f t="shared" si="35"/>
        <v>125656.02094240837</v>
      </c>
      <c r="G199" s="1">
        <f t="shared" si="36"/>
        <v>34.904450261780106</v>
      </c>
      <c r="H199" s="1">
        <f t="shared" si="37"/>
        <v>636.08068728986927</v>
      </c>
      <c r="I199" s="1">
        <f t="shared" si="38"/>
        <v>26.50336197041122</v>
      </c>
    </row>
    <row r="200" spans="1:9">
      <c r="A200" s="8">
        <v>51</v>
      </c>
      <c r="B200" s="1">
        <v>2549010</v>
      </c>
      <c r="C200" s="8">
        <v>51</v>
      </c>
      <c r="D200" s="1">
        <v>292</v>
      </c>
      <c r="E200" s="1">
        <f t="shared" si="34"/>
        <v>6469.5685279187819</v>
      </c>
      <c r="F200" s="1">
        <f t="shared" si="35"/>
        <v>129391.37055837564</v>
      </c>
      <c r="G200" s="1">
        <f t="shared" si="36"/>
        <v>35.942047377326567</v>
      </c>
      <c r="H200" s="1">
        <f t="shared" si="37"/>
        <v>672.02273466719589</v>
      </c>
      <c r="I200" s="1">
        <f t="shared" si="38"/>
        <v>28.000947277799828</v>
      </c>
    </row>
    <row r="201" spans="1:9">
      <c r="A201" s="8">
        <v>52</v>
      </c>
      <c r="B201" s="1">
        <v>2704030</v>
      </c>
      <c r="C201" s="8">
        <v>52</v>
      </c>
      <c r="D201" s="1">
        <v>302</v>
      </c>
      <c r="E201" s="1">
        <f t="shared" si="34"/>
        <v>6660.1724137931033</v>
      </c>
      <c r="F201" s="1">
        <f t="shared" si="35"/>
        <v>133203.44827586206</v>
      </c>
      <c r="G201" s="1">
        <f t="shared" si="36"/>
        <v>37.000957854406124</v>
      </c>
      <c r="H201" s="1">
        <f t="shared" si="37"/>
        <v>709.02369252160202</v>
      </c>
      <c r="I201" s="1">
        <f t="shared" si="38"/>
        <v>29.542653855066749</v>
      </c>
    </row>
    <row r="202" spans="1:9">
      <c r="A202" s="8">
        <v>53</v>
      </c>
      <c r="B202" s="1">
        <v>2865210</v>
      </c>
      <c r="C202" s="8">
        <v>53</v>
      </c>
      <c r="D202" s="1">
        <v>312</v>
      </c>
      <c r="E202" s="1">
        <f t="shared" si="34"/>
        <v>6854.5693779904304</v>
      </c>
      <c r="F202" s="1">
        <f t="shared" si="35"/>
        <v>137091.38755980862</v>
      </c>
      <c r="G202" s="1">
        <f t="shared" si="36"/>
        <v>38.080940988835728</v>
      </c>
      <c r="H202" s="1">
        <f t="shared" si="37"/>
        <v>747.10463351043779</v>
      </c>
      <c r="I202" s="1">
        <f t="shared" si="38"/>
        <v>31.129359729601575</v>
      </c>
    </row>
    <row r="203" spans="1:9">
      <c r="A203" s="8">
        <v>54</v>
      </c>
      <c r="B203" s="1">
        <v>3032670</v>
      </c>
      <c r="C203" s="8">
        <v>54</v>
      </c>
      <c r="D203" s="1">
        <v>322</v>
      </c>
      <c r="E203" s="1">
        <f t="shared" si="34"/>
        <v>7052.7209302325582</v>
      </c>
      <c r="F203" s="1">
        <f t="shared" si="35"/>
        <v>141054.41860465117</v>
      </c>
      <c r="G203" s="1">
        <f t="shared" si="36"/>
        <v>39.181782945736437</v>
      </c>
      <c r="H203" s="1">
        <f t="shared" si="37"/>
        <v>786.28641645617427</v>
      </c>
      <c r="I203" s="1">
        <f t="shared" si="38"/>
        <v>32.761934019007263</v>
      </c>
    </row>
    <row r="204" spans="1:9">
      <c r="A204" s="8">
        <v>55</v>
      </c>
      <c r="B204" s="1">
        <v>3206530</v>
      </c>
      <c r="C204" s="8">
        <v>55</v>
      </c>
      <c r="D204" s="1">
        <v>332</v>
      </c>
      <c r="E204" s="1">
        <f t="shared" si="34"/>
        <v>7254.5927601809954</v>
      </c>
      <c r="F204" s="1">
        <f t="shared" si="35"/>
        <v>145091.8552036199</v>
      </c>
      <c r="G204" s="1">
        <f t="shared" si="36"/>
        <v>40.303293112116641</v>
      </c>
      <c r="H204" s="1">
        <f t="shared" si="37"/>
        <v>826.58970956829091</v>
      </c>
      <c r="I204" s="1">
        <f t="shared" si="38"/>
        <v>34.441237898678786</v>
      </c>
    </row>
    <row r="205" spans="1:9">
      <c r="A205" s="8">
        <v>56</v>
      </c>
      <c r="B205" s="1">
        <v>3386910</v>
      </c>
      <c r="C205" s="8">
        <v>56</v>
      </c>
      <c r="D205" s="1">
        <v>342</v>
      </c>
      <c r="E205" s="1">
        <f t="shared" si="34"/>
        <v>7460.1541850220265</v>
      </c>
      <c r="F205" s="1">
        <f t="shared" si="35"/>
        <v>149203.08370044053</v>
      </c>
      <c r="G205" s="1">
        <f t="shared" si="36"/>
        <v>41.44530102790015</v>
      </c>
      <c r="H205" s="1">
        <f t="shared" si="37"/>
        <v>868.03501059619111</v>
      </c>
      <c r="I205" s="1">
        <f t="shared" si="38"/>
        <v>36.168125441507961</v>
      </c>
    </row>
    <row r="206" spans="1:9">
      <c r="A206" s="8">
        <v>57</v>
      </c>
      <c r="B206" s="1">
        <v>3573930</v>
      </c>
      <c r="C206" s="8">
        <v>57</v>
      </c>
      <c r="D206" s="1">
        <v>352</v>
      </c>
      <c r="E206" s="1">
        <f t="shared" si="34"/>
        <v>7669.377682403433</v>
      </c>
      <c r="F206" s="1">
        <f t="shared" si="35"/>
        <v>153387.55364806866</v>
      </c>
      <c r="G206" s="1">
        <f t="shared" si="36"/>
        <v>42.607653791130183</v>
      </c>
      <c r="H206" s="1">
        <f t="shared" si="37"/>
        <v>910.64266438732125</v>
      </c>
      <c r="I206" s="1">
        <f t="shared" si="38"/>
        <v>37.943444349471719</v>
      </c>
    </row>
    <row r="207" spans="1:9">
      <c r="A207" s="8">
        <v>58</v>
      </c>
      <c r="B207" s="1">
        <v>3767710</v>
      </c>
      <c r="C207" s="8">
        <v>58</v>
      </c>
      <c r="D207" s="1">
        <v>362</v>
      </c>
      <c r="E207" s="1">
        <f t="shared" si="34"/>
        <v>7882.2384937238494</v>
      </c>
      <c r="F207" s="1">
        <f t="shared" si="35"/>
        <v>157644.769874477</v>
      </c>
      <c r="G207" s="1">
        <f t="shared" si="36"/>
        <v>43.790213854021388</v>
      </c>
      <c r="H207" s="1">
        <f t="shared" si="37"/>
        <v>954.43287824134268</v>
      </c>
      <c r="I207" s="1">
        <f t="shared" si="38"/>
        <v>39.768036593389276</v>
      </c>
    </row>
    <row r="208" spans="1:9">
      <c r="A208" s="8">
        <v>59</v>
      </c>
      <c r="B208" s="1">
        <v>3968370</v>
      </c>
      <c r="C208" s="8">
        <v>59</v>
      </c>
      <c r="D208" s="1">
        <v>372</v>
      </c>
      <c r="E208" s="1">
        <f t="shared" si="34"/>
        <v>8098.7142857142853</v>
      </c>
      <c r="F208" s="1">
        <f t="shared" si="35"/>
        <v>161974.28571428571</v>
      </c>
      <c r="G208" s="1">
        <f t="shared" si="36"/>
        <v>44.99285714285714</v>
      </c>
      <c r="H208" s="1">
        <f t="shared" si="37"/>
        <v>999.42573538419981</v>
      </c>
      <c r="I208" s="1">
        <f t="shared" si="38"/>
        <v>41.642738974341661</v>
      </c>
    </row>
    <row r="209" spans="1:9">
      <c r="A209" s="8">
        <v>60</v>
      </c>
      <c r="B209" s="1">
        <v>4176030</v>
      </c>
      <c r="C209" s="8">
        <v>60</v>
      </c>
      <c r="D209" s="1">
        <v>382</v>
      </c>
      <c r="E209" s="1">
        <f>B209/D$219</f>
        <v>8318.7848605577692</v>
      </c>
      <c r="F209" s="1">
        <f t="shared" si="35"/>
        <v>166375.69721115538</v>
      </c>
      <c r="G209" s="1">
        <f t="shared" si="36"/>
        <v>46.215471447543159</v>
      </c>
      <c r="H209" s="1">
        <f t="shared" si="37"/>
        <v>1045.6412068317429</v>
      </c>
      <c r="I209" s="1">
        <f t="shared" si="38"/>
        <v>43.568383617989291</v>
      </c>
    </row>
    <row r="210" spans="1:9">
      <c r="A210" s="8">
        <v>61</v>
      </c>
      <c r="B210" s="1">
        <v>4390810</v>
      </c>
      <c r="C210" s="8">
        <v>61</v>
      </c>
      <c r="D210" s="1">
        <v>394</v>
      </c>
      <c r="E210" s="1">
        <f t="shared" ref="E210:E219" si="39">B210/D$219</f>
        <v>8746.6334661354576</v>
      </c>
      <c r="F210" s="1">
        <f t="shared" si="35"/>
        <v>174932.66932270915</v>
      </c>
      <c r="G210" s="1">
        <f t="shared" si="36"/>
        <v>48.592408145196984</v>
      </c>
      <c r="H210" s="1">
        <f t="shared" si="37"/>
        <v>1094.2336149769399</v>
      </c>
      <c r="I210" s="1">
        <f t="shared" si="38"/>
        <v>45.593067290705825</v>
      </c>
    </row>
    <row r="211" spans="1:9">
      <c r="A211" s="8">
        <v>62</v>
      </c>
      <c r="B211" s="1">
        <v>4612830</v>
      </c>
      <c r="C211" s="8">
        <v>62</v>
      </c>
      <c r="D211" s="1">
        <v>406</v>
      </c>
      <c r="E211" s="1">
        <f t="shared" si="39"/>
        <v>9188.9043824701203</v>
      </c>
      <c r="F211" s="1">
        <f t="shared" si="35"/>
        <v>183778.08764940241</v>
      </c>
      <c r="G211" s="1">
        <f t="shared" si="36"/>
        <v>51.049468791500672</v>
      </c>
      <c r="H211" s="1">
        <f t="shared" si="37"/>
        <v>1145.2830837684405</v>
      </c>
      <c r="I211" s="1">
        <f t="shared" si="38"/>
        <v>47.720128490351691</v>
      </c>
    </row>
    <row r="212" spans="1:9">
      <c r="A212" s="8">
        <v>63</v>
      </c>
      <c r="B212" s="1">
        <v>4842210</v>
      </c>
      <c r="C212" s="8">
        <v>63</v>
      </c>
      <c r="D212" s="1">
        <v>418</v>
      </c>
      <c r="E212" s="1">
        <f t="shared" si="39"/>
        <v>9645.8366533864537</v>
      </c>
      <c r="F212" s="1">
        <f t="shared" si="35"/>
        <v>192916.73306772907</v>
      </c>
      <c r="G212" s="1">
        <f t="shared" si="36"/>
        <v>53.587981407702522</v>
      </c>
      <c r="H212" s="1">
        <f t="shared" si="37"/>
        <v>1198.871065176143</v>
      </c>
      <c r="I212" s="1">
        <f t="shared" si="38"/>
        <v>49.952961049005957</v>
      </c>
    </row>
    <row r="213" spans="1:9">
      <c r="A213" s="8">
        <v>64</v>
      </c>
      <c r="B213" s="1">
        <v>5079070</v>
      </c>
      <c r="C213" s="8">
        <v>64</v>
      </c>
      <c r="D213" s="1">
        <v>430</v>
      </c>
      <c r="E213" s="1">
        <f t="shared" si="39"/>
        <v>10117.669322709164</v>
      </c>
      <c r="F213" s="1">
        <f t="shared" si="35"/>
        <v>202353.38645418326</v>
      </c>
      <c r="G213" s="1">
        <f t="shared" si="36"/>
        <v>56.209274015050909</v>
      </c>
      <c r="H213" s="1">
        <f t="shared" si="37"/>
        <v>1255.0803391911938</v>
      </c>
      <c r="I213" s="1">
        <f t="shared" si="38"/>
        <v>52.295014132966408</v>
      </c>
    </row>
    <row r="214" spans="1:9">
      <c r="A214" s="8">
        <v>65</v>
      </c>
      <c r="B214" s="1">
        <v>5323530</v>
      </c>
      <c r="C214" s="8">
        <v>65</v>
      </c>
      <c r="D214" s="1">
        <v>442</v>
      </c>
      <c r="E214" s="1">
        <f t="shared" si="39"/>
        <v>10604.641434262949</v>
      </c>
      <c r="F214" s="1">
        <f t="shared" si="35"/>
        <v>212092.82868525898</v>
      </c>
      <c r="G214" s="1">
        <f t="shared" si="36"/>
        <v>58.91467463479416</v>
      </c>
      <c r="H214" s="1">
        <f t="shared" si="37"/>
        <v>1313.9950138259881</v>
      </c>
      <c r="I214" s="1">
        <f t="shared" si="38"/>
        <v>54.7497922427495</v>
      </c>
    </row>
    <row r="215" spans="1:9">
      <c r="A215" s="8">
        <v>66</v>
      </c>
      <c r="B215" s="1">
        <v>5575710</v>
      </c>
      <c r="C215" s="8">
        <v>66</v>
      </c>
      <c r="D215" s="1">
        <v>454</v>
      </c>
      <c r="E215" s="1">
        <f t="shared" si="39"/>
        <v>11106.992031872511</v>
      </c>
      <c r="F215" s="1">
        <f t="shared" si="35"/>
        <v>222139.84063745022</v>
      </c>
      <c r="G215" s="1">
        <f t="shared" si="36"/>
        <v>61.705511288180617</v>
      </c>
      <c r="H215" s="1">
        <f t="shared" si="37"/>
        <v>1375.7005251141686</v>
      </c>
      <c r="I215" s="1">
        <f t="shared" si="38"/>
        <v>57.320855213090361</v>
      </c>
    </row>
    <row r="216" spans="1:9">
      <c r="A216" s="8">
        <v>67</v>
      </c>
      <c r="B216" s="1">
        <v>5835730</v>
      </c>
      <c r="C216" s="8">
        <v>67</v>
      </c>
      <c r="D216" s="1">
        <v>466</v>
      </c>
      <c r="E216" s="1">
        <f t="shared" si="39"/>
        <v>11624.96015936255</v>
      </c>
      <c r="F216" s="1">
        <f t="shared" si="35"/>
        <v>232499.203187251</v>
      </c>
      <c r="G216" s="1">
        <f t="shared" si="36"/>
        <v>64.583111996458612</v>
      </c>
      <c r="H216" s="1">
        <f t="shared" si="37"/>
        <v>1440.2836371106273</v>
      </c>
      <c r="I216" s="1">
        <f t="shared" si="38"/>
        <v>60.011818212942806</v>
      </c>
    </row>
    <row r="217" spans="1:9">
      <c r="A217" s="8">
        <v>68</v>
      </c>
      <c r="B217" s="1">
        <v>6103710</v>
      </c>
      <c r="C217" s="8">
        <v>68</v>
      </c>
      <c r="D217" s="1">
        <v>478</v>
      </c>
      <c r="E217" s="1">
        <f t="shared" si="39"/>
        <v>12158.784860557769</v>
      </c>
      <c r="F217" s="1">
        <f t="shared" si="35"/>
        <v>243175.69721115538</v>
      </c>
      <c r="G217" s="1">
        <f t="shared" si="36"/>
        <v>67.548804780876495</v>
      </c>
      <c r="H217" s="1">
        <f t="shared" si="37"/>
        <v>1507.8324418915038</v>
      </c>
      <c r="I217" s="1">
        <f t="shared" si="38"/>
        <v>62.826351745479322</v>
      </c>
    </row>
    <row r="218" spans="1:9">
      <c r="A218" s="8">
        <v>69</v>
      </c>
      <c r="B218" s="1">
        <v>6379770</v>
      </c>
      <c r="C218" s="8">
        <v>69</v>
      </c>
      <c r="D218" s="1">
        <v>490</v>
      </c>
      <c r="E218" s="1">
        <f t="shared" si="39"/>
        <v>12708.705179282868</v>
      </c>
      <c r="F218" s="1">
        <f t="shared" si="35"/>
        <v>254174.10358565737</v>
      </c>
      <c r="G218" s="1">
        <f t="shared" si="36"/>
        <v>70.603917662682605</v>
      </c>
      <c r="H218" s="1">
        <f t="shared" si="37"/>
        <v>1578.4363595541863</v>
      </c>
      <c r="I218" s="1">
        <f t="shared" si="38"/>
        <v>65.768181648091101</v>
      </c>
    </row>
    <row r="219" spans="1:9">
      <c r="A219" s="8">
        <v>70</v>
      </c>
      <c r="B219" s="1">
        <v>6664030</v>
      </c>
      <c r="C219" s="8">
        <v>70</v>
      </c>
      <c r="D219" s="1">
        <v>502</v>
      </c>
      <c r="E219" s="1">
        <f t="shared" si="39"/>
        <v>13274.96015936255</v>
      </c>
      <c r="F219" s="1">
        <f t="shared" si="35"/>
        <v>265499.203187251</v>
      </c>
      <c r="G219" s="1">
        <f t="shared" si="36"/>
        <v>73.749778663125284</v>
      </c>
      <c r="H219" s="1">
        <f t="shared" si="37"/>
        <v>1652.1861382173115</v>
      </c>
      <c r="I219" s="1">
        <f t="shared" si="38"/>
        <v>68.841089092387975</v>
      </c>
    </row>
  </sheetData>
  <phoneticPr fontId="8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8"/>
  <dimension ref="A2:I7"/>
  <sheetViews>
    <sheetView workbookViewId="0">
      <selection activeCell="F27" sqref="F27"/>
    </sheetView>
  </sheetViews>
  <sheetFormatPr defaultColWidth="9" defaultRowHeight="13.5"/>
  <sheetData>
    <row r="2" spans="1:9">
      <c r="A2" t="s">
        <v>31</v>
      </c>
      <c r="B2">
        <v>168</v>
      </c>
      <c r="D2">
        <v>35</v>
      </c>
      <c r="E2">
        <v>35</v>
      </c>
    </row>
    <row r="3" spans="1:9">
      <c r="A3" t="s">
        <v>32</v>
      </c>
      <c r="B3">
        <v>89</v>
      </c>
      <c r="D3">
        <v>90</v>
      </c>
      <c r="E3">
        <v>35</v>
      </c>
    </row>
    <row r="4" spans="1:9">
      <c r="A4" t="s">
        <v>33</v>
      </c>
      <c r="B4">
        <v>73</v>
      </c>
      <c r="D4">
        <v>35</v>
      </c>
      <c r="E4">
        <v>90</v>
      </c>
      <c r="G4" s="11" t="s">
        <v>53</v>
      </c>
      <c r="H4" s="11"/>
      <c r="I4" s="11"/>
    </row>
    <row r="5" spans="1:9">
      <c r="A5" t="s">
        <v>34</v>
      </c>
      <c r="B5">
        <v>112</v>
      </c>
      <c r="D5">
        <v>62</v>
      </c>
      <c r="E5">
        <v>62</v>
      </c>
      <c r="G5" s="11" t="s">
        <v>54</v>
      </c>
      <c r="H5" s="11" t="s">
        <v>55</v>
      </c>
      <c r="I5" s="11" t="s">
        <v>56</v>
      </c>
    </row>
    <row r="6" spans="1:9">
      <c r="G6" s="11">
        <v>2</v>
      </c>
      <c r="H6" s="11">
        <v>3</v>
      </c>
      <c r="I6" s="11">
        <v>1</v>
      </c>
    </row>
    <row r="7" spans="1:9">
      <c r="G7" s="11"/>
      <c r="H7" s="11"/>
      <c r="I7" s="11"/>
    </row>
  </sheetData>
  <phoneticPr fontId="8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0"/>
  <dimension ref="A1:Q39"/>
  <sheetViews>
    <sheetView workbookViewId="0">
      <selection activeCell="I43" sqref="I43"/>
    </sheetView>
  </sheetViews>
  <sheetFormatPr defaultColWidth="9" defaultRowHeight="13.5"/>
  <cols>
    <col min="5" max="5" width="10.5" customWidth="1"/>
  </cols>
  <sheetData>
    <row r="1" spans="1:17">
      <c r="A1" t="s">
        <v>141</v>
      </c>
      <c r="D1" t="s">
        <v>129</v>
      </c>
      <c r="G1" t="s">
        <v>135</v>
      </c>
      <c r="J1" t="s">
        <v>140</v>
      </c>
      <c r="K1">
        <v>2000</v>
      </c>
      <c r="P1" t="s">
        <v>143</v>
      </c>
    </row>
    <row r="2" spans="1:17">
      <c r="A2">
        <v>1</v>
      </c>
      <c r="B2">
        <v>1</v>
      </c>
      <c r="D2" t="s">
        <v>130</v>
      </c>
      <c r="E2">
        <v>1</v>
      </c>
      <c r="G2" t="s">
        <v>136</v>
      </c>
      <c r="H2">
        <v>1</v>
      </c>
      <c r="P2" t="s">
        <v>144</v>
      </c>
      <c r="Q2">
        <v>2</v>
      </c>
    </row>
    <row r="3" spans="1:17">
      <c r="A3">
        <v>2</v>
      </c>
      <c r="B3">
        <v>1.5</v>
      </c>
      <c r="D3" t="s">
        <v>131</v>
      </c>
      <c r="E3">
        <v>2</v>
      </c>
      <c r="G3" t="s">
        <v>137</v>
      </c>
      <c r="H3">
        <v>1.5</v>
      </c>
      <c r="P3" t="s">
        <v>145</v>
      </c>
      <c r="Q3">
        <v>1.25</v>
      </c>
    </row>
    <row r="4" spans="1:17">
      <c r="A4">
        <v>3</v>
      </c>
      <c r="B4">
        <v>2.25</v>
      </c>
      <c r="D4" t="s">
        <v>132</v>
      </c>
      <c r="E4">
        <v>3</v>
      </c>
      <c r="G4" t="s">
        <v>138</v>
      </c>
      <c r="H4">
        <v>2.25</v>
      </c>
      <c r="P4" t="s">
        <v>146</v>
      </c>
      <c r="Q4">
        <v>1</v>
      </c>
    </row>
    <row r="5" spans="1:17">
      <c r="A5">
        <v>4</v>
      </c>
      <c r="B5">
        <v>2.75</v>
      </c>
      <c r="D5" t="s">
        <v>133</v>
      </c>
      <c r="E5">
        <v>4</v>
      </c>
      <c r="G5" t="s">
        <v>23</v>
      </c>
      <c r="H5">
        <v>2.75</v>
      </c>
      <c r="P5" t="s">
        <v>147</v>
      </c>
      <c r="Q5">
        <v>1</v>
      </c>
    </row>
    <row r="6" spans="1:17">
      <c r="A6">
        <v>5</v>
      </c>
      <c r="B6">
        <v>3.5</v>
      </c>
      <c r="D6" t="s">
        <v>134</v>
      </c>
      <c r="E6">
        <v>5</v>
      </c>
      <c r="G6" t="s">
        <v>24</v>
      </c>
      <c r="H6">
        <v>3.25</v>
      </c>
      <c r="P6" t="s">
        <v>148</v>
      </c>
      <c r="Q6">
        <v>1</v>
      </c>
    </row>
    <row r="7" spans="1:17">
      <c r="A7">
        <v>6</v>
      </c>
      <c r="B7">
        <v>6.25</v>
      </c>
      <c r="G7" t="s">
        <v>25</v>
      </c>
      <c r="H7">
        <v>3.75</v>
      </c>
      <c r="P7" t="s">
        <v>153</v>
      </c>
      <c r="Q7">
        <v>1.25</v>
      </c>
    </row>
    <row r="8" spans="1:17">
      <c r="A8">
        <v>7</v>
      </c>
      <c r="B8">
        <v>7.25</v>
      </c>
      <c r="G8" t="s">
        <v>26</v>
      </c>
      <c r="H8">
        <v>4.25</v>
      </c>
      <c r="P8" t="s">
        <v>149</v>
      </c>
      <c r="Q8">
        <v>1</v>
      </c>
    </row>
    <row r="9" spans="1:17">
      <c r="A9">
        <v>8</v>
      </c>
      <c r="B9">
        <v>8.25</v>
      </c>
      <c r="G9" t="s">
        <v>27</v>
      </c>
      <c r="H9">
        <v>4.75</v>
      </c>
      <c r="P9" t="s">
        <v>150</v>
      </c>
      <c r="Q9">
        <v>1.25</v>
      </c>
    </row>
    <row r="10" spans="1:17">
      <c r="A10">
        <v>9</v>
      </c>
      <c r="B10">
        <v>9.25</v>
      </c>
      <c r="G10" t="s">
        <v>28</v>
      </c>
      <c r="H10">
        <v>5.25</v>
      </c>
      <c r="P10" t="s">
        <v>151</v>
      </c>
      <c r="Q10">
        <v>1</v>
      </c>
    </row>
    <row r="11" spans="1:17">
      <c r="A11">
        <v>10</v>
      </c>
      <c r="B11">
        <v>10.25</v>
      </c>
      <c r="G11" t="s">
        <v>35</v>
      </c>
      <c r="H11">
        <v>5.75</v>
      </c>
      <c r="P11" t="s">
        <v>152</v>
      </c>
      <c r="Q11">
        <v>1</v>
      </c>
    </row>
    <row r="12" spans="1:17">
      <c r="A12">
        <v>11</v>
      </c>
      <c r="B12">
        <v>18</v>
      </c>
      <c r="G12" t="s">
        <v>36</v>
      </c>
      <c r="H12">
        <v>6.25</v>
      </c>
    </row>
    <row r="13" spans="1:17">
      <c r="A13">
        <v>12</v>
      </c>
      <c r="B13">
        <v>20</v>
      </c>
      <c r="G13" t="s">
        <v>37</v>
      </c>
      <c r="H13">
        <v>6.75</v>
      </c>
    </row>
    <row r="14" spans="1:17">
      <c r="A14">
        <v>13</v>
      </c>
      <c r="B14">
        <v>22</v>
      </c>
      <c r="G14" t="s">
        <v>38</v>
      </c>
      <c r="H14">
        <v>7.25</v>
      </c>
    </row>
    <row r="15" spans="1:17">
      <c r="A15">
        <v>14</v>
      </c>
      <c r="B15">
        <v>24</v>
      </c>
      <c r="G15" t="s">
        <v>39</v>
      </c>
      <c r="H15">
        <v>7.75</v>
      </c>
    </row>
    <row r="16" spans="1:17">
      <c r="A16">
        <v>15</v>
      </c>
      <c r="B16">
        <v>26</v>
      </c>
      <c r="G16" t="s">
        <v>40</v>
      </c>
      <c r="H16">
        <v>8.25</v>
      </c>
    </row>
    <row r="17" spans="1:12">
      <c r="A17">
        <v>16</v>
      </c>
      <c r="B17">
        <v>50</v>
      </c>
      <c r="G17" t="s">
        <v>142</v>
      </c>
      <c r="H17">
        <v>1.5</v>
      </c>
    </row>
    <row r="18" spans="1:12">
      <c r="A18">
        <v>17</v>
      </c>
      <c r="B18">
        <v>54</v>
      </c>
    </row>
    <row r="19" spans="1:12">
      <c r="A19">
        <v>18</v>
      </c>
      <c r="B19">
        <v>58</v>
      </c>
    </row>
    <row r="20" spans="1:12">
      <c r="A20">
        <v>19</v>
      </c>
      <c r="B20">
        <v>62</v>
      </c>
    </row>
    <row r="21" spans="1:12">
      <c r="A21">
        <v>20</v>
      </c>
      <c r="B21">
        <v>66</v>
      </c>
    </row>
    <row r="23" spans="1:12" s="14" customFormat="1">
      <c r="A23" s="14" t="s">
        <v>139</v>
      </c>
    </row>
    <row r="24" spans="1:12">
      <c r="A24" t="s">
        <v>52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</row>
    <row r="25" spans="1:12">
      <c r="A25" t="s">
        <v>20</v>
      </c>
      <c r="B25">
        <f>ROUNDDOWN(VLOOKUP(B$24,$D$2:$E$6,2,FALSE)*VLOOKUP($A25,$G$2:$H$16,2,FALSE),0)</f>
        <v>1</v>
      </c>
      <c r="C25">
        <f t="shared" ref="C25:F39" si="0">ROUNDDOWN(VLOOKUP(C$24,$D$2:$E$6,2,FALSE)*VLOOKUP($A25,$G$2:$H$16,2,FALSE),0)</f>
        <v>2</v>
      </c>
      <c r="D25">
        <f t="shared" si="0"/>
        <v>3</v>
      </c>
      <c r="E25">
        <f t="shared" si="0"/>
        <v>4</v>
      </c>
      <c r="F25">
        <f t="shared" si="0"/>
        <v>5</v>
      </c>
      <c r="J25">
        <v>8</v>
      </c>
      <c r="K25">
        <f>B2*$J$25</f>
        <v>8</v>
      </c>
      <c r="L25">
        <v>27</v>
      </c>
    </row>
    <row r="26" spans="1:12">
      <c r="A26" t="s">
        <v>21</v>
      </c>
      <c r="B26">
        <f t="shared" ref="B26:B39" si="1">ROUNDDOWN(VLOOKUP(B$24,$D$2:$E$6,2,FALSE)*VLOOKUP($A26,$G$2:$H$16,2,FALSE),0)</f>
        <v>1</v>
      </c>
      <c r="C26">
        <f t="shared" si="0"/>
        <v>3</v>
      </c>
      <c r="D26">
        <f t="shared" si="0"/>
        <v>4</v>
      </c>
      <c r="E26">
        <f t="shared" si="0"/>
        <v>6</v>
      </c>
      <c r="F26">
        <f t="shared" si="0"/>
        <v>7</v>
      </c>
      <c r="K26">
        <f t="shared" ref="K26:K38" si="2">B3*$J$25</f>
        <v>12</v>
      </c>
      <c r="L26">
        <v>41</v>
      </c>
    </row>
    <row r="27" spans="1:12">
      <c r="A27" t="s">
        <v>22</v>
      </c>
      <c r="B27">
        <f t="shared" si="1"/>
        <v>2</v>
      </c>
      <c r="C27">
        <f t="shared" si="0"/>
        <v>4</v>
      </c>
      <c r="D27">
        <f t="shared" si="0"/>
        <v>6</v>
      </c>
      <c r="E27">
        <f t="shared" si="0"/>
        <v>9</v>
      </c>
      <c r="F27">
        <f t="shared" si="0"/>
        <v>11</v>
      </c>
      <c r="K27">
        <f t="shared" si="2"/>
        <v>18</v>
      </c>
      <c r="L27">
        <v>56</v>
      </c>
    </row>
    <row r="28" spans="1:12">
      <c r="A28" t="s">
        <v>23</v>
      </c>
      <c r="B28">
        <f t="shared" si="1"/>
        <v>2</v>
      </c>
      <c r="C28">
        <f t="shared" si="0"/>
        <v>5</v>
      </c>
      <c r="D28">
        <f t="shared" si="0"/>
        <v>8</v>
      </c>
      <c r="E28">
        <f t="shared" si="0"/>
        <v>11</v>
      </c>
      <c r="F28">
        <f t="shared" si="0"/>
        <v>13</v>
      </c>
      <c r="K28">
        <f t="shared" si="2"/>
        <v>22</v>
      </c>
      <c r="L28">
        <v>72</v>
      </c>
    </row>
    <row r="29" spans="1:12">
      <c r="A29" t="s">
        <v>24</v>
      </c>
      <c r="B29">
        <f t="shared" si="1"/>
        <v>3</v>
      </c>
      <c r="C29">
        <f t="shared" si="0"/>
        <v>6</v>
      </c>
      <c r="D29">
        <f t="shared" si="0"/>
        <v>9</v>
      </c>
      <c r="E29">
        <f t="shared" si="0"/>
        <v>13</v>
      </c>
      <c r="F29">
        <f t="shared" si="0"/>
        <v>16</v>
      </c>
      <c r="K29">
        <f t="shared" si="2"/>
        <v>28</v>
      </c>
      <c r="L29">
        <v>88</v>
      </c>
    </row>
    <row r="30" spans="1:12">
      <c r="A30" t="s">
        <v>25</v>
      </c>
      <c r="B30">
        <f t="shared" si="1"/>
        <v>3</v>
      </c>
      <c r="C30">
        <f t="shared" si="0"/>
        <v>7</v>
      </c>
      <c r="D30">
        <f t="shared" si="0"/>
        <v>11</v>
      </c>
      <c r="E30">
        <f t="shared" si="0"/>
        <v>15</v>
      </c>
      <c r="F30">
        <f t="shared" si="0"/>
        <v>18</v>
      </c>
      <c r="K30">
        <f>B7*$J$25</f>
        <v>50</v>
      </c>
    </row>
    <row r="31" spans="1:12">
      <c r="A31" t="s">
        <v>26</v>
      </c>
      <c r="B31">
        <f t="shared" si="1"/>
        <v>4</v>
      </c>
      <c r="C31">
        <f t="shared" si="0"/>
        <v>8</v>
      </c>
      <c r="D31">
        <f t="shared" si="0"/>
        <v>12</v>
      </c>
      <c r="E31">
        <f t="shared" si="0"/>
        <v>17</v>
      </c>
      <c r="F31">
        <f t="shared" si="0"/>
        <v>21</v>
      </c>
      <c r="K31">
        <f t="shared" si="2"/>
        <v>58</v>
      </c>
    </row>
    <row r="32" spans="1:12">
      <c r="A32" t="s">
        <v>27</v>
      </c>
      <c r="B32">
        <f t="shared" si="1"/>
        <v>4</v>
      </c>
      <c r="C32">
        <f t="shared" si="0"/>
        <v>9</v>
      </c>
      <c r="D32">
        <f t="shared" si="0"/>
        <v>14</v>
      </c>
      <c r="E32">
        <f t="shared" si="0"/>
        <v>19</v>
      </c>
      <c r="F32">
        <f t="shared" si="0"/>
        <v>23</v>
      </c>
      <c r="K32">
        <f t="shared" si="2"/>
        <v>66</v>
      </c>
    </row>
    <row r="33" spans="1:11">
      <c r="A33" t="s">
        <v>28</v>
      </c>
      <c r="B33">
        <f t="shared" si="1"/>
        <v>5</v>
      </c>
      <c r="C33">
        <f t="shared" si="0"/>
        <v>10</v>
      </c>
      <c r="D33">
        <f t="shared" si="0"/>
        <v>15</v>
      </c>
      <c r="E33">
        <f t="shared" si="0"/>
        <v>21</v>
      </c>
      <c r="F33">
        <f t="shared" si="0"/>
        <v>26</v>
      </c>
      <c r="K33">
        <f t="shared" si="2"/>
        <v>74</v>
      </c>
    </row>
    <row r="34" spans="1:11">
      <c r="A34" t="s">
        <v>35</v>
      </c>
      <c r="B34">
        <f t="shared" si="1"/>
        <v>5</v>
      </c>
      <c r="C34">
        <f t="shared" si="0"/>
        <v>11</v>
      </c>
      <c r="D34">
        <f t="shared" si="0"/>
        <v>17</v>
      </c>
      <c r="E34">
        <f t="shared" si="0"/>
        <v>23</v>
      </c>
      <c r="F34">
        <f t="shared" si="0"/>
        <v>28</v>
      </c>
      <c r="K34">
        <f t="shared" si="2"/>
        <v>82</v>
      </c>
    </row>
    <row r="35" spans="1:11">
      <c r="A35" t="s">
        <v>36</v>
      </c>
      <c r="B35">
        <f t="shared" si="1"/>
        <v>6</v>
      </c>
      <c r="C35">
        <f t="shared" si="0"/>
        <v>12</v>
      </c>
      <c r="D35">
        <f t="shared" si="0"/>
        <v>18</v>
      </c>
      <c r="E35">
        <f t="shared" si="0"/>
        <v>25</v>
      </c>
      <c r="F35">
        <f t="shared" si="0"/>
        <v>31</v>
      </c>
      <c r="K35">
        <f t="shared" si="2"/>
        <v>144</v>
      </c>
    </row>
    <row r="36" spans="1:11">
      <c r="A36" t="s">
        <v>37</v>
      </c>
      <c r="B36">
        <f t="shared" si="1"/>
        <v>6</v>
      </c>
      <c r="C36">
        <f t="shared" si="0"/>
        <v>13</v>
      </c>
      <c r="D36">
        <f t="shared" si="0"/>
        <v>20</v>
      </c>
      <c r="E36">
        <f t="shared" si="0"/>
        <v>27</v>
      </c>
      <c r="F36">
        <f t="shared" si="0"/>
        <v>33</v>
      </c>
      <c r="K36">
        <f t="shared" si="2"/>
        <v>160</v>
      </c>
    </row>
    <row r="37" spans="1:11">
      <c r="A37" t="s">
        <v>38</v>
      </c>
      <c r="B37">
        <f t="shared" si="1"/>
        <v>7</v>
      </c>
      <c r="C37">
        <f t="shared" si="0"/>
        <v>14</v>
      </c>
      <c r="D37">
        <f t="shared" si="0"/>
        <v>21</v>
      </c>
      <c r="E37">
        <f t="shared" si="0"/>
        <v>29</v>
      </c>
      <c r="F37">
        <f t="shared" si="0"/>
        <v>36</v>
      </c>
      <c r="K37">
        <f t="shared" si="2"/>
        <v>176</v>
      </c>
    </row>
    <row r="38" spans="1:11">
      <c r="A38" t="s">
        <v>39</v>
      </c>
      <c r="B38">
        <f t="shared" si="1"/>
        <v>7</v>
      </c>
      <c r="C38">
        <f t="shared" si="0"/>
        <v>15</v>
      </c>
      <c r="D38">
        <f t="shared" si="0"/>
        <v>23</v>
      </c>
      <c r="E38">
        <f t="shared" si="0"/>
        <v>31</v>
      </c>
      <c r="F38">
        <f t="shared" si="0"/>
        <v>38</v>
      </c>
      <c r="K38">
        <f t="shared" si="2"/>
        <v>192</v>
      </c>
    </row>
    <row r="39" spans="1:11">
      <c r="A39" t="s">
        <v>40</v>
      </c>
      <c r="B39">
        <f t="shared" si="1"/>
        <v>8</v>
      </c>
      <c r="C39">
        <f t="shared" si="0"/>
        <v>16</v>
      </c>
      <c r="D39">
        <f t="shared" si="0"/>
        <v>24</v>
      </c>
      <c r="E39">
        <f t="shared" si="0"/>
        <v>33</v>
      </c>
      <c r="F39">
        <f t="shared" si="0"/>
        <v>41</v>
      </c>
    </row>
  </sheetData>
  <phoneticPr fontId="8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3"/>
  <dimension ref="A1:BB143"/>
  <sheetViews>
    <sheetView workbookViewId="0">
      <pane xSplit="8" topLeftCell="I1" activePane="topRight" state="frozen"/>
      <selection pane="topRight" activeCell="F37" sqref="F37"/>
    </sheetView>
  </sheetViews>
  <sheetFormatPr defaultColWidth="9" defaultRowHeight="13.5"/>
  <cols>
    <col min="1" max="1" width="9.125" customWidth="1"/>
    <col min="2" max="2" width="14.25" customWidth="1"/>
    <col min="3" max="3" width="11.5" customWidth="1"/>
    <col min="4" max="4" width="12.25" customWidth="1"/>
    <col min="5" max="7" width="11.875" style="4" customWidth="1"/>
    <col min="8" max="8" width="9.5" style="4" customWidth="1"/>
    <col min="9" max="10" width="9.625" style="4" customWidth="1"/>
    <col min="11" max="11" width="13.25" style="4" customWidth="1"/>
    <col min="12" max="14" width="9" style="4"/>
    <col min="15" max="15" width="11" style="4" customWidth="1"/>
    <col min="16" max="16" width="11.75" style="4" customWidth="1"/>
    <col min="17" max="17" width="11.25" style="4" customWidth="1"/>
    <col min="18" max="24" width="9" style="4"/>
    <col min="25" max="25" width="11.375" style="4" customWidth="1"/>
    <col min="26" max="28" width="9" style="4"/>
    <col min="29" max="29" width="13.125" style="4" customWidth="1"/>
    <col min="30" max="30" width="12.125" customWidth="1"/>
    <col min="44" max="44" width="13.75" customWidth="1"/>
    <col min="45" max="45" width="10.875" customWidth="1"/>
  </cols>
  <sheetData>
    <row r="1" spans="1:54" s="26" customFormat="1">
      <c r="A1" s="26" t="s">
        <v>192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 spans="1:54">
      <c r="A2" t="s">
        <v>52</v>
      </c>
      <c r="B2" s="18" t="s">
        <v>57</v>
      </c>
      <c r="C2" t="s">
        <v>58</v>
      </c>
      <c r="D2" t="s">
        <v>30</v>
      </c>
      <c r="E2" s="4" t="s">
        <v>184</v>
      </c>
      <c r="F2" s="4" t="s">
        <v>186</v>
      </c>
      <c r="G2" s="4" t="s">
        <v>185</v>
      </c>
      <c r="H2" s="4" t="s">
        <v>29</v>
      </c>
      <c r="I2" s="4" t="s">
        <v>59</v>
      </c>
      <c r="J2" s="4" t="s">
        <v>338</v>
      </c>
      <c r="K2" s="5" t="s">
        <v>60</v>
      </c>
      <c r="L2" s="4" t="s">
        <v>61</v>
      </c>
      <c r="M2" s="4" t="s">
        <v>62</v>
      </c>
      <c r="N2" s="4" t="s">
        <v>63</v>
      </c>
      <c r="O2" s="16" t="s">
        <v>178</v>
      </c>
      <c r="P2" s="17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248</v>
      </c>
      <c r="X2" s="4" t="s">
        <v>249</v>
      </c>
      <c r="Y2" s="9" t="s">
        <v>71</v>
      </c>
      <c r="Z2" s="23" t="s">
        <v>191</v>
      </c>
      <c r="AA2" s="20" t="s">
        <v>72</v>
      </c>
      <c r="AB2" s="20" t="s">
        <v>379</v>
      </c>
      <c r="AC2" s="4" t="s">
        <v>255</v>
      </c>
      <c r="AD2" t="s">
        <v>256</v>
      </c>
      <c r="AE2" t="s">
        <v>264</v>
      </c>
      <c r="AF2" t="s">
        <v>260</v>
      </c>
      <c r="AG2" t="s">
        <v>261</v>
      </c>
      <c r="AH2" t="s">
        <v>262</v>
      </c>
      <c r="AI2" t="s">
        <v>263</v>
      </c>
      <c r="AJ2" t="s">
        <v>319</v>
      </c>
      <c r="AK2" t="s">
        <v>320</v>
      </c>
      <c r="AL2" t="s">
        <v>321</v>
      </c>
      <c r="AM2" t="s">
        <v>322</v>
      </c>
      <c r="AN2" t="s">
        <v>373</v>
      </c>
      <c r="AO2" t="s">
        <v>374</v>
      </c>
      <c r="AP2" t="s">
        <v>375</v>
      </c>
      <c r="AQ2" t="s">
        <v>376</v>
      </c>
      <c r="AR2" t="s">
        <v>341</v>
      </c>
      <c r="AS2" t="s">
        <v>342</v>
      </c>
      <c r="AT2" t="s">
        <v>366</v>
      </c>
      <c r="AU2" t="s">
        <v>367</v>
      </c>
      <c r="AV2" t="s">
        <v>368</v>
      </c>
      <c r="AW2" t="s">
        <v>369</v>
      </c>
      <c r="AX2" t="s">
        <v>370</v>
      </c>
      <c r="AY2" t="s">
        <v>371</v>
      </c>
      <c r="AZ2" t="s">
        <v>372</v>
      </c>
      <c r="BB2" t="s">
        <v>377</v>
      </c>
    </row>
    <row r="3" spans="1:54">
      <c r="A3" s="4">
        <v>1</v>
      </c>
      <c r="B3" s="19">
        <v>56</v>
      </c>
      <c r="C3" s="4">
        <v>47</v>
      </c>
      <c r="D3" s="6">
        <f>C3+B3</f>
        <v>103</v>
      </c>
      <c r="E3" s="6">
        <f>装备属性设计!AB3*AA3</f>
        <v>9</v>
      </c>
      <c r="F3" s="6">
        <f t="shared" ref="F3:F23" si="0">(E3+$C$27*D3+D26)*(1+AL3/100)</f>
        <v>19.3</v>
      </c>
      <c r="G3" s="6">
        <f>F3/(A3*A3*3+3*A3+50+F3)</f>
        <v>0.25630810092961487</v>
      </c>
      <c r="H3" s="4">
        <f>装备属性设计!Q3*AA3</f>
        <v>8</v>
      </c>
      <c r="I3" s="6">
        <f t="shared" ref="I3:I17" si="1">D3*1.5*MAX($C$26:$C$29)</f>
        <v>92.7</v>
      </c>
      <c r="J3" s="6">
        <v>1</v>
      </c>
      <c r="K3" s="7">
        <f>(I3+H3)/2*(1+AK3/100)*J3</f>
        <v>50.35</v>
      </c>
      <c r="L3" s="6">
        <f t="shared" ref="L3:L17" si="2">$C$29*D3</f>
        <v>20.6</v>
      </c>
      <c r="M3" s="4">
        <f>装备属性设计!D3*AA3</f>
        <v>100</v>
      </c>
      <c r="N3" s="4">
        <f>ROUND((L3*10+M3)*(100+AF3)/100,0)</f>
        <v>306</v>
      </c>
      <c r="O3" s="4">
        <f t="shared" ref="O3:O17" si="3">M3/N3</f>
        <v>0.32679738562091504</v>
      </c>
      <c r="P3" s="17">
        <f>(装备属性设计!I3+装备属性设计!F3)</f>
        <v>6</v>
      </c>
      <c r="Q3" s="6">
        <f>(P3+E26)*AB3*(1+AH3/100)</f>
        <v>10</v>
      </c>
      <c r="R3" s="4">
        <f t="shared" ref="R3:R23" si="4">Q3/(A3*A3*3+A3*3+50+Q3)</f>
        <v>0.15151515151515152</v>
      </c>
      <c r="S3" s="4">
        <f>装备属性设计!X3*AB3*(1+AI3/100)</f>
        <v>0</v>
      </c>
      <c r="T3" s="4">
        <f>装备属性设计!V3*AB3</f>
        <v>0</v>
      </c>
      <c r="U3" s="4">
        <f t="shared" ref="U3:U17" si="5">(S3+D3*$C$26*(1+AI3/100))/($A3*50+S3+D3*$C$26*(1+AI3/100)+50)</f>
        <v>0.38195302843016066</v>
      </c>
      <c r="V3" s="4">
        <f t="shared" ref="V3:V17" si="6">(T3+B3*$C$28)/($A3*50+T3+B3*$C$28+50)</f>
        <v>5.3030303030303039E-2</v>
      </c>
      <c r="W3" s="4">
        <f>(装备属性设计!Z3*战斗力成长!AB3+D3*C$27*0.2)*(1+AJ3/100)</f>
        <v>5.0600000000000005</v>
      </c>
      <c r="X3" s="4">
        <f>W3/((3*$A3*$A3+3*$A3+50)/4+W3)</f>
        <v>0.26547743966421827</v>
      </c>
      <c r="Y3" s="10">
        <f>(N3/(1-R3))/(1-U3)/(1-X3)</f>
        <v>794.42099448979593</v>
      </c>
      <c r="Z3" s="23">
        <f t="shared" ref="Z3:Z17" si="7">Y3/K3</f>
        <v>15.777974071296841</v>
      </c>
      <c r="AA3" s="20">
        <v>1</v>
      </c>
      <c r="AB3" s="20">
        <f>(AA3-1)/1.5+1</f>
        <v>1</v>
      </c>
      <c r="AC3" s="4">
        <f>B3*C$29</f>
        <v>11.200000000000001</v>
      </c>
      <c r="AD3">
        <f t="shared" ref="AD3:AD23" si="8">AC3/((A3*A3*3+A3*3+50)*2+AC3)</f>
        <v>9.0909090909090912E-2</v>
      </c>
      <c r="AE3">
        <v>0</v>
      </c>
      <c r="AF3">
        <f>AE3*5</f>
        <v>0</v>
      </c>
      <c r="AG3">
        <f>AE3*2</f>
        <v>0</v>
      </c>
      <c r="AH3">
        <f>AE3*8/2</f>
        <v>0</v>
      </c>
      <c r="AI3">
        <f>AE3*7/2</f>
        <v>0</v>
      </c>
      <c r="AJ3">
        <f>AE3*8/3</f>
        <v>0</v>
      </c>
      <c r="AK3">
        <f>AE3*4</f>
        <v>0</v>
      </c>
      <c r="AL3">
        <f>AE3*8</f>
        <v>0</v>
      </c>
      <c r="AM3">
        <f>AE3*7</f>
        <v>0</v>
      </c>
      <c r="AN3">
        <f>AE3*8/(AE3*8+100)</f>
        <v>0</v>
      </c>
      <c r="AO3">
        <f>AE4*8/(AE4*8+100)</f>
        <v>0</v>
      </c>
      <c r="AP3">
        <v>0</v>
      </c>
      <c r="AQ3">
        <v>0</v>
      </c>
      <c r="AR3">
        <f>AG3*K3/100/(1-X3)/(1-U3)/(1-R3)</f>
        <v>0</v>
      </c>
      <c r="AS3">
        <f>Y3*AE3/1000*2</f>
        <v>0</v>
      </c>
      <c r="AT3">
        <v>1</v>
      </c>
      <c r="AU3">
        <v>0</v>
      </c>
      <c r="AV3">
        <v>1</v>
      </c>
      <c r="AW3">
        <v>1</v>
      </c>
      <c r="AX3">
        <v>1</v>
      </c>
      <c r="AY3">
        <f t="shared" ref="AY3:AY4" si="9">(MIN(AT3/(Y3+(AR3+AS3)/2*BB3),1)*AU3+K3)*AW3</f>
        <v>50.35</v>
      </c>
      <c r="AZ3">
        <f>(Y3+AT3)*AX3*AV3</f>
        <v>795.42099448979593</v>
      </c>
      <c r="BA3">
        <f>AY3*AZ3^(1/3)</f>
        <v>466.51451209832618</v>
      </c>
      <c r="BB3">
        <v>10</v>
      </c>
    </row>
    <row r="4" spans="1:54">
      <c r="A4" s="4">
        <v>5</v>
      </c>
      <c r="B4" s="19">
        <v>140</v>
      </c>
      <c r="C4" s="4">
        <v>75</v>
      </c>
      <c r="D4" s="6">
        <f>C4+B4</f>
        <v>215</v>
      </c>
      <c r="E4" s="6">
        <f>装备属性设计!AB4*AA4</f>
        <v>24.150000000000002</v>
      </c>
      <c r="F4" s="6">
        <f t="shared" si="0"/>
        <v>45.650000000000006</v>
      </c>
      <c r="G4" s="6">
        <f t="shared" ref="G4:G17" si="10">F4/(A4*A4*3+3*A4+50+F4)</f>
        <v>0.24589280904928631</v>
      </c>
      <c r="H4" s="4">
        <f>装备属性设计!Q4*AA4</f>
        <v>31.5</v>
      </c>
      <c r="I4" s="6">
        <f t="shared" si="1"/>
        <v>193.5</v>
      </c>
      <c r="J4" s="6">
        <v>1.25</v>
      </c>
      <c r="K4" s="7">
        <f t="shared" ref="K4:K23" si="11">(I4+H4)/2*(1+AK4/100)*J4</f>
        <v>140.625</v>
      </c>
      <c r="L4" s="6">
        <f t="shared" si="2"/>
        <v>43</v>
      </c>
      <c r="M4" s="4">
        <f>装备属性设计!D4*AA4</f>
        <v>252</v>
      </c>
      <c r="N4" s="4">
        <f t="shared" ref="N4:N23" si="12">ROUND((L4*10+M4)*(100+AF4)/100,0)</f>
        <v>682</v>
      </c>
      <c r="O4" s="4">
        <f t="shared" si="3"/>
        <v>0.36950146627565983</v>
      </c>
      <c r="P4" s="17">
        <f>(装备属性设计!I4+装备属性设计!F4)</f>
        <v>18</v>
      </c>
      <c r="Q4" s="6">
        <f t="shared" ref="Q4:Q23" si="13">(P4+E27)*AB4*(1+AH4/100)</f>
        <v>31.000000000000004</v>
      </c>
      <c r="R4" s="4">
        <f t="shared" si="4"/>
        <v>0.18128654970760236</v>
      </c>
      <c r="S4" s="4">
        <f>装备属性设计!X4*AB4*(1+AI4/100)</f>
        <v>20.666666666666668</v>
      </c>
      <c r="T4" s="4">
        <f>装备属性设计!V4*AB4</f>
        <v>20.666666666666668</v>
      </c>
      <c r="U4" s="4">
        <f t="shared" si="5"/>
        <v>0.33283914010378052</v>
      </c>
      <c r="V4" s="4">
        <f t="shared" si="6"/>
        <v>0.10358565737051793</v>
      </c>
      <c r="W4" s="4">
        <f>(装备属性设计!Z4*战斗力成长!AB4+D4*C$27*0.2)*(1+AJ4/100)</f>
        <v>7.4</v>
      </c>
      <c r="X4" s="4">
        <f t="shared" ref="X4:X17" si="14">W4/((3*$A4*$A4+3*$A4+50)/4+W4)</f>
        <v>0.17452830188679247</v>
      </c>
      <c r="Y4" s="10">
        <f t="shared" ref="Y4:Y17" si="15">(N4/(1-R4))/(1-U4)/(1-X4)</f>
        <v>1512.5846955102038</v>
      </c>
      <c r="Z4" s="23">
        <f t="shared" si="7"/>
        <v>10.756157834739227</v>
      </c>
      <c r="AA4" s="20">
        <v>1.05</v>
      </c>
      <c r="AB4" s="20">
        <f t="shared" ref="AB4:AB23" si="16">(AA4-1)/1.5+1</f>
        <v>1.0333333333333334</v>
      </c>
      <c r="AC4" s="4">
        <f t="shared" ref="AC4:AC17" si="17">B4*C$29</f>
        <v>28</v>
      </c>
      <c r="AD4">
        <f t="shared" si="8"/>
        <v>9.0909090909090912E-2</v>
      </c>
      <c r="AE4">
        <v>0</v>
      </c>
      <c r="AF4">
        <f t="shared" ref="AF4:AF17" si="18">AE4*5</f>
        <v>0</v>
      </c>
      <c r="AG4">
        <f t="shared" ref="AG4:AG17" si="19">AE4*2</f>
        <v>0</v>
      </c>
      <c r="AH4">
        <f t="shared" ref="AH4:AH23" si="20">AE4*8/2</f>
        <v>0</v>
      </c>
      <c r="AI4">
        <f t="shared" ref="AI4:AI23" si="21">AE4*7/2</f>
        <v>0</v>
      </c>
      <c r="AJ4">
        <f t="shared" ref="AJ4:AJ23" si="22">AE4*8/3</f>
        <v>0</v>
      </c>
      <c r="AK4">
        <f t="shared" ref="AK4:AK23" si="23">AE4*4</f>
        <v>0</v>
      </c>
      <c r="AL4">
        <f t="shared" ref="AL4:AL23" si="24">AE4*8</f>
        <v>0</v>
      </c>
      <c r="AM4">
        <f t="shared" ref="AM4:AM23" si="25">AE4*7</f>
        <v>0</v>
      </c>
      <c r="AN4">
        <f>AE4*8/(AE4*8+100)</f>
        <v>0</v>
      </c>
      <c r="AO4">
        <f>AE4*8/(AE4*8+100)</f>
        <v>0</v>
      </c>
      <c r="AP4">
        <v>0</v>
      </c>
      <c r="AQ4">
        <v>0</v>
      </c>
      <c r="AR4">
        <f t="shared" ref="AR4:AR8" si="26">AG4*K4/100/(1-X4)/(1-U4)/(1-R4)</f>
        <v>0</v>
      </c>
      <c r="AS4">
        <f t="shared" ref="AS4:AS23" si="27">Y4*AE4/1000*2</f>
        <v>0</v>
      </c>
      <c r="AT4">
        <v>1</v>
      </c>
      <c r="AU4">
        <v>0</v>
      </c>
      <c r="AV4">
        <v>1</v>
      </c>
      <c r="AW4">
        <v>1</v>
      </c>
      <c r="AX4">
        <v>1</v>
      </c>
      <c r="AY4">
        <f t="shared" si="9"/>
        <v>140.625</v>
      </c>
      <c r="AZ4">
        <f t="shared" ref="AZ4:AZ23" si="28">(Y4+AT4)*AX4*AV4</f>
        <v>1513.5846955102038</v>
      </c>
      <c r="BA4">
        <f t="shared" ref="BA4:BA23" si="29">AY4*AZ4^(1/3)</f>
        <v>1614.5993675734389</v>
      </c>
      <c r="BB4">
        <v>12</v>
      </c>
    </row>
    <row r="5" spans="1:54">
      <c r="A5" s="4">
        <v>10</v>
      </c>
      <c r="B5" s="19">
        <v>380</v>
      </c>
      <c r="C5" s="4">
        <v>110</v>
      </c>
      <c r="D5" s="6">
        <f t="shared" ref="D5:D17" si="30">C5+B5</f>
        <v>490</v>
      </c>
      <c r="E5" s="6">
        <f>装备属性设计!AB5*AA5</f>
        <v>47.300000000000004</v>
      </c>
      <c r="F5" s="6">
        <f t="shared" si="0"/>
        <v>104.00400000000002</v>
      </c>
      <c r="G5" s="6">
        <f t="shared" si="10"/>
        <v>0.21488252163205265</v>
      </c>
      <c r="H5" s="4">
        <f>装备属性设计!Q5*AA5</f>
        <v>105.60000000000001</v>
      </c>
      <c r="I5" s="6">
        <f t="shared" si="1"/>
        <v>441</v>
      </c>
      <c r="J5" s="6">
        <v>1.3</v>
      </c>
      <c r="K5" s="7">
        <f t="shared" si="11"/>
        <v>369.50160000000005</v>
      </c>
      <c r="L5" s="6">
        <f t="shared" si="2"/>
        <v>98</v>
      </c>
      <c r="M5" s="4">
        <f>装备属性设计!D5*AA5</f>
        <v>528</v>
      </c>
      <c r="N5" s="4">
        <f t="shared" si="12"/>
        <v>1583</v>
      </c>
      <c r="O5" s="4">
        <f t="shared" si="3"/>
        <v>0.33354390397978523</v>
      </c>
      <c r="P5" s="17">
        <f>(装备属性设计!I5+装备属性设计!F5)</f>
        <v>40</v>
      </c>
      <c r="Q5" s="6">
        <f t="shared" si="13"/>
        <v>77.653333333333336</v>
      </c>
      <c r="R5" s="4">
        <f t="shared" si="4"/>
        <v>0.16967719380025639</v>
      </c>
      <c r="S5" s="4">
        <f>装备属性设计!X5*AB5*(1+AI5/100)</f>
        <v>70.655999999999992</v>
      </c>
      <c r="T5" s="4">
        <f>装备属性设计!V5*AB5</f>
        <v>21.333333333333332</v>
      </c>
      <c r="U5" s="4">
        <f t="shared" si="5"/>
        <v>0.40537069191066288</v>
      </c>
      <c r="V5" s="4">
        <f t="shared" si="6"/>
        <v>9.7374179431072197E-2</v>
      </c>
      <c r="W5" s="4">
        <f>(装备属性设计!Z5*战斗力成长!AB5+D5*C$27*0.2)*(1+AJ5/100)</f>
        <v>23.202666666666666</v>
      </c>
      <c r="X5" s="4">
        <f t="shared" si="14"/>
        <v>0.1962956278482155</v>
      </c>
      <c r="Y5" s="10">
        <f t="shared" si="15"/>
        <v>3989.2504835484269</v>
      </c>
      <c r="Z5" s="23">
        <f t="shared" si="7"/>
        <v>10.796300972846739</v>
      </c>
      <c r="AA5" s="20">
        <v>1.1000000000000001</v>
      </c>
      <c r="AB5" s="20">
        <f t="shared" si="16"/>
        <v>1.0666666666666667</v>
      </c>
      <c r="AC5" s="4">
        <f t="shared" si="17"/>
        <v>76</v>
      </c>
      <c r="AD5">
        <f t="shared" si="8"/>
        <v>9.0909090909090912E-2</v>
      </c>
      <c r="AE5">
        <v>1</v>
      </c>
      <c r="AF5">
        <f t="shared" si="18"/>
        <v>5</v>
      </c>
      <c r="AG5">
        <f t="shared" si="19"/>
        <v>2</v>
      </c>
      <c r="AH5">
        <f t="shared" si="20"/>
        <v>4</v>
      </c>
      <c r="AI5">
        <f t="shared" si="21"/>
        <v>3.5</v>
      </c>
      <c r="AJ5">
        <f t="shared" si="22"/>
        <v>2.6666666666666665</v>
      </c>
      <c r="AK5">
        <f t="shared" si="23"/>
        <v>4</v>
      </c>
      <c r="AL5">
        <f t="shared" si="24"/>
        <v>8</v>
      </c>
      <c r="AM5">
        <f t="shared" si="25"/>
        <v>7</v>
      </c>
      <c r="AN5">
        <f t="shared" ref="AN5:AN23" si="31">AE5*8/(AE5*8+100)</f>
        <v>7.407407407407407E-2</v>
      </c>
      <c r="AO5">
        <f t="shared" ref="AO5:AO23" si="32">AE5*8/(AE5*8+100)</f>
        <v>7.407407407407407E-2</v>
      </c>
      <c r="AP5">
        <v>0</v>
      </c>
      <c r="AQ5">
        <v>0</v>
      </c>
      <c r="AR5">
        <f t="shared" si="26"/>
        <v>18.623303050813867</v>
      </c>
      <c r="AS5">
        <f t="shared" si="27"/>
        <v>7.9785009670968536</v>
      </c>
      <c r="AT5">
        <v>1</v>
      </c>
      <c r="AU5">
        <v>0</v>
      </c>
      <c r="AV5">
        <v>1</v>
      </c>
      <c r="AW5">
        <v>1</v>
      </c>
      <c r="AX5">
        <v>1</v>
      </c>
      <c r="AY5">
        <f>(MIN(AT5/(Y5+(AR5+AS5)/2*BB5),1)*AU5+K5)*AW5</f>
        <v>369.50160000000005</v>
      </c>
      <c r="AZ5">
        <f t="shared" si="28"/>
        <v>3990.2504835484269</v>
      </c>
      <c r="BA5">
        <f t="shared" si="29"/>
        <v>5860.7029485653493</v>
      </c>
      <c r="BB5">
        <v>14</v>
      </c>
    </row>
    <row r="6" spans="1:54">
      <c r="A6" s="4">
        <v>15</v>
      </c>
      <c r="B6" s="19">
        <v>770</v>
      </c>
      <c r="C6" s="4">
        <v>145</v>
      </c>
      <c r="D6" s="6">
        <f t="shared" si="30"/>
        <v>915</v>
      </c>
      <c r="E6" s="6">
        <f>装备属性设计!AB6*AA6</f>
        <v>127.19999999999999</v>
      </c>
      <c r="F6" s="6">
        <f t="shared" si="0"/>
        <v>236.196</v>
      </c>
      <c r="G6" s="6">
        <f t="shared" si="10"/>
        <v>0.23474154140942718</v>
      </c>
      <c r="H6" s="4">
        <f>装备属性设计!Q6*AA6</f>
        <v>187.2</v>
      </c>
      <c r="I6" s="6">
        <f t="shared" si="1"/>
        <v>823.5</v>
      </c>
      <c r="J6" s="6">
        <v>1.35</v>
      </c>
      <c r="K6" s="7">
        <f t="shared" si="11"/>
        <v>709.51140000000021</v>
      </c>
      <c r="L6" s="6">
        <f t="shared" si="2"/>
        <v>183</v>
      </c>
      <c r="M6" s="4">
        <f>装备属性设计!D6*AA6</f>
        <v>1392</v>
      </c>
      <c r="N6" s="4">
        <f t="shared" si="12"/>
        <v>3383</v>
      </c>
      <c r="O6" s="4">
        <f t="shared" si="3"/>
        <v>0.4114691102571682</v>
      </c>
      <c r="P6" s="17">
        <f>(装备属性设计!I6+装备属性设计!F6)</f>
        <v>78</v>
      </c>
      <c r="Q6" s="6">
        <f t="shared" si="13"/>
        <v>213.33866666666665</v>
      </c>
      <c r="R6" s="4">
        <f t="shared" si="4"/>
        <v>0.21695339957478196</v>
      </c>
      <c r="S6" s="4">
        <f>装备属性设计!X6*AB6*(1+AI6/100)</f>
        <v>75.071999999999989</v>
      </c>
      <c r="T6" s="4">
        <f>装备属性设计!V6*AB6</f>
        <v>72.533333333333331</v>
      </c>
      <c r="U6" s="4">
        <f t="shared" si="5"/>
        <v>0.44570968906392144</v>
      </c>
      <c r="V6" s="4">
        <f t="shared" si="6"/>
        <v>0.15748086779470619</v>
      </c>
      <c r="W6" s="4">
        <f>(装备属性设计!Z6*战斗力成长!AB6+D6*C$27*0.2)*(1+AJ6/100)</f>
        <v>46.713333333333331</v>
      </c>
      <c r="X6" s="4">
        <f t="shared" si="14"/>
        <v>0.19527896995708152</v>
      </c>
      <c r="Y6" s="10">
        <f t="shared" si="15"/>
        <v>9685.7164565107505</v>
      </c>
      <c r="Z6" s="23">
        <f t="shared" si="7"/>
        <v>13.651248530341793</v>
      </c>
      <c r="AA6" s="20">
        <v>1.2</v>
      </c>
      <c r="AB6" s="20">
        <f t="shared" si="16"/>
        <v>1.1333333333333333</v>
      </c>
      <c r="AC6" s="4">
        <f t="shared" si="17"/>
        <v>154</v>
      </c>
      <c r="AD6">
        <f t="shared" si="8"/>
        <v>9.0909090909090912E-2</v>
      </c>
      <c r="AE6">
        <v>1</v>
      </c>
      <c r="AF6">
        <f t="shared" si="18"/>
        <v>5</v>
      </c>
      <c r="AG6">
        <f t="shared" si="19"/>
        <v>2</v>
      </c>
      <c r="AH6">
        <f t="shared" si="20"/>
        <v>4</v>
      </c>
      <c r="AI6">
        <f t="shared" si="21"/>
        <v>3.5</v>
      </c>
      <c r="AJ6">
        <f t="shared" si="22"/>
        <v>2.6666666666666665</v>
      </c>
      <c r="AK6">
        <f t="shared" si="23"/>
        <v>4</v>
      </c>
      <c r="AL6">
        <f t="shared" si="24"/>
        <v>8</v>
      </c>
      <c r="AM6">
        <f t="shared" si="25"/>
        <v>7</v>
      </c>
      <c r="AN6">
        <f t="shared" si="31"/>
        <v>7.407407407407407E-2</v>
      </c>
      <c r="AO6">
        <f t="shared" si="32"/>
        <v>7.407407407407407E-2</v>
      </c>
      <c r="AP6">
        <v>0</v>
      </c>
      <c r="AQ6">
        <v>0</v>
      </c>
      <c r="AR6">
        <f t="shared" si="26"/>
        <v>40.627409063328315</v>
      </c>
      <c r="AS6">
        <f t="shared" si="27"/>
        <v>19.371432913021501</v>
      </c>
      <c r="AT6">
        <f>佣兵培养!AB2</f>
        <v>3644.064310216057</v>
      </c>
      <c r="AU6">
        <f>佣兵培养!AE2</f>
        <v>329.04999999999944</v>
      </c>
      <c r="AV6">
        <v>1.1000000000000001</v>
      </c>
      <c r="AW6">
        <v>1</v>
      </c>
      <c r="AX6">
        <v>1</v>
      </c>
      <c r="AY6">
        <f t="shared" ref="AY6:AY23" si="33">(MIN(AT6/(Y6+(AR6+AS6)/2*BB6),1)*AU6+K6)*AW6</f>
        <v>827.46476404950681</v>
      </c>
      <c r="AZ6">
        <f t="shared" si="28"/>
        <v>14662.75884339949</v>
      </c>
      <c r="BA6">
        <f t="shared" si="29"/>
        <v>20252.939865633878</v>
      </c>
      <c r="BB6">
        <v>16</v>
      </c>
    </row>
    <row r="7" spans="1:54">
      <c r="A7" s="4">
        <v>20</v>
      </c>
      <c r="B7" s="19">
        <v>1310</v>
      </c>
      <c r="C7" s="4">
        <v>180</v>
      </c>
      <c r="D7" s="6">
        <f t="shared" si="30"/>
        <v>1490</v>
      </c>
      <c r="E7" s="6">
        <f>装备属性设计!AB7*AA7</f>
        <v>253.2</v>
      </c>
      <c r="F7" s="6">
        <f t="shared" si="0"/>
        <v>466.55199999999996</v>
      </c>
      <c r="G7" s="6">
        <f t="shared" si="10"/>
        <v>0.26261657412786116</v>
      </c>
      <c r="H7" s="4">
        <f>装备属性设计!Q7*AA7</f>
        <v>405.59999999999997</v>
      </c>
      <c r="I7" s="6">
        <f t="shared" si="1"/>
        <v>1341</v>
      </c>
      <c r="J7" s="6">
        <v>1.4</v>
      </c>
      <c r="K7" s="7">
        <f t="shared" si="11"/>
        <v>1320.4295999999999</v>
      </c>
      <c r="L7" s="6">
        <f t="shared" si="2"/>
        <v>298</v>
      </c>
      <c r="M7" s="4">
        <f>装备属性设计!D7*AA7</f>
        <v>2544</v>
      </c>
      <c r="N7" s="4">
        <f t="shared" si="12"/>
        <v>6076</v>
      </c>
      <c r="O7" s="4">
        <f t="shared" si="3"/>
        <v>0.4186965108624095</v>
      </c>
      <c r="P7" s="17">
        <f>(装备属性设计!I7+装备属性设计!F7)</f>
        <v>204</v>
      </c>
      <c r="Q7" s="6">
        <f t="shared" si="13"/>
        <v>459.00000000000006</v>
      </c>
      <c r="R7" s="4">
        <f t="shared" si="4"/>
        <v>0.25946862634256646</v>
      </c>
      <c r="S7" s="4">
        <f>装备属性设计!X7*AB7*(1+AI7/100)</f>
        <v>164.92266666666666</v>
      </c>
      <c r="T7" s="4">
        <f>装备属性设计!V7*AB7</f>
        <v>154.13333333333333</v>
      </c>
      <c r="U7" s="4">
        <f t="shared" si="5"/>
        <v>0.51646386803116984</v>
      </c>
      <c r="V7" s="4">
        <f t="shared" si="6"/>
        <v>0.21356169171618317</v>
      </c>
      <c r="W7" s="4">
        <f>(装备属性设计!Z7*战斗力成长!AB7+D7*C$27*0.2)*(1+AJ7/100)</f>
        <v>79.140444444444427</v>
      </c>
      <c r="X7" s="4">
        <f t="shared" si="14"/>
        <v>0.19462019955385099</v>
      </c>
      <c r="Y7" s="10">
        <f t="shared" si="15"/>
        <v>21069.034652972186</v>
      </c>
      <c r="Z7" s="23">
        <f t="shared" si="7"/>
        <v>15.956196871815195</v>
      </c>
      <c r="AA7" s="20">
        <v>1.2</v>
      </c>
      <c r="AB7" s="20">
        <f t="shared" si="16"/>
        <v>1.1333333333333333</v>
      </c>
      <c r="AC7" s="4">
        <f t="shared" si="17"/>
        <v>262</v>
      </c>
      <c r="AD7">
        <f t="shared" si="8"/>
        <v>9.0909090909090912E-2</v>
      </c>
      <c r="AE7">
        <v>2</v>
      </c>
      <c r="AF7">
        <f t="shared" si="18"/>
        <v>10</v>
      </c>
      <c r="AG7">
        <f t="shared" si="19"/>
        <v>4</v>
      </c>
      <c r="AH7">
        <f t="shared" si="20"/>
        <v>8</v>
      </c>
      <c r="AI7">
        <f t="shared" si="21"/>
        <v>7</v>
      </c>
      <c r="AJ7">
        <f t="shared" si="22"/>
        <v>5.333333333333333</v>
      </c>
      <c r="AK7">
        <f t="shared" si="23"/>
        <v>8</v>
      </c>
      <c r="AL7">
        <f t="shared" si="24"/>
        <v>16</v>
      </c>
      <c r="AM7">
        <f t="shared" si="25"/>
        <v>14</v>
      </c>
      <c r="AN7">
        <f t="shared" si="31"/>
        <v>0.13793103448275862</v>
      </c>
      <c r="AO7">
        <f t="shared" si="32"/>
        <v>0.13793103448275862</v>
      </c>
      <c r="AP7">
        <v>0</v>
      </c>
      <c r="AQ7">
        <v>0</v>
      </c>
      <c r="AR7">
        <f t="shared" si="26"/>
        <v>183.14797234503089</v>
      </c>
      <c r="AS7">
        <f t="shared" si="27"/>
        <v>84.27613861188874</v>
      </c>
      <c r="AT7">
        <f>佣兵培养!AB3</f>
        <v>10236.557614123487</v>
      </c>
      <c r="AU7">
        <f>佣兵培养!AE3</f>
        <v>745.49339999999859</v>
      </c>
      <c r="AV7">
        <v>1.1000000000000001</v>
      </c>
      <c r="AW7">
        <v>1.03</v>
      </c>
      <c r="AX7">
        <v>1.05</v>
      </c>
      <c r="AY7">
        <f t="shared" si="33"/>
        <v>1694.8641950420847</v>
      </c>
      <c r="AZ7">
        <f t="shared" si="28"/>
        <v>36157.959068495504</v>
      </c>
      <c r="BA7">
        <f t="shared" si="29"/>
        <v>56044.914118847213</v>
      </c>
      <c r="BB7">
        <v>18</v>
      </c>
    </row>
    <row r="8" spans="1:54">
      <c r="A8" s="4">
        <v>25</v>
      </c>
      <c r="B8" s="19">
        <v>2000</v>
      </c>
      <c r="C8" s="4">
        <v>215</v>
      </c>
      <c r="D8" s="6">
        <f t="shared" si="30"/>
        <v>2215</v>
      </c>
      <c r="E8" s="6">
        <f>装备属性设计!AB8*AA8</f>
        <v>371.8</v>
      </c>
      <c r="F8" s="6">
        <f t="shared" si="0"/>
        <v>688.22799999999995</v>
      </c>
      <c r="G8" s="6">
        <f t="shared" si="10"/>
        <v>0.25601548678162711</v>
      </c>
      <c r="H8" s="4">
        <f>装备属性设计!Q8*AA8</f>
        <v>690.30000000000007</v>
      </c>
      <c r="I8" s="6">
        <f t="shared" si="1"/>
        <v>1993.5</v>
      </c>
      <c r="J8" s="6">
        <v>1.45</v>
      </c>
      <c r="K8" s="7">
        <f t="shared" si="11"/>
        <v>2101.4154000000003</v>
      </c>
      <c r="L8" s="6">
        <f t="shared" si="2"/>
        <v>443</v>
      </c>
      <c r="M8" s="4">
        <f>装备属性设计!D8*AA8</f>
        <v>4368</v>
      </c>
      <c r="N8" s="4">
        <f t="shared" si="12"/>
        <v>9678</v>
      </c>
      <c r="O8" s="4">
        <f t="shared" si="3"/>
        <v>0.45133292002479852</v>
      </c>
      <c r="P8" s="17">
        <f>(装备属性设计!I8+装备属性设计!F8)</f>
        <v>306</v>
      </c>
      <c r="Q8" s="6">
        <f t="shared" si="13"/>
        <v>728.35199999999998</v>
      </c>
      <c r="R8" s="4">
        <f t="shared" si="4"/>
        <v>0.26695675631296845</v>
      </c>
      <c r="S8" s="4">
        <f>装备属性设计!X8*AB8*(1+AI8/100)</f>
        <v>304.30799999999999</v>
      </c>
      <c r="T8" s="4">
        <f>装备属性设计!V8*AB8</f>
        <v>284.39999999999998</v>
      </c>
      <c r="U8" s="4">
        <f t="shared" si="5"/>
        <v>0.57043793522071895</v>
      </c>
      <c r="V8" s="4">
        <f t="shared" si="6"/>
        <v>0.27146379735485315</v>
      </c>
      <c r="W8" s="4">
        <f>(装备属性设计!Z8*战斗力成长!AB8+D8*C$27*0.2)*(1+AJ8/100)</f>
        <v>125.03066666666665</v>
      </c>
      <c r="X8" s="4">
        <f t="shared" si="14"/>
        <v>0.20003925140739759</v>
      </c>
      <c r="Y8" s="10">
        <f t="shared" si="15"/>
        <v>38420.359399117071</v>
      </c>
      <c r="Z8" s="23">
        <f t="shared" si="7"/>
        <v>18.283086437415975</v>
      </c>
      <c r="AA8" s="20">
        <v>1.3</v>
      </c>
      <c r="AB8" s="20">
        <f t="shared" si="16"/>
        <v>1.2</v>
      </c>
      <c r="AC8" s="4">
        <f t="shared" si="17"/>
        <v>400</v>
      </c>
      <c r="AD8">
        <f t="shared" si="8"/>
        <v>9.0909090909090912E-2</v>
      </c>
      <c r="AE8">
        <v>2</v>
      </c>
      <c r="AF8">
        <f t="shared" si="18"/>
        <v>10</v>
      </c>
      <c r="AG8">
        <f t="shared" si="19"/>
        <v>4</v>
      </c>
      <c r="AH8">
        <f t="shared" si="20"/>
        <v>8</v>
      </c>
      <c r="AI8">
        <f t="shared" si="21"/>
        <v>7</v>
      </c>
      <c r="AJ8">
        <f t="shared" si="22"/>
        <v>5.333333333333333</v>
      </c>
      <c r="AK8">
        <f t="shared" si="23"/>
        <v>8</v>
      </c>
      <c r="AL8">
        <f t="shared" si="24"/>
        <v>16</v>
      </c>
      <c r="AM8">
        <f t="shared" si="25"/>
        <v>14</v>
      </c>
      <c r="AN8">
        <f t="shared" si="31"/>
        <v>0.13793103448275862</v>
      </c>
      <c r="AO8">
        <f t="shared" si="32"/>
        <v>0.13793103448275862</v>
      </c>
      <c r="AP8">
        <v>0</v>
      </c>
      <c r="AQ8">
        <v>0</v>
      </c>
      <c r="AR8">
        <f t="shared" si="26"/>
        <v>333.69346937317368</v>
      </c>
      <c r="AS8">
        <f>Y8*AE8/1000*2</f>
        <v>153.68143759646827</v>
      </c>
      <c r="AT8">
        <f>佣兵培养!AB4</f>
        <v>22668.779259259263</v>
      </c>
      <c r="AU8">
        <f>佣兵培养!AE4</f>
        <v>1252.0391400000001</v>
      </c>
      <c r="AV8">
        <v>1.1000000000000001</v>
      </c>
      <c r="AW8">
        <v>1.03</v>
      </c>
      <c r="AX8">
        <v>1.05</v>
      </c>
      <c r="AY8">
        <f t="shared" si="33"/>
        <v>2839.6921118594105</v>
      </c>
      <c r="AZ8">
        <f t="shared" si="28"/>
        <v>70557.955150424677</v>
      </c>
      <c r="BA8">
        <f t="shared" si="29"/>
        <v>117341.93629848055</v>
      </c>
      <c r="BB8">
        <v>20</v>
      </c>
    </row>
    <row r="9" spans="1:54">
      <c r="A9" s="4">
        <v>30</v>
      </c>
      <c r="B9" s="19">
        <v>2840</v>
      </c>
      <c r="C9" s="4">
        <v>250</v>
      </c>
      <c r="D9" s="6">
        <f t="shared" si="30"/>
        <v>3090</v>
      </c>
      <c r="E9" s="6">
        <f>装备属性设计!AB9*AA9</f>
        <v>477.1</v>
      </c>
      <c r="F9" s="6">
        <f t="shared" si="0"/>
        <v>974.76400000000001</v>
      </c>
      <c r="G9" s="6">
        <f t="shared" si="10"/>
        <v>0.25552406387393822</v>
      </c>
      <c r="H9" s="4">
        <f>装备属性设计!Q9*AA9</f>
        <v>1072.5</v>
      </c>
      <c r="I9" s="6">
        <f t="shared" si="1"/>
        <v>2781</v>
      </c>
      <c r="J9" s="6">
        <v>1.5</v>
      </c>
      <c r="K9" s="7">
        <f t="shared" si="11"/>
        <v>3236.94</v>
      </c>
      <c r="L9" s="6">
        <f t="shared" si="2"/>
        <v>618</v>
      </c>
      <c r="M9" s="4">
        <f>装备属性设计!D9*AA9</f>
        <v>4368</v>
      </c>
      <c r="N9" s="4">
        <f t="shared" si="12"/>
        <v>12130</v>
      </c>
      <c r="O9" s="4">
        <f t="shared" si="3"/>
        <v>0.36009892827699919</v>
      </c>
      <c r="P9" s="17">
        <f>(装备属性设计!I9+装备属性设计!F9)</f>
        <v>432</v>
      </c>
      <c r="Q9" s="6">
        <f t="shared" si="13"/>
        <v>1075.2</v>
      </c>
      <c r="R9" s="4">
        <f t="shared" si="4"/>
        <v>0.27462198610543526</v>
      </c>
      <c r="S9" s="4">
        <f>装备属性设计!X9*AB9*(1+AI9/100)</f>
        <v>493.27199999999999</v>
      </c>
      <c r="T9" s="4">
        <f>装备属性设计!V9*AB9</f>
        <v>446.4</v>
      </c>
      <c r="U9" s="4">
        <f t="shared" si="5"/>
        <v>0.62120675219736743</v>
      </c>
      <c r="V9" s="4">
        <f t="shared" si="6"/>
        <v>0.32029468514295734</v>
      </c>
      <c r="W9" s="4">
        <f>(装备属性设计!Z9*战斗力成长!AB9+D9*C$27*0.2)*(1+AJ9/100)</f>
        <v>160.05600000000001</v>
      </c>
      <c r="X9" s="4">
        <f t="shared" si="14"/>
        <v>0.18396057265279478</v>
      </c>
      <c r="Y9" s="10">
        <f t="shared" si="15"/>
        <v>54098.228202848964</v>
      </c>
      <c r="Z9" s="23">
        <f t="shared" si="7"/>
        <v>16.712768294391914</v>
      </c>
      <c r="AA9" s="20">
        <v>1.3</v>
      </c>
      <c r="AB9" s="20">
        <f t="shared" si="16"/>
        <v>1.2</v>
      </c>
      <c r="AC9" s="4">
        <f t="shared" si="17"/>
        <v>568</v>
      </c>
      <c r="AD9">
        <f t="shared" si="8"/>
        <v>9.0909090909090912E-2</v>
      </c>
      <c r="AE9">
        <v>3</v>
      </c>
      <c r="AF9">
        <f t="shared" si="18"/>
        <v>15</v>
      </c>
      <c r="AG9">
        <f t="shared" si="19"/>
        <v>6</v>
      </c>
      <c r="AH9">
        <f t="shared" si="20"/>
        <v>12</v>
      </c>
      <c r="AI9">
        <f t="shared" si="21"/>
        <v>10.5</v>
      </c>
      <c r="AJ9">
        <f t="shared" si="22"/>
        <v>8</v>
      </c>
      <c r="AK9">
        <f t="shared" si="23"/>
        <v>12</v>
      </c>
      <c r="AL9">
        <f t="shared" si="24"/>
        <v>24</v>
      </c>
      <c r="AM9">
        <f t="shared" si="25"/>
        <v>21</v>
      </c>
      <c r="AN9">
        <f t="shared" si="31"/>
        <v>0.19354838709677419</v>
      </c>
      <c r="AO9">
        <f t="shared" si="32"/>
        <v>0.19354838709677419</v>
      </c>
      <c r="AP9">
        <f>VLOOKUP($A9,[1]怪物抗性与玩家穿透!$A$2:$E$74,4,0)</f>
        <v>20</v>
      </c>
      <c r="AQ9">
        <f>VLOOKUP($A9,[1]怪物抗性与玩家穿透!$A$2:$E$74,5,0)</f>
        <v>0</v>
      </c>
      <c r="AR9">
        <f>AG9*K9/100/(1-U9)/(1-R9)*(1-(AP9*(1-AN9)/(AP9*(1-AN9)+VLOOKUP(A9,[1]怪物抗性与玩家穿透!$A$2:$I$74,8,0))))*(1-(AQ9*(1-AO9)/(VLOOKUP(A9,[1]怪物抗性与玩家穿透!$A$2:$I$74,9,0)+AQ9*(1-AO9))))</f>
        <v>702.81013990404665</v>
      </c>
      <c r="AS9">
        <f t="shared" si="27"/>
        <v>324.5893692170938</v>
      </c>
      <c r="AT9">
        <f>佣兵培养!AB5</f>
        <v>43754.725483308546</v>
      </c>
      <c r="AU9">
        <f>佣兵培养!AE5</f>
        <v>1893.8499300000005</v>
      </c>
      <c r="AV9">
        <v>1.1000000000000001</v>
      </c>
      <c r="AW9">
        <v>1.06</v>
      </c>
      <c r="AX9">
        <v>1.05</v>
      </c>
      <c r="AY9">
        <f t="shared" si="33"/>
        <v>4774.2341282263487</v>
      </c>
      <c r="AZ9">
        <f t="shared" si="28"/>
        <v>113020.16150751193</v>
      </c>
      <c r="BA9">
        <f t="shared" si="29"/>
        <v>230828.28285080686</v>
      </c>
      <c r="BB9">
        <v>22</v>
      </c>
    </row>
    <row r="10" spans="1:54">
      <c r="A10" s="4">
        <v>35</v>
      </c>
      <c r="B10" s="19">
        <v>3830</v>
      </c>
      <c r="C10" s="4">
        <v>285</v>
      </c>
      <c r="D10" s="6">
        <f t="shared" si="30"/>
        <v>4115</v>
      </c>
      <c r="E10" s="6">
        <f>装备属性设计!AB10*AA10</f>
        <v>823.19999999999993</v>
      </c>
      <c r="F10" s="6">
        <f t="shared" si="0"/>
        <v>1531.0279999999998</v>
      </c>
      <c r="G10" s="6">
        <f t="shared" si="10"/>
        <v>0.28558477963554746</v>
      </c>
      <c r="H10" s="4">
        <f>装备属性设计!Q10*AA10</f>
        <v>1860.6</v>
      </c>
      <c r="I10" s="6">
        <f t="shared" si="1"/>
        <v>3703.5</v>
      </c>
      <c r="J10" s="6">
        <v>1.55</v>
      </c>
      <c r="K10" s="7">
        <f t="shared" si="11"/>
        <v>4829.6388000000015</v>
      </c>
      <c r="L10" s="6">
        <f t="shared" si="2"/>
        <v>823</v>
      </c>
      <c r="M10" s="4">
        <f>装备属性设计!D10*AA10</f>
        <v>6860</v>
      </c>
      <c r="N10" s="4">
        <f t="shared" si="12"/>
        <v>17354</v>
      </c>
      <c r="O10" s="4">
        <f t="shared" si="3"/>
        <v>0.3952979140255849</v>
      </c>
      <c r="P10" s="17">
        <f>(装备属性设计!I10+装备属性设计!F10)</f>
        <v>586</v>
      </c>
      <c r="Q10" s="6">
        <f t="shared" si="13"/>
        <v>1790.3573333333334</v>
      </c>
      <c r="R10" s="4">
        <f t="shared" si="4"/>
        <v>0.3185486664193119</v>
      </c>
      <c r="S10" s="4">
        <f>装备属性设计!X10*AB10*(1+AI10/100)</f>
        <v>834.20133333333331</v>
      </c>
      <c r="T10" s="4">
        <f>装备属性设计!V10*AB10</f>
        <v>686.5333333333333</v>
      </c>
      <c r="U10" s="4">
        <f t="shared" si="5"/>
        <v>0.66433230505057428</v>
      </c>
      <c r="V10" s="4">
        <f t="shared" si="6"/>
        <v>0.37272030295286107</v>
      </c>
      <c r="W10" s="4">
        <f>(装备属性设计!Z10*战斗力成长!AB10+D10*C$27*0.2)*(1+AJ10/100)</f>
        <v>201.06000000000003</v>
      </c>
      <c r="X10" s="4">
        <f t="shared" si="14"/>
        <v>0.17354301892003871</v>
      </c>
      <c r="Y10" s="10">
        <f t="shared" si="15"/>
        <v>91798.365515359561</v>
      </c>
      <c r="Z10" s="23">
        <f t="shared" si="7"/>
        <v>19.007294192551115</v>
      </c>
      <c r="AA10" s="20">
        <v>1.4</v>
      </c>
      <c r="AB10" s="20">
        <f t="shared" si="16"/>
        <v>1.2666666666666666</v>
      </c>
      <c r="AC10" s="4">
        <f t="shared" si="17"/>
        <v>766</v>
      </c>
      <c r="AD10">
        <f t="shared" si="8"/>
        <v>9.0909090909090912E-2</v>
      </c>
      <c r="AE10">
        <v>3</v>
      </c>
      <c r="AF10">
        <f t="shared" si="18"/>
        <v>15</v>
      </c>
      <c r="AG10">
        <f t="shared" si="19"/>
        <v>6</v>
      </c>
      <c r="AH10">
        <f t="shared" si="20"/>
        <v>12</v>
      </c>
      <c r="AI10">
        <f t="shared" si="21"/>
        <v>10.5</v>
      </c>
      <c r="AJ10">
        <f t="shared" si="22"/>
        <v>8</v>
      </c>
      <c r="AK10">
        <f t="shared" si="23"/>
        <v>12</v>
      </c>
      <c r="AL10">
        <f t="shared" si="24"/>
        <v>24</v>
      </c>
      <c r="AM10">
        <f t="shared" si="25"/>
        <v>21</v>
      </c>
      <c r="AN10">
        <f t="shared" si="31"/>
        <v>0.19354838709677419</v>
      </c>
      <c r="AO10">
        <f t="shared" si="32"/>
        <v>0.19354838709677419</v>
      </c>
      <c r="AP10">
        <f>VLOOKUP($A10,[1]怪物抗性与玩家穿透!$A$2:$E$74,4,0)</f>
        <v>170</v>
      </c>
      <c r="AQ10">
        <f>VLOOKUP($A10,[1]怪物抗性与玩家穿透!$A$2:$E$74,5,0)</f>
        <v>40</v>
      </c>
      <c r="AR10">
        <f>AG10*K10/100/(1-U10)/(1-R10)*(1-(AP10*(1-AN10)/(AP10*(1-AN10)+VLOOKUP(A10,[1]怪物抗性与玩家穿透!$A$2:$I$74,8,0))))*(1-(AQ10*(1-AO10)/(VLOOKUP(A10,[1]怪物抗性与玩家穿透!$A$2:$I$74,9,0)+AQ10*(1-AO10))))</f>
        <v>1201.1987736695773</v>
      </c>
      <c r="AS10">
        <f t="shared" si="27"/>
        <v>550.79019309215732</v>
      </c>
      <c r="AT10">
        <f>佣兵培养!AB6</f>
        <v>77274.350391274726</v>
      </c>
      <c r="AU10">
        <f>佣兵培养!AE6</f>
        <v>2779.4340000000007</v>
      </c>
      <c r="AV10">
        <v>1.1000000000000001</v>
      </c>
      <c r="AW10">
        <v>1.06</v>
      </c>
      <c r="AX10">
        <v>1.1000000000000001</v>
      </c>
      <c r="AY10">
        <f t="shared" si="33"/>
        <v>7137.332284657642</v>
      </c>
      <c r="AZ10">
        <f t="shared" si="28"/>
        <v>204577.98624702753</v>
      </c>
      <c r="BA10">
        <f t="shared" si="29"/>
        <v>420554.43376840209</v>
      </c>
      <c r="BB10">
        <v>24</v>
      </c>
    </row>
    <row r="11" spans="1:54">
      <c r="A11" s="4">
        <v>40</v>
      </c>
      <c r="B11" s="19">
        <v>4970</v>
      </c>
      <c r="C11" s="4">
        <v>320</v>
      </c>
      <c r="D11" s="6">
        <f t="shared" si="30"/>
        <v>5290</v>
      </c>
      <c r="E11" s="6">
        <f>装备属性设计!AB11*AA11</f>
        <v>1232</v>
      </c>
      <c r="F11" s="6">
        <f t="shared" si="0"/>
        <v>2324.52</v>
      </c>
      <c r="G11" s="6">
        <f t="shared" si="10"/>
        <v>0.31866661548669412</v>
      </c>
      <c r="H11" s="4">
        <f>装备属性设计!Q11*AA11</f>
        <v>2814</v>
      </c>
      <c r="I11" s="6">
        <f t="shared" si="1"/>
        <v>4761</v>
      </c>
      <c r="J11" s="6">
        <v>1.6</v>
      </c>
      <c r="K11" s="7">
        <f t="shared" si="11"/>
        <v>7029.6</v>
      </c>
      <c r="L11" s="6">
        <f t="shared" si="2"/>
        <v>1058</v>
      </c>
      <c r="M11" s="4">
        <f>装备属性设计!D11*AA11</f>
        <v>9408</v>
      </c>
      <c r="N11" s="4">
        <f t="shared" si="12"/>
        <v>23986</v>
      </c>
      <c r="O11" s="4">
        <f t="shared" si="3"/>
        <v>0.39222880013341116</v>
      </c>
      <c r="P11" s="17">
        <f>(装备属性设计!I11+装备属性设计!F11)</f>
        <v>994</v>
      </c>
      <c r="Q11" s="6">
        <f t="shared" si="13"/>
        <v>2753.5306666666661</v>
      </c>
      <c r="R11" s="4">
        <f t="shared" si="4"/>
        <v>0.35651190957917689</v>
      </c>
      <c r="S11" s="4">
        <f>装备属性设计!X11*AB11*(1+AI11/100)</f>
        <v>1084.4440000000002</v>
      </c>
      <c r="T11" s="4">
        <f>装备属性设计!V11*AB11</f>
        <v>686.5333333333333</v>
      </c>
      <c r="U11" s="4">
        <f t="shared" si="5"/>
        <v>0.696422404678116</v>
      </c>
      <c r="V11" s="4">
        <f t="shared" si="6"/>
        <v>0.36601859678782755</v>
      </c>
      <c r="W11" s="4">
        <f>(装备属性设计!Z11*战斗力成长!AB11+D11*C$27*0.2)*(1+AJ11/100)</f>
        <v>268.47733333333332</v>
      </c>
      <c r="X11" s="4">
        <f t="shared" si="14"/>
        <v>0.17768455383844275</v>
      </c>
      <c r="Y11" s="10">
        <f t="shared" si="15"/>
        <v>149316.9641096447</v>
      </c>
      <c r="Z11" s="23">
        <f t="shared" si="7"/>
        <v>21.241175046893805</v>
      </c>
      <c r="AA11" s="20">
        <v>1.4</v>
      </c>
      <c r="AB11" s="20">
        <f t="shared" si="16"/>
        <v>1.2666666666666666</v>
      </c>
      <c r="AC11" s="4">
        <f t="shared" si="17"/>
        <v>994</v>
      </c>
      <c r="AD11">
        <f t="shared" si="8"/>
        <v>9.0909090909090912E-2</v>
      </c>
      <c r="AE11">
        <v>4</v>
      </c>
      <c r="AF11">
        <f t="shared" si="18"/>
        <v>20</v>
      </c>
      <c r="AG11">
        <f t="shared" si="19"/>
        <v>8</v>
      </c>
      <c r="AH11">
        <f t="shared" si="20"/>
        <v>16</v>
      </c>
      <c r="AI11">
        <f t="shared" si="21"/>
        <v>14</v>
      </c>
      <c r="AJ11">
        <f t="shared" si="22"/>
        <v>10.666666666666666</v>
      </c>
      <c r="AK11">
        <f t="shared" si="23"/>
        <v>16</v>
      </c>
      <c r="AL11">
        <f t="shared" si="24"/>
        <v>32</v>
      </c>
      <c r="AM11">
        <f t="shared" si="25"/>
        <v>28</v>
      </c>
      <c r="AN11">
        <f t="shared" si="31"/>
        <v>0.24242424242424243</v>
      </c>
      <c r="AO11">
        <f t="shared" si="32"/>
        <v>0.24242424242424243</v>
      </c>
      <c r="AP11">
        <f>VLOOKUP($A11,[1]怪物抗性与玩家穿透!$A$2:$E$74,4,0)</f>
        <v>320</v>
      </c>
      <c r="AQ11">
        <f>VLOOKUP($A11,[1]怪物抗性与玩家穿透!$A$2:$E$74,5,0)</f>
        <v>90</v>
      </c>
      <c r="AR11">
        <f>AG11*K11/100/(1-U11)/(1-R11)*(1-(AP11*(1-AN11)/(AP11*(1-AN11)+VLOOKUP(A11,[1]怪物抗性与玩家穿透!$A$2:$I$74,8,0))))*(1-(AQ11*(1-AO11)/(VLOOKUP(A11,[1]怪物抗性与玩家穿透!$A$2:$I$74,9,0)+AQ11*(1-AO11))))</f>
        <v>2655.6717863322315</v>
      </c>
      <c r="AS11">
        <f t="shared" si="27"/>
        <v>1194.5357128771577</v>
      </c>
      <c r="AT11">
        <f>佣兵培养!AB7</f>
        <v>128760.46600692799</v>
      </c>
      <c r="AU11">
        <f>佣兵培养!AE7</f>
        <v>3885.2451000000005</v>
      </c>
      <c r="AV11">
        <v>1.1000000000000001</v>
      </c>
      <c r="AW11">
        <v>1.06</v>
      </c>
      <c r="AX11">
        <v>1.1100000000000001</v>
      </c>
      <c r="AY11">
        <f t="shared" si="33"/>
        <v>10111.16848573117</v>
      </c>
      <c r="AZ11">
        <f t="shared" si="28"/>
        <v>339532.54217233532</v>
      </c>
      <c r="BA11">
        <f t="shared" si="29"/>
        <v>705388.67417585698</v>
      </c>
      <c r="BB11">
        <v>26</v>
      </c>
    </row>
    <row r="12" spans="1:54">
      <c r="A12" s="4">
        <v>45</v>
      </c>
      <c r="B12" s="19">
        <v>6260</v>
      </c>
      <c r="C12" s="4">
        <v>355</v>
      </c>
      <c r="D12" s="6">
        <f t="shared" si="30"/>
        <v>6615</v>
      </c>
      <c r="E12" s="6">
        <f>装备属性设计!AB12*AA12</f>
        <v>1757</v>
      </c>
      <c r="F12" s="6">
        <f t="shared" si="0"/>
        <v>3192.42</v>
      </c>
      <c r="G12" s="6">
        <f t="shared" si="10"/>
        <v>0.3377357332831169</v>
      </c>
      <c r="H12" s="4">
        <f>装备属性设计!Q12*AA12</f>
        <v>3588.2</v>
      </c>
      <c r="I12" s="6">
        <f t="shared" si="1"/>
        <v>5953.5</v>
      </c>
      <c r="J12" s="6">
        <v>1.65</v>
      </c>
      <c r="K12" s="7">
        <f t="shared" si="11"/>
        <v>9131.4068999999981</v>
      </c>
      <c r="L12" s="6">
        <f t="shared" si="2"/>
        <v>1323</v>
      </c>
      <c r="M12" s="4">
        <f>装备属性设计!D12*AA12</f>
        <v>12376</v>
      </c>
      <c r="N12" s="4">
        <f t="shared" si="12"/>
        <v>30727</v>
      </c>
      <c r="O12" s="4">
        <f t="shared" si="3"/>
        <v>0.40277280567579005</v>
      </c>
      <c r="P12" s="17">
        <f>(装备属性设计!I12+装备属性设计!F12)</f>
        <v>1256</v>
      </c>
      <c r="Q12" s="6">
        <f t="shared" si="13"/>
        <v>3686.5573333333332</v>
      </c>
      <c r="R12" s="4">
        <f t="shared" si="4"/>
        <v>0.37063651369894413</v>
      </c>
      <c r="S12" s="4">
        <f>装备属性设计!X12*AB12*(1+AI12/100)</f>
        <v>1084.4440000000002</v>
      </c>
      <c r="T12" s="4">
        <f>装备属性设计!V12*AB12</f>
        <v>951.26666666666665</v>
      </c>
      <c r="U12" s="4">
        <f t="shared" si="5"/>
        <v>0.7091958836298019</v>
      </c>
      <c r="V12" s="4">
        <f t="shared" si="6"/>
        <v>0.4067986038274386</v>
      </c>
      <c r="W12" s="4">
        <f>(装备属性设计!Z12*战斗力成长!AB12+D12*C$27*0.2)*(1+AJ12/100)</f>
        <v>338.45555555555558</v>
      </c>
      <c r="X12" s="4">
        <f t="shared" si="14"/>
        <v>0.17781111545668404</v>
      </c>
      <c r="Y12" s="10">
        <f t="shared" si="15"/>
        <v>204195.64090314438</v>
      </c>
      <c r="Z12" s="23">
        <f t="shared" si="7"/>
        <v>22.361903607991056</v>
      </c>
      <c r="AA12" s="20">
        <v>1.4</v>
      </c>
      <c r="AB12" s="20">
        <f t="shared" si="16"/>
        <v>1.2666666666666666</v>
      </c>
      <c r="AC12" s="4">
        <f t="shared" si="17"/>
        <v>1252</v>
      </c>
      <c r="AD12">
        <f t="shared" si="8"/>
        <v>9.0909090909090912E-2</v>
      </c>
      <c r="AE12">
        <v>4</v>
      </c>
      <c r="AF12">
        <f t="shared" si="18"/>
        <v>20</v>
      </c>
      <c r="AG12">
        <f t="shared" si="19"/>
        <v>8</v>
      </c>
      <c r="AH12">
        <f t="shared" si="20"/>
        <v>16</v>
      </c>
      <c r="AI12">
        <f t="shared" si="21"/>
        <v>14</v>
      </c>
      <c r="AJ12">
        <f t="shared" si="22"/>
        <v>10.666666666666666</v>
      </c>
      <c r="AK12">
        <f t="shared" si="23"/>
        <v>16</v>
      </c>
      <c r="AL12">
        <f t="shared" si="24"/>
        <v>32</v>
      </c>
      <c r="AM12">
        <f t="shared" si="25"/>
        <v>28</v>
      </c>
      <c r="AN12">
        <f t="shared" si="31"/>
        <v>0.24242424242424243</v>
      </c>
      <c r="AO12">
        <f t="shared" si="32"/>
        <v>0.24242424242424243</v>
      </c>
      <c r="AP12">
        <f>VLOOKUP($A12,[1]怪物抗性与玩家穿透!$A$2:$E$74,4,0)</f>
        <v>470</v>
      </c>
      <c r="AQ12">
        <f>VLOOKUP($A12,[1]怪物抗性与玩家穿透!$A$2:$E$74,5,0)</f>
        <v>140</v>
      </c>
      <c r="AR12">
        <f>AG12*K12/100/(1-U12)/(1-R12)*(1-(AP12*(1-AN12)/(AP12*(1-AN12)+VLOOKUP(A12,[1]怪物抗性与玩家穿透!$A$2:$I$74,8,0))))*(1-(AQ12*(1-AO12)/(VLOOKUP(A12,[1]怪物抗性与玩家穿透!$A$2:$I$74,9,0)+AQ12*(1-AO12))))</f>
        <v>3608.8716868846941</v>
      </c>
      <c r="AS12">
        <f t="shared" si="27"/>
        <v>1633.565127225155</v>
      </c>
      <c r="AT12">
        <f>佣兵培养!AB8</f>
        <v>197466.89230332003</v>
      </c>
      <c r="AU12">
        <f>佣兵培养!AE8</f>
        <v>5259.5284500000007</v>
      </c>
      <c r="AV12">
        <v>1.1000000000000001</v>
      </c>
      <c r="AW12">
        <v>1.06</v>
      </c>
      <c r="AX12">
        <v>1.1200000000000001</v>
      </c>
      <c r="AY12">
        <f t="shared" si="33"/>
        <v>13645.207480913814</v>
      </c>
      <c r="AZ12">
        <f t="shared" si="28"/>
        <v>494848.24091036414</v>
      </c>
      <c r="BA12">
        <f t="shared" si="29"/>
        <v>1079288.3450891182</v>
      </c>
      <c r="BB12">
        <v>28</v>
      </c>
    </row>
    <row r="13" spans="1:54">
      <c r="A13" s="4">
        <v>50</v>
      </c>
      <c r="B13" s="19">
        <v>7700</v>
      </c>
      <c r="C13" s="4">
        <v>390</v>
      </c>
      <c r="D13" s="6">
        <f t="shared" si="30"/>
        <v>8090</v>
      </c>
      <c r="E13" s="6">
        <f>装备属性设计!AB13*AA13</f>
        <v>2589</v>
      </c>
      <c r="F13" s="6">
        <f t="shared" si="0"/>
        <v>4757.2</v>
      </c>
      <c r="G13" s="6">
        <f t="shared" si="10"/>
        <v>0.38188356934142498</v>
      </c>
      <c r="H13" s="4">
        <f>装备属性设计!Q13*AA13</f>
        <v>4936.5</v>
      </c>
      <c r="I13" s="6">
        <f t="shared" si="1"/>
        <v>7281</v>
      </c>
      <c r="J13" s="6">
        <v>1.7</v>
      </c>
      <c r="K13" s="7">
        <f t="shared" si="11"/>
        <v>12461.85</v>
      </c>
      <c r="L13" s="6">
        <f t="shared" si="2"/>
        <v>1618</v>
      </c>
      <c r="M13" s="4">
        <f>装备属性设计!D13*AA13</f>
        <v>17340</v>
      </c>
      <c r="N13" s="4">
        <f t="shared" si="12"/>
        <v>41900</v>
      </c>
      <c r="O13" s="4">
        <f t="shared" si="3"/>
        <v>0.41384248210023866</v>
      </c>
      <c r="P13" s="17">
        <f>(装备属性设计!I13+装备属性设计!F13)</f>
        <v>1560</v>
      </c>
      <c r="Q13" s="6">
        <f t="shared" si="13"/>
        <v>4737.5999999999995</v>
      </c>
      <c r="R13" s="4">
        <f t="shared" si="4"/>
        <v>0.38090950022512382</v>
      </c>
      <c r="S13" s="4">
        <f>装备属性设计!X13*AB13*(1+AI13/100)</f>
        <v>1566.6666666666667</v>
      </c>
      <c r="T13" s="4">
        <f>装备属性设计!V13*AB13</f>
        <v>1333.3333333333333</v>
      </c>
      <c r="U13" s="4">
        <f t="shared" si="5"/>
        <v>0.74032895060649317</v>
      </c>
      <c r="V13" s="4">
        <f t="shared" si="6"/>
        <v>0.45200573065902577</v>
      </c>
      <c r="W13" s="4">
        <f>(装备属性设计!Z13*战斗力成长!AB13+D13*C$27*0.2)*(1+AJ13/100)</f>
        <v>443.28444444444443</v>
      </c>
      <c r="X13" s="4">
        <f t="shared" si="14"/>
        <v>0.18717533929858274</v>
      </c>
      <c r="Y13" s="10">
        <f t="shared" si="15"/>
        <v>320656.07988840103</v>
      </c>
      <c r="Z13" s="23">
        <f t="shared" si="7"/>
        <v>25.731017456348859</v>
      </c>
      <c r="AA13" s="20">
        <v>1.5</v>
      </c>
      <c r="AB13" s="20">
        <f t="shared" si="16"/>
        <v>1.3333333333333333</v>
      </c>
      <c r="AC13" s="4">
        <f t="shared" si="17"/>
        <v>1540</v>
      </c>
      <c r="AD13">
        <f t="shared" si="8"/>
        <v>9.0909090909090912E-2</v>
      </c>
      <c r="AE13">
        <v>5</v>
      </c>
      <c r="AF13">
        <f t="shared" si="18"/>
        <v>25</v>
      </c>
      <c r="AG13">
        <f t="shared" si="19"/>
        <v>10</v>
      </c>
      <c r="AH13">
        <f t="shared" si="20"/>
        <v>20</v>
      </c>
      <c r="AI13">
        <f t="shared" si="21"/>
        <v>17.5</v>
      </c>
      <c r="AJ13">
        <f t="shared" si="22"/>
        <v>13.333333333333334</v>
      </c>
      <c r="AK13">
        <f t="shared" si="23"/>
        <v>20</v>
      </c>
      <c r="AL13">
        <f t="shared" si="24"/>
        <v>40</v>
      </c>
      <c r="AM13">
        <f t="shared" si="25"/>
        <v>35</v>
      </c>
      <c r="AN13">
        <f t="shared" si="31"/>
        <v>0.2857142857142857</v>
      </c>
      <c r="AO13">
        <f t="shared" si="32"/>
        <v>0.2857142857142857</v>
      </c>
      <c r="AP13">
        <f>VLOOKUP($A13,[1]怪物抗性与玩家穿透!$A$2:$E$74,4,0)</f>
        <v>2500</v>
      </c>
      <c r="AQ13">
        <f>VLOOKUP($A13,[1]怪物抗性与玩家穿透!$A$2:$E$74,5,0)</f>
        <v>750</v>
      </c>
      <c r="AR13">
        <f>AG13*K13/100/(1-U13)/(1-R13)*(1-(AP13*(1-AN13)/(AP13*(1-AN13)+VLOOKUP(A13,[1]怪物抗性与玩家穿透!$A$2:$I$74,8,0))))*(1-(AQ13*(1-AO13)/(VLOOKUP(A13,[1]怪物抗性与玩家穿透!$A$2:$I$74,9,0)+AQ13*(1-AO13))))</f>
        <v>5194.3314301031196</v>
      </c>
      <c r="AS13">
        <f t="shared" si="27"/>
        <v>3206.5607988840102</v>
      </c>
      <c r="AT13">
        <f>佣兵培养!AB9</f>
        <v>297398.47790277033</v>
      </c>
      <c r="AU13">
        <f>佣兵培养!AE9</f>
        <v>7187.7375899999988</v>
      </c>
      <c r="AV13">
        <v>1.1200000000000001</v>
      </c>
      <c r="AW13">
        <v>1.06</v>
      </c>
      <c r="AX13">
        <v>1.1299999999999999</v>
      </c>
      <c r="AY13">
        <f t="shared" si="33"/>
        <v>18282.39390669185</v>
      </c>
      <c r="AZ13">
        <f t="shared" si="28"/>
        <v>782209.84834050643</v>
      </c>
      <c r="BA13">
        <f t="shared" si="29"/>
        <v>1684512.1782462853</v>
      </c>
      <c r="BB13">
        <v>30</v>
      </c>
    </row>
    <row r="14" spans="1:54">
      <c r="A14" s="4">
        <v>55</v>
      </c>
      <c r="B14" s="19">
        <v>9290</v>
      </c>
      <c r="C14" s="4">
        <v>425</v>
      </c>
      <c r="D14" s="6">
        <f t="shared" si="30"/>
        <v>9715</v>
      </c>
      <c r="E14" s="6">
        <f>装备属性设计!AB14*AA14</f>
        <v>2589</v>
      </c>
      <c r="F14" s="6">
        <f t="shared" si="0"/>
        <v>5269.54</v>
      </c>
      <c r="G14" s="6">
        <f t="shared" si="10"/>
        <v>0.36193039065794658</v>
      </c>
      <c r="H14" s="4">
        <f>装备属性设计!Q14*AA14</f>
        <v>6342</v>
      </c>
      <c r="I14" s="6">
        <f t="shared" si="1"/>
        <v>8743.5</v>
      </c>
      <c r="J14" s="6">
        <v>1.75</v>
      </c>
      <c r="K14" s="7">
        <f t="shared" si="11"/>
        <v>16367.7675</v>
      </c>
      <c r="L14" s="6">
        <f t="shared" si="2"/>
        <v>1943</v>
      </c>
      <c r="M14" s="4">
        <f>装备属性设计!D14*AA14</f>
        <v>20880</v>
      </c>
      <c r="N14" s="4">
        <f t="shared" si="12"/>
        <v>52403</v>
      </c>
      <c r="O14" s="4">
        <f t="shared" si="3"/>
        <v>0.39845047039291642</v>
      </c>
      <c r="P14" s="17">
        <f>(装备属性设计!I14+装备属性设计!F14)</f>
        <v>2306</v>
      </c>
      <c r="Q14" s="6">
        <f t="shared" si="13"/>
        <v>7087.84</v>
      </c>
      <c r="R14" s="4">
        <f t="shared" si="4"/>
        <v>0.43277013330207159</v>
      </c>
      <c r="S14" s="4">
        <f>装备属性设计!X14*AB14*(1+AI14/100)</f>
        <v>2082.813333333333</v>
      </c>
      <c r="T14" s="4">
        <f>装备属性设计!V14*AB14</f>
        <v>1721.3333333333333</v>
      </c>
      <c r="U14" s="4">
        <f t="shared" si="5"/>
        <v>0.76541364974191317</v>
      </c>
      <c r="V14" s="4">
        <f t="shared" si="6"/>
        <v>0.48626995290807901</v>
      </c>
      <c r="W14" s="4">
        <f>(装备属性设计!Z14*战斗力成长!AB14+D14*C$27*0.2)*(1+AJ14/100)</f>
        <v>559.46799999999996</v>
      </c>
      <c r="X14" s="4">
        <f t="shared" si="14"/>
        <v>0.19412706872525995</v>
      </c>
      <c r="Y14" s="10">
        <f t="shared" si="15"/>
        <v>488683.58777498192</v>
      </c>
      <c r="Z14" s="23">
        <f t="shared" si="7"/>
        <v>29.856459518684019</v>
      </c>
      <c r="AA14" s="20">
        <v>1.5</v>
      </c>
      <c r="AB14" s="20">
        <f t="shared" si="16"/>
        <v>1.3333333333333333</v>
      </c>
      <c r="AC14" s="4">
        <f t="shared" si="17"/>
        <v>1858</v>
      </c>
      <c r="AD14">
        <f t="shared" si="8"/>
        <v>9.0909090909090912E-2</v>
      </c>
      <c r="AE14">
        <v>6</v>
      </c>
      <c r="AF14">
        <f t="shared" si="18"/>
        <v>30</v>
      </c>
      <c r="AG14">
        <f t="shared" si="19"/>
        <v>12</v>
      </c>
      <c r="AH14">
        <f t="shared" si="20"/>
        <v>24</v>
      </c>
      <c r="AI14">
        <f t="shared" si="21"/>
        <v>21</v>
      </c>
      <c r="AJ14">
        <f t="shared" si="22"/>
        <v>16</v>
      </c>
      <c r="AK14">
        <f t="shared" si="23"/>
        <v>24</v>
      </c>
      <c r="AL14">
        <f t="shared" si="24"/>
        <v>48</v>
      </c>
      <c r="AM14">
        <f t="shared" si="25"/>
        <v>42</v>
      </c>
      <c r="AN14">
        <f t="shared" si="31"/>
        <v>0.32432432432432434</v>
      </c>
      <c r="AO14">
        <f t="shared" si="32"/>
        <v>0.32432432432432434</v>
      </c>
      <c r="AP14">
        <f>VLOOKUP($A14,[1]怪物抗性与玩家穿透!$A$2:$E$74,4,0)</f>
        <v>5000</v>
      </c>
      <c r="AQ14">
        <f>VLOOKUP($A14,[1]怪物抗性与玩家穿透!$A$2:$E$74,5,0)</f>
        <v>1500</v>
      </c>
      <c r="AR14">
        <f>AG14*K14/100/(1-U14)/(1-R14)*(1-(AP14*(1-AN14)/(AP14*(1-AN14)+VLOOKUP(A14,[1]怪物抗性与玩家穿透!$A$2:$I$74,8,0))))*(1-(AQ14*(1-AO14)/(VLOOKUP(A14,[1]怪物抗性与玩家穿透!$A$2:$I$74,9,0)+AQ14*(1-AO14))))</f>
        <v>7936.152996291913</v>
      </c>
      <c r="AS14">
        <f t="shared" si="27"/>
        <v>5864.2030532997824</v>
      </c>
      <c r="AT14">
        <f>佣兵培养!AB10</f>
        <v>441587.36231792445</v>
      </c>
      <c r="AU14">
        <f>佣兵培养!AE10</f>
        <v>9525.0209400000003</v>
      </c>
      <c r="AV14">
        <v>1.1399999999999999</v>
      </c>
      <c r="AW14">
        <v>1.07</v>
      </c>
      <c r="AX14">
        <v>1.1399999999999999</v>
      </c>
      <c r="AY14">
        <f t="shared" si="33"/>
        <v>23919.186821312709</v>
      </c>
      <c r="AZ14">
        <f t="shared" si="28"/>
        <v>1208980.1267407408</v>
      </c>
      <c r="BA14">
        <f t="shared" si="29"/>
        <v>2548117.5842835214</v>
      </c>
      <c r="BB14">
        <v>31</v>
      </c>
    </row>
    <row r="15" spans="1:54">
      <c r="A15" s="4">
        <v>60</v>
      </c>
      <c r="B15" s="19">
        <v>11030</v>
      </c>
      <c r="C15" s="4">
        <v>460</v>
      </c>
      <c r="D15" s="6">
        <f t="shared" si="30"/>
        <v>11490</v>
      </c>
      <c r="E15" s="6">
        <f>装备属性设计!AB15*AA15</f>
        <v>3795</v>
      </c>
      <c r="F15" s="6">
        <f t="shared" si="0"/>
        <v>7712.64</v>
      </c>
      <c r="G15" s="6">
        <f t="shared" si="10"/>
        <v>0.41150232838063372</v>
      </c>
      <c r="H15" s="4">
        <f>装备属性设计!Q15*AA15</f>
        <v>9934.65</v>
      </c>
      <c r="I15" s="6">
        <f t="shared" si="1"/>
        <v>10341</v>
      </c>
      <c r="J15" s="6">
        <v>1.8</v>
      </c>
      <c r="K15" s="7">
        <f t="shared" si="11"/>
        <v>23357.548800000004</v>
      </c>
      <c r="L15" s="6">
        <f t="shared" si="2"/>
        <v>2298</v>
      </c>
      <c r="M15" s="4">
        <f>装备属性设计!D15*AA15</f>
        <v>22968</v>
      </c>
      <c r="N15" s="4">
        <f t="shared" si="12"/>
        <v>62030</v>
      </c>
      <c r="O15" s="4">
        <f t="shared" si="3"/>
        <v>0.37027244881508947</v>
      </c>
      <c r="P15" s="17">
        <f>(装备属性设计!I15+装备属性设计!F15)</f>
        <v>2754</v>
      </c>
      <c r="Q15" s="6">
        <f t="shared" si="13"/>
        <v>9666.858666666667</v>
      </c>
      <c r="R15" s="4">
        <f t="shared" si="4"/>
        <v>0.4670688833680654</v>
      </c>
      <c r="S15" s="4">
        <f>装备属性设计!X15*AB15*(1+AI15/100)</f>
        <v>2905.1660000000002</v>
      </c>
      <c r="T15" s="4">
        <f>装备属性设计!V15*AB15</f>
        <v>2333.4666666666667</v>
      </c>
      <c r="U15" s="4">
        <f t="shared" si="5"/>
        <v>0.79020780845161254</v>
      </c>
      <c r="V15" s="4">
        <f t="shared" si="6"/>
        <v>0.52979022991459135</v>
      </c>
      <c r="W15" s="4">
        <f>(装备属性设计!Z15*战斗力成长!AB15+D15*C$27*0.2)*(1+AJ15/100)</f>
        <v>733.63688888888896</v>
      </c>
      <c r="X15" s="4">
        <f t="shared" si="14"/>
        <v>0.21014268767970906</v>
      </c>
      <c r="Y15" s="10">
        <f t="shared" si="15"/>
        <v>702413.32207842183</v>
      </c>
      <c r="Z15" s="23">
        <f t="shared" si="7"/>
        <v>30.072218968388572</v>
      </c>
      <c r="AA15" s="20">
        <v>1.65</v>
      </c>
      <c r="AB15" s="20">
        <f t="shared" si="16"/>
        <v>1.4333333333333333</v>
      </c>
      <c r="AC15" s="4">
        <f t="shared" si="17"/>
        <v>2206</v>
      </c>
      <c r="AD15">
        <f t="shared" si="8"/>
        <v>9.0909090909090912E-2</v>
      </c>
      <c r="AE15">
        <v>7</v>
      </c>
      <c r="AF15">
        <f t="shared" si="18"/>
        <v>35</v>
      </c>
      <c r="AG15">
        <f t="shared" si="19"/>
        <v>14</v>
      </c>
      <c r="AH15">
        <f t="shared" si="20"/>
        <v>28</v>
      </c>
      <c r="AI15">
        <f t="shared" si="21"/>
        <v>24.5</v>
      </c>
      <c r="AJ15">
        <f t="shared" si="22"/>
        <v>18.666666666666668</v>
      </c>
      <c r="AK15">
        <f t="shared" si="23"/>
        <v>28</v>
      </c>
      <c r="AL15">
        <f t="shared" si="24"/>
        <v>56</v>
      </c>
      <c r="AM15">
        <f t="shared" si="25"/>
        <v>49</v>
      </c>
      <c r="AN15">
        <f t="shared" si="31"/>
        <v>0.35897435897435898</v>
      </c>
      <c r="AO15">
        <f t="shared" si="32"/>
        <v>0.35897435897435898</v>
      </c>
      <c r="AP15">
        <f>VLOOKUP($A15,[1]怪物抗性与玩家穿透!$A$2:$E$74,4,0)</f>
        <v>7500</v>
      </c>
      <c r="AQ15">
        <f>VLOOKUP($A15,[1]怪物抗性与玩家穿透!$A$2:$E$74,5,0)</f>
        <v>2250</v>
      </c>
      <c r="AR15">
        <f>AG15*K15/100/(1-U15)/(1-R15)*(1-(AP15*(1-AN15)/(AP15*(1-AN15)+VLOOKUP(A15,[1]怪物抗性与玩家穿透!$A$2:$I$74,8,0))))*(1-(AQ15*(1-AO15)/(VLOOKUP(A15,[1]怪物抗性与玩家穿透!$A$2:$I$74,9,0)+AQ15*(1-AO15))))</f>
        <v>13808.569369504319</v>
      </c>
      <c r="AS15">
        <f t="shared" si="27"/>
        <v>9833.7865090979067</v>
      </c>
      <c r="AT15">
        <f>佣兵培养!AB11</f>
        <v>623569.15381421067</v>
      </c>
      <c r="AU15">
        <f>佣兵培养!AE11</f>
        <v>11995.647840000001</v>
      </c>
      <c r="AV15">
        <v>1.1599999999999999</v>
      </c>
      <c r="AW15">
        <v>1.08</v>
      </c>
      <c r="AX15">
        <v>1.1499999999999999</v>
      </c>
      <c r="AY15">
        <f t="shared" si="33"/>
        <v>32701.485736534771</v>
      </c>
      <c r="AZ15">
        <f t="shared" si="28"/>
        <v>1768860.6228407715</v>
      </c>
      <c r="BA15">
        <f t="shared" si="29"/>
        <v>3954868.2710033492</v>
      </c>
      <c r="BB15">
        <v>32</v>
      </c>
    </row>
    <row r="16" spans="1:54">
      <c r="A16" s="4">
        <v>65</v>
      </c>
      <c r="B16" s="19">
        <v>12920</v>
      </c>
      <c r="C16" s="4">
        <v>495</v>
      </c>
      <c r="D16" s="6">
        <f t="shared" si="30"/>
        <v>13415</v>
      </c>
      <c r="E16" s="6">
        <f>装备属性设计!AB16*AA16</f>
        <v>6991.2</v>
      </c>
      <c r="F16" s="6">
        <f t="shared" si="0"/>
        <v>13665.628000000002</v>
      </c>
      <c r="G16" s="6">
        <f t="shared" si="10"/>
        <v>0.51402314062319687</v>
      </c>
      <c r="H16" s="4">
        <f>装备属性设计!Q16*AA16</f>
        <v>14146.2</v>
      </c>
      <c r="I16" s="6">
        <f t="shared" si="1"/>
        <v>12073.5</v>
      </c>
      <c r="J16" s="6">
        <v>1.9</v>
      </c>
      <c r="K16" s="7">
        <f t="shared" si="11"/>
        <v>32879.503799999999</v>
      </c>
      <c r="L16" s="6">
        <f t="shared" si="2"/>
        <v>2683</v>
      </c>
      <c r="M16" s="4">
        <f>装备属性设计!D16*AA16</f>
        <v>30420</v>
      </c>
      <c r="N16" s="4">
        <f t="shared" si="12"/>
        <v>80150</v>
      </c>
      <c r="O16" s="4">
        <f t="shared" si="3"/>
        <v>0.37953836556456644</v>
      </c>
      <c r="P16" s="17">
        <f>(装备属性设计!I16+装备属性设计!F16)</f>
        <v>3256</v>
      </c>
      <c r="Q16" s="6">
        <f t="shared" si="13"/>
        <v>12637.856</v>
      </c>
      <c r="R16" s="4">
        <f t="shared" si="4"/>
        <v>0.49448028817440709</v>
      </c>
      <c r="S16" s="4">
        <f>装备属性设计!X16*AB16*(1+AI16/100)</f>
        <v>3954.7733333333331</v>
      </c>
      <c r="T16" s="4">
        <f>装备属性设计!V16*AB16</f>
        <v>3089.6666666666665</v>
      </c>
      <c r="U16" s="4">
        <f t="shared" si="5"/>
        <v>0.81204606276370506</v>
      </c>
      <c r="V16" s="4">
        <f t="shared" si="6"/>
        <v>0.57040572792362765</v>
      </c>
      <c r="W16" s="4">
        <f>(装备属性设计!Z16*战斗力成长!AB16+D16*C$27*0.2)*(1+AJ16/100)</f>
        <v>980.4137777777778</v>
      </c>
      <c r="X16" s="4">
        <f t="shared" si="14"/>
        <v>0.23285449590544335</v>
      </c>
      <c r="Y16" s="10">
        <f t="shared" si="15"/>
        <v>1099603.8709821678</v>
      </c>
      <c r="Z16" s="23">
        <f t="shared" si="7"/>
        <v>33.443444818110905</v>
      </c>
      <c r="AA16" s="20">
        <v>1.8</v>
      </c>
      <c r="AB16" s="20">
        <f t="shared" si="16"/>
        <v>1.5333333333333332</v>
      </c>
      <c r="AC16" s="4">
        <f t="shared" si="17"/>
        <v>2584</v>
      </c>
      <c r="AD16">
        <f t="shared" si="8"/>
        <v>9.0909090909090912E-2</v>
      </c>
      <c r="AE16">
        <v>8</v>
      </c>
      <c r="AF16">
        <f t="shared" si="18"/>
        <v>40</v>
      </c>
      <c r="AG16">
        <f t="shared" si="19"/>
        <v>16</v>
      </c>
      <c r="AH16">
        <f t="shared" si="20"/>
        <v>32</v>
      </c>
      <c r="AI16">
        <f t="shared" si="21"/>
        <v>28</v>
      </c>
      <c r="AJ16">
        <f t="shared" si="22"/>
        <v>21.333333333333332</v>
      </c>
      <c r="AK16">
        <f t="shared" si="23"/>
        <v>32</v>
      </c>
      <c r="AL16">
        <f t="shared" si="24"/>
        <v>64</v>
      </c>
      <c r="AM16">
        <f t="shared" si="25"/>
        <v>56</v>
      </c>
      <c r="AN16">
        <f t="shared" si="31"/>
        <v>0.3902439024390244</v>
      </c>
      <c r="AO16">
        <f t="shared" si="32"/>
        <v>0.3902439024390244</v>
      </c>
      <c r="AP16">
        <f>VLOOKUP($A16,[1]怪物抗性与玩家穿透!$A$2:$E$74,4,0)</f>
        <v>10000</v>
      </c>
      <c r="AQ16">
        <f>VLOOKUP($A16,[1]怪物抗性与玩家穿透!$A$2:$E$74,5,0)</f>
        <v>3000</v>
      </c>
      <c r="AR16">
        <f>AG16*K16/100/(1-U16)/(1-R16)*(1-(AP16*(1-AN16)/(AP16*(1-AN16)+VLOOKUP(A16,[1]怪物抗性与玩家穿透!$A$2:$I$74,8,0))))*(1-(AQ16*(1-AO16)/(VLOOKUP(A16,[1]怪物抗性与玩家穿透!$A$2:$I$74,9,0)+AQ16*(1-AO16))))</f>
        <v>24164.218045011221</v>
      </c>
      <c r="AS16">
        <f t="shared" si="27"/>
        <v>17593.661935714685</v>
      </c>
      <c r="AT16">
        <f>佣兵培养!AB12</f>
        <v>847048.44697208994</v>
      </c>
      <c r="AU16">
        <f>佣兵培养!AE12</f>
        <v>15317.716049999999</v>
      </c>
      <c r="AV16">
        <v>1.18</v>
      </c>
      <c r="AW16">
        <v>1.0900000000000001</v>
      </c>
      <c r="AX16">
        <v>1.1599999999999999</v>
      </c>
      <c r="AY16">
        <f t="shared" si="33"/>
        <v>43745.688984213644</v>
      </c>
      <c r="AZ16">
        <f t="shared" si="28"/>
        <v>2664577.6928157876</v>
      </c>
      <c r="BA16">
        <f t="shared" si="29"/>
        <v>6064728.8722388763</v>
      </c>
      <c r="BB16">
        <v>33</v>
      </c>
    </row>
    <row r="17" spans="1:54">
      <c r="A17" s="4">
        <v>70</v>
      </c>
      <c r="B17" s="19">
        <v>14960</v>
      </c>
      <c r="C17" s="4">
        <v>530</v>
      </c>
      <c r="D17" s="6">
        <f t="shared" si="30"/>
        <v>15490</v>
      </c>
      <c r="E17" s="6">
        <f>装备属性设计!AB17*AA17</f>
        <v>8168.55</v>
      </c>
      <c r="F17" s="6">
        <f t="shared" si="0"/>
        <v>16714.185999999998</v>
      </c>
      <c r="G17" s="6">
        <f t="shared" si="10"/>
        <v>0.52769109836003358</v>
      </c>
      <c r="H17" s="4">
        <f>装备属性设计!Q17*AA17</f>
        <v>19125.599999999999</v>
      </c>
      <c r="I17" s="6">
        <f t="shared" si="1"/>
        <v>13941</v>
      </c>
      <c r="J17" s="6">
        <v>2</v>
      </c>
      <c r="K17" s="7">
        <f t="shared" si="11"/>
        <v>44970.575999999994</v>
      </c>
      <c r="L17" s="6">
        <f t="shared" si="2"/>
        <v>3098</v>
      </c>
      <c r="M17" s="4">
        <f>装备属性设计!D17*AA17</f>
        <v>37440</v>
      </c>
      <c r="N17" s="4">
        <f t="shared" si="12"/>
        <v>99209</v>
      </c>
      <c r="O17" s="4">
        <f t="shared" si="3"/>
        <v>0.37738511626969329</v>
      </c>
      <c r="P17" s="17">
        <f>(装备属性设计!I17+装备属性设计!F17)</f>
        <v>3688</v>
      </c>
      <c r="Q17" s="6">
        <f t="shared" si="13"/>
        <v>16015.813333333334</v>
      </c>
      <c r="R17" s="4">
        <f t="shared" si="4"/>
        <v>0.5170425441613371</v>
      </c>
      <c r="S17" s="4">
        <f>装备属性设计!X17*AB17*(1+AI17/100)</f>
        <v>4845.5119999999997</v>
      </c>
      <c r="T17" s="4">
        <f>装备属性设计!V17*AB17</f>
        <v>3684.7999999999997</v>
      </c>
      <c r="U17" s="4">
        <f t="shared" si="5"/>
        <v>0.82781301871328128</v>
      </c>
      <c r="V17" s="4">
        <f t="shared" si="6"/>
        <v>0.59339350345901865</v>
      </c>
      <c r="W17" s="4">
        <f>(装备属性设计!Z17*战斗力成长!AB17+D17*C$27*0.2)*(1+AJ17/100)</f>
        <v>1279.3493333333333</v>
      </c>
      <c r="X17" s="4">
        <f t="shared" si="14"/>
        <v>0.25488350150032724</v>
      </c>
      <c r="Y17" s="10">
        <f t="shared" si="15"/>
        <v>1601097.2260419021</v>
      </c>
      <c r="Z17" s="23">
        <f t="shared" si="7"/>
        <v>35.603218114037553</v>
      </c>
      <c r="AA17" s="20">
        <v>1.95</v>
      </c>
      <c r="AB17" s="20">
        <f t="shared" si="16"/>
        <v>1.6333333333333333</v>
      </c>
      <c r="AC17" s="4">
        <f t="shared" si="17"/>
        <v>2992</v>
      </c>
      <c r="AD17">
        <f t="shared" si="8"/>
        <v>9.0909090909090912E-2</v>
      </c>
      <c r="AE17">
        <v>9</v>
      </c>
      <c r="AF17">
        <f t="shared" si="18"/>
        <v>45</v>
      </c>
      <c r="AG17">
        <f t="shared" si="19"/>
        <v>18</v>
      </c>
      <c r="AH17">
        <f t="shared" si="20"/>
        <v>36</v>
      </c>
      <c r="AI17">
        <f t="shared" si="21"/>
        <v>31.5</v>
      </c>
      <c r="AJ17">
        <f t="shared" si="22"/>
        <v>24</v>
      </c>
      <c r="AK17">
        <f t="shared" si="23"/>
        <v>36</v>
      </c>
      <c r="AL17">
        <f t="shared" si="24"/>
        <v>72</v>
      </c>
      <c r="AM17">
        <f t="shared" si="25"/>
        <v>63</v>
      </c>
      <c r="AN17">
        <f t="shared" si="31"/>
        <v>0.41860465116279072</v>
      </c>
      <c r="AO17">
        <f t="shared" si="32"/>
        <v>0.41860465116279072</v>
      </c>
      <c r="AP17">
        <f>VLOOKUP($A17,[1]怪物抗性与玩家穿透!$A$2:$E$74,4,0)</f>
        <v>12500</v>
      </c>
      <c r="AQ17">
        <f>VLOOKUP($A17,[1]怪物抗性与玩家穿透!$A$2:$E$74,5,0)</f>
        <v>3750</v>
      </c>
      <c r="AR17">
        <f>AG17*K17/100/(1-U17)/(1-R17)*(1-(AP17*(1-AN17)/(AP17*(1-AN17)+VLOOKUP(A17,[1]怪物抗性与玩家穿透!$A$2:$I$74,8,0))))*(1-(AQ17*(1-AO17)/(VLOOKUP(A17,[1]怪物抗性与玩家穿透!$A$2:$I$74,9,0)+AQ17*(1-AO17))))</f>
        <v>40529.455710715753</v>
      </c>
      <c r="AS17">
        <f t="shared" si="27"/>
        <v>28819.750068754238</v>
      </c>
      <c r="AT17">
        <f>佣兵培养!AB13</f>
        <v>1178621.3453561435</v>
      </c>
      <c r="AU17">
        <f>佣兵培养!AE13</f>
        <v>19701.123750000002</v>
      </c>
      <c r="AV17">
        <v>1.2</v>
      </c>
      <c r="AW17">
        <v>1.1000000000000001</v>
      </c>
      <c r="AX17">
        <v>1.17</v>
      </c>
      <c r="AY17">
        <f t="shared" si="33"/>
        <v>58655.35720708497</v>
      </c>
      <c r="AZ17">
        <f t="shared" si="28"/>
        <v>3902724.8742428562</v>
      </c>
      <c r="BA17">
        <f t="shared" si="29"/>
        <v>9234860.2867672499</v>
      </c>
      <c r="BB17">
        <v>34</v>
      </c>
    </row>
    <row r="18" spans="1:54">
      <c r="A18" s="4">
        <v>75</v>
      </c>
      <c r="B18" s="19">
        <v>17150</v>
      </c>
      <c r="C18" s="4">
        <v>565</v>
      </c>
      <c r="D18" s="6">
        <f t="shared" ref="D18:D23" si="34">C18+B18</f>
        <v>17715</v>
      </c>
      <c r="E18" s="6">
        <f>装备属性设计!AB18*AA18</f>
        <v>9725.1</v>
      </c>
      <c r="F18" s="6">
        <f t="shared" si="0"/>
        <v>20693.88</v>
      </c>
      <c r="G18" s="6">
        <f t="shared" ref="G18:G23" si="35">F18/(A18*A18*3+3*A18+50+F18)</f>
        <v>0.54682236599418443</v>
      </c>
      <c r="H18" s="4">
        <f>装备属性设计!Q18*AA18</f>
        <v>24009.3</v>
      </c>
      <c r="I18" s="6">
        <f t="shared" ref="I18:I23" si="36">D18*1.5*MAX($C$26:$C$29)</f>
        <v>15943.5</v>
      </c>
      <c r="J18" s="6">
        <v>2.1</v>
      </c>
      <c r="K18" s="7">
        <f t="shared" si="11"/>
        <v>58730.616000000002</v>
      </c>
      <c r="L18" s="6">
        <f t="shared" ref="L18:L23" si="37">$C$29*D18</f>
        <v>3543</v>
      </c>
      <c r="M18" s="4">
        <f>装备属性设计!D18*AA18</f>
        <v>45360</v>
      </c>
      <c r="N18" s="4">
        <f t="shared" si="12"/>
        <v>121185</v>
      </c>
      <c r="O18" s="4">
        <f t="shared" ref="O18:O23" si="38">M18/N18</f>
        <v>0.37430375046416636</v>
      </c>
      <c r="P18" s="17">
        <f>(装备属性设计!I18+装备属性设计!F18)</f>
        <v>4390</v>
      </c>
      <c r="Q18" s="6">
        <f t="shared" si="13"/>
        <v>20226.266666666666</v>
      </c>
      <c r="R18" s="4">
        <f t="shared" si="4"/>
        <v>0.54115267442441195</v>
      </c>
      <c r="S18" s="4">
        <f>装备属性设计!X18*AB18*(1+AI18/100)</f>
        <v>6161.22</v>
      </c>
      <c r="T18" s="4">
        <f>装备属性设计!V18*AB18</f>
        <v>4563.8666666666668</v>
      </c>
      <c r="U18" s="4">
        <f t="shared" ref="U18:U23" si="39">(S18+D18*$C$26*(1+AI18/100))/($A18*$A18*5+S18+D18*$C$26*(1+AI18/100)+24200-$A18*645)</f>
        <v>0.83851429884339468</v>
      </c>
      <c r="V18" s="4">
        <f t="shared" ref="V18:V23" si="40">(T18+B18*$C$28)/($A18*$A18*5+T18+B18*$C$28+24200-$A18*645)</f>
        <v>0.61383796184653883</v>
      </c>
      <c r="W18" s="4">
        <f>(装备属性设计!Z18*战斗力成长!AB18+D18*C$27*0.2)*(1+AJ18/100)</f>
        <v>1579.491111111111</v>
      </c>
      <c r="X18" s="4">
        <f t="shared" ref="X18:X23" si="41">W18/((3*$A18*$A18+3*$A18+50)/4+W18)</f>
        <v>0.26921655090286672</v>
      </c>
      <c r="Y18" s="10">
        <f t="shared" ref="Y18:Y23" si="42">(N18/(1-R18))/(1-U18)/(1-X18)</f>
        <v>2237988.6832541334</v>
      </c>
      <c r="Z18" s="23">
        <f t="shared" ref="Z18:Z23" si="43">Y18/K18</f>
        <v>38.105997104715087</v>
      </c>
      <c r="AA18" s="20">
        <v>2.1</v>
      </c>
      <c r="AB18" s="20">
        <f t="shared" si="16"/>
        <v>1.7333333333333334</v>
      </c>
      <c r="AC18" s="4">
        <f t="shared" ref="AC18:AC23" si="44">B18*C$29</f>
        <v>3430</v>
      </c>
      <c r="AD18">
        <f t="shared" si="8"/>
        <v>9.0909090909090912E-2</v>
      </c>
      <c r="AE18">
        <v>10</v>
      </c>
      <c r="AF18">
        <f t="shared" ref="AF18:AF23" si="45">AE18*5</f>
        <v>50</v>
      </c>
      <c r="AG18">
        <f t="shared" ref="AG18:AG23" si="46">AE18*2</f>
        <v>20</v>
      </c>
      <c r="AH18">
        <f t="shared" si="20"/>
        <v>40</v>
      </c>
      <c r="AI18">
        <f t="shared" si="21"/>
        <v>35</v>
      </c>
      <c r="AJ18">
        <f t="shared" si="22"/>
        <v>26.666666666666668</v>
      </c>
      <c r="AK18">
        <f t="shared" si="23"/>
        <v>40</v>
      </c>
      <c r="AL18">
        <f t="shared" si="24"/>
        <v>80</v>
      </c>
      <c r="AM18">
        <f t="shared" si="25"/>
        <v>70</v>
      </c>
      <c r="AN18">
        <f t="shared" si="31"/>
        <v>0.44444444444444442</v>
      </c>
      <c r="AO18">
        <f t="shared" si="32"/>
        <v>0.44444444444444442</v>
      </c>
      <c r="AP18">
        <f>VLOOKUP($A18,[1]怪物抗性与玩家穿透!$A$2:$E$74,4,0)</f>
        <v>15000</v>
      </c>
      <c r="AQ18">
        <f>VLOOKUP($A18,[1]怪物抗性与玩家穿透!$A$2:$E$74,5,0)</f>
        <v>4500</v>
      </c>
      <c r="AR18">
        <f>AG18*K18/100/(1-U18)/(1-R18)*(1-(AP18*(1-AN18)/(AP18*(1-AN18)+VLOOKUP(A18,[1]怪物抗性与玩家穿透!$A$2:$I$74,8,0))))*(1-(AQ18*(1-AO18)/(VLOOKUP(A18,[1]怪物抗性与玩家穿透!$A$2:$I$74,9,0)+AQ18*(1-AO18))))</f>
        <v>65246.299878430509</v>
      </c>
      <c r="AS18">
        <f t="shared" si="27"/>
        <v>44759.77366508267</v>
      </c>
      <c r="AT18">
        <f>佣兵培养!AB14</f>
        <v>1819703.5181700764</v>
      </c>
      <c r="AU18">
        <f>佣兵培养!AE14</f>
        <v>28762.981632000006</v>
      </c>
      <c r="AV18">
        <v>1.22</v>
      </c>
      <c r="AW18">
        <v>1.1100000000000001</v>
      </c>
      <c r="AX18">
        <v>1.18</v>
      </c>
      <c r="AY18">
        <f t="shared" si="33"/>
        <v>79146.34873709883</v>
      </c>
      <c r="AZ18">
        <f t="shared" si="28"/>
        <v>5841453.6931702914</v>
      </c>
      <c r="BA18">
        <f t="shared" si="29"/>
        <v>14254036.408153411</v>
      </c>
      <c r="BB18">
        <v>35</v>
      </c>
    </row>
    <row r="19" spans="1:54">
      <c r="A19" s="4">
        <v>80</v>
      </c>
      <c r="B19" s="19">
        <v>19490</v>
      </c>
      <c r="C19" s="4">
        <v>600</v>
      </c>
      <c r="D19" s="6">
        <f t="shared" si="34"/>
        <v>20090</v>
      </c>
      <c r="E19" s="6">
        <f>装备属性设计!AB19*AA19</f>
        <v>11400.75</v>
      </c>
      <c r="F19" s="6">
        <f t="shared" si="0"/>
        <v>25210.329999999998</v>
      </c>
      <c r="G19" s="6">
        <f>F19/(A19*A19*3+3*A19+50+F19)</f>
        <v>0.56398532180858618</v>
      </c>
      <c r="H19" s="4">
        <f>装备属性设计!Q19*AA19</f>
        <v>29234.25</v>
      </c>
      <c r="I19" s="6">
        <f t="shared" si="36"/>
        <v>18081</v>
      </c>
      <c r="J19" s="6">
        <v>2.2000000000000002</v>
      </c>
      <c r="K19" s="7">
        <f t="shared" si="11"/>
        <v>74947.356</v>
      </c>
      <c r="L19" s="6">
        <f t="shared" si="37"/>
        <v>4018</v>
      </c>
      <c r="M19" s="4">
        <f>装备属性设计!D19*AA19</f>
        <v>54180</v>
      </c>
      <c r="N19" s="4">
        <f t="shared" si="12"/>
        <v>146258</v>
      </c>
      <c r="O19" s="4">
        <f t="shared" si="38"/>
        <v>0.3704412750071791</v>
      </c>
      <c r="P19" s="17">
        <f>(装备属性设计!I19+装备属性设计!F19)</f>
        <v>5146</v>
      </c>
      <c r="Q19" s="6">
        <f t="shared" si="13"/>
        <v>24905.760000000002</v>
      </c>
      <c r="R19" s="4">
        <f t="shared" si="4"/>
        <v>0.56099411295132695</v>
      </c>
      <c r="S19" s="4">
        <f>装备属性设计!X19*AB19*(1+AI19/100)</f>
        <v>7785.085</v>
      </c>
      <c r="T19" s="4">
        <f>装备属性设计!V19*AB19</f>
        <v>5621</v>
      </c>
      <c r="U19" s="4">
        <f t="shared" si="39"/>
        <v>0.84181500092417871</v>
      </c>
      <c r="V19" s="4">
        <f t="shared" si="40"/>
        <v>0.6220213640098603</v>
      </c>
      <c r="W19" s="4">
        <f>(装备属性设计!Z19*战斗力成长!AB19+D19*C$27*0.2)*(1+AJ19/100)</f>
        <v>1866.4524444444448</v>
      </c>
      <c r="X19" s="4">
        <f t="shared" si="41"/>
        <v>0.27696477454491281</v>
      </c>
      <c r="Y19" s="10">
        <f t="shared" si="42"/>
        <v>2912893.0127784857</v>
      </c>
      <c r="Z19" s="23">
        <f t="shared" si="43"/>
        <v>38.86585422411013</v>
      </c>
      <c r="AA19" s="20">
        <v>2.25</v>
      </c>
      <c r="AB19" s="20">
        <f t="shared" si="16"/>
        <v>1.8333333333333335</v>
      </c>
      <c r="AC19" s="4">
        <f t="shared" si="44"/>
        <v>3898</v>
      </c>
      <c r="AD19">
        <f t="shared" si="8"/>
        <v>9.0909090909090912E-2</v>
      </c>
      <c r="AE19">
        <v>11</v>
      </c>
      <c r="AF19">
        <f t="shared" si="45"/>
        <v>55</v>
      </c>
      <c r="AG19">
        <f t="shared" si="46"/>
        <v>22</v>
      </c>
      <c r="AH19">
        <f t="shared" si="20"/>
        <v>44</v>
      </c>
      <c r="AI19">
        <f t="shared" si="21"/>
        <v>38.5</v>
      </c>
      <c r="AJ19">
        <f t="shared" si="22"/>
        <v>29.333333333333332</v>
      </c>
      <c r="AK19">
        <f t="shared" si="23"/>
        <v>44</v>
      </c>
      <c r="AL19">
        <f t="shared" si="24"/>
        <v>88</v>
      </c>
      <c r="AM19">
        <f t="shared" si="25"/>
        <v>77</v>
      </c>
      <c r="AN19">
        <f t="shared" si="31"/>
        <v>0.46808510638297873</v>
      </c>
      <c r="AO19">
        <f t="shared" si="32"/>
        <v>0.46808510638297873</v>
      </c>
      <c r="AP19">
        <f>VLOOKUP($A19,[1]怪物抗性与玩家穿透!$A$2:$E$74,4,0)</f>
        <v>17500</v>
      </c>
      <c r="AQ19">
        <f>VLOOKUP($A19,[1]怪物抗性与玩家穿透!$A$2:$E$74,5,0)</f>
        <v>5250</v>
      </c>
      <c r="AR19">
        <f>AG19*K19/100/(1-U19)/(1-R19)*(1-(AP19*(1-AN19)/(AP19*(1-AN19)+VLOOKUP(A19,[1]怪物抗性与玩家穿透!$A$2:$I$74,8,0))))*(1-(AQ19*(1-AO19)/(VLOOKUP(A19,[1]怪物抗性与玩家穿透!$A$2:$I$74,9,0)+AQ19*(1-AO19))))</f>
        <v>99863.459322096271</v>
      </c>
      <c r="AS19">
        <f t="shared" si="27"/>
        <v>64083.646281126683</v>
      </c>
      <c r="AT19">
        <f>佣兵培养!AB15</f>
        <v>2555862.4790303754</v>
      </c>
      <c r="AU19">
        <f>佣兵培养!AE15</f>
        <v>40436.062992000006</v>
      </c>
      <c r="AV19">
        <v>1.24</v>
      </c>
      <c r="AW19">
        <v>1.1200000000000001</v>
      </c>
      <c r="AX19">
        <v>1.19</v>
      </c>
      <c r="AY19">
        <f t="shared" si="33"/>
        <v>103680.47672762045</v>
      </c>
      <c r="AZ19">
        <f t="shared" si="28"/>
        <v>8069695.6037131557</v>
      </c>
      <c r="BA19">
        <f t="shared" si="29"/>
        <v>20796138.595513083</v>
      </c>
      <c r="BB19">
        <v>36</v>
      </c>
    </row>
    <row r="20" spans="1:54">
      <c r="A20" s="4">
        <v>85</v>
      </c>
      <c r="B20" s="19">
        <v>21980</v>
      </c>
      <c r="C20" s="4">
        <v>635</v>
      </c>
      <c r="D20" s="6">
        <f t="shared" si="34"/>
        <v>22615</v>
      </c>
      <c r="E20" s="6">
        <f>装备属性设计!AB20*AA20</f>
        <v>13188</v>
      </c>
      <c r="F20" s="6">
        <f t="shared" si="0"/>
        <v>30281.02</v>
      </c>
      <c r="G20" s="6">
        <f t="shared" si="35"/>
        <v>0.57941884792910658</v>
      </c>
      <c r="H20" s="4">
        <f>装备属性设计!Q20*AA20</f>
        <v>35167.199999999997</v>
      </c>
      <c r="I20" s="6">
        <f t="shared" si="36"/>
        <v>20353.5</v>
      </c>
      <c r="J20" s="6">
        <v>2.2999999999999998</v>
      </c>
      <c r="K20" s="7">
        <f t="shared" si="11"/>
        <v>94496.23139999999</v>
      </c>
      <c r="L20" s="6">
        <f t="shared" si="37"/>
        <v>4523</v>
      </c>
      <c r="M20" s="4">
        <f>装备属性设计!D20*AA20</f>
        <v>64896</v>
      </c>
      <c r="N20" s="4">
        <f t="shared" si="12"/>
        <v>176202</v>
      </c>
      <c r="O20" s="4">
        <f t="shared" si="38"/>
        <v>0.36830455953961933</v>
      </c>
      <c r="P20" s="17">
        <f>(装备属性设计!I20+装备属性设计!F20)</f>
        <v>5978</v>
      </c>
      <c r="Q20" s="6">
        <f t="shared" si="13"/>
        <v>30312.965333333326</v>
      </c>
      <c r="R20" s="4">
        <f t="shared" si="4"/>
        <v>0.57967577742260501</v>
      </c>
      <c r="S20" s="4">
        <f>装备属性设计!X20*AB20*(1+AI20/100)</f>
        <v>10080.863999999998</v>
      </c>
      <c r="T20" s="4">
        <f>装备属性设计!V20*AB20</f>
        <v>7099.1999999999989</v>
      </c>
      <c r="U20" s="4">
        <f t="shared" si="39"/>
        <v>0.84217553959609104</v>
      </c>
      <c r="V20" s="4">
        <f t="shared" si="40"/>
        <v>0.62830805828129654</v>
      </c>
      <c r="W20" s="4">
        <f>(装备属性设计!Z20*战斗力成长!AB20+D20*C$27*0.2)*(1+AJ20/100)</f>
        <v>2283.9079999999999</v>
      </c>
      <c r="X20" s="4">
        <f t="shared" si="41"/>
        <v>0.29360264962640004</v>
      </c>
      <c r="Y20" s="10">
        <f t="shared" si="42"/>
        <v>3760131.561158793</v>
      </c>
      <c r="Z20" s="23">
        <f t="shared" si="43"/>
        <v>39.791338823262251</v>
      </c>
      <c r="AA20" s="20">
        <v>2.4</v>
      </c>
      <c r="AB20" s="20">
        <f t="shared" si="16"/>
        <v>1.9333333333333331</v>
      </c>
      <c r="AC20" s="4">
        <f t="shared" si="44"/>
        <v>4396</v>
      </c>
      <c r="AD20">
        <f t="shared" si="8"/>
        <v>9.0909090909090912E-2</v>
      </c>
      <c r="AE20">
        <v>12</v>
      </c>
      <c r="AF20">
        <f t="shared" si="45"/>
        <v>60</v>
      </c>
      <c r="AG20">
        <f t="shared" si="46"/>
        <v>24</v>
      </c>
      <c r="AH20">
        <f t="shared" si="20"/>
        <v>48</v>
      </c>
      <c r="AI20">
        <f t="shared" si="21"/>
        <v>42</v>
      </c>
      <c r="AJ20">
        <f t="shared" si="22"/>
        <v>32</v>
      </c>
      <c r="AK20">
        <f t="shared" si="23"/>
        <v>48</v>
      </c>
      <c r="AL20">
        <f t="shared" si="24"/>
        <v>96</v>
      </c>
      <c r="AM20">
        <f t="shared" si="25"/>
        <v>84</v>
      </c>
      <c r="AN20">
        <f t="shared" si="31"/>
        <v>0.48979591836734693</v>
      </c>
      <c r="AO20">
        <f t="shared" si="32"/>
        <v>0.48979591836734693</v>
      </c>
      <c r="AP20">
        <v>20000</v>
      </c>
      <c r="AQ20">
        <v>6000</v>
      </c>
      <c r="AR20">
        <f>AG20*K20/100/(1-U20)/(1-R20)*(1-(AP20*(1-AN20)/(AP20*(1-AN20)+VLOOKUP(A20,[1]怪物抗性与玩家穿透!$A$2:$I$74,8,0))))*(1-(AQ20*(1-AO20)/(VLOOKUP(A20,[1]怪物抗性与玩家穿透!$A$2:$I$74,9,0)+AQ20*(1-AO20))))</f>
        <v>149822.71647187721</v>
      </c>
      <c r="AS20">
        <f t="shared" si="27"/>
        <v>90243.157467811034</v>
      </c>
      <c r="AT20">
        <f>佣兵培养!AB16</f>
        <v>3375293.019886577</v>
      </c>
      <c r="AU20">
        <f>佣兵培养!AE16</f>
        <v>55421.923085999995</v>
      </c>
      <c r="AV20">
        <v>1.26</v>
      </c>
      <c r="AW20">
        <v>1.1299999999999999</v>
      </c>
      <c r="AX20">
        <v>1.2</v>
      </c>
      <c r="AY20">
        <f t="shared" si="33"/>
        <v>132554.99866597157</v>
      </c>
      <c r="AZ20">
        <f t="shared" si="28"/>
        <v>10788761.966540599</v>
      </c>
      <c r="BA20">
        <f t="shared" si="29"/>
        <v>29290041.034740739</v>
      </c>
      <c r="BB20">
        <v>37</v>
      </c>
    </row>
    <row r="21" spans="1:54">
      <c r="A21" s="4">
        <v>90</v>
      </c>
      <c r="B21" s="19">
        <v>24620</v>
      </c>
      <c r="C21" s="4">
        <v>670</v>
      </c>
      <c r="D21" s="6">
        <f t="shared" si="34"/>
        <v>25290</v>
      </c>
      <c r="E21" s="6">
        <f>装备属性设计!AB21*AA21</f>
        <v>15695.249999999998</v>
      </c>
      <c r="F21" s="6">
        <f t="shared" si="0"/>
        <v>37177.47</v>
      </c>
      <c r="G21" s="6">
        <f t="shared" si="35"/>
        <v>0.60160181314866124</v>
      </c>
      <c r="H21" s="4">
        <f>装备属性设计!Q21*AA21</f>
        <v>41853.149999999994</v>
      </c>
      <c r="I21" s="6">
        <f t="shared" si="36"/>
        <v>22761</v>
      </c>
      <c r="J21" s="6">
        <v>2.4</v>
      </c>
      <c r="K21" s="7">
        <f t="shared" si="11"/>
        <v>117856.20959999999</v>
      </c>
      <c r="L21" s="6">
        <f t="shared" si="37"/>
        <v>5058</v>
      </c>
      <c r="M21" s="4">
        <f>装备属性设计!D21*AA21</f>
        <v>75990</v>
      </c>
      <c r="N21" s="4">
        <f t="shared" si="12"/>
        <v>208841</v>
      </c>
      <c r="O21" s="4">
        <f t="shared" si="38"/>
        <v>0.36386533295665124</v>
      </c>
      <c r="P21" s="17">
        <f>(装备属性设计!I21+装备属性设计!F21)</f>
        <v>6894</v>
      </c>
      <c r="Q21" s="6">
        <f t="shared" si="13"/>
        <v>36525.498666666666</v>
      </c>
      <c r="R21" s="4">
        <f t="shared" si="4"/>
        <v>0.59735384391555324</v>
      </c>
      <c r="S21" s="4">
        <f>装备属性设计!X21*AB21*(1+AI21/100)</f>
        <v>13100.238000000001</v>
      </c>
      <c r="T21" s="4">
        <f>装备属性设计!V21*AB21</f>
        <v>9003.6</v>
      </c>
      <c r="U21" s="4">
        <f t="shared" si="39"/>
        <v>0.84101713840029502</v>
      </c>
      <c r="V21" s="4">
        <f t="shared" si="40"/>
        <v>0.63291306939875003</v>
      </c>
      <c r="W21" s="4">
        <f>(装备属性设计!Z21*战斗力成长!AB21+D21*C$27*0.2)*(1+AJ21/100)</f>
        <v>2638.972888888889</v>
      </c>
      <c r="X21" s="4">
        <f t="shared" si="41"/>
        <v>0.30008881335342857</v>
      </c>
      <c r="Y21" s="10">
        <f t="shared" si="42"/>
        <v>4661213.1398280337</v>
      </c>
      <c r="Z21" s="23">
        <f t="shared" si="43"/>
        <v>39.550000425501842</v>
      </c>
      <c r="AA21" s="20">
        <v>2.5499999999999998</v>
      </c>
      <c r="AB21" s="20">
        <f t="shared" si="16"/>
        <v>2.0333333333333332</v>
      </c>
      <c r="AC21" s="4">
        <f t="shared" si="44"/>
        <v>4924</v>
      </c>
      <c r="AD21">
        <f t="shared" si="8"/>
        <v>9.0909090909090912E-2</v>
      </c>
      <c r="AE21">
        <v>13</v>
      </c>
      <c r="AF21">
        <f t="shared" si="45"/>
        <v>65</v>
      </c>
      <c r="AG21">
        <f t="shared" si="46"/>
        <v>26</v>
      </c>
      <c r="AH21">
        <f t="shared" si="20"/>
        <v>52</v>
      </c>
      <c r="AI21">
        <f t="shared" si="21"/>
        <v>45.5</v>
      </c>
      <c r="AJ21">
        <f t="shared" si="22"/>
        <v>34.666666666666664</v>
      </c>
      <c r="AK21">
        <f t="shared" si="23"/>
        <v>52</v>
      </c>
      <c r="AL21">
        <f t="shared" si="24"/>
        <v>104</v>
      </c>
      <c r="AM21">
        <f t="shared" si="25"/>
        <v>91</v>
      </c>
      <c r="AN21">
        <f t="shared" si="31"/>
        <v>0.50980392156862742</v>
      </c>
      <c r="AO21">
        <f t="shared" si="32"/>
        <v>0.50980392156862742</v>
      </c>
      <c r="AP21">
        <v>27000</v>
      </c>
      <c r="AQ21">
        <v>8000</v>
      </c>
      <c r="AR21">
        <f>AG21*K21/100/(1-U21)/(1-R21)*(1-(AP21*(1-AN21)/(AP21*(1-AN21)+VLOOKUP(A21,[1]怪物抗性与玩家穿透!$A$2:$I$74,8,0))))*(1-(AQ21*(1-AO21)/(VLOOKUP(A21,[1]怪物抗性与玩家穿透!$A$2:$I$74,9,0)+AQ21*(1-AO21))))</f>
        <v>195600.45370617363</v>
      </c>
      <c r="AS21">
        <f t="shared" si="27"/>
        <v>121191.54163552888</v>
      </c>
      <c r="AT21">
        <f>佣兵培养!AB17</f>
        <v>4250447.3246527277</v>
      </c>
      <c r="AU21">
        <f>佣兵培养!AE17</f>
        <v>72789.696225000007</v>
      </c>
      <c r="AV21">
        <v>1.28</v>
      </c>
      <c r="AW21">
        <v>1.1399999999999999</v>
      </c>
      <c r="AX21">
        <v>1.21</v>
      </c>
      <c r="AY21">
        <f t="shared" si="33"/>
        <v>167379.91568623847</v>
      </c>
      <c r="AZ21">
        <f t="shared" si="28"/>
        <v>13802379.727387803</v>
      </c>
      <c r="BA21">
        <f t="shared" si="29"/>
        <v>40150226.711409301</v>
      </c>
      <c r="BB21">
        <v>38</v>
      </c>
    </row>
    <row r="22" spans="1:54">
      <c r="A22" s="4">
        <v>95</v>
      </c>
      <c r="B22" s="19">
        <v>27410</v>
      </c>
      <c r="C22" s="4">
        <v>705</v>
      </c>
      <c r="D22" s="6">
        <f t="shared" si="34"/>
        <v>28115</v>
      </c>
      <c r="E22" s="6">
        <f>装备属性设计!AB22*AA22</f>
        <v>18503.100000000002</v>
      </c>
      <c r="F22" s="6">
        <f t="shared" si="0"/>
        <v>45186.952000000005</v>
      </c>
      <c r="G22" s="6">
        <f t="shared" si="35"/>
        <v>0.62243593918378282</v>
      </c>
      <c r="H22" s="4">
        <f>装备属性设计!Q22*AA22</f>
        <v>49337.100000000006</v>
      </c>
      <c r="I22" s="6">
        <f t="shared" si="36"/>
        <v>25303.5</v>
      </c>
      <c r="J22" s="6">
        <v>2.5</v>
      </c>
      <c r="K22" s="7">
        <f t="shared" si="11"/>
        <v>145549.17000000001</v>
      </c>
      <c r="L22" s="6">
        <f t="shared" si="37"/>
        <v>5623</v>
      </c>
      <c r="M22" s="4">
        <f>装备属性设计!D22*AA22</f>
        <v>88452</v>
      </c>
      <c r="N22" s="4">
        <f t="shared" si="12"/>
        <v>245959</v>
      </c>
      <c r="O22" s="4">
        <f t="shared" si="38"/>
        <v>0.3596209124284942</v>
      </c>
      <c r="P22" s="17">
        <f>(装备属性设计!I22+装备属性设计!F22)</f>
        <v>7674</v>
      </c>
      <c r="Q22" s="6">
        <f t="shared" si="13"/>
        <v>43783.168000000012</v>
      </c>
      <c r="R22" s="4">
        <f t="shared" si="4"/>
        <v>0.61499114634145802</v>
      </c>
      <c r="S22" s="4">
        <f>装备属性设计!X22*AB22*(1+AI22/100)</f>
        <v>16993.152000000006</v>
      </c>
      <c r="T22" s="4">
        <f>装备属性设计!V22*AB22</f>
        <v>11404.800000000003</v>
      </c>
      <c r="U22" s="4">
        <f t="shared" si="39"/>
        <v>0.83957100529511353</v>
      </c>
      <c r="V22" s="4">
        <f t="shared" si="40"/>
        <v>0.6373187720199317</v>
      </c>
      <c r="W22" s="4">
        <f>(装备属性设计!Z22*战斗力成长!AB22+D22*C$27*0.2)*(1+AJ22/100)</f>
        <v>3075.030666666667</v>
      </c>
      <c r="X22" s="4">
        <f t="shared" si="41"/>
        <v>0.30974778823817617</v>
      </c>
      <c r="Y22" s="10">
        <f t="shared" si="42"/>
        <v>5769010.5477042608</v>
      </c>
      <c r="Z22" s="23">
        <f t="shared" si="43"/>
        <v>39.636162457705943</v>
      </c>
      <c r="AA22" s="20">
        <v>2.7</v>
      </c>
      <c r="AB22" s="20">
        <f t="shared" si="16"/>
        <v>2.1333333333333337</v>
      </c>
      <c r="AC22" s="4">
        <f t="shared" si="44"/>
        <v>5482</v>
      </c>
      <c r="AD22">
        <f t="shared" si="8"/>
        <v>9.0909090909090912E-2</v>
      </c>
      <c r="AE22">
        <v>14</v>
      </c>
      <c r="AF22">
        <f t="shared" si="45"/>
        <v>70</v>
      </c>
      <c r="AG22">
        <f t="shared" si="46"/>
        <v>28</v>
      </c>
      <c r="AH22">
        <f t="shared" si="20"/>
        <v>56</v>
      </c>
      <c r="AI22">
        <f t="shared" si="21"/>
        <v>49</v>
      </c>
      <c r="AJ22">
        <f t="shared" si="22"/>
        <v>37.333333333333336</v>
      </c>
      <c r="AK22">
        <f t="shared" si="23"/>
        <v>56</v>
      </c>
      <c r="AL22">
        <f t="shared" si="24"/>
        <v>112</v>
      </c>
      <c r="AM22">
        <f t="shared" si="25"/>
        <v>98</v>
      </c>
      <c r="AN22">
        <f t="shared" si="31"/>
        <v>0.52830188679245282</v>
      </c>
      <c r="AO22">
        <f t="shared" si="32"/>
        <v>0.52830188679245282</v>
      </c>
      <c r="AP22">
        <v>34000</v>
      </c>
      <c r="AQ22">
        <v>10000</v>
      </c>
      <c r="AR22">
        <f>AG22*K22/100/(1-U22)/(1-R22)*(1-(AP22*(1-AN22)/(AP22*(1-AN22)+VLOOKUP(A22,[1]怪物抗性与玩家穿透!$A$2:$I$74,8,0))))*(1-(AQ22*(1-AO22)/(VLOOKUP(A22,[1]怪物抗性与玩家穿透!$A$2:$I$74,9,0)+AQ22*(1-AO22))))</f>
        <v>262141.60217759819</v>
      </c>
      <c r="AS22">
        <f t="shared" si="27"/>
        <v>161532.29533571927</v>
      </c>
      <c r="AT22">
        <f>佣兵培养!AB18</f>
        <v>5148922.2826135606</v>
      </c>
      <c r="AU22">
        <f>佣兵培养!AE18</f>
        <v>93540.932100000005</v>
      </c>
      <c r="AV22">
        <v>1.3</v>
      </c>
      <c r="AW22">
        <v>1.1499999999999999</v>
      </c>
      <c r="AX22">
        <v>1.22</v>
      </c>
      <c r="AY22">
        <f t="shared" si="33"/>
        <v>206857.99006333764</v>
      </c>
      <c r="AZ22">
        <f t="shared" si="28"/>
        <v>17315841.468884066</v>
      </c>
      <c r="BA22">
        <f t="shared" si="29"/>
        <v>53516392.987564392</v>
      </c>
      <c r="BB22">
        <v>39</v>
      </c>
    </row>
    <row r="23" spans="1:54">
      <c r="A23" s="4">
        <v>100</v>
      </c>
      <c r="B23" s="19">
        <v>30350</v>
      </c>
      <c r="C23" s="4">
        <v>740</v>
      </c>
      <c r="D23" s="6">
        <f t="shared" si="34"/>
        <v>31090</v>
      </c>
      <c r="E23" s="6">
        <f>装备属性设计!AB23*AA23</f>
        <v>21625.8</v>
      </c>
      <c r="F23" s="6">
        <f t="shared" si="0"/>
        <v>54416.560000000005</v>
      </c>
      <c r="G23" s="6">
        <f t="shared" si="35"/>
        <v>0.64195786640392161</v>
      </c>
      <c r="H23" s="4">
        <f>装备属性设计!Q23*AA23</f>
        <v>57664.05</v>
      </c>
      <c r="I23" s="6">
        <f t="shared" si="36"/>
        <v>27981</v>
      </c>
      <c r="J23" s="6">
        <v>2.6</v>
      </c>
      <c r="K23" s="7">
        <f t="shared" si="11"/>
        <v>178141.70400000003</v>
      </c>
      <c r="L23" s="6">
        <f t="shared" si="37"/>
        <v>6218</v>
      </c>
      <c r="M23" s="4">
        <f>装备属性设计!D23*AA23</f>
        <v>102942</v>
      </c>
      <c r="N23" s="4">
        <f t="shared" si="12"/>
        <v>288964</v>
      </c>
      <c r="O23" s="4">
        <f t="shared" si="38"/>
        <v>0.35624506858985894</v>
      </c>
      <c r="P23" s="17">
        <f>(装备属性设计!I23+装备属性设计!F23)</f>
        <v>8498</v>
      </c>
      <c r="Q23" s="6">
        <f t="shared" si="13"/>
        <v>52056.320000000007</v>
      </c>
      <c r="R23" s="4">
        <f t="shared" si="4"/>
        <v>0.63170300530347678</v>
      </c>
      <c r="S23" s="4">
        <f>装备属性设计!X23*AB23*(1+AI23/100)</f>
        <v>22001.683333333334</v>
      </c>
      <c r="T23" s="4">
        <f>装备属性设计!V23*AB23</f>
        <v>14427.333333333334</v>
      </c>
      <c r="U23" s="4">
        <f t="shared" si="39"/>
        <v>0.83873390040626872</v>
      </c>
      <c r="V23" s="4">
        <f t="shared" si="40"/>
        <v>0.64288782259746935</v>
      </c>
      <c r="W23" s="4">
        <f>(装备属性设计!Z23*战斗力成长!AB23+D23*C$27*0.2)*(1+AJ23/100)</f>
        <v>3593.8466666666664</v>
      </c>
      <c r="X23" s="4">
        <f t="shared" si="41"/>
        <v>0.32141447482175667</v>
      </c>
      <c r="Y23" s="10">
        <f t="shared" si="42"/>
        <v>7169648.9504049597</v>
      </c>
      <c r="Z23" s="23">
        <f t="shared" si="43"/>
        <v>40.246886548278212</v>
      </c>
      <c r="AA23" s="20">
        <v>2.85</v>
      </c>
      <c r="AB23" s="20">
        <f t="shared" si="16"/>
        <v>2.2333333333333334</v>
      </c>
      <c r="AC23" s="4">
        <f t="shared" si="44"/>
        <v>6070</v>
      </c>
      <c r="AD23">
        <f t="shared" si="8"/>
        <v>9.0909090909090912E-2</v>
      </c>
      <c r="AE23">
        <v>15</v>
      </c>
      <c r="AF23">
        <f t="shared" si="45"/>
        <v>75</v>
      </c>
      <c r="AG23">
        <f t="shared" si="46"/>
        <v>30</v>
      </c>
      <c r="AH23">
        <f t="shared" si="20"/>
        <v>60</v>
      </c>
      <c r="AI23">
        <f t="shared" si="21"/>
        <v>52.5</v>
      </c>
      <c r="AJ23">
        <f t="shared" si="22"/>
        <v>40</v>
      </c>
      <c r="AK23">
        <f t="shared" si="23"/>
        <v>60</v>
      </c>
      <c r="AL23">
        <f t="shared" si="24"/>
        <v>120</v>
      </c>
      <c r="AM23">
        <f t="shared" si="25"/>
        <v>105</v>
      </c>
      <c r="AN23">
        <f t="shared" si="31"/>
        <v>0.54545454545454541</v>
      </c>
      <c r="AO23">
        <f t="shared" si="32"/>
        <v>0.54545454545454541</v>
      </c>
      <c r="AP23">
        <v>40000</v>
      </c>
      <c r="AQ23">
        <v>12000</v>
      </c>
      <c r="AR23">
        <f>AG23*K23/100/(1-U23)/(1-R23)*(1-(AP23*(1-AN23)/(AP23*(1-AN23)+VLOOKUP(A23,[1]怪物抗性与玩家穿透!$A$2:$I$74,8,0))))*(1-(AQ23*(1-AO23)/(VLOOKUP(A23,[1]怪物抗性与玩家穿透!$A$2:$I$74,9,0)+AQ23*(1-AO23))))</f>
        <v>359745.99693227164</v>
      </c>
      <c r="AS23">
        <f t="shared" si="27"/>
        <v>215089.4685121488</v>
      </c>
      <c r="AT23">
        <f>佣兵培养!AB19</f>
        <v>6706275.3979708906</v>
      </c>
      <c r="AU23">
        <f>佣兵培养!AE19</f>
        <v>118880.46021599998</v>
      </c>
      <c r="AV23">
        <v>1.32</v>
      </c>
      <c r="AW23">
        <v>1.1599999999999999</v>
      </c>
      <c r="AX23">
        <v>1.23</v>
      </c>
      <c r="AY23">
        <f t="shared" si="33"/>
        <v>256188.2839036973</v>
      </c>
      <c r="AZ23">
        <f t="shared" si="28"/>
        <v>22528950.77202303</v>
      </c>
      <c r="BA23">
        <f t="shared" si="29"/>
        <v>72355728.400838032</v>
      </c>
      <c r="BB23">
        <v>40</v>
      </c>
    </row>
    <row r="24" spans="1:54">
      <c r="AF24" t="s">
        <v>275</v>
      </c>
    </row>
    <row r="25" spans="1:54" ht="14.25" thickBot="1">
      <c r="B25" s="10" t="s">
        <v>192</v>
      </c>
      <c r="C25" s="10" t="s">
        <v>183</v>
      </c>
      <c r="D25" s="30" t="s">
        <v>195</v>
      </c>
      <c r="E25" s="31" t="s">
        <v>196</v>
      </c>
      <c r="F25" s="31" t="s">
        <v>197</v>
      </c>
      <c r="G25" s="38" t="s">
        <v>251</v>
      </c>
      <c r="H25" s="37" t="str">
        <f>G2</f>
        <v>暴击率</v>
      </c>
      <c r="I25" s="37" t="s">
        <v>247</v>
      </c>
      <c r="J25" s="37"/>
      <c r="R25" s="4" t="s">
        <v>252</v>
      </c>
      <c r="S25" s="4" t="s">
        <v>247</v>
      </c>
      <c r="U25" s="4" t="s">
        <v>253</v>
      </c>
      <c r="V25" s="4" t="s">
        <v>247</v>
      </c>
      <c r="W25" s="4" t="s">
        <v>249</v>
      </c>
      <c r="X25" s="4" t="s">
        <v>247</v>
      </c>
      <c r="Y25" s="4" t="s">
        <v>258</v>
      </c>
      <c r="Z25" s="4" t="s">
        <v>254</v>
      </c>
      <c r="AC25" s="4" t="s">
        <v>257</v>
      </c>
      <c r="AF25">
        <f>(1-V3)/(1-U3)</f>
        <v>1.5321969696969697</v>
      </c>
      <c r="AO25">
        <v>80</v>
      </c>
      <c r="AP25">
        <v>19415</v>
      </c>
      <c r="AQ25">
        <v>4600</v>
      </c>
      <c r="AS25">
        <f>1/((1-(AP20*(1-AN20)/(AP20*(1-AN20)+AP25)))*(1-(AQ20*(1-AO20)/(AQ25+AQ20*(1-AO20)))))</f>
        <v>2.5408238091272559</v>
      </c>
    </row>
    <row r="26" spans="1:54" ht="15" thickTop="1" thickBot="1">
      <c r="B26" s="21" t="s">
        <v>179</v>
      </c>
      <c r="C26" s="21">
        <v>0.6</v>
      </c>
      <c r="D26" s="32">
        <v>0</v>
      </c>
      <c r="E26" s="32">
        <v>4</v>
      </c>
      <c r="F26" s="32">
        <v>0</v>
      </c>
      <c r="G26" s="39">
        <v>10</v>
      </c>
      <c r="H26" s="37">
        <f>G3</f>
        <v>0.25630810092961487</v>
      </c>
      <c r="I26" s="37">
        <f t="shared" ref="I26:I40" si="47">H26-G3</f>
        <v>0</v>
      </c>
      <c r="J26" s="37"/>
      <c r="R26" s="4">
        <v>0</v>
      </c>
      <c r="S26" s="4">
        <v>0</v>
      </c>
      <c r="U26" s="4">
        <f t="shared" ref="U26:U45" si="48">(S3+D3*$C$26)/(($A3-G$26)*50+S3+D3*$C$26+50)</f>
        <v>-0.18273211117681845</v>
      </c>
      <c r="V26" s="4">
        <v>0</v>
      </c>
      <c r="W26" s="4">
        <f t="shared" ref="W26:W45" si="49">W3/((3*($A3-G$26)*($A3-G$26)+3*($A3-G$26)+50)/4+W3)</f>
        <v>7.0709893795416437E-2</v>
      </c>
      <c r="X26" s="4">
        <v>0</v>
      </c>
      <c r="Y26" s="4">
        <v>1</v>
      </c>
      <c r="Z26" s="4">
        <f t="shared" ref="Z26:Z45" si="50">X26+V26+S26+I26+AD26</f>
        <v>0</v>
      </c>
      <c r="AC26" s="4">
        <f t="shared" ref="AC26:AC45" si="51">AC3/(((A3-G$26)*(A3-G$26)*3+(A3-G$26)*3+50)*2+AC3)</f>
        <v>2.0618556701030927E-2</v>
      </c>
      <c r="AD26">
        <v>0</v>
      </c>
      <c r="AF26">
        <f t="shared" ref="AF26:AF45" si="52">(1-V4)/(1-U4)</f>
        <v>1.3436254980079678</v>
      </c>
      <c r="AO26">
        <v>85</v>
      </c>
      <c r="AP26">
        <v>21900</v>
      </c>
      <c r="AQ26">
        <v>5500</v>
      </c>
      <c r="AS26">
        <f t="shared" ref="AS26:AS28" si="53">1/((1-(AP21*(1-AN21)/(AP21*(1-AN21)+AP26)))*(1-(AQ21*(1-AO21)/(AQ26+AQ21*(1-AO21)))))</f>
        <v>2.7482738462024616</v>
      </c>
    </row>
    <row r="27" spans="1:54" ht="14.25" thickTop="1">
      <c r="B27" s="21" t="s">
        <v>180</v>
      </c>
      <c r="C27" s="21">
        <v>0.1</v>
      </c>
      <c r="D27" s="32">
        <v>0</v>
      </c>
      <c r="E27" s="32">
        <v>12</v>
      </c>
      <c r="F27" s="32">
        <v>0</v>
      </c>
      <c r="G27"/>
      <c r="H27" s="37">
        <f t="shared" ref="H27:H46" si="54">F4/(($A4-G$122)*($A4-G$122)*3+2*($A4-G$122)+53+F4)</f>
        <v>0.27894897647418271</v>
      </c>
      <c r="I27" s="37">
        <f t="shared" si="47"/>
        <v>3.3056167424896393E-2</v>
      </c>
      <c r="J27" s="37"/>
      <c r="R27" s="4">
        <f t="shared" ref="R27:R45" si="55">Q4/((A4-G$26)*(A4-G$26)*3+(A4-G$26)*3+50+Q4)</f>
        <v>0.21985815602836881</v>
      </c>
      <c r="S27" s="4">
        <f t="shared" ref="S27:S40" si="56">R27-R4</f>
        <v>3.8571606320766449E-2</v>
      </c>
      <c r="U27" s="4">
        <f t="shared" si="48"/>
        <v>-2.9735099337748339</v>
      </c>
      <c r="V27" s="4">
        <f t="shared" ref="V27:V40" si="57">U27-U4</f>
        <v>-3.3063490738786143</v>
      </c>
      <c r="W27" s="4">
        <f t="shared" si="49"/>
        <v>0.21203438395415475</v>
      </c>
      <c r="X27" s="4">
        <f t="shared" ref="X27:X40" si="58">W27-X4</f>
        <v>3.7506082067362279E-2</v>
      </c>
      <c r="Y27" s="4">
        <v>5</v>
      </c>
      <c r="Z27" s="4">
        <f t="shared" si="50"/>
        <v>-3.1752210831682284</v>
      </c>
      <c r="AC27" s="4">
        <f t="shared" si="51"/>
        <v>0.11290322580645161</v>
      </c>
      <c r="AD27">
        <f t="shared" ref="AD27:AD40" si="59">AC27-AD4</f>
        <v>2.1994134897360698E-2</v>
      </c>
      <c r="AF27">
        <f t="shared" si="52"/>
        <v>1.5179638949671772</v>
      </c>
      <c r="AO27">
        <v>90</v>
      </c>
      <c r="AP27">
        <v>24535</v>
      </c>
      <c r="AQ27">
        <v>6650</v>
      </c>
      <c r="AS27">
        <f t="shared" si="53"/>
        <v>2.8266479702797356</v>
      </c>
    </row>
    <row r="28" spans="1:54">
      <c r="B28" s="21" t="s">
        <v>181</v>
      </c>
      <c r="C28" s="21">
        <v>0.1</v>
      </c>
      <c r="D28" s="32">
        <v>0</v>
      </c>
      <c r="E28" s="32">
        <v>30</v>
      </c>
      <c r="F28" s="32">
        <v>0</v>
      </c>
      <c r="G28"/>
      <c r="H28" s="37">
        <f t="shared" si="54"/>
        <v>0.66242898270107775</v>
      </c>
      <c r="I28" s="37">
        <f t="shared" si="47"/>
        <v>0.44754646106902507</v>
      </c>
      <c r="J28" s="37"/>
      <c r="R28" s="4">
        <f t="shared" si="55"/>
        <v>0.60831418424900774</v>
      </c>
      <c r="S28" s="4">
        <f t="shared" si="56"/>
        <v>0.43863699044875137</v>
      </c>
      <c r="U28" s="4">
        <f t="shared" si="48"/>
        <v>0.87941812008025932</v>
      </c>
      <c r="V28" s="4">
        <f t="shared" si="57"/>
        <v>0.47404742816959644</v>
      </c>
      <c r="W28" s="4">
        <f t="shared" si="49"/>
        <v>0.64988609627665528</v>
      </c>
      <c r="X28" s="4">
        <f t="shared" si="58"/>
        <v>0.45359046842843975</v>
      </c>
      <c r="Y28" s="4">
        <v>10</v>
      </c>
      <c r="Z28" s="4">
        <f t="shared" si="50"/>
        <v>2.1547304390249034</v>
      </c>
      <c r="AC28" s="4">
        <f t="shared" si="51"/>
        <v>0.43181818181818182</v>
      </c>
      <c r="AD28">
        <f t="shared" si="59"/>
        <v>0.34090909090909094</v>
      </c>
      <c r="AF28">
        <f t="shared" si="52"/>
        <v>1.5199961384539773</v>
      </c>
      <c r="AO28">
        <v>95</v>
      </c>
      <c r="AP28">
        <v>27320</v>
      </c>
      <c r="AQ28">
        <v>8050</v>
      </c>
      <c r="AS28">
        <f t="shared" si="53"/>
        <v>2.7940369574348938</v>
      </c>
    </row>
    <row r="29" spans="1:54">
      <c r="B29" s="21" t="s">
        <v>182</v>
      </c>
      <c r="C29" s="21">
        <v>0.2</v>
      </c>
      <c r="D29" s="32">
        <v>0</v>
      </c>
      <c r="E29" s="32">
        <v>103</v>
      </c>
      <c r="F29" s="32">
        <v>0</v>
      </c>
      <c r="G29"/>
      <c r="H29" s="37">
        <f t="shared" si="54"/>
        <v>0.63120931276657144</v>
      </c>
      <c r="I29" s="37">
        <f t="shared" si="47"/>
        <v>0.39646777135714428</v>
      </c>
      <c r="J29" s="37"/>
      <c r="R29" s="4">
        <f t="shared" si="55"/>
        <v>0.60377956559146273</v>
      </c>
      <c r="S29" s="4">
        <f t="shared" si="56"/>
        <v>0.38682616601668074</v>
      </c>
      <c r="U29" s="4">
        <f t="shared" si="48"/>
        <v>0.67534997272939767</v>
      </c>
      <c r="V29" s="4">
        <f t="shared" si="57"/>
        <v>0.22964028366547623</v>
      </c>
      <c r="W29" s="4">
        <f t="shared" si="49"/>
        <v>0.57167332952598504</v>
      </c>
      <c r="X29" s="4">
        <f t="shared" si="58"/>
        <v>0.37639435956890355</v>
      </c>
      <c r="Y29" s="4">
        <v>15</v>
      </c>
      <c r="Z29" s="4">
        <f t="shared" si="50"/>
        <v>1.6532581993765332</v>
      </c>
      <c r="AC29" s="4">
        <f t="shared" si="51"/>
        <v>0.35483870967741937</v>
      </c>
      <c r="AD29">
        <f t="shared" si="59"/>
        <v>0.26392961876832843</v>
      </c>
      <c r="AF29">
        <f t="shared" si="52"/>
        <v>1.6264313177210767</v>
      </c>
      <c r="AO29">
        <v>100</v>
      </c>
      <c r="AP29">
        <v>30255</v>
      </c>
      <c r="AQ29">
        <v>9700</v>
      </c>
    </row>
    <row r="30" spans="1:54">
      <c r="B30" s="4"/>
      <c r="C30" s="4"/>
      <c r="D30" s="32">
        <v>0</v>
      </c>
      <c r="E30" s="32">
        <v>171</v>
      </c>
      <c r="F30" s="32">
        <v>0</v>
      </c>
      <c r="G30"/>
      <c r="H30" s="37">
        <f t="shared" si="54"/>
        <v>0.5557154291812777</v>
      </c>
      <c r="I30" s="37">
        <f t="shared" si="47"/>
        <v>0.29309885505341654</v>
      </c>
      <c r="J30" s="37"/>
      <c r="R30" s="4">
        <f t="shared" si="55"/>
        <v>0.54707985697258643</v>
      </c>
      <c r="S30" s="4">
        <f t="shared" si="56"/>
        <v>0.28761123063001998</v>
      </c>
      <c r="U30" s="4">
        <f t="shared" si="48"/>
        <v>0.65815634809876922</v>
      </c>
      <c r="V30" s="4">
        <f t="shared" si="57"/>
        <v>0.14169248006759938</v>
      </c>
      <c r="W30" s="4">
        <f t="shared" si="49"/>
        <v>0.45446331951732438</v>
      </c>
      <c r="X30" s="4">
        <f t="shared" si="58"/>
        <v>0.25984311996347342</v>
      </c>
      <c r="Y30" s="4">
        <v>20</v>
      </c>
      <c r="Z30" s="4">
        <f t="shared" si="50"/>
        <v>1.1476966730833049</v>
      </c>
      <c r="AC30" s="4">
        <f t="shared" si="51"/>
        <v>0.25636007827788648</v>
      </c>
      <c r="AD30">
        <f t="shared" si="59"/>
        <v>0.16545098736879557</v>
      </c>
      <c r="AF30">
        <f t="shared" si="52"/>
        <v>1.6959975341851605</v>
      </c>
    </row>
    <row r="31" spans="1:54">
      <c r="B31" s="22" t="s">
        <v>189</v>
      </c>
      <c r="C31" s="4"/>
      <c r="D31" s="32">
        <v>0</v>
      </c>
      <c r="E31" s="32">
        <v>256</v>
      </c>
      <c r="F31" s="32">
        <v>0</v>
      </c>
      <c r="G31"/>
      <c r="H31" s="37">
        <f t="shared" si="54"/>
        <v>0.47587793902482867</v>
      </c>
      <c r="I31" s="37">
        <f t="shared" si="47"/>
        <v>0.21986245224320156</v>
      </c>
      <c r="J31" s="37"/>
      <c r="R31" s="4">
        <f t="shared" si="55"/>
        <v>0.48610206413446244</v>
      </c>
      <c r="S31" s="4">
        <f t="shared" si="56"/>
        <v>0.219145307821494</v>
      </c>
      <c r="U31" s="4">
        <f t="shared" si="48"/>
        <v>0.67122945389568445</v>
      </c>
      <c r="V31" s="4">
        <f t="shared" si="57"/>
        <v>0.1007915186749655</v>
      </c>
      <c r="W31" s="4">
        <f t="shared" si="49"/>
        <v>0.39375934292960674</v>
      </c>
      <c r="X31" s="4">
        <f t="shared" si="58"/>
        <v>0.19372009152220915</v>
      </c>
      <c r="Y31" s="4">
        <v>25</v>
      </c>
      <c r="Z31" s="4">
        <f t="shared" si="50"/>
        <v>0.84879584636308858</v>
      </c>
      <c r="AC31" s="4">
        <f t="shared" si="51"/>
        <v>0.20618556701030927</v>
      </c>
      <c r="AD31">
        <f t="shared" si="59"/>
        <v>0.11527647610121836</v>
      </c>
      <c r="AF31">
        <f t="shared" si="52"/>
        <v>1.7943965970882303</v>
      </c>
    </row>
    <row r="32" spans="1:54">
      <c r="B32" s="22">
        <v>0.8</v>
      </c>
      <c r="D32" s="32">
        <v>0</v>
      </c>
      <c r="E32" s="32">
        <v>368</v>
      </c>
      <c r="F32" s="32">
        <v>0</v>
      </c>
      <c r="G32"/>
      <c r="H32" s="37">
        <f t="shared" si="54"/>
        <v>0.42983485054000325</v>
      </c>
      <c r="I32" s="37">
        <f t="shared" si="47"/>
        <v>0.17431078666606503</v>
      </c>
      <c r="J32" s="37"/>
      <c r="R32" s="4">
        <f t="shared" si="55"/>
        <v>0.45077980882106328</v>
      </c>
      <c r="S32" s="4">
        <f t="shared" si="56"/>
        <v>0.17615782271562802</v>
      </c>
      <c r="U32" s="4">
        <f t="shared" si="48"/>
        <v>0.69092848615006397</v>
      </c>
      <c r="V32" s="4">
        <f t="shared" si="57"/>
        <v>6.9721733952696541E-2</v>
      </c>
      <c r="W32" s="4">
        <f t="shared" si="49"/>
        <v>0.32828228962416622</v>
      </c>
      <c r="X32" s="4">
        <f t="shared" si="58"/>
        <v>0.14432171697137144</v>
      </c>
      <c r="Y32" s="4">
        <v>30</v>
      </c>
      <c r="Z32" s="4">
        <f t="shared" si="50"/>
        <v>0.65177109988600512</v>
      </c>
      <c r="AC32" s="4">
        <f t="shared" si="51"/>
        <v>0.178168130489335</v>
      </c>
      <c r="AD32">
        <f t="shared" si="59"/>
        <v>8.7259039580244085E-2</v>
      </c>
      <c r="AF32">
        <f t="shared" si="52"/>
        <v>1.8687520618915969</v>
      </c>
    </row>
    <row r="33" spans="2:32">
      <c r="B33" s="22" t="s">
        <v>339</v>
      </c>
      <c r="D33" s="32">
        <v>0</v>
      </c>
      <c r="E33" s="32">
        <v>676</v>
      </c>
      <c r="F33" s="32">
        <v>0</v>
      </c>
      <c r="G33"/>
      <c r="H33" s="37">
        <f t="shared" si="54"/>
        <v>0.43631113801314775</v>
      </c>
      <c r="I33" s="37">
        <f t="shared" si="47"/>
        <v>0.15072635837760029</v>
      </c>
      <c r="J33" s="37"/>
      <c r="R33" s="4">
        <f t="shared" si="55"/>
        <v>0.47234526348966921</v>
      </c>
      <c r="S33" s="4">
        <f t="shared" si="56"/>
        <v>0.15379659707035731</v>
      </c>
      <c r="U33" s="4">
        <f t="shared" si="48"/>
        <v>0.71758784683471011</v>
      </c>
      <c r="V33" s="4">
        <f t="shared" si="57"/>
        <v>5.3255541784135829E-2</v>
      </c>
      <c r="W33" s="4">
        <f t="shared" si="49"/>
        <v>0.2867942829429721</v>
      </c>
      <c r="X33" s="4">
        <f t="shared" si="58"/>
        <v>0.1132512640229334</v>
      </c>
      <c r="Y33" s="4">
        <v>35</v>
      </c>
      <c r="Z33" s="4">
        <f t="shared" si="50"/>
        <v>0.54084244961576389</v>
      </c>
      <c r="AC33" s="4">
        <f t="shared" si="51"/>
        <v>0.16072177926982795</v>
      </c>
      <c r="AD33">
        <f t="shared" si="59"/>
        <v>6.9812688360737035E-2</v>
      </c>
      <c r="AF33">
        <f t="shared" si="52"/>
        <v>2.0883669051398885</v>
      </c>
    </row>
    <row r="34" spans="2:32">
      <c r="B34" s="19">
        <f>4/6</f>
        <v>0.66666666666666663</v>
      </c>
      <c r="D34" s="32">
        <v>0</v>
      </c>
      <c r="E34" s="32">
        <v>880</v>
      </c>
      <c r="F34" s="32">
        <v>0</v>
      </c>
      <c r="G34"/>
      <c r="H34" s="37">
        <f t="shared" si="54"/>
        <v>0.45245955246889547</v>
      </c>
      <c r="I34" s="37">
        <f t="shared" si="47"/>
        <v>0.13379293698220135</v>
      </c>
      <c r="J34" s="37"/>
      <c r="R34" s="4">
        <f t="shared" si="55"/>
        <v>0.49227059450584343</v>
      </c>
      <c r="S34" s="4">
        <f t="shared" si="56"/>
        <v>0.13575868492666654</v>
      </c>
      <c r="U34" s="4">
        <f t="shared" si="48"/>
        <v>0.73314712167320539</v>
      </c>
      <c r="V34" s="4">
        <f t="shared" si="57"/>
        <v>3.672471699508939E-2</v>
      </c>
      <c r="W34" s="4">
        <f t="shared" si="49"/>
        <v>0.27438278250015669</v>
      </c>
      <c r="X34" s="4">
        <f t="shared" si="58"/>
        <v>9.6698228661713931E-2</v>
      </c>
      <c r="Y34" s="4">
        <v>40</v>
      </c>
      <c r="Z34" s="4">
        <f t="shared" si="50"/>
        <v>0.4610016468693463</v>
      </c>
      <c r="AC34" s="4">
        <f t="shared" si="51"/>
        <v>0.14893617021276595</v>
      </c>
      <c r="AD34">
        <f t="shared" si="59"/>
        <v>5.8027079303675039E-2</v>
      </c>
      <c r="AF34">
        <f t="shared" si="52"/>
        <v>2.0398658849017357</v>
      </c>
    </row>
    <row r="35" spans="2:32">
      <c r="D35" s="32">
        <v>0</v>
      </c>
      <c r="E35" s="32">
        <v>1253</v>
      </c>
      <c r="F35" s="32">
        <v>0</v>
      </c>
      <c r="G35"/>
      <c r="H35" s="37">
        <f t="shared" si="54"/>
        <v>0.45668500605113854</v>
      </c>
      <c r="I35" s="37">
        <f t="shared" si="47"/>
        <v>0.11894927276802164</v>
      </c>
      <c r="J35" s="37"/>
      <c r="R35" s="4">
        <f t="shared" si="55"/>
        <v>0.49045822041225257</v>
      </c>
      <c r="S35" s="4">
        <f t="shared" si="56"/>
        <v>0.11982170671330844</v>
      </c>
      <c r="U35" s="4">
        <f t="shared" si="48"/>
        <v>0.73735832670406298</v>
      </c>
      <c r="V35" s="4">
        <f t="shared" si="57"/>
        <v>2.8162443074261079E-2</v>
      </c>
      <c r="W35" s="4">
        <f t="shared" si="49"/>
        <v>0.26116293425700471</v>
      </c>
      <c r="X35" s="4">
        <f t="shared" si="58"/>
        <v>8.3351818800320665E-2</v>
      </c>
      <c r="Y35" s="4">
        <v>45</v>
      </c>
      <c r="Z35" s="4">
        <f t="shared" si="50"/>
        <v>0.39986089012366111</v>
      </c>
      <c r="AC35" s="4">
        <f t="shared" si="51"/>
        <v>0.14048473967684022</v>
      </c>
      <c r="AD35">
        <f t="shared" si="59"/>
        <v>4.9575648767749309E-2</v>
      </c>
      <c r="AF35">
        <f t="shared" si="52"/>
        <v>2.1103402578796566</v>
      </c>
    </row>
    <row r="36" spans="2:32">
      <c r="D36" s="32">
        <v>0</v>
      </c>
      <c r="E36" s="32">
        <v>1401</v>
      </c>
      <c r="F36" s="32">
        <v>0</v>
      </c>
      <c r="G36"/>
      <c r="H36" s="37">
        <f t="shared" si="54"/>
        <v>0.49092897979401862</v>
      </c>
      <c r="I36" s="37">
        <f t="shared" si="47"/>
        <v>0.10904541045259364</v>
      </c>
      <c r="J36" s="37"/>
      <c r="R36" s="4">
        <f t="shared" si="55"/>
        <v>0.48802999711566197</v>
      </c>
      <c r="S36" s="4">
        <f t="shared" si="56"/>
        <v>0.10712049689053815</v>
      </c>
      <c r="U36" s="4">
        <f t="shared" si="48"/>
        <v>0.75798835195970404</v>
      </c>
      <c r="V36" s="4">
        <f t="shared" si="57"/>
        <v>1.7659401353210868E-2</v>
      </c>
      <c r="W36" s="4">
        <f t="shared" si="49"/>
        <v>0.26295440434588313</v>
      </c>
      <c r="X36" s="4">
        <f t="shared" si="58"/>
        <v>7.5779065047300392E-2</v>
      </c>
      <c r="Y36" s="4">
        <v>50</v>
      </c>
      <c r="Z36" s="4">
        <f t="shared" si="50"/>
        <v>0.35284162429796673</v>
      </c>
      <c r="AC36" s="4">
        <f t="shared" si="51"/>
        <v>0.13414634146341464</v>
      </c>
      <c r="AD36">
        <f t="shared" si="59"/>
        <v>4.3237250554323731E-2</v>
      </c>
      <c r="AF36">
        <f t="shared" si="52"/>
        <v>2.18994006482784</v>
      </c>
    </row>
    <row r="37" spans="2:32">
      <c r="D37" s="32">
        <v>0</v>
      </c>
      <c r="E37" s="32">
        <v>1981</v>
      </c>
      <c r="F37" s="32">
        <v>0</v>
      </c>
      <c r="G37"/>
      <c r="H37" s="37">
        <f t="shared" si="54"/>
        <v>0.45871788041652084</v>
      </c>
      <c r="I37" s="37">
        <f t="shared" si="47"/>
        <v>9.6787489758574263E-2</v>
      </c>
      <c r="J37" s="37"/>
      <c r="R37" s="4">
        <f t="shared" si="55"/>
        <v>0.53101026083621017</v>
      </c>
      <c r="S37" s="4">
        <f t="shared" si="56"/>
        <v>9.8240127534138577E-2</v>
      </c>
      <c r="U37" s="4">
        <f t="shared" si="48"/>
        <v>0.77477065777413345</v>
      </c>
      <c r="V37" s="4">
        <f t="shared" si="57"/>
        <v>9.357008032220282E-3</v>
      </c>
      <c r="W37" s="4">
        <f t="shared" si="49"/>
        <v>0.26334498801582323</v>
      </c>
      <c r="X37" s="4">
        <f t="shared" si="58"/>
        <v>6.9217919290563285E-2</v>
      </c>
      <c r="Y37" s="4">
        <v>55</v>
      </c>
      <c r="Z37" s="4">
        <f t="shared" si="50"/>
        <v>0.31191865888097769</v>
      </c>
      <c r="AC37" s="4">
        <f t="shared" si="51"/>
        <v>0.12922520517457226</v>
      </c>
      <c r="AD37">
        <f t="shared" si="59"/>
        <v>3.8316114265481344E-2</v>
      </c>
      <c r="AF37">
        <f t="shared" si="52"/>
        <v>2.2413120651201988</v>
      </c>
    </row>
    <row r="38" spans="2:32">
      <c r="D38" s="32">
        <v>0</v>
      </c>
      <c r="E38" s="32">
        <v>2515</v>
      </c>
      <c r="F38" s="32">
        <v>0</v>
      </c>
      <c r="G38"/>
      <c r="H38" s="37">
        <f t="shared" si="54"/>
        <v>0.50194069365154981</v>
      </c>
      <c r="I38" s="37">
        <f t="shared" si="47"/>
        <v>9.0438365270916088E-2</v>
      </c>
      <c r="J38" s="37"/>
      <c r="R38" s="4">
        <f t="shared" si="55"/>
        <v>0.55662678278259348</v>
      </c>
      <c r="S38" s="4">
        <f t="shared" si="56"/>
        <v>8.9557899414528075E-2</v>
      </c>
      <c r="U38" s="4">
        <f t="shared" si="48"/>
        <v>0.7935083227482731</v>
      </c>
      <c r="V38" s="4">
        <f t="shared" si="57"/>
        <v>3.3005142966605616E-3</v>
      </c>
      <c r="W38" s="4">
        <f t="shared" si="49"/>
        <v>0.27594474896325316</v>
      </c>
      <c r="X38" s="4">
        <f t="shared" si="58"/>
        <v>6.58020612835441E-2</v>
      </c>
      <c r="Y38" s="4">
        <v>60</v>
      </c>
      <c r="Z38" s="4">
        <f t="shared" si="50"/>
        <v>0.28348794315412695</v>
      </c>
      <c r="AC38" s="4">
        <f t="shared" si="51"/>
        <v>0.12529819379756901</v>
      </c>
      <c r="AD38">
        <f t="shared" si="59"/>
        <v>3.4389102888478101E-2</v>
      </c>
      <c r="AF38">
        <f t="shared" si="52"/>
        <v>2.2856359297027553</v>
      </c>
    </row>
    <row r="39" spans="2:32">
      <c r="D39" s="32">
        <v>0</v>
      </c>
      <c r="E39" s="32">
        <v>2988</v>
      </c>
      <c r="F39" s="32">
        <v>0</v>
      </c>
      <c r="G39"/>
      <c r="H39" s="37">
        <f t="shared" si="54"/>
        <v>0.59665778714184492</v>
      </c>
      <c r="I39" s="37">
        <f t="shared" si="47"/>
        <v>8.2634646518648047E-2</v>
      </c>
      <c r="J39" s="37"/>
      <c r="R39" s="4">
        <f t="shared" si="55"/>
        <v>0.57633796938469495</v>
      </c>
      <c r="S39" s="4">
        <f t="shared" si="56"/>
        <v>8.1857681210287858E-2</v>
      </c>
      <c r="U39" s="4">
        <f t="shared" si="48"/>
        <v>0.81085903323747188</v>
      </c>
      <c r="V39" s="4">
        <f t="shared" si="57"/>
        <v>-1.1870295262331743E-3</v>
      </c>
      <c r="W39" s="4">
        <f t="shared" si="49"/>
        <v>0.29683299163728294</v>
      </c>
      <c r="X39" s="4">
        <f t="shared" si="58"/>
        <v>6.3978495731839585E-2</v>
      </c>
      <c r="Y39" s="4">
        <v>65</v>
      </c>
      <c r="Z39" s="4">
        <f t="shared" si="50"/>
        <v>0.25846882511957348</v>
      </c>
      <c r="AC39" s="4">
        <f t="shared" si="51"/>
        <v>0.1220941220941221</v>
      </c>
      <c r="AD39">
        <f t="shared" si="59"/>
        <v>3.1185031185031187E-2</v>
      </c>
      <c r="AF39">
        <f t="shared" si="52"/>
        <v>2.3614241535712672</v>
      </c>
    </row>
    <row r="40" spans="2:32">
      <c r="D40" s="32">
        <v>0</v>
      </c>
      <c r="E40" s="32">
        <v>3522</v>
      </c>
      <c r="F40" s="32">
        <v>0</v>
      </c>
      <c r="G40"/>
      <c r="H40" s="37">
        <f t="shared" si="54"/>
        <v>0.60367947829728885</v>
      </c>
      <c r="I40" s="37">
        <f t="shared" si="47"/>
        <v>7.5988379937255268E-2</v>
      </c>
      <c r="J40" s="37"/>
      <c r="R40" s="4">
        <f t="shared" si="55"/>
        <v>0.59217347749694837</v>
      </c>
      <c r="S40" s="4">
        <f t="shared" si="56"/>
        <v>7.5130933335611272E-2</v>
      </c>
      <c r="U40" s="4">
        <f t="shared" si="48"/>
        <v>0.82256622526573175</v>
      </c>
      <c r="V40" s="4">
        <f t="shared" si="57"/>
        <v>-5.2467934475495248E-3</v>
      </c>
      <c r="W40" s="4">
        <f t="shared" si="49"/>
        <v>0.3169177810946292</v>
      </c>
      <c r="X40" s="4">
        <f t="shared" si="58"/>
        <v>6.2034279594301966E-2</v>
      </c>
      <c r="Y40" s="4">
        <v>70</v>
      </c>
      <c r="Z40" s="4">
        <f t="shared" si="50"/>
        <v>0.23642929081932579</v>
      </c>
      <c r="AC40" s="4">
        <f t="shared" si="51"/>
        <v>0.1194315823087977</v>
      </c>
      <c r="AD40">
        <f t="shared" si="59"/>
        <v>2.8522491399706792E-2</v>
      </c>
      <c r="AF40">
        <f t="shared" si="52"/>
        <v>2.3913079324526052</v>
      </c>
    </row>
    <row r="41" spans="2:32">
      <c r="D41" s="32">
        <v>0</v>
      </c>
      <c r="E41" s="32">
        <v>3945</v>
      </c>
      <c r="F41" s="32">
        <v>0</v>
      </c>
      <c r="G41"/>
      <c r="H41" s="37">
        <f t="shared" si="54"/>
        <v>0.61677259217665292</v>
      </c>
      <c r="I41" s="37">
        <f t="shared" ref="I41:I46" si="60">H41-G18</f>
        <v>6.9950226182468489E-2</v>
      </c>
      <c r="J41" s="37"/>
      <c r="R41" s="4">
        <f t="shared" si="55"/>
        <v>0.61021251262082821</v>
      </c>
      <c r="S41" s="4">
        <f>R41-R18</f>
        <v>6.9059838196416257E-2</v>
      </c>
      <c r="U41" s="4">
        <f t="shared" si="48"/>
        <v>0.83574097247317347</v>
      </c>
      <c r="V41" s="4">
        <f>U41-U18</f>
        <v>-2.7733263702212074E-3</v>
      </c>
      <c r="W41" s="4">
        <f t="shared" si="49"/>
        <v>0.32841127566741873</v>
      </c>
      <c r="X41" s="4">
        <f>W41-X18</f>
        <v>5.9194724764552009E-2</v>
      </c>
      <c r="Y41" s="4">
        <v>75</v>
      </c>
      <c r="Z41" s="4">
        <f t="shared" si="50"/>
        <v>0.2217072027489897</v>
      </c>
      <c r="AC41" s="4">
        <f t="shared" si="51"/>
        <v>0.11718483088486505</v>
      </c>
      <c r="AD41">
        <f>AC41-AD18</f>
        <v>2.6275739975774134E-2</v>
      </c>
      <c r="AF41">
        <f t="shared" si="52"/>
        <v>2.389472062448645</v>
      </c>
    </row>
    <row r="42" spans="2:32">
      <c r="D42" s="32">
        <v>0</v>
      </c>
      <c r="E42" s="32">
        <v>4288</v>
      </c>
      <c r="F42" s="32">
        <v>0</v>
      </c>
      <c r="G42"/>
      <c r="H42" s="37">
        <f t="shared" si="54"/>
        <v>0.62863433036608174</v>
      </c>
      <c r="I42" s="37">
        <f t="shared" si="60"/>
        <v>6.4649008557495558E-2</v>
      </c>
      <c r="J42" s="37"/>
      <c r="R42" s="4">
        <f t="shared" si="55"/>
        <v>0.62474062955277909</v>
      </c>
      <c r="S42" s="4">
        <f>R42-R19</f>
        <v>6.3746516601452141E-2</v>
      </c>
      <c r="U42" s="4">
        <f t="shared" si="48"/>
        <v>0.84821979996224739</v>
      </c>
      <c r="V42" s="4">
        <f>U42-U19</f>
        <v>6.4047990380686759E-3</v>
      </c>
      <c r="W42" s="4">
        <f t="shared" si="49"/>
        <v>0.33291149134671655</v>
      </c>
      <c r="X42" s="4">
        <f>W42-X19</f>
        <v>5.5946716801803742E-2</v>
      </c>
      <c r="Y42" s="4">
        <v>80</v>
      </c>
      <c r="Z42" s="4">
        <f t="shared" si="50"/>
        <v>0.2151020106491946</v>
      </c>
      <c r="AC42" s="4">
        <f t="shared" si="51"/>
        <v>0.11526406055946538</v>
      </c>
      <c r="AD42">
        <f>AC42-AD19</f>
        <v>2.4354969650374467E-2</v>
      </c>
      <c r="AF42">
        <f t="shared" si="52"/>
        <v>2.3550971805476704</v>
      </c>
    </row>
    <row r="43" spans="2:32">
      <c r="D43" s="32">
        <v>0</v>
      </c>
      <c r="E43" s="32">
        <v>4616</v>
      </c>
      <c r="F43" s="32">
        <v>0</v>
      </c>
      <c r="G43"/>
      <c r="H43" s="37">
        <f t="shared" si="54"/>
        <v>0.63939287595055805</v>
      </c>
      <c r="I43" s="37">
        <f t="shared" si="60"/>
        <v>5.9974028021451464E-2</v>
      </c>
      <c r="J43" s="37"/>
      <c r="R43" s="4">
        <f t="shared" si="55"/>
        <v>0.63866564426484485</v>
      </c>
      <c r="S43" s="4">
        <f>R43-R20</f>
        <v>5.8989866842239835E-2</v>
      </c>
      <c r="U43" s="4">
        <f t="shared" si="48"/>
        <v>0.86156579865022276</v>
      </c>
      <c r="V43" s="4">
        <f>U43-U20</f>
        <v>1.939025905413172E-2</v>
      </c>
      <c r="W43" s="4">
        <f t="shared" si="49"/>
        <v>0.34755230538112991</v>
      </c>
      <c r="X43" s="4">
        <f>W43-X20</f>
        <v>5.3949655754729875E-2</v>
      </c>
      <c r="Y43" s="4">
        <v>85</v>
      </c>
      <c r="Z43" s="4">
        <f t="shared" si="50"/>
        <v>0.21499819199066894</v>
      </c>
      <c r="AC43" s="4">
        <f t="shared" si="51"/>
        <v>0.11360347322720694</v>
      </c>
      <c r="AD43">
        <f>AC43-AD20</f>
        <v>2.2694382318116033E-2</v>
      </c>
      <c r="AF43">
        <f t="shared" si="52"/>
        <v>2.308971714985983</v>
      </c>
    </row>
    <row r="44" spans="2:32">
      <c r="D44" s="32">
        <v>0</v>
      </c>
      <c r="E44" s="32">
        <v>4924</v>
      </c>
      <c r="F44" s="32">
        <v>0</v>
      </c>
      <c r="G44"/>
      <c r="H44" s="37">
        <f t="shared" si="54"/>
        <v>0.65695637445668853</v>
      </c>
      <c r="I44" s="37">
        <f t="shared" si="60"/>
        <v>5.5354561308027295E-2</v>
      </c>
      <c r="J44" s="37"/>
      <c r="R44" s="4">
        <f t="shared" si="55"/>
        <v>0.65206058209032813</v>
      </c>
      <c r="S44" s="4">
        <f>R44-R21</f>
        <v>5.4706738174774894E-2</v>
      </c>
      <c r="U44" s="4">
        <f t="shared" si="48"/>
        <v>0.8747070232560471</v>
      </c>
      <c r="V44" s="4">
        <f>U44-U21</f>
        <v>3.3689884855752084E-2</v>
      </c>
      <c r="W44" s="4">
        <f t="shared" si="49"/>
        <v>0.35132562254102079</v>
      </c>
      <c r="X44" s="4">
        <f>W44-X21</f>
        <v>5.1236809187592214E-2</v>
      </c>
      <c r="Y44" s="4">
        <v>90</v>
      </c>
      <c r="Z44" s="4">
        <f t="shared" si="50"/>
        <v>0.21623269270451911</v>
      </c>
      <c r="AC44" s="4">
        <f t="shared" si="51"/>
        <v>0.11215379008746355</v>
      </c>
      <c r="AD44">
        <f>AC44-AD21</f>
        <v>2.1244699178372642E-2</v>
      </c>
      <c r="AF44">
        <f t="shared" si="52"/>
        <v>2.260696257850586</v>
      </c>
    </row>
    <row r="45" spans="2:32">
      <c r="D45" s="32">
        <v>0</v>
      </c>
      <c r="E45" s="32">
        <v>5482</v>
      </c>
      <c r="F45" s="32">
        <v>0</v>
      </c>
      <c r="G45"/>
      <c r="H45" s="37">
        <f t="shared" si="54"/>
        <v>0.67357806263318187</v>
      </c>
      <c r="I45" s="37">
        <f t="shared" si="60"/>
        <v>5.1142123449399057E-2</v>
      </c>
      <c r="J45" s="37"/>
      <c r="R45" s="4">
        <f t="shared" si="55"/>
        <v>0.66577035948146546</v>
      </c>
      <c r="S45" s="4">
        <f>R45-R22</f>
        <v>5.077921314000744E-2</v>
      </c>
      <c r="U45" s="4">
        <f t="shared" si="48"/>
        <v>0.88732291617097481</v>
      </c>
      <c r="V45" s="4">
        <f>U45-U22</f>
        <v>4.7751910875861281E-2</v>
      </c>
      <c r="W45" s="4">
        <f t="shared" si="49"/>
        <v>0.35881209604384146</v>
      </c>
      <c r="X45" s="4">
        <f>W45-X22</f>
        <v>4.9064307805665286E-2</v>
      </c>
      <c r="Y45" s="4">
        <v>95</v>
      </c>
      <c r="Z45" s="4">
        <f t="shared" si="50"/>
        <v>0.21870585605311677</v>
      </c>
      <c r="AC45" s="4">
        <f t="shared" si="51"/>
        <v>0.11087739169127463</v>
      </c>
      <c r="AD45">
        <f>AC45-AD22</f>
        <v>1.9968300782183715E-2</v>
      </c>
      <c r="AF45">
        <f t="shared" si="52"/>
        <v>2.2144280682808319</v>
      </c>
    </row>
    <row r="46" spans="2:32">
      <c r="D46" s="32">
        <v>0</v>
      </c>
      <c r="E46" s="32">
        <v>6070</v>
      </c>
      <c r="F46" s="32">
        <v>0</v>
      </c>
      <c r="G46"/>
      <c r="H46" s="37">
        <f t="shared" si="54"/>
        <v>0.68925729288421633</v>
      </c>
      <c r="I46" s="37">
        <f t="shared" si="60"/>
        <v>4.7299426480294726E-2</v>
      </c>
      <c r="J46" s="37"/>
    </row>
    <row r="49" spans="1:54" s="24" customFormat="1">
      <c r="A49" s="24" t="s">
        <v>193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54">
      <c r="A50" t="s">
        <v>52</v>
      </c>
      <c r="B50" s="18" t="s">
        <v>57</v>
      </c>
      <c r="C50" t="s">
        <v>58</v>
      </c>
      <c r="D50" t="s">
        <v>30</v>
      </c>
      <c r="E50" s="4" t="s">
        <v>184</v>
      </c>
      <c r="F50" s="4" t="s">
        <v>186</v>
      </c>
      <c r="G50" s="4" t="s">
        <v>185</v>
      </c>
      <c r="H50" s="4" t="s">
        <v>29</v>
      </c>
      <c r="I50" s="4" t="s">
        <v>59</v>
      </c>
      <c r="J50" s="4" t="s">
        <v>338</v>
      </c>
      <c r="K50" s="5" t="s">
        <v>60</v>
      </c>
      <c r="L50" s="4" t="s">
        <v>61</v>
      </c>
      <c r="M50" s="4" t="s">
        <v>62</v>
      </c>
      <c r="N50" s="4" t="s">
        <v>63</v>
      </c>
      <c r="O50" s="16" t="s">
        <v>178</v>
      </c>
      <c r="P50" s="17" t="s">
        <v>64</v>
      </c>
      <c r="Q50" s="4" t="s">
        <v>65</v>
      </c>
      <c r="R50" s="4" t="s">
        <v>66</v>
      </c>
      <c r="S50" s="4" t="s">
        <v>67</v>
      </c>
      <c r="T50" s="4" t="s">
        <v>68</v>
      </c>
      <c r="U50" s="4" t="s">
        <v>69</v>
      </c>
      <c r="V50" s="4" t="s">
        <v>70</v>
      </c>
      <c r="W50" s="4" t="s">
        <v>248</v>
      </c>
      <c r="X50" s="4" t="s">
        <v>249</v>
      </c>
      <c r="Y50" s="9" t="s">
        <v>71</v>
      </c>
      <c r="Z50" s="23" t="s">
        <v>191</v>
      </c>
      <c r="AA50" s="20" t="s">
        <v>72</v>
      </c>
      <c r="AB50" s="20" t="s">
        <v>379</v>
      </c>
      <c r="AC50" s="4" t="str">
        <f>AC2</f>
        <v>韧性</v>
      </c>
      <c r="AD50" s="4" t="str">
        <f t="shared" ref="AD50:AI50" si="61">AD2</f>
        <v>韧性减免</v>
      </c>
      <c r="AE50" s="4" t="str">
        <f t="shared" si="61"/>
        <v>神器星级</v>
      </c>
      <c r="AF50" s="4" t="str">
        <f t="shared" si="61"/>
        <v>神器生命</v>
      </c>
      <c r="AG50" s="4" t="str">
        <f t="shared" si="61"/>
        <v>神器吸血</v>
      </c>
      <c r="AH50" s="4" t="str">
        <f t="shared" si="61"/>
        <v>神器护甲</v>
      </c>
      <c r="AI50" s="4" t="str">
        <f t="shared" si="61"/>
        <v>神器物抗</v>
      </c>
      <c r="AJ50" t="s">
        <v>319</v>
      </c>
      <c r="AK50" t="s">
        <v>320</v>
      </c>
      <c r="AL50" t="s">
        <v>321</v>
      </c>
      <c r="AM50" t="s">
        <v>322</v>
      </c>
      <c r="AN50" t="str">
        <f>AN2</f>
        <v>护甲穿透</v>
      </c>
      <c r="AO50" t="str">
        <f t="shared" ref="AO50:AQ50" si="62">AO2</f>
        <v>抗性穿透</v>
      </c>
      <c r="AP50" t="str">
        <f t="shared" si="62"/>
        <v>BOSS护甲</v>
      </c>
      <c r="AQ50" t="str">
        <f t="shared" si="62"/>
        <v>BOSS抗性</v>
      </c>
      <c r="AR50" t="s">
        <v>341</v>
      </c>
      <c r="AS50" t="s">
        <v>342</v>
      </c>
      <c r="AT50" t="str">
        <f>AT2</f>
        <v>佣兵EHP</v>
      </c>
      <c r="AU50" t="str">
        <f t="shared" ref="AU50:AZ50" si="63">AU2</f>
        <v>佣兵DPS</v>
      </c>
      <c r="AV50" t="str">
        <f t="shared" si="63"/>
        <v>佣兵辅助加成</v>
      </c>
      <c r="AW50" t="str">
        <f t="shared" si="63"/>
        <v>佣兵光环DPS</v>
      </c>
      <c r="AX50" t="str">
        <f t="shared" si="63"/>
        <v>佣兵光环EHP</v>
      </c>
      <c r="AY50" t="str">
        <f t="shared" si="63"/>
        <v>合计DPS</v>
      </c>
      <c r="AZ50" t="str">
        <f t="shared" si="63"/>
        <v>合计EHP</v>
      </c>
    </row>
    <row r="51" spans="1:54">
      <c r="A51" s="4">
        <v>1</v>
      </c>
      <c r="B51" s="19">
        <f>B3</f>
        <v>56</v>
      </c>
      <c r="C51" s="4">
        <v>47</v>
      </c>
      <c r="D51" s="6">
        <f>C51+B51</f>
        <v>103</v>
      </c>
      <c r="E51" s="6">
        <f>E3</f>
        <v>9</v>
      </c>
      <c r="F51" s="6">
        <f t="shared" ref="F51:F71" si="64">(E51+$C$75*D51+D74)*(1+AL3/100)</f>
        <v>74.8</v>
      </c>
      <c r="G51" s="6">
        <f>F51/(A51*A51*3+3*A51+50+F51)</f>
        <v>0.57186544342507639</v>
      </c>
      <c r="H51" s="4">
        <f>H3</f>
        <v>8</v>
      </c>
      <c r="I51" s="6">
        <f t="shared" ref="I51:I65" si="65">D51*1.5*MAX($C$26:$C$29)</f>
        <v>92.7</v>
      </c>
      <c r="J51" s="6">
        <v>2</v>
      </c>
      <c r="K51" s="7">
        <f>(I51+H51)/2*(1+AK51/100)*(1+G51*(B$80+AM51/100))*J51</f>
        <v>146.76948012232415</v>
      </c>
      <c r="L51" s="6">
        <f t="shared" ref="L51:L65" si="66">$C$29*D51</f>
        <v>20.6</v>
      </c>
      <c r="M51" s="4">
        <f>M3</f>
        <v>100</v>
      </c>
      <c r="N51" s="4">
        <f>ROUND((L51*10+M51)*(100+AF51)/100,0)</f>
        <v>306</v>
      </c>
      <c r="O51" s="4">
        <f t="shared" ref="O51:O65" si="67">M51/N51</f>
        <v>0.32679738562091504</v>
      </c>
      <c r="P51" s="17">
        <f>P3</f>
        <v>6</v>
      </c>
      <c r="Q51" s="6">
        <f t="shared" ref="Q51:Q71" si="68">(P51+E74)*AA51*(1+AH51/100)</f>
        <v>6</v>
      </c>
      <c r="R51" s="4">
        <f t="shared" ref="R51:R71" si="69">Q51/(A51*A51*3+A51*3+50+Q51)</f>
        <v>9.6774193548387094E-2</v>
      </c>
      <c r="S51" s="4">
        <f>S3</f>
        <v>0</v>
      </c>
      <c r="T51" s="4">
        <f>T3</f>
        <v>0</v>
      </c>
      <c r="U51" s="4">
        <f t="shared" ref="U51:U65" si="70">(S51+D51*C$74)/($A51*50+S51+D51*C$74+50)</f>
        <v>9.3381686310063466E-2</v>
      </c>
      <c r="V51" s="4">
        <f t="shared" ref="V51:V65" si="71">(T51+B51*C$76)/($A51*50+T51+B51*C$76+50)</f>
        <v>5.3030303030303039E-2</v>
      </c>
      <c r="W51" s="4">
        <f>(装备属性设计!Z3*战斗力成长!AB3+D3*C$75*0.2)*(1+AJ3/100)</f>
        <v>15.36</v>
      </c>
      <c r="X51" s="4">
        <f>W51/((3*$A51*$A51+3*$A51+50)/4+W51)</f>
        <v>0.52316076294277924</v>
      </c>
      <c r="Y51" s="10">
        <f>(N51/(1-R51))/(1-U51)/(1-X51)</f>
        <v>783.66169102040806</v>
      </c>
      <c r="Z51" s="23">
        <f t="shared" ref="Z51:Z65" si="72">Y51/K51</f>
        <v>5.3394049659865921</v>
      </c>
      <c r="AA51" s="20">
        <f>AA3</f>
        <v>1</v>
      </c>
      <c r="AB51" s="20">
        <f>(AA51-1)/1.5+1</f>
        <v>1</v>
      </c>
      <c r="AC51" s="4">
        <f t="shared" ref="AC51:AI51" si="73">AC3</f>
        <v>11.200000000000001</v>
      </c>
      <c r="AD51" s="4">
        <f t="shared" si="73"/>
        <v>9.0909090909090912E-2</v>
      </c>
      <c r="AE51" s="4">
        <f t="shared" si="73"/>
        <v>0</v>
      </c>
      <c r="AF51" s="4">
        <f t="shared" si="73"/>
        <v>0</v>
      </c>
      <c r="AG51" s="4">
        <f t="shared" si="73"/>
        <v>0</v>
      </c>
      <c r="AH51" s="4">
        <f t="shared" si="73"/>
        <v>0</v>
      </c>
      <c r="AI51" s="4">
        <f t="shared" si="73"/>
        <v>0</v>
      </c>
      <c r="AJ51">
        <f>AE51*8</f>
        <v>0</v>
      </c>
      <c r="AK51">
        <f>AE51*4</f>
        <v>0</v>
      </c>
      <c r="AL51">
        <f>AE51*8</f>
        <v>0</v>
      </c>
      <c r="AM51">
        <f>AE51*7*1.3</f>
        <v>0</v>
      </c>
      <c r="AN51">
        <f t="shared" ref="AN51:AQ51" si="74">AN3</f>
        <v>0</v>
      </c>
      <c r="AO51">
        <f t="shared" si="74"/>
        <v>0</v>
      </c>
      <c r="AP51">
        <f t="shared" si="74"/>
        <v>0</v>
      </c>
      <c r="AQ51">
        <f t="shared" si="74"/>
        <v>0</v>
      </c>
      <c r="AR51">
        <f>AG51*K51/100/(1-X51)/(1-U51)/(1-R51)</f>
        <v>0</v>
      </c>
      <c r="AS51">
        <f>Y51*AE51/1000*2</f>
        <v>0</v>
      </c>
      <c r="AT51">
        <f t="shared" ref="AT51:AX51" si="75">AT3</f>
        <v>1</v>
      </c>
      <c r="AU51">
        <f t="shared" si="75"/>
        <v>0</v>
      </c>
      <c r="AV51">
        <f t="shared" si="75"/>
        <v>1</v>
      </c>
      <c r="AW51">
        <f t="shared" si="75"/>
        <v>1</v>
      </c>
      <c r="AX51">
        <f t="shared" si="75"/>
        <v>1</v>
      </c>
      <c r="AY51">
        <f t="shared" ref="AY51:AY52" si="76">(MIN(AT51/(Y51+(AR51+AS51)/2*BB51),1)*AU51+K51)*AW51</f>
        <v>146.76948012232415</v>
      </c>
      <c r="AZ51">
        <f>(Y51+AT51+(AR51+AS51)*BB51)*AX51*AV51</f>
        <v>784.66169102040806</v>
      </c>
      <c r="BA51">
        <f>AY51*AZ51^(1/3)</f>
        <v>1353.7233059226323</v>
      </c>
      <c r="BB51">
        <v>10</v>
      </c>
    </row>
    <row r="52" spans="1:54">
      <c r="A52" s="4">
        <v>5</v>
      </c>
      <c r="B52" s="19">
        <f t="shared" ref="B52:B71" si="77">B4</f>
        <v>140</v>
      </c>
      <c r="C52" s="4">
        <v>75</v>
      </c>
      <c r="D52" s="6">
        <f t="shared" ref="D52:D65" si="78">C52+B52</f>
        <v>215</v>
      </c>
      <c r="E52" s="6">
        <f t="shared" ref="E52:E71" si="79">E4</f>
        <v>24.150000000000002</v>
      </c>
      <c r="F52" s="6">
        <f t="shared" si="64"/>
        <v>165.15</v>
      </c>
      <c r="G52" s="6">
        <f t="shared" ref="G52:G65" si="80">F52/(A52*A52*3+2*A52+53+F52)</f>
        <v>0.54477981197427028</v>
      </c>
      <c r="H52" s="4">
        <f t="shared" ref="H52:H71" si="81">H4</f>
        <v>31.5</v>
      </c>
      <c r="I52" s="6">
        <f t="shared" si="65"/>
        <v>193.5</v>
      </c>
      <c r="J52" s="6">
        <v>2</v>
      </c>
      <c r="K52" s="7">
        <f t="shared" ref="K52:K71" si="82">(I52+H52)/2*(1+AK52/100)*(1+G52*(B$80+AM52/100))*J52</f>
        <v>323.06036615536863</v>
      </c>
      <c r="L52" s="6">
        <f t="shared" si="66"/>
        <v>43</v>
      </c>
      <c r="M52" s="4">
        <f t="shared" ref="M52:M71" si="83">M4</f>
        <v>252</v>
      </c>
      <c r="N52" s="4">
        <f t="shared" ref="N52:N71" si="84">ROUND((L52*10+M52)*(100+AF52)/100,0)</f>
        <v>682</v>
      </c>
      <c r="O52" s="4">
        <f t="shared" si="67"/>
        <v>0.36950146627565983</v>
      </c>
      <c r="P52" s="17">
        <f t="shared" ref="P52:P71" si="85">P4</f>
        <v>18</v>
      </c>
      <c r="Q52" s="6">
        <f t="shared" si="68"/>
        <v>18.900000000000002</v>
      </c>
      <c r="R52" s="4">
        <f t="shared" si="69"/>
        <v>0.11894273127753305</v>
      </c>
      <c r="S52" s="4">
        <f t="shared" ref="S52:S71" si="86">S4</f>
        <v>20.666666666666668</v>
      </c>
      <c r="T52" s="4">
        <f t="shared" ref="T52:T65" si="87">T4</f>
        <v>20.666666666666668</v>
      </c>
      <c r="U52" s="4">
        <f t="shared" si="70"/>
        <v>0.12323429128105212</v>
      </c>
      <c r="V52" s="4">
        <f t="shared" si="71"/>
        <v>0.10358565737051793</v>
      </c>
      <c r="W52" s="4">
        <f>(装备属性设计!Z4*战斗力成长!AB4+D4*C$75*0.2)*(1+AJ4/100)</f>
        <v>28.900000000000002</v>
      </c>
      <c r="X52" s="4">
        <f t="shared" ref="X52:X65" si="88">W52/((3*$A52*$A52+3*$A52+50)/4+W52)</f>
        <v>0.45226917057902971</v>
      </c>
      <c r="Y52" s="10">
        <f t="shared" ref="Y52:Y65" si="89">(N52/(1-R52))/(1-U52)/(1-X52)</f>
        <v>1611.8680772857142</v>
      </c>
      <c r="Z52" s="23">
        <f t="shared" si="72"/>
        <v>4.9893711706824551</v>
      </c>
      <c r="AA52" s="20">
        <f t="shared" ref="AA52:AI71" si="90">AA4</f>
        <v>1.05</v>
      </c>
      <c r="AB52" s="20">
        <f t="shared" ref="AB52:AB71" si="91">(AA52-1)/1.5+1</f>
        <v>1.0333333333333334</v>
      </c>
      <c r="AC52" s="4">
        <f t="shared" si="90"/>
        <v>28</v>
      </c>
      <c r="AD52" s="4">
        <f t="shared" si="90"/>
        <v>9.0909090909090912E-2</v>
      </c>
      <c r="AE52" s="4">
        <f t="shared" si="90"/>
        <v>0</v>
      </c>
      <c r="AF52" s="4">
        <f t="shared" si="90"/>
        <v>0</v>
      </c>
      <c r="AG52" s="4">
        <f t="shared" si="90"/>
        <v>0</v>
      </c>
      <c r="AH52" s="4">
        <f t="shared" si="90"/>
        <v>0</v>
      </c>
      <c r="AI52" s="4">
        <f t="shared" si="90"/>
        <v>0</v>
      </c>
      <c r="AJ52">
        <f t="shared" ref="AJ52:AJ71" si="92">AE52*8</f>
        <v>0</v>
      </c>
      <c r="AK52">
        <f t="shared" ref="AK52:AK71" si="93">AE52*4</f>
        <v>0</v>
      </c>
      <c r="AL52">
        <f t="shared" ref="AL52:AL71" si="94">AE52*8</f>
        <v>0</v>
      </c>
      <c r="AM52">
        <f t="shared" ref="AM52:AM71" si="95">AE52*7*1.3</f>
        <v>0</v>
      </c>
      <c r="AN52">
        <f t="shared" ref="AN52:AQ52" si="96">AN4</f>
        <v>0</v>
      </c>
      <c r="AO52">
        <f t="shared" si="96"/>
        <v>0</v>
      </c>
      <c r="AP52">
        <f t="shared" si="96"/>
        <v>0</v>
      </c>
      <c r="AQ52">
        <f t="shared" si="96"/>
        <v>0</v>
      </c>
      <c r="AR52">
        <f t="shared" ref="AR52:AR56" si="97">AG52*K52/100/(1-X52)/(1-U52)/(1-R52)</f>
        <v>0</v>
      </c>
      <c r="AS52">
        <f t="shared" ref="AS52:AS71" si="98">Y52*AE52/1000*2</f>
        <v>0</v>
      </c>
      <c r="AT52">
        <f t="shared" ref="AT52:AX52" si="99">AT4</f>
        <v>1</v>
      </c>
      <c r="AU52">
        <f t="shared" si="99"/>
        <v>0</v>
      </c>
      <c r="AV52">
        <f t="shared" si="99"/>
        <v>1</v>
      </c>
      <c r="AW52">
        <f t="shared" si="99"/>
        <v>1</v>
      </c>
      <c r="AX52">
        <f t="shared" si="99"/>
        <v>1</v>
      </c>
      <c r="AY52">
        <f t="shared" si="76"/>
        <v>323.06036615536863</v>
      </c>
      <c r="AZ52">
        <f t="shared" ref="AZ52:AZ71" si="100">(Y52+AT52+(AR52+AS52)*BB52)*AX52*AV52</f>
        <v>1612.8680772857142</v>
      </c>
      <c r="BA52">
        <f t="shared" ref="BA52:BA71" si="101">AY52*AZ52^(1/3)</f>
        <v>3788.6396178113282</v>
      </c>
      <c r="BB52">
        <v>12</v>
      </c>
    </row>
    <row r="53" spans="1:54">
      <c r="A53" s="4">
        <v>10</v>
      </c>
      <c r="B53" s="19">
        <f t="shared" si="77"/>
        <v>380</v>
      </c>
      <c r="C53" s="4">
        <v>110</v>
      </c>
      <c r="D53" s="6">
        <f t="shared" si="78"/>
        <v>490</v>
      </c>
      <c r="E53" s="6">
        <f t="shared" si="79"/>
        <v>47.300000000000004</v>
      </c>
      <c r="F53" s="6">
        <f t="shared" si="64"/>
        <v>401.00400000000002</v>
      </c>
      <c r="G53" s="6">
        <f t="shared" si="80"/>
        <v>0.51809034578632673</v>
      </c>
      <c r="H53" s="4">
        <f t="shared" si="81"/>
        <v>105.60000000000001</v>
      </c>
      <c r="I53" s="6">
        <f t="shared" si="65"/>
        <v>441</v>
      </c>
      <c r="J53" s="6">
        <v>2</v>
      </c>
      <c r="K53" s="7">
        <f t="shared" si="82"/>
        <v>830.87749790142698</v>
      </c>
      <c r="L53" s="6">
        <f t="shared" si="66"/>
        <v>98</v>
      </c>
      <c r="M53" s="4">
        <f t="shared" si="83"/>
        <v>528</v>
      </c>
      <c r="N53" s="4">
        <f t="shared" si="84"/>
        <v>1583</v>
      </c>
      <c r="O53" s="4">
        <f t="shared" si="67"/>
        <v>0.33354390397978523</v>
      </c>
      <c r="P53" s="17">
        <f t="shared" si="85"/>
        <v>40</v>
      </c>
      <c r="Q53" s="6">
        <f t="shared" si="68"/>
        <v>45.760000000000005</v>
      </c>
      <c r="R53" s="4">
        <f t="shared" si="69"/>
        <v>0.107478391582112</v>
      </c>
      <c r="S53" s="4">
        <f t="shared" si="86"/>
        <v>70.655999999999992</v>
      </c>
      <c r="T53" s="4">
        <f t="shared" si="87"/>
        <v>21.333333333333332</v>
      </c>
      <c r="U53" s="4">
        <f t="shared" si="70"/>
        <v>0.17868278638584587</v>
      </c>
      <c r="V53" s="4">
        <f t="shared" si="71"/>
        <v>9.7374179431072197E-2</v>
      </c>
      <c r="W53" s="4">
        <f>(装备属性设计!Z5*战斗力成长!AB5+D5*C$75*0.2)*(1+AJ5/100)</f>
        <v>73.509333333333345</v>
      </c>
      <c r="X53" s="4">
        <f t="shared" si="88"/>
        <v>0.4362330078650441</v>
      </c>
      <c r="Y53" s="10">
        <f t="shared" si="89"/>
        <v>3830.465944187637</v>
      </c>
      <c r="Z53" s="23">
        <f t="shared" si="72"/>
        <v>4.6101452426649701</v>
      </c>
      <c r="AA53" s="20">
        <f t="shared" si="90"/>
        <v>1.1000000000000001</v>
      </c>
      <c r="AB53" s="20">
        <f t="shared" si="91"/>
        <v>1.0666666666666667</v>
      </c>
      <c r="AC53" s="4">
        <f t="shared" si="90"/>
        <v>76</v>
      </c>
      <c r="AD53" s="4">
        <f t="shared" si="90"/>
        <v>9.0909090909090912E-2</v>
      </c>
      <c r="AE53" s="4">
        <f t="shared" si="90"/>
        <v>1</v>
      </c>
      <c r="AF53" s="4">
        <f t="shared" si="90"/>
        <v>5</v>
      </c>
      <c r="AG53" s="4">
        <f t="shared" si="90"/>
        <v>2</v>
      </c>
      <c r="AH53" s="4">
        <f t="shared" si="90"/>
        <v>4</v>
      </c>
      <c r="AI53" s="4">
        <f t="shared" si="90"/>
        <v>3.5</v>
      </c>
      <c r="AJ53">
        <f t="shared" si="92"/>
        <v>8</v>
      </c>
      <c r="AK53">
        <f t="shared" si="93"/>
        <v>4</v>
      </c>
      <c r="AL53">
        <f t="shared" si="94"/>
        <v>8</v>
      </c>
      <c r="AM53">
        <f t="shared" si="95"/>
        <v>9.1</v>
      </c>
      <c r="AN53">
        <f t="shared" ref="AN53:AQ53" si="102">AN5</f>
        <v>7.407407407407407E-2</v>
      </c>
      <c r="AO53">
        <f t="shared" si="102"/>
        <v>7.407407407407407E-2</v>
      </c>
      <c r="AP53">
        <f t="shared" si="102"/>
        <v>0</v>
      </c>
      <c r="AQ53">
        <f t="shared" si="102"/>
        <v>0</v>
      </c>
      <c r="AR53">
        <f t="shared" si="97"/>
        <v>40.210334295682252</v>
      </c>
      <c r="AS53">
        <f t="shared" si="98"/>
        <v>7.6609318883752744</v>
      </c>
      <c r="AT53">
        <f t="shared" ref="AT53:AX53" si="103">AT5</f>
        <v>1</v>
      </c>
      <c r="AU53">
        <f t="shared" si="103"/>
        <v>0</v>
      </c>
      <c r="AV53">
        <f t="shared" si="103"/>
        <v>1</v>
      </c>
      <c r="AW53">
        <f t="shared" si="103"/>
        <v>1</v>
      </c>
      <c r="AX53">
        <f t="shared" si="103"/>
        <v>1</v>
      </c>
      <c r="AY53">
        <f>(MIN(AT53/(Y53+(AR53+AS53)/2*BB53),1)*AU53+K53)*AW53</f>
        <v>830.87749790142698</v>
      </c>
      <c r="AZ53">
        <f t="shared" si="100"/>
        <v>4501.663670764442</v>
      </c>
      <c r="BA53">
        <f t="shared" si="101"/>
        <v>13719.175518319922</v>
      </c>
      <c r="BB53">
        <v>14</v>
      </c>
    </row>
    <row r="54" spans="1:54">
      <c r="A54" s="4">
        <v>15</v>
      </c>
      <c r="B54" s="19">
        <f t="shared" si="77"/>
        <v>770</v>
      </c>
      <c r="C54" s="4">
        <v>145</v>
      </c>
      <c r="D54" s="6">
        <f t="shared" si="78"/>
        <v>915</v>
      </c>
      <c r="E54" s="6">
        <f t="shared" si="79"/>
        <v>127.19999999999999</v>
      </c>
      <c r="F54" s="6">
        <f t="shared" si="64"/>
        <v>841.53600000000006</v>
      </c>
      <c r="G54" s="6">
        <f t="shared" si="80"/>
        <v>0.52611257264606737</v>
      </c>
      <c r="H54" s="4">
        <f t="shared" si="81"/>
        <v>187.2</v>
      </c>
      <c r="I54" s="6">
        <f t="shared" si="65"/>
        <v>823.5</v>
      </c>
      <c r="J54" s="6">
        <v>2</v>
      </c>
      <c r="K54" s="7">
        <f t="shared" si="82"/>
        <v>1543.8613857279413</v>
      </c>
      <c r="L54" s="6">
        <f t="shared" si="66"/>
        <v>183</v>
      </c>
      <c r="M54" s="4">
        <f t="shared" si="83"/>
        <v>1392</v>
      </c>
      <c r="N54" s="4">
        <f t="shared" si="84"/>
        <v>3383</v>
      </c>
      <c r="O54" s="4">
        <f t="shared" si="67"/>
        <v>0.4114691102571682</v>
      </c>
      <c r="P54" s="17">
        <f t="shared" si="85"/>
        <v>78</v>
      </c>
      <c r="Q54" s="6">
        <f t="shared" si="68"/>
        <v>97.343999999999994</v>
      </c>
      <c r="R54" s="4">
        <f t="shared" si="69"/>
        <v>0.11223228615174601</v>
      </c>
      <c r="S54" s="4">
        <f t="shared" si="86"/>
        <v>75.071999999999989</v>
      </c>
      <c r="T54" s="4">
        <f t="shared" si="87"/>
        <v>72.533333333333331</v>
      </c>
      <c r="U54" s="4">
        <f t="shared" si="70"/>
        <v>0.1723327387923507</v>
      </c>
      <c r="V54" s="4">
        <f t="shared" si="71"/>
        <v>0.15748086779470619</v>
      </c>
      <c r="W54" s="4">
        <f>(装备属性设计!Z6*战斗力成长!AB6+D6*C$75*0.2)*(1+AJ6/100)</f>
        <v>140.65333333333334</v>
      </c>
      <c r="X54" s="4">
        <f t="shared" si="88"/>
        <v>0.42218798151001546</v>
      </c>
      <c r="Y54" s="10">
        <f t="shared" si="89"/>
        <v>7968.2014158294523</v>
      </c>
      <c r="Z54" s="23">
        <f t="shared" si="72"/>
        <v>5.1612155660415011</v>
      </c>
      <c r="AA54" s="20">
        <f t="shared" si="90"/>
        <v>1.2</v>
      </c>
      <c r="AB54" s="20">
        <f t="shared" si="91"/>
        <v>1.1333333333333333</v>
      </c>
      <c r="AC54" s="4">
        <f t="shared" si="90"/>
        <v>154</v>
      </c>
      <c r="AD54" s="4">
        <f t="shared" si="90"/>
        <v>9.0909090909090912E-2</v>
      </c>
      <c r="AE54" s="4">
        <f t="shared" si="90"/>
        <v>1</v>
      </c>
      <c r="AF54" s="4">
        <f t="shared" si="90"/>
        <v>5</v>
      </c>
      <c r="AG54" s="4">
        <f t="shared" si="90"/>
        <v>2</v>
      </c>
      <c r="AH54" s="4">
        <f t="shared" si="90"/>
        <v>4</v>
      </c>
      <c r="AI54" s="4">
        <f t="shared" si="90"/>
        <v>3.5</v>
      </c>
      <c r="AJ54">
        <f t="shared" si="92"/>
        <v>8</v>
      </c>
      <c r="AK54">
        <f t="shared" si="93"/>
        <v>4</v>
      </c>
      <c r="AL54">
        <f t="shared" si="94"/>
        <v>8</v>
      </c>
      <c r="AM54">
        <f t="shared" si="95"/>
        <v>9.1</v>
      </c>
      <c r="AN54">
        <f t="shared" ref="AN54:AQ54" si="104">AN6</f>
        <v>7.407407407407407E-2</v>
      </c>
      <c r="AO54">
        <f t="shared" si="104"/>
        <v>7.407407407407407E-2</v>
      </c>
      <c r="AP54">
        <f t="shared" si="104"/>
        <v>0</v>
      </c>
      <c r="AQ54">
        <f t="shared" si="104"/>
        <v>0</v>
      </c>
      <c r="AR54">
        <f t="shared" si="97"/>
        <v>72.727156249493362</v>
      </c>
      <c r="AS54">
        <f t="shared" si="98"/>
        <v>15.936402831658905</v>
      </c>
      <c r="AT54">
        <f t="shared" ref="AT54:AX54" si="105">AT6</f>
        <v>3644.064310216057</v>
      </c>
      <c r="AU54">
        <f t="shared" si="105"/>
        <v>329.04999999999944</v>
      </c>
      <c r="AV54">
        <f t="shared" si="105"/>
        <v>1.1000000000000001</v>
      </c>
      <c r="AW54">
        <f t="shared" si="105"/>
        <v>1</v>
      </c>
      <c r="AX54">
        <f t="shared" si="105"/>
        <v>1</v>
      </c>
      <c r="AY54">
        <f t="shared" ref="AY54:AY71" si="106">(MIN(AT54/(Y54+(AR54+AS54)/2*BB54),1)*AU54+K54)*AW54</f>
        <v>1682.0438109497941</v>
      </c>
      <c r="AZ54">
        <f t="shared" si="100"/>
        <v>14333.97093847834</v>
      </c>
      <c r="BA54">
        <f t="shared" si="101"/>
        <v>40859.477613393399</v>
      </c>
      <c r="BB54">
        <v>16</v>
      </c>
    </row>
    <row r="55" spans="1:54">
      <c r="A55" s="4">
        <v>20</v>
      </c>
      <c r="B55" s="19">
        <f t="shared" si="77"/>
        <v>1310</v>
      </c>
      <c r="C55" s="4">
        <v>180</v>
      </c>
      <c r="D55" s="6">
        <f t="shared" si="78"/>
        <v>1490</v>
      </c>
      <c r="E55" s="6">
        <f t="shared" si="79"/>
        <v>253.2</v>
      </c>
      <c r="F55" s="6">
        <f t="shared" si="64"/>
        <v>1529.1119999999999</v>
      </c>
      <c r="G55" s="6">
        <f t="shared" si="80"/>
        <v>0.54183249991495719</v>
      </c>
      <c r="H55" s="4">
        <f t="shared" si="81"/>
        <v>405.59999999999997</v>
      </c>
      <c r="I55" s="6">
        <f t="shared" si="65"/>
        <v>1341</v>
      </c>
      <c r="J55" s="6">
        <v>2</v>
      </c>
      <c r="K55" s="7">
        <f t="shared" si="82"/>
        <v>2890.004487213389</v>
      </c>
      <c r="L55" s="6">
        <f t="shared" si="66"/>
        <v>298</v>
      </c>
      <c r="M55" s="4">
        <f t="shared" si="83"/>
        <v>2544</v>
      </c>
      <c r="N55" s="4">
        <f t="shared" si="84"/>
        <v>6076</v>
      </c>
      <c r="O55" s="4">
        <f t="shared" si="67"/>
        <v>0.4186965108624095</v>
      </c>
      <c r="P55" s="17">
        <f t="shared" si="85"/>
        <v>204</v>
      </c>
      <c r="Q55" s="6">
        <f t="shared" si="68"/>
        <v>264.38400000000001</v>
      </c>
      <c r="R55" s="4">
        <f t="shared" si="69"/>
        <v>0.16792853585910428</v>
      </c>
      <c r="S55" s="4">
        <f t="shared" si="86"/>
        <v>164.92266666666666</v>
      </c>
      <c r="T55" s="4">
        <f t="shared" si="87"/>
        <v>154.13333333333333</v>
      </c>
      <c r="U55" s="4">
        <f t="shared" si="70"/>
        <v>0.23016163184227453</v>
      </c>
      <c r="V55" s="4">
        <f t="shared" si="71"/>
        <v>0.21356169171618317</v>
      </c>
      <c r="W55" s="4">
        <f>(装备属性设计!Z7*战斗力成长!AB7+D7*C$75*0.2)*(1+AJ7/100)</f>
        <v>236.08711111111108</v>
      </c>
      <c r="X55" s="4">
        <f t="shared" si="88"/>
        <v>0.41890083441700027</v>
      </c>
      <c r="Y55" s="10">
        <f t="shared" si="89"/>
        <v>16323.276342442528</v>
      </c>
      <c r="Z55" s="23">
        <f t="shared" si="72"/>
        <v>5.6481837362757243</v>
      </c>
      <c r="AA55" s="20">
        <f t="shared" si="90"/>
        <v>1.2</v>
      </c>
      <c r="AB55" s="20">
        <f t="shared" si="91"/>
        <v>1.1333333333333333</v>
      </c>
      <c r="AC55" s="4">
        <f t="shared" si="90"/>
        <v>262</v>
      </c>
      <c r="AD55" s="4">
        <f t="shared" si="90"/>
        <v>9.0909090909090912E-2</v>
      </c>
      <c r="AE55" s="4">
        <f t="shared" si="90"/>
        <v>2</v>
      </c>
      <c r="AF55" s="4">
        <f t="shared" si="90"/>
        <v>10</v>
      </c>
      <c r="AG55" s="4">
        <f t="shared" si="90"/>
        <v>4</v>
      </c>
      <c r="AH55" s="4">
        <f t="shared" si="90"/>
        <v>8</v>
      </c>
      <c r="AI55" s="4">
        <f t="shared" si="90"/>
        <v>7</v>
      </c>
      <c r="AJ55">
        <f t="shared" si="92"/>
        <v>16</v>
      </c>
      <c r="AK55">
        <f t="shared" si="93"/>
        <v>8</v>
      </c>
      <c r="AL55">
        <f t="shared" si="94"/>
        <v>16</v>
      </c>
      <c r="AM55">
        <f t="shared" si="95"/>
        <v>18.2</v>
      </c>
      <c r="AN55">
        <f t="shared" ref="AN55:AQ55" si="107">AN7</f>
        <v>0.13793103448275862</v>
      </c>
      <c r="AO55">
        <f t="shared" si="107"/>
        <v>0.13793103448275862</v>
      </c>
      <c r="AP55">
        <f t="shared" si="107"/>
        <v>0</v>
      </c>
      <c r="AQ55">
        <f t="shared" si="107"/>
        <v>0</v>
      </c>
      <c r="AR55">
        <f t="shared" si="97"/>
        <v>310.56182933300238</v>
      </c>
      <c r="AS55">
        <f t="shared" si="98"/>
        <v>65.293105369770117</v>
      </c>
      <c r="AT55">
        <f t="shared" ref="AT55:AX55" si="108">AT7</f>
        <v>10236.557614123487</v>
      </c>
      <c r="AU55">
        <f t="shared" si="108"/>
        <v>745.49339999999859</v>
      </c>
      <c r="AV55">
        <f t="shared" si="108"/>
        <v>1.1000000000000001</v>
      </c>
      <c r="AW55">
        <f t="shared" si="108"/>
        <v>1.03</v>
      </c>
      <c r="AX55">
        <f t="shared" si="108"/>
        <v>1.05</v>
      </c>
      <c r="AY55">
        <f t="shared" si="106"/>
        <v>3375.5799080091651</v>
      </c>
      <c r="AZ55">
        <f t="shared" si="100"/>
        <v>38490.632312304391</v>
      </c>
      <c r="BA55">
        <f t="shared" si="101"/>
        <v>113972.50011065081</v>
      </c>
      <c r="BB55">
        <v>18</v>
      </c>
    </row>
    <row r="56" spans="1:54">
      <c r="A56" s="4">
        <v>25</v>
      </c>
      <c r="B56" s="19">
        <f t="shared" si="77"/>
        <v>2000</v>
      </c>
      <c r="C56" s="4">
        <v>215</v>
      </c>
      <c r="D56" s="6">
        <f t="shared" si="78"/>
        <v>2215</v>
      </c>
      <c r="E56" s="6">
        <f t="shared" si="79"/>
        <v>371.8</v>
      </c>
      <c r="F56" s="6">
        <f t="shared" si="64"/>
        <v>2269.8879999999999</v>
      </c>
      <c r="G56" s="6">
        <f t="shared" si="80"/>
        <v>0.53435683803339451</v>
      </c>
      <c r="H56" s="4">
        <f t="shared" si="81"/>
        <v>690.30000000000007</v>
      </c>
      <c r="I56" s="6">
        <f t="shared" si="65"/>
        <v>1993.5</v>
      </c>
      <c r="J56" s="6">
        <v>2</v>
      </c>
      <c r="K56" s="7">
        <f t="shared" si="82"/>
        <v>4419.4603946827374</v>
      </c>
      <c r="L56" s="6">
        <f t="shared" si="66"/>
        <v>443</v>
      </c>
      <c r="M56" s="4">
        <f t="shared" si="83"/>
        <v>4368</v>
      </c>
      <c r="N56" s="4">
        <f t="shared" si="84"/>
        <v>9678</v>
      </c>
      <c r="O56" s="4">
        <f t="shared" si="67"/>
        <v>0.45133292002479852</v>
      </c>
      <c r="P56" s="17">
        <f t="shared" si="85"/>
        <v>306</v>
      </c>
      <c r="Q56" s="6">
        <f t="shared" si="68"/>
        <v>429.62400000000002</v>
      </c>
      <c r="R56" s="4">
        <f t="shared" si="69"/>
        <v>0.1768273609414461</v>
      </c>
      <c r="S56" s="4">
        <f t="shared" si="86"/>
        <v>304.30799999999999</v>
      </c>
      <c r="T56" s="4">
        <f t="shared" si="87"/>
        <v>284.39999999999998</v>
      </c>
      <c r="U56" s="4">
        <f t="shared" si="70"/>
        <v>0.2879864695521106</v>
      </c>
      <c r="V56" s="4">
        <f t="shared" si="71"/>
        <v>0.27146379735485315</v>
      </c>
      <c r="W56" s="4">
        <f>(装备属性设计!Z8*战斗力成长!AB8+D8*C$75*0.2)*(1+AJ8/100)</f>
        <v>358.34399999999994</v>
      </c>
      <c r="X56" s="4">
        <f t="shared" si="88"/>
        <v>0.41748296720196093</v>
      </c>
      <c r="Y56" s="10">
        <f t="shared" si="89"/>
        <v>28346.393767332924</v>
      </c>
      <c r="Z56" s="23">
        <f t="shared" si="72"/>
        <v>6.4139942970046331</v>
      </c>
      <c r="AA56" s="20">
        <f t="shared" si="90"/>
        <v>1.3</v>
      </c>
      <c r="AB56" s="20">
        <f t="shared" si="91"/>
        <v>1.2</v>
      </c>
      <c r="AC56" s="4">
        <f t="shared" si="90"/>
        <v>400</v>
      </c>
      <c r="AD56" s="4">
        <f t="shared" si="90"/>
        <v>9.0909090909090912E-2</v>
      </c>
      <c r="AE56" s="4">
        <f t="shared" si="90"/>
        <v>2</v>
      </c>
      <c r="AF56" s="4">
        <f t="shared" si="90"/>
        <v>10</v>
      </c>
      <c r="AG56" s="4">
        <f t="shared" si="90"/>
        <v>4</v>
      </c>
      <c r="AH56" s="4">
        <f t="shared" si="90"/>
        <v>8</v>
      </c>
      <c r="AI56" s="4">
        <f t="shared" si="90"/>
        <v>7</v>
      </c>
      <c r="AJ56">
        <f t="shared" si="92"/>
        <v>16</v>
      </c>
      <c r="AK56">
        <f t="shared" si="93"/>
        <v>8</v>
      </c>
      <c r="AL56">
        <f t="shared" si="94"/>
        <v>16</v>
      </c>
      <c r="AM56">
        <f t="shared" si="95"/>
        <v>18.2</v>
      </c>
      <c r="AN56">
        <f t="shared" ref="AN56:AQ56" si="109">AN8</f>
        <v>0.13793103448275862</v>
      </c>
      <c r="AO56">
        <f t="shared" si="109"/>
        <v>0.13793103448275862</v>
      </c>
      <c r="AP56">
        <f t="shared" si="109"/>
        <v>0</v>
      </c>
      <c r="AQ56">
        <f t="shared" si="109"/>
        <v>0</v>
      </c>
      <c r="AR56">
        <f t="shared" si="97"/>
        <v>517.77542709985312</v>
      </c>
      <c r="AS56">
        <f t="shared" si="98"/>
        <v>113.38557506933169</v>
      </c>
      <c r="AT56">
        <f t="shared" ref="AT56:AX56" si="110">AT8</f>
        <v>22668.779259259263</v>
      </c>
      <c r="AU56">
        <f t="shared" si="110"/>
        <v>1252.0391400000001</v>
      </c>
      <c r="AV56">
        <f t="shared" si="110"/>
        <v>1.1000000000000001</v>
      </c>
      <c r="AW56">
        <f t="shared" si="110"/>
        <v>1.03</v>
      </c>
      <c r="AX56">
        <f t="shared" si="110"/>
        <v>1.05</v>
      </c>
      <c r="AY56">
        <f t="shared" si="106"/>
        <v>5395.5337806264079</v>
      </c>
      <c r="AZ56">
        <f t="shared" si="100"/>
        <v>73502.343995822157</v>
      </c>
      <c r="BA56">
        <f t="shared" si="101"/>
        <v>226013.724571684</v>
      </c>
      <c r="BB56">
        <v>20</v>
      </c>
    </row>
    <row r="57" spans="1:54">
      <c r="A57" s="4">
        <v>30</v>
      </c>
      <c r="B57" s="19">
        <f t="shared" si="77"/>
        <v>2840</v>
      </c>
      <c r="C57" s="4">
        <v>250</v>
      </c>
      <c r="D57" s="6">
        <f t="shared" si="78"/>
        <v>3090</v>
      </c>
      <c r="E57" s="6">
        <f t="shared" si="79"/>
        <v>477.1</v>
      </c>
      <c r="F57" s="6">
        <f t="shared" si="64"/>
        <v>3346.884</v>
      </c>
      <c r="G57" s="6">
        <f t="shared" si="80"/>
        <v>0.54333555631891772</v>
      </c>
      <c r="H57" s="4">
        <f t="shared" si="81"/>
        <v>1072.5</v>
      </c>
      <c r="I57" s="6">
        <f t="shared" si="65"/>
        <v>2781</v>
      </c>
      <c r="J57" s="6">
        <v>2</v>
      </c>
      <c r="K57" s="7">
        <f t="shared" si="82"/>
        <v>6832.097268206584</v>
      </c>
      <c r="L57" s="6">
        <f t="shared" si="66"/>
        <v>618</v>
      </c>
      <c r="M57" s="4">
        <f t="shared" si="83"/>
        <v>4368</v>
      </c>
      <c r="N57" s="4">
        <f t="shared" si="84"/>
        <v>12130</v>
      </c>
      <c r="O57" s="4">
        <f t="shared" si="67"/>
        <v>0.36009892827699919</v>
      </c>
      <c r="P57" s="17">
        <f t="shared" si="85"/>
        <v>432</v>
      </c>
      <c r="Q57" s="6">
        <f t="shared" si="68"/>
        <v>628.99200000000008</v>
      </c>
      <c r="R57" s="4">
        <f t="shared" si="69"/>
        <v>0.18131837721159347</v>
      </c>
      <c r="S57" s="4">
        <f t="shared" si="86"/>
        <v>493.27199999999999</v>
      </c>
      <c r="T57" s="4">
        <f t="shared" si="87"/>
        <v>446.4</v>
      </c>
      <c r="U57" s="4">
        <f t="shared" si="70"/>
        <v>0.34106259820292889</v>
      </c>
      <c r="V57" s="4">
        <f t="shared" si="71"/>
        <v>0.32029468514295734</v>
      </c>
      <c r="W57" s="4">
        <f>(装备属性设计!Z9*战斗力成长!AB9+D9*C$75*0.2)*(1+AJ9/100)</f>
        <v>493.77600000000001</v>
      </c>
      <c r="X57" s="4">
        <f t="shared" si="88"/>
        <v>0.41018927109362535</v>
      </c>
      <c r="Y57" s="10">
        <f t="shared" si="89"/>
        <v>38123.163501614763</v>
      </c>
      <c r="Z57" s="23">
        <f t="shared" si="72"/>
        <v>5.580008891123712</v>
      </c>
      <c r="AA57" s="20">
        <f t="shared" si="90"/>
        <v>1.3</v>
      </c>
      <c r="AB57" s="20">
        <f t="shared" si="91"/>
        <v>1.2</v>
      </c>
      <c r="AC57" s="4">
        <f t="shared" si="90"/>
        <v>568</v>
      </c>
      <c r="AD57" s="4">
        <f t="shared" si="90"/>
        <v>9.0909090909090912E-2</v>
      </c>
      <c r="AE57" s="4">
        <f t="shared" si="90"/>
        <v>3</v>
      </c>
      <c r="AF57" s="4">
        <f t="shared" si="90"/>
        <v>15</v>
      </c>
      <c r="AG57" s="4">
        <f t="shared" si="90"/>
        <v>6</v>
      </c>
      <c r="AH57" s="4">
        <f t="shared" si="90"/>
        <v>12</v>
      </c>
      <c r="AI57" s="4">
        <f t="shared" si="90"/>
        <v>10.5</v>
      </c>
      <c r="AJ57">
        <f t="shared" si="92"/>
        <v>24</v>
      </c>
      <c r="AK57">
        <f t="shared" si="93"/>
        <v>12</v>
      </c>
      <c r="AL57">
        <f t="shared" si="94"/>
        <v>24</v>
      </c>
      <c r="AM57">
        <f t="shared" si="95"/>
        <v>27.3</v>
      </c>
      <c r="AN57">
        <f t="shared" ref="AN57:AQ57" si="111">AN9</f>
        <v>0.19354838709677419</v>
      </c>
      <c r="AO57">
        <f t="shared" si="111"/>
        <v>0.19354838709677419</v>
      </c>
      <c r="AP57">
        <f t="shared" si="111"/>
        <v>20</v>
      </c>
      <c r="AQ57">
        <f t="shared" si="111"/>
        <v>0</v>
      </c>
      <c r="AR57">
        <f>AG57*K57/100/(1-U57)/(1-R57)*(1-(AP57*(1-AN57)/(AP57*(1-AN57)+VLOOKUP(A57,[1]怪物抗性与玩家穿透!$A$2:$I$74,8,0))))*(1-(AQ57*(1-AO57)/(VLOOKUP(A57,[1]怪物抗性与玩家穿透!$A$2:$I$74,9,0)+AQ57*(1-AO57))))</f>
        <v>755.5528117198636</v>
      </c>
      <c r="AS57">
        <f t="shared" si="98"/>
        <v>228.73898100968859</v>
      </c>
      <c r="AT57">
        <f t="shared" ref="AT57:AX57" si="112">AT9</f>
        <v>43754.725483308546</v>
      </c>
      <c r="AU57">
        <f t="shared" si="112"/>
        <v>1893.8499300000005</v>
      </c>
      <c r="AV57">
        <f t="shared" si="112"/>
        <v>1.1000000000000001</v>
      </c>
      <c r="AW57">
        <f t="shared" si="112"/>
        <v>1.06</v>
      </c>
      <c r="AX57">
        <f t="shared" si="112"/>
        <v>1.05</v>
      </c>
      <c r="AY57">
        <f t="shared" si="106"/>
        <v>9036.4277439458638</v>
      </c>
      <c r="AZ57">
        <f t="shared" si="100"/>
        <v>119579.81623084434</v>
      </c>
      <c r="BA57">
        <f t="shared" si="101"/>
        <v>445194.10754386132</v>
      </c>
      <c r="BB57">
        <v>22</v>
      </c>
    </row>
    <row r="58" spans="1:54">
      <c r="A58" s="4">
        <v>35</v>
      </c>
      <c r="B58" s="19">
        <f t="shared" si="77"/>
        <v>3830</v>
      </c>
      <c r="C58" s="4">
        <v>285</v>
      </c>
      <c r="D58" s="6">
        <f t="shared" si="78"/>
        <v>4115</v>
      </c>
      <c r="E58" s="6">
        <f t="shared" si="79"/>
        <v>823.19999999999993</v>
      </c>
      <c r="F58" s="6">
        <f t="shared" si="64"/>
        <v>4920.5679999999993</v>
      </c>
      <c r="G58" s="6">
        <f t="shared" si="80"/>
        <v>0.56437800336018484</v>
      </c>
      <c r="H58" s="4">
        <f t="shared" si="81"/>
        <v>1860.6</v>
      </c>
      <c r="I58" s="6">
        <f t="shared" si="65"/>
        <v>3703.5</v>
      </c>
      <c r="J58" s="6">
        <v>2</v>
      </c>
      <c r="K58" s="7">
        <f t="shared" si="82"/>
        <v>10005.625628137041</v>
      </c>
      <c r="L58" s="6">
        <f t="shared" si="66"/>
        <v>823</v>
      </c>
      <c r="M58" s="4">
        <f t="shared" si="83"/>
        <v>6860</v>
      </c>
      <c r="N58" s="4">
        <f t="shared" si="84"/>
        <v>17354</v>
      </c>
      <c r="O58" s="4">
        <f t="shared" si="67"/>
        <v>0.3952979140255849</v>
      </c>
      <c r="P58" s="17">
        <f t="shared" si="85"/>
        <v>586</v>
      </c>
      <c r="Q58" s="6">
        <f t="shared" si="68"/>
        <v>918.84800000000007</v>
      </c>
      <c r="R58" s="4">
        <f t="shared" si="69"/>
        <v>0.19348861029032727</v>
      </c>
      <c r="S58" s="4">
        <f t="shared" si="86"/>
        <v>834.20133333333331</v>
      </c>
      <c r="T58" s="4">
        <f t="shared" si="87"/>
        <v>686.5333333333333</v>
      </c>
      <c r="U58" s="4">
        <f t="shared" si="70"/>
        <v>0.40900311521024607</v>
      </c>
      <c r="V58" s="4">
        <f t="shared" si="71"/>
        <v>0.37272030295286107</v>
      </c>
      <c r="W58" s="4">
        <f>(装备属性设计!Z10*战斗力成长!AB10+D10*C$75*0.2)*(1+AJ10/100)</f>
        <v>645.48</v>
      </c>
      <c r="X58" s="4">
        <f t="shared" si="88"/>
        <v>0.40267501777938591</v>
      </c>
      <c r="Y58" s="10">
        <f t="shared" si="89"/>
        <v>60952.73782040098</v>
      </c>
      <c r="Z58" s="23">
        <f t="shared" si="72"/>
        <v>6.0918467355998649</v>
      </c>
      <c r="AA58" s="20">
        <f t="shared" si="90"/>
        <v>1.4</v>
      </c>
      <c r="AB58" s="20">
        <f t="shared" si="91"/>
        <v>1.2666666666666666</v>
      </c>
      <c r="AC58" s="4">
        <f t="shared" si="90"/>
        <v>766</v>
      </c>
      <c r="AD58" s="4">
        <f t="shared" si="90"/>
        <v>9.0909090909090912E-2</v>
      </c>
      <c r="AE58" s="4">
        <f t="shared" si="90"/>
        <v>3</v>
      </c>
      <c r="AF58" s="4">
        <f t="shared" si="90"/>
        <v>15</v>
      </c>
      <c r="AG58" s="4">
        <f t="shared" si="90"/>
        <v>6</v>
      </c>
      <c r="AH58" s="4">
        <f t="shared" si="90"/>
        <v>12</v>
      </c>
      <c r="AI58" s="4">
        <f t="shared" si="90"/>
        <v>10.5</v>
      </c>
      <c r="AJ58">
        <f t="shared" si="92"/>
        <v>24</v>
      </c>
      <c r="AK58">
        <f t="shared" si="93"/>
        <v>12</v>
      </c>
      <c r="AL58">
        <f t="shared" si="94"/>
        <v>24</v>
      </c>
      <c r="AM58">
        <f t="shared" si="95"/>
        <v>27.3</v>
      </c>
      <c r="AN58">
        <f t="shared" ref="AN58:AQ58" si="113">AN10</f>
        <v>0.19354838709677419</v>
      </c>
      <c r="AO58">
        <f t="shared" si="113"/>
        <v>0.19354838709677419</v>
      </c>
      <c r="AP58">
        <f t="shared" si="113"/>
        <v>170</v>
      </c>
      <c r="AQ58">
        <f t="shared" si="113"/>
        <v>40</v>
      </c>
      <c r="AR58">
        <f>AG58*K58/100/(1-U58)/(1-R58)*(1-(AP58*(1-AN58)/(AP58*(1-AN58)+VLOOKUP(A58,[1]怪物抗性与玩家穿透!$A$2:$I$74,8,0))))*(1-(AQ58*(1-AO58)/(VLOOKUP(A58,[1]怪物抗性与玩家穿透!$A$2:$I$74,9,0)+AQ58*(1-AO58))))</f>
        <v>1194.2442884133347</v>
      </c>
      <c r="AS58">
        <f t="shared" si="98"/>
        <v>365.7164269224059</v>
      </c>
      <c r="AT58">
        <f t="shared" ref="AT58:AX58" si="114">AT10</f>
        <v>77274.350391274726</v>
      </c>
      <c r="AU58">
        <f t="shared" si="114"/>
        <v>2779.4340000000007</v>
      </c>
      <c r="AV58">
        <f t="shared" si="114"/>
        <v>1.1000000000000001</v>
      </c>
      <c r="AW58">
        <f t="shared" si="114"/>
        <v>1.06</v>
      </c>
      <c r="AX58">
        <f t="shared" si="114"/>
        <v>1.1000000000000001</v>
      </c>
      <c r="AY58">
        <f t="shared" si="106"/>
        <v>13463.490690623896</v>
      </c>
      <c r="AZ58">
        <f t="shared" si="100"/>
        <v>212556.03590947753</v>
      </c>
      <c r="BA58">
        <f t="shared" si="101"/>
        <v>803493.10639781586</v>
      </c>
      <c r="BB58">
        <v>24</v>
      </c>
    </row>
    <row r="59" spans="1:54">
      <c r="A59" s="4">
        <v>40</v>
      </c>
      <c r="B59" s="19">
        <f t="shared" si="77"/>
        <v>4970</v>
      </c>
      <c r="C59" s="4">
        <v>320</v>
      </c>
      <c r="D59" s="6">
        <f t="shared" si="78"/>
        <v>5290</v>
      </c>
      <c r="E59" s="6">
        <f t="shared" si="79"/>
        <v>1232</v>
      </c>
      <c r="F59" s="6">
        <f t="shared" si="64"/>
        <v>6977.52</v>
      </c>
      <c r="G59" s="6">
        <f t="shared" si="80"/>
        <v>0.58582832655501194</v>
      </c>
      <c r="H59" s="4">
        <f t="shared" si="81"/>
        <v>2814</v>
      </c>
      <c r="I59" s="6">
        <f t="shared" si="65"/>
        <v>4761</v>
      </c>
      <c r="J59" s="6">
        <v>2</v>
      </c>
      <c r="K59" s="7">
        <f t="shared" si="82"/>
        <v>14778.89196033087</v>
      </c>
      <c r="L59" s="6">
        <f t="shared" si="66"/>
        <v>1058</v>
      </c>
      <c r="M59" s="4">
        <f t="shared" si="83"/>
        <v>9408</v>
      </c>
      <c r="N59" s="4">
        <f t="shared" si="84"/>
        <v>23986</v>
      </c>
      <c r="O59" s="4">
        <f t="shared" si="67"/>
        <v>0.39222880013341116</v>
      </c>
      <c r="P59" s="17">
        <f t="shared" si="85"/>
        <v>994</v>
      </c>
      <c r="Q59" s="6">
        <f t="shared" si="68"/>
        <v>1614.2559999999999</v>
      </c>
      <c r="R59" s="4">
        <f t="shared" si="69"/>
        <v>0.24516908212560387</v>
      </c>
      <c r="S59" s="4">
        <f t="shared" si="86"/>
        <v>1084.4440000000002</v>
      </c>
      <c r="T59" s="4">
        <f t="shared" si="87"/>
        <v>686.5333333333333</v>
      </c>
      <c r="U59" s="4">
        <f t="shared" si="70"/>
        <v>0.44041726855931196</v>
      </c>
      <c r="V59" s="4">
        <f t="shared" si="71"/>
        <v>0.36601859678782755</v>
      </c>
      <c r="W59" s="4">
        <f>(装备属性设计!Z11*战斗力成长!AB11+D11*C$75*0.2)*(1+AJ11/100)</f>
        <v>853.904</v>
      </c>
      <c r="X59" s="4">
        <f t="shared" si="88"/>
        <v>0.40731843671353424</v>
      </c>
      <c r="Y59" s="10">
        <f t="shared" si="89"/>
        <v>95812.556264619154</v>
      </c>
      <c r="Z59" s="23">
        <f t="shared" si="72"/>
        <v>6.4830676428108962</v>
      </c>
      <c r="AA59" s="20">
        <f t="shared" si="90"/>
        <v>1.4</v>
      </c>
      <c r="AB59" s="20">
        <f t="shared" si="91"/>
        <v>1.2666666666666666</v>
      </c>
      <c r="AC59" s="4">
        <f t="shared" si="90"/>
        <v>994</v>
      </c>
      <c r="AD59" s="4">
        <f t="shared" si="90"/>
        <v>9.0909090909090912E-2</v>
      </c>
      <c r="AE59" s="4">
        <f t="shared" si="90"/>
        <v>4</v>
      </c>
      <c r="AF59" s="4">
        <f t="shared" si="90"/>
        <v>20</v>
      </c>
      <c r="AG59" s="4">
        <f t="shared" si="90"/>
        <v>8</v>
      </c>
      <c r="AH59" s="4">
        <f t="shared" si="90"/>
        <v>16</v>
      </c>
      <c r="AI59" s="4">
        <f t="shared" si="90"/>
        <v>14</v>
      </c>
      <c r="AJ59">
        <f t="shared" si="92"/>
        <v>32</v>
      </c>
      <c r="AK59">
        <f t="shared" si="93"/>
        <v>16</v>
      </c>
      <c r="AL59">
        <f t="shared" si="94"/>
        <v>32</v>
      </c>
      <c r="AM59">
        <f t="shared" si="95"/>
        <v>36.4</v>
      </c>
      <c r="AN59">
        <f t="shared" ref="AN59:AQ59" si="115">AN11</f>
        <v>0.24242424242424243</v>
      </c>
      <c r="AO59">
        <f t="shared" si="115"/>
        <v>0.24242424242424243</v>
      </c>
      <c r="AP59">
        <f t="shared" si="115"/>
        <v>320</v>
      </c>
      <c r="AQ59">
        <f t="shared" si="115"/>
        <v>90</v>
      </c>
      <c r="AR59">
        <f>AG59*K59/100/(1-U59)/(1-R59)*(1-(AP59*(1-AN59)/(AP59*(1-AN59)+VLOOKUP(A59,[1]怪物抗性与玩家穿透!$A$2:$I$74,8,0))))*(1-(AQ59*(1-AO59)/(VLOOKUP(A59,[1]怪物抗性与玩家穿透!$A$2:$I$74,9,0)+AQ59*(1-AO59))))</f>
        <v>2582.1526093640837</v>
      </c>
      <c r="AS59">
        <f t="shared" si="98"/>
        <v>766.50045011695317</v>
      </c>
      <c r="AT59">
        <f t="shared" ref="AT59:AX59" si="116">AT11</f>
        <v>128760.46600692799</v>
      </c>
      <c r="AU59">
        <f t="shared" si="116"/>
        <v>3885.2451000000005</v>
      </c>
      <c r="AV59">
        <f t="shared" si="116"/>
        <v>1.1000000000000001</v>
      </c>
      <c r="AW59">
        <f t="shared" si="116"/>
        <v>1.06</v>
      </c>
      <c r="AX59">
        <f t="shared" si="116"/>
        <v>1.1100000000000001</v>
      </c>
      <c r="AY59">
        <f t="shared" si="106"/>
        <v>19471.156732076801</v>
      </c>
      <c r="AZ59">
        <f t="shared" si="100"/>
        <v>380510.00021984417</v>
      </c>
      <c r="BA59">
        <f t="shared" si="101"/>
        <v>1410956.9971428965</v>
      </c>
      <c r="BB59">
        <v>26</v>
      </c>
    </row>
    <row r="60" spans="1:54">
      <c r="A60" s="4">
        <v>45</v>
      </c>
      <c r="B60" s="19">
        <f t="shared" si="77"/>
        <v>6260</v>
      </c>
      <c r="C60" s="4">
        <v>355</v>
      </c>
      <c r="D60" s="6">
        <f t="shared" si="78"/>
        <v>6615</v>
      </c>
      <c r="E60" s="6">
        <f t="shared" si="79"/>
        <v>1757</v>
      </c>
      <c r="F60" s="6">
        <f t="shared" si="64"/>
        <v>9212.2800000000007</v>
      </c>
      <c r="G60" s="6">
        <f t="shared" si="80"/>
        <v>0.59702610710887949</v>
      </c>
      <c r="H60" s="4">
        <f t="shared" si="81"/>
        <v>3588.2</v>
      </c>
      <c r="I60" s="6">
        <f t="shared" si="65"/>
        <v>5953.5</v>
      </c>
      <c r="J60" s="6">
        <v>2</v>
      </c>
      <c r="K60" s="7">
        <f t="shared" si="82"/>
        <v>18760.208602932562</v>
      </c>
      <c r="L60" s="6">
        <f t="shared" si="66"/>
        <v>1323</v>
      </c>
      <c r="M60" s="4">
        <f t="shared" si="83"/>
        <v>12376</v>
      </c>
      <c r="N60" s="4">
        <f t="shared" si="84"/>
        <v>30727</v>
      </c>
      <c r="O60" s="4">
        <f t="shared" si="67"/>
        <v>0.40277280567579005</v>
      </c>
      <c r="P60" s="17">
        <f t="shared" si="85"/>
        <v>1256</v>
      </c>
      <c r="Q60" s="6">
        <f t="shared" si="68"/>
        <v>2039.7439999999997</v>
      </c>
      <c r="R60" s="4">
        <f t="shared" si="69"/>
        <v>0.24575986922006268</v>
      </c>
      <c r="S60" s="4">
        <f t="shared" si="86"/>
        <v>1084.4440000000002</v>
      </c>
      <c r="T60" s="4">
        <f t="shared" si="87"/>
        <v>951.26666666666665</v>
      </c>
      <c r="U60" s="4">
        <f t="shared" si="70"/>
        <v>0.4315294527062164</v>
      </c>
      <c r="V60" s="4">
        <f t="shared" si="71"/>
        <v>0.4067986038274386</v>
      </c>
      <c r="W60" s="4">
        <f>(装备属性设计!Z12*战斗力成长!AB12+D12*C$75*0.2)*(1+AJ12/100)</f>
        <v>1070.5155555555557</v>
      </c>
      <c r="X60" s="4">
        <f t="shared" si="88"/>
        <v>0.40618828953559161</v>
      </c>
      <c r="Y60" s="10">
        <f t="shared" si="89"/>
        <v>120685.13974521276</v>
      </c>
      <c r="Z60" s="23">
        <f t="shared" si="72"/>
        <v>6.4330382619704709</v>
      </c>
      <c r="AA60" s="20">
        <f t="shared" si="90"/>
        <v>1.4</v>
      </c>
      <c r="AB60" s="20">
        <f t="shared" si="91"/>
        <v>1.2666666666666666</v>
      </c>
      <c r="AC60" s="4">
        <f t="shared" si="90"/>
        <v>1252</v>
      </c>
      <c r="AD60" s="4">
        <f t="shared" si="90"/>
        <v>9.0909090909090912E-2</v>
      </c>
      <c r="AE60" s="4">
        <f t="shared" si="90"/>
        <v>4</v>
      </c>
      <c r="AF60" s="4">
        <f t="shared" si="90"/>
        <v>20</v>
      </c>
      <c r="AG60" s="4">
        <f t="shared" si="90"/>
        <v>8</v>
      </c>
      <c r="AH60" s="4">
        <f t="shared" si="90"/>
        <v>16</v>
      </c>
      <c r="AI60" s="4">
        <f t="shared" si="90"/>
        <v>14</v>
      </c>
      <c r="AJ60">
        <f t="shared" si="92"/>
        <v>32</v>
      </c>
      <c r="AK60">
        <f t="shared" si="93"/>
        <v>16</v>
      </c>
      <c r="AL60">
        <f t="shared" si="94"/>
        <v>32</v>
      </c>
      <c r="AM60">
        <f t="shared" si="95"/>
        <v>36.4</v>
      </c>
      <c r="AN60">
        <f t="shared" ref="AN60:AQ60" si="117">AN12</f>
        <v>0.24242424242424243</v>
      </c>
      <c r="AO60">
        <f t="shared" si="117"/>
        <v>0.24242424242424243</v>
      </c>
      <c r="AP60">
        <f t="shared" si="117"/>
        <v>470</v>
      </c>
      <c r="AQ60">
        <f t="shared" si="117"/>
        <v>140</v>
      </c>
      <c r="AR60">
        <f>AG60*K60/100/(1-U60)/(1-R60)*(1-(AP60*(1-AN60)/(AP60*(1-AN60)+VLOOKUP(A60,[1]怪物抗性与玩家穿透!$A$2:$I$74,8,0))))*(1-(AQ60*(1-AO60)/(VLOOKUP(A60,[1]怪物抗性与玩家穿透!$A$2:$I$74,9,0)+AQ60*(1-AO60))))</f>
        <v>3164.8701516859624</v>
      </c>
      <c r="AS60">
        <f t="shared" si="98"/>
        <v>965.48111796170201</v>
      </c>
      <c r="AT60">
        <f t="shared" ref="AT60:AX60" si="118">AT12</f>
        <v>197466.89230332003</v>
      </c>
      <c r="AU60">
        <f t="shared" si="118"/>
        <v>5259.5284500000007</v>
      </c>
      <c r="AV60">
        <f t="shared" si="118"/>
        <v>1.1000000000000001</v>
      </c>
      <c r="AW60">
        <f t="shared" si="118"/>
        <v>1.06</v>
      </c>
      <c r="AX60">
        <f t="shared" si="118"/>
        <v>1.1200000000000001</v>
      </c>
      <c r="AY60">
        <f t="shared" si="106"/>
        <v>25460.921276108518</v>
      </c>
      <c r="AZ60">
        <f t="shared" si="100"/>
        <v>534443.90088155831</v>
      </c>
      <c r="BA60">
        <f t="shared" si="101"/>
        <v>2066211.7288653899</v>
      </c>
      <c r="BB60">
        <v>28</v>
      </c>
    </row>
    <row r="61" spans="1:54">
      <c r="A61" s="4">
        <v>50</v>
      </c>
      <c r="B61" s="19">
        <f t="shared" si="77"/>
        <v>7700</v>
      </c>
      <c r="C61" s="4">
        <v>390</v>
      </c>
      <c r="D61" s="6">
        <f t="shared" si="78"/>
        <v>8090</v>
      </c>
      <c r="E61" s="6">
        <f t="shared" si="79"/>
        <v>2589</v>
      </c>
      <c r="F61" s="6">
        <f t="shared" si="64"/>
        <v>12381.599999999999</v>
      </c>
      <c r="G61" s="6">
        <f t="shared" si="80"/>
        <v>0.61801084124464678</v>
      </c>
      <c r="H61" s="4">
        <f t="shared" si="81"/>
        <v>4936.5</v>
      </c>
      <c r="I61" s="6">
        <f t="shared" si="65"/>
        <v>7281</v>
      </c>
      <c r="J61" s="6">
        <v>2</v>
      </c>
      <c r="K61" s="7">
        <f t="shared" si="82"/>
        <v>26032.124464077151</v>
      </c>
      <c r="L61" s="6">
        <f t="shared" si="66"/>
        <v>1618</v>
      </c>
      <c r="M61" s="4">
        <f t="shared" si="83"/>
        <v>17340</v>
      </c>
      <c r="N61" s="4">
        <f t="shared" si="84"/>
        <v>41900</v>
      </c>
      <c r="O61" s="4">
        <f t="shared" si="67"/>
        <v>0.41384248210023866</v>
      </c>
      <c r="P61" s="17">
        <f t="shared" si="85"/>
        <v>1560</v>
      </c>
      <c r="Q61" s="6">
        <f t="shared" si="68"/>
        <v>2808</v>
      </c>
      <c r="R61" s="4">
        <f t="shared" si="69"/>
        <v>0.26722497145032359</v>
      </c>
      <c r="S61" s="4">
        <f t="shared" si="86"/>
        <v>1566.6666666666667</v>
      </c>
      <c r="T61" s="4">
        <f t="shared" si="87"/>
        <v>1333.3333333333333</v>
      </c>
      <c r="U61" s="4">
        <f t="shared" si="70"/>
        <v>0.48230357988766331</v>
      </c>
      <c r="V61" s="4">
        <f t="shared" si="71"/>
        <v>0.45200573065902577</v>
      </c>
      <c r="W61" s="4">
        <f>(装备属性设计!Z13*战斗力成长!AB13+D13*C$75*0.2)*(1+AJ13/100)</f>
        <v>1360.1511111111113</v>
      </c>
      <c r="X61" s="4">
        <f t="shared" si="88"/>
        <v>0.41402999895827558</v>
      </c>
      <c r="Y61" s="10">
        <f t="shared" si="89"/>
        <v>188491.95434398862</v>
      </c>
      <c r="Z61" s="23">
        <f t="shared" si="72"/>
        <v>7.2407442044961323</v>
      </c>
      <c r="AA61" s="20">
        <f t="shared" si="90"/>
        <v>1.5</v>
      </c>
      <c r="AB61" s="20">
        <f t="shared" si="91"/>
        <v>1.3333333333333333</v>
      </c>
      <c r="AC61" s="4">
        <f t="shared" si="90"/>
        <v>1540</v>
      </c>
      <c r="AD61" s="4">
        <f t="shared" si="90"/>
        <v>9.0909090909090912E-2</v>
      </c>
      <c r="AE61" s="4">
        <f t="shared" si="90"/>
        <v>5</v>
      </c>
      <c r="AF61" s="4">
        <f t="shared" si="90"/>
        <v>25</v>
      </c>
      <c r="AG61" s="4">
        <f t="shared" si="90"/>
        <v>10</v>
      </c>
      <c r="AH61" s="4">
        <f t="shared" si="90"/>
        <v>20</v>
      </c>
      <c r="AI61" s="4">
        <f t="shared" si="90"/>
        <v>17.5</v>
      </c>
      <c r="AJ61">
        <f t="shared" si="92"/>
        <v>40</v>
      </c>
      <c r="AK61">
        <f t="shared" si="93"/>
        <v>20</v>
      </c>
      <c r="AL61">
        <f t="shared" si="94"/>
        <v>40</v>
      </c>
      <c r="AM61">
        <f t="shared" si="95"/>
        <v>45.5</v>
      </c>
      <c r="AN61">
        <f t="shared" ref="AN61:AQ61" si="119">AN13</f>
        <v>0.2857142857142857</v>
      </c>
      <c r="AO61">
        <f t="shared" si="119"/>
        <v>0.2857142857142857</v>
      </c>
      <c r="AP61">
        <f t="shared" si="119"/>
        <v>2500</v>
      </c>
      <c r="AQ61">
        <f t="shared" si="119"/>
        <v>750</v>
      </c>
      <c r="AR61">
        <f>AG61*K61/100/(1-U61)/(1-R61)*(1-(AP61*(1-AN61)/(AP61*(1-AN61)+VLOOKUP(A61,[1]怪物抗性与玩家穿透!$A$2:$I$74,8,0))))*(1-(AQ61*(1-AO61)/(VLOOKUP(A61,[1]怪物抗性与玩家穿透!$A$2:$I$74,9,0)+AQ61*(1-AO61))))</f>
        <v>4598.2078566580403</v>
      </c>
      <c r="AS61">
        <f t="shared" si="98"/>
        <v>1884.919543439886</v>
      </c>
      <c r="AT61">
        <f t="shared" ref="AT61:AX61" si="120">AT13</f>
        <v>297398.47790277033</v>
      </c>
      <c r="AU61">
        <f t="shared" si="120"/>
        <v>7187.7375899999988</v>
      </c>
      <c r="AV61">
        <f t="shared" si="120"/>
        <v>1.1200000000000001</v>
      </c>
      <c r="AW61">
        <f t="shared" si="120"/>
        <v>1.06</v>
      </c>
      <c r="AX61">
        <f t="shared" si="120"/>
        <v>1.1299999999999999</v>
      </c>
      <c r="AY61">
        <f t="shared" si="106"/>
        <v>35213.05377732178</v>
      </c>
      <c r="AZ61">
        <f t="shared" si="100"/>
        <v>861094.31217841618</v>
      </c>
      <c r="BA61">
        <f t="shared" si="101"/>
        <v>3350070.3734306097</v>
      </c>
      <c r="BB61">
        <v>30</v>
      </c>
    </row>
    <row r="62" spans="1:54">
      <c r="A62" s="4">
        <v>55</v>
      </c>
      <c r="B62" s="19">
        <f t="shared" si="77"/>
        <v>9290</v>
      </c>
      <c r="C62" s="4">
        <v>425</v>
      </c>
      <c r="D62" s="6">
        <f t="shared" si="78"/>
        <v>9715</v>
      </c>
      <c r="E62" s="6">
        <f t="shared" si="79"/>
        <v>2589</v>
      </c>
      <c r="F62" s="6">
        <f t="shared" si="64"/>
        <v>15390.52</v>
      </c>
      <c r="G62" s="6">
        <f t="shared" si="80"/>
        <v>0.62490640931732799</v>
      </c>
      <c r="H62" s="4">
        <f t="shared" si="81"/>
        <v>6342</v>
      </c>
      <c r="I62" s="6">
        <f t="shared" si="65"/>
        <v>8743.5</v>
      </c>
      <c r="J62" s="6">
        <v>2</v>
      </c>
      <c r="K62" s="7">
        <f t="shared" si="82"/>
        <v>34440.102870441195</v>
      </c>
      <c r="L62" s="6">
        <f t="shared" si="66"/>
        <v>1943</v>
      </c>
      <c r="M62" s="4">
        <f t="shared" si="83"/>
        <v>20880</v>
      </c>
      <c r="N62" s="4">
        <f t="shared" si="84"/>
        <v>52403</v>
      </c>
      <c r="O62" s="4">
        <f t="shared" si="67"/>
        <v>0.39845047039291642</v>
      </c>
      <c r="P62" s="17">
        <f t="shared" si="85"/>
        <v>2306</v>
      </c>
      <c r="Q62" s="6">
        <f t="shared" si="68"/>
        <v>4289.16</v>
      </c>
      <c r="R62" s="4">
        <f t="shared" si="69"/>
        <v>0.3158634260145694</v>
      </c>
      <c r="S62" s="4">
        <f t="shared" si="86"/>
        <v>2082.813333333333</v>
      </c>
      <c r="T62" s="4">
        <f t="shared" si="87"/>
        <v>1721.3333333333333</v>
      </c>
      <c r="U62" s="4">
        <f t="shared" si="70"/>
        <v>0.52172016758014317</v>
      </c>
      <c r="V62" s="4">
        <f t="shared" si="71"/>
        <v>0.48626995290807901</v>
      </c>
      <c r="W62" s="4">
        <f>(装备属性设计!Z14*战斗力成长!AB14+D14*C$75*0.2)*(1+AJ14/100)</f>
        <v>1686.4079999999999</v>
      </c>
      <c r="X62" s="4">
        <f t="shared" si="88"/>
        <v>0.4206651786471528</v>
      </c>
      <c r="Y62" s="10">
        <f t="shared" si="89"/>
        <v>276440.48148470261</v>
      </c>
      <c r="Z62" s="23">
        <f t="shared" si="72"/>
        <v>8.0267031293324731</v>
      </c>
      <c r="AA62" s="20">
        <f t="shared" si="90"/>
        <v>1.5</v>
      </c>
      <c r="AB62" s="20">
        <f t="shared" si="91"/>
        <v>1.3333333333333333</v>
      </c>
      <c r="AC62" s="4">
        <f t="shared" si="90"/>
        <v>1858</v>
      </c>
      <c r="AD62" s="4">
        <f t="shared" si="90"/>
        <v>9.0909090909090912E-2</v>
      </c>
      <c r="AE62" s="4">
        <f t="shared" si="90"/>
        <v>6</v>
      </c>
      <c r="AF62" s="4">
        <f t="shared" si="90"/>
        <v>30</v>
      </c>
      <c r="AG62" s="4">
        <f t="shared" si="90"/>
        <v>12</v>
      </c>
      <c r="AH62" s="4">
        <f t="shared" si="90"/>
        <v>24</v>
      </c>
      <c r="AI62" s="4">
        <f t="shared" si="90"/>
        <v>21</v>
      </c>
      <c r="AJ62">
        <f t="shared" si="92"/>
        <v>48</v>
      </c>
      <c r="AK62">
        <f t="shared" si="93"/>
        <v>24</v>
      </c>
      <c r="AL62">
        <f t="shared" si="94"/>
        <v>48</v>
      </c>
      <c r="AM62">
        <f t="shared" si="95"/>
        <v>54.6</v>
      </c>
      <c r="AN62">
        <f t="shared" ref="AN62:AQ62" si="121">AN14</f>
        <v>0.32432432432432434</v>
      </c>
      <c r="AO62">
        <f t="shared" si="121"/>
        <v>0.32432432432432434</v>
      </c>
      <c r="AP62">
        <f t="shared" si="121"/>
        <v>5000</v>
      </c>
      <c r="AQ62">
        <f t="shared" si="121"/>
        <v>1500</v>
      </c>
      <c r="AR62">
        <f>AG62*K62/100/(1-U62)/(1-R62)*(1-(AP62*(1-AN62)/(AP62*(1-AN62)+VLOOKUP(A62,[1]怪物抗性与玩家穿透!$A$2:$I$74,8,0))))*(1-(AQ62*(1-AO62)/(VLOOKUP(A62,[1]怪物抗性与玩家穿透!$A$2:$I$74,9,0)+AQ62*(1-AO62))))</f>
        <v>6790.8161981856165</v>
      </c>
      <c r="AS62">
        <f t="shared" si="98"/>
        <v>3317.2857778164316</v>
      </c>
      <c r="AT62">
        <f t="shared" ref="AT62:AX62" si="122">AT14</f>
        <v>441587.36231792445</v>
      </c>
      <c r="AU62">
        <f t="shared" si="122"/>
        <v>9525.0209400000003</v>
      </c>
      <c r="AV62">
        <f t="shared" si="122"/>
        <v>1.1399999999999999</v>
      </c>
      <c r="AW62">
        <f t="shared" si="122"/>
        <v>1.07</v>
      </c>
      <c r="AX62">
        <f t="shared" si="122"/>
        <v>1.1399999999999999</v>
      </c>
      <c r="AY62">
        <f t="shared" si="106"/>
        <v>47042.682477172086</v>
      </c>
      <c r="AZ62">
        <f t="shared" si="100"/>
        <v>1340380.1549742739</v>
      </c>
      <c r="BA62">
        <f t="shared" si="101"/>
        <v>5186822.760859088</v>
      </c>
      <c r="BB62">
        <v>31</v>
      </c>
    </row>
    <row r="63" spans="1:54">
      <c r="A63" s="4">
        <v>60</v>
      </c>
      <c r="B63" s="19">
        <f t="shared" si="77"/>
        <v>11030</v>
      </c>
      <c r="C63" s="4">
        <v>460</v>
      </c>
      <c r="D63" s="6">
        <f t="shared" si="78"/>
        <v>11490</v>
      </c>
      <c r="E63" s="6">
        <f t="shared" si="79"/>
        <v>3795</v>
      </c>
      <c r="F63" s="6">
        <f t="shared" si="64"/>
        <v>20598.240000000002</v>
      </c>
      <c r="G63" s="6">
        <f t="shared" si="80"/>
        <v>0.65243683808428177</v>
      </c>
      <c r="H63" s="4">
        <f t="shared" si="81"/>
        <v>9934.65</v>
      </c>
      <c r="I63" s="6">
        <f t="shared" si="65"/>
        <v>10341</v>
      </c>
      <c r="J63" s="6">
        <v>2</v>
      </c>
      <c r="K63" s="7">
        <f t="shared" si="82"/>
        <v>50284.954704205869</v>
      </c>
      <c r="L63" s="6">
        <f t="shared" si="66"/>
        <v>2298</v>
      </c>
      <c r="M63" s="4">
        <f t="shared" si="83"/>
        <v>22968</v>
      </c>
      <c r="N63" s="4">
        <f t="shared" si="84"/>
        <v>62030</v>
      </c>
      <c r="O63" s="4">
        <f t="shared" si="67"/>
        <v>0.37027244881508947</v>
      </c>
      <c r="P63" s="17">
        <f t="shared" si="85"/>
        <v>2754</v>
      </c>
      <c r="Q63" s="6">
        <f t="shared" si="68"/>
        <v>5816.4479999999994</v>
      </c>
      <c r="R63" s="4">
        <f t="shared" si="69"/>
        <v>0.34526257404528238</v>
      </c>
      <c r="S63" s="4">
        <f t="shared" si="86"/>
        <v>2905.1660000000002</v>
      </c>
      <c r="T63" s="4">
        <f t="shared" si="87"/>
        <v>2333.4666666666667</v>
      </c>
      <c r="U63" s="4">
        <f t="shared" si="70"/>
        <v>0.57067444651490407</v>
      </c>
      <c r="V63" s="4">
        <f t="shared" si="71"/>
        <v>0.52979022991459135</v>
      </c>
      <c r="W63" s="4">
        <f>(装备属性设计!Z15*战斗力成长!AB15+D15*C$75*0.2)*(1+AJ15/100)</f>
        <v>2097.1168888888892</v>
      </c>
      <c r="X63" s="4">
        <f t="shared" si="88"/>
        <v>0.43198401375167444</v>
      </c>
      <c r="Y63" s="10">
        <f t="shared" si="89"/>
        <v>388496.68497082248</v>
      </c>
      <c r="Z63" s="23">
        <f t="shared" si="72"/>
        <v>7.7259030510437814</v>
      </c>
      <c r="AA63" s="20">
        <f t="shared" si="90"/>
        <v>1.65</v>
      </c>
      <c r="AB63" s="20">
        <f t="shared" si="91"/>
        <v>1.4333333333333333</v>
      </c>
      <c r="AC63" s="4">
        <f t="shared" si="90"/>
        <v>2206</v>
      </c>
      <c r="AD63" s="4">
        <f t="shared" si="90"/>
        <v>9.0909090909090912E-2</v>
      </c>
      <c r="AE63" s="4">
        <f t="shared" si="90"/>
        <v>7</v>
      </c>
      <c r="AF63" s="4">
        <f t="shared" si="90"/>
        <v>35</v>
      </c>
      <c r="AG63" s="4">
        <f t="shared" si="90"/>
        <v>14</v>
      </c>
      <c r="AH63" s="4">
        <f t="shared" si="90"/>
        <v>28</v>
      </c>
      <c r="AI63" s="4">
        <f t="shared" si="90"/>
        <v>24.5</v>
      </c>
      <c r="AJ63">
        <f t="shared" si="92"/>
        <v>56</v>
      </c>
      <c r="AK63">
        <f t="shared" si="93"/>
        <v>28</v>
      </c>
      <c r="AL63">
        <f t="shared" si="94"/>
        <v>56</v>
      </c>
      <c r="AM63">
        <f t="shared" si="95"/>
        <v>63.7</v>
      </c>
      <c r="AN63">
        <f t="shared" ref="AN63:AQ63" si="123">AN15</f>
        <v>0.35897435897435898</v>
      </c>
      <c r="AO63">
        <f t="shared" si="123"/>
        <v>0.35897435897435898</v>
      </c>
      <c r="AP63">
        <f t="shared" si="123"/>
        <v>7500</v>
      </c>
      <c r="AQ63">
        <f t="shared" si="123"/>
        <v>2250</v>
      </c>
      <c r="AR63">
        <f>AG63*K63/100/(1-U63)/(1-R63)*(1-(AP63*(1-AN63)/(AP63*(1-AN63)+VLOOKUP(A63,[1]怪物抗性与玩家穿透!$A$2:$I$74,8,0))))*(1-(AQ63*(1-AO63)/(VLOOKUP(A63,[1]怪物抗性与玩家穿透!$A$2:$I$74,9,0)+AQ63*(1-AO63))))</f>
        <v>11824.042374082715</v>
      </c>
      <c r="AS63">
        <f t="shared" si="98"/>
        <v>5438.9535895915142</v>
      </c>
      <c r="AT63">
        <f t="shared" ref="AT63:AX63" si="124">AT15</f>
        <v>623569.15381421067</v>
      </c>
      <c r="AU63">
        <f t="shared" si="124"/>
        <v>11995.647840000001</v>
      </c>
      <c r="AV63">
        <f t="shared" si="124"/>
        <v>1.1599999999999999</v>
      </c>
      <c r="AW63">
        <f t="shared" si="124"/>
        <v>1.08</v>
      </c>
      <c r="AX63">
        <f t="shared" si="124"/>
        <v>1.1499999999999999</v>
      </c>
      <c r="AY63">
        <f t="shared" si="106"/>
        <v>66461.307717699892</v>
      </c>
      <c r="AZ63">
        <f t="shared" si="100"/>
        <v>2087018.6006365593</v>
      </c>
      <c r="BA63">
        <f t="shared" si="101"/>
        <v>8493323.2944286931</v>
      </c>
      <c r="BB63">
        <v>32</v>
      </c>
    </row>
    <row r="64" spans="1:54">
      <c r="A64" s="4">
        <v>65</v>
      </c>
      <c r="B64" s="19">
        <f t="shared" si="77"/>
        <v>12920</v>
      </c>
      <c r="C64" s="4">
        <v>495</v>
      </c>
      <c r="D64" s="6">
        <f t="shared" si="78"/>
        <v>13415</v>
      </c>
      <c r="E64" s="6">
        <f t="shared" si="79"/>
        <v>6991.2</v>
      </c>
      <c r="F64" s="6">
        <f t="shared" si="64"/>
        <v>29566.248000000003</v>
      </c>
      <c r="G64" s="6">
        <f t="shared" si="80"/>
        <v>0.69691861126212529</v>
      </c>
      <c r="H64" s="4">
        <f t="shared" si="81"/>
        <v>14146.2</v>
      </c>
      <c r="I64" s="6">
        <f t="shared" si="65"/>
        <v>12073.5</v>
      </c>
      <c r="J64" s="6">
        <v>2</v>
      </c>
      <c r="K64" s="7">
        <f t="shared" si="82"/>
        <v>71465.907851041673</v>
      </c>
      <c r="L64" s="6">
        <f t="shared" si="66"/>
        <v>2683</v>
      </c>
      <c r="M64" s="4">
        <f t="shared" si="83"/>
        <v>30420</v>
      </c>
      <c r="N64" s="4">
        <f t="shared" si="84"/>
        <v>80150</v>
      </c>
      <c r="O64" s="4">
        <f t="shared" si="67"/>
        <v>0.37953836556456644</v>
      </c>
      <c r="P64" s="17">
        <f t="shared" si="85"/>
        <v>3256</v>
      </c>
      <c r="Q64" s="6">
        <f t="shared" si="68"/>
        <v>7736.2560000000003</v>
      </c>
      <c r="R64" s="4">
        <f t="shared" si="69"/>
        <v>0.37452363100070024</v>
      </c>
      <c r="S64" s="4">
        <f t="shared" si="86"/>
        <v>3954.7733333333331</v>
      </c>
      <c r="T64" s="4">
        <f t="shared" si="87"/>
        <v>3089.6666666666665</v>
      </c>
      <c r="U64" s="4">
        <f t="shared" si="70"/>
        <v>0.61611271861217376</v>
      </c>
      <c r="V64" s="4">
        <f t="shared" si="71"/>
        <v>0.57040572792362765</v>
      </c>
      <c r="W64" s="4">
        <f>(装备属性设计!Z16*战斗力成长!AB16+D16*C$75*0.2)*(1+AJ16/100)</f>
        <v>2608.1004444444452</v>
      </c>
      <c r="X64" s="4">
        <f t="shared" si="88"/>
        <v>0.44673785065248778</v>
      </c>
      <c r="Y64" s="10">
        <f t="shared" si="89"/>
        <v>603334.19036934164</v>
      </c>
      <c r="Z64" s="23">
        <f t="shared" si="72"/>
        <v>8.4422658091308023</v>
      </c>
      <c r="AA64" s="20">
        <f t="shared" si="90"/>
        <v>1.8</v>
      </c>
      <c r="AB64" s="20">
        <f t="shared" si="91"/>
        <v>1.5333333333333332</v>
      </c>
      <c r="AC64" s="4">
        <f t="shared" si="90"/>
        <v>2584</v>
      </c>
      <c r="AD64" s="4">
        <f t="shared" si="90"/>
        <v>9.0909090909090912E-2</v>
      </c>
      <c r="AE64" s="4">
        <f t="shared" si="90"/>
        <v>8</v>
      </c>
      <c r="AF64" s="4">
        <f t="shared" si="90"/>
        <v>40</v>
      </c>
      <c r="AG64" s="4">
        <f t="shared" si="90"/>
        <v>16</v>
      </c>
      <c r="AH64" s="4">
        <f t="shared" si="90"/>
        <v>32</v>
      </c>
      <c r="AI64" s="4">
        <f t="shared" si="90"/>
        <v>28</v>
      </c>
      <c r="AJ64">
        <f t="shared" si="92"/>
        <v>64</v>
      </c>
      <c r="AK64">
        <f t="shared" si="93"/>
        <v>32</v>
      </c>
      <c r="AL64">
        <f t="shared" si="94"/>
        <v>64</v>
      </c>
      <c r="AM64">
        <f t="shared" si="95"/>
        <v>72.8</v>
      </c>
      <c r="AN64">
        <f t="shared" ref="AN64:AQ64" si="125">AN16</f>
        <v>0.3902439024390244</v>
      </c>
      <c r="AO64">
        <f t="shared" si="125"/>
        <v>0.3902439024390244</v>
      </c>
      <c r="AP64">
        <f t="shared" si="125"/>
        <v>10000</v>
      </c>
      <c r="AQ64">
        <f t="shared" si="125"/>
        <v>3000</v>
      </c>
      <c r="AR64">
        <f>AG64*K64/100/(1-U64)/(1-R64)*(1-(AP64*(1-AN64)/(AP64*(1-AN64)+VLOOKUP(A64,[1]怪物抗性与玩家穿透!$A$2:$I$74,8,0))))*(1-(AQ64*(1-AO64)/(VLOOKUP(A64,[1]怪物抗性与玩家穿透!$A$2:$I$74,9,0)+AQ64*(1-AO64))))</f>
        <v>20783.625039161208</v>
      </c>
      <c r="AS64">
        <f t="shared" si="98"/>
        <v>9653.347045909466</v>
      </c>
      <c r="AT64">
        <f t="shared" ref="AT64:AX64" si="126">AT16</f>
        <v>847048.44697208994</v>
      </c>
      <c r="AU64">
        <f t="shared" si="126"/>
        <v>15317.716049999999</v>
      </c>
      <c r="AV64">
        <f t="shared" si="126"/>
        <v>1.18</v>
      </c>
      <c r="AW64">
        <f t="shared" si="126"/>
        <v>1.0900000000000001</v>
      </c>
      <c r="AX64">
        <f t="shared" si="126"/>
        <v>1.1599999999999999</v>
      </c>
      <c r="AY64">
        <f t="shared" si="106"/>
        <v>90690.257530305607</v>
      </c>
      <c r="AZ64">
        <f t="shared" si="100"/>
        <v>3360133.9578644279</v>
      </c>
      <c r="BA64">
        <f t="shared" si="101"/>
        <v>13583535.821371982</v>
      </c>
      <c r="BB64">
        <v>33</v>
      </c>
    </row>
    <row r="65" spans="1:54">
      <c r="A65" s="4">
        <v>70</v>
      </c>
      <c r="B65" s="19">
        <f t="shared" si="77"/>
        <v>14960</v>
      </c>
      <c r="C65" s="4">
        <v>530</v>
      </c>
      <c r="D65" s="6">
        <f t="shared" si="78"/>
        <v>15490</v>
      </c>
      <c r="E65" s="6">
        <f t="shared" si="79"/>
        <v>8168.55</v>
      </c>
      <c r="F65" s="6">
        <f t="shared" si="64"/>
        <v>36093.425999999999</v>
      </c>
      <c r="G65" s="6">
        <f t="shared" si="80"/>
        <v>0.707902648442156</v>
      </c>
      <c r="H65" s="4">
        <f t="shared" si="81"/>
        <v>19125.599999999999</v>
      </c>
      <c r="I65" s="6">
        <f t="shared" si="65"/>
        <v>13941</v>
      </c>
      <c r="J65" s="6">
        <v>2</v>
      </c>
      <c r="K65" s="7">
        <f t="shared" si="82"/>
        <v>96511.10077098581</v>
      </c>
      <c r="L65" s="6">
        <f t="shared" si="66"/>
        <v>3098</v>
      </c>
      <c r="M65" s="4">
        <f t="shared" si="83"/>
        <v>37440</v>
      </c>
      <c r="N65" s="4">
        <f t="shared" si="84"/>
        <v>99209</v>
      </c>
      <c r="O65" s="4">
        <f t="shared" si="67"/>
        <v>0.37738511626969329</v>
      </c>
      <c r="P65" s="17">
        <f t="shared" si="85"/>
        <v>3688</v>
      </c>
      <c r="Q65" s="6">
        <f t="shared" si="68"/>
        <v>9780.5759999999991</v>
      </c>
      <c r="R65" s="4">
        <f t="shared" si="69"/>
        <v>0.39532531498054041</v>
      </c>
      <c r="S65" s="4">
        <f t="shared" si="86"/>
        <v>4845.5119999999997</v>
      </c>
      <c r="T65" s="4">
        <f t="shared" si="87"/>
        <v>3684.7999999999997</v>
      </c>
      <c r="U65" s="4">
        <f t="shared" si="70"/>
        <v>0.64301918485291187</v>
      </c>
      <c r="V65" s="4">
        <f t="shared" si="71"/>
        <v>0.59339350345901865</v>
      </c>
      <c r="W65" s="4">
        <f>(装备属性设计!Z17*战斗力成长!AB17+D17*C$75*0.2)*(1+AJ17/100)</f>
        <v>3200.1093333333338</v>
      </c>
      <c r="X65" s="4">
        <f t="shared" si="88"/>
        <v>0.46110359068310552</v>
      </c>
      <c r="Y65" s="10">
        <f t="shared" si="89"/>
        <v>852862.69473032502</v>
      </c>
      <c r="Z65" s="23">
        <f t="shared" si="72"/>
        <v>8.8369388383011955</v>
      </c>
      <c r="AA65" s="20">
        <f t="shared" si="90"/>
        <v>1.95</v>
      </c>
      <c r="AB65" s="20">
        <f t="shared" si="91"/>
        <v>1.6333333333333333</v>
      </c>
      <c r="AC65" s="4">
        <f t="shared" si="90"/>
        <v>2992</v>
      </c>
      <c r="AD65" s="4">
        <f t="shared" si="90"/>
        <v>9.0909090909090912E-2</v>
      </c>
      <c r="AE65" s="4">
        <f t="shared" si="90"/>
        <v>9</v>
      </c>
      <c r="AF65" s="4">
        <f t="shared" si="90"/>
        <v>45</v>
      </c>
      <c r="AG65" s="4">
        <f t="shared" si="90"/>
        <v>18</v>
      </c>
      <c r="AH65" s="4">
        <f t="shared" si="90"/>
        <v>36</v>
      </c>
      <c r="AI65" s="4">
        <f t="shared" si="90"/>
        <v>31.5</v>
      </c>
      <c r="AJ65">
        <f t="shared" si="92"/>
        <v>72</v>
      </c>
      <c r="AK65">
        <f t="shared" si="93"/>
        <v>36</v>
      </c>
      <c r="AL65">
        <f t="shared" si="94"/>
        <v>72</v>
      </c>
      <c r="AM65">
        <f t="shared" si="95"/>
        <v>81.900000000000006</v>
      </c>
      <c r="AN65">
        <f t="shared" ref="AN65:AQ65" si="127">AN17</f>
        <v>0.41860465116279072</v>
      </c>
      <c r="AO65">
        <f t="shared" si="127"/>
        <v>0.41860465116279072</v>
      </c>
      <c r="AP65">
        <f t="shared" si="127"/>
        <v>12500</v>
      </c>
      <c r="AQ65">
        <f t="shared" si="127"/>
        <v>3750</v>
      </c>
      <c r="AR65">
        <f>AG65*K65/100/(1-U65)/(1-R65)*(1-(AP65*(1-AN65)/(AP65*(1-AN65)+VLOOKUP(A65,[1]怪物抗性与玩家穿透!$A$2:$I$74,8,0))))*(1-(AQ65*(1-AO65)/(VLOOKUP(A65,[1]怪物抗性与玩家穿透!$A$2:$I$74,9,0)+AQ65*(1-AO65))))</f>
        <v>33509.049851318588</v>
      </c>
      <c r="AS65">
        <f t="shared" si="98"/>
        <v>15351.52850514585</v>
      </c>
      <c r="AT65">
        <f t="shared" ref="AT65:AX65" si="128">AT17</f>
        <v>1178621.3453561435</v>
      </c>
      <c r="AU65">
        <f t="shared" si="128"/>
        <v>19701.123750000002</v>
      </c>
      <c r="AV65">
        <f t="shared" si="128"/>
        <v>1.2</v>
      </c>
      <c r="AW65">
        <f t="shared" si="128"/>
        <v>1.1000000000000001</v>
      </c>
      <c r="AX65">
        <f t="shared" si="128"/>
        <v>1.17</v>
      </c>
      <c r="AY65">
        <f t="shared" si="106"/>
        <v>121334.34916810261</v>
      </c>
      <c r="AZ65">
        <f t="shared" si="100"/>
        <v>5184612.1607055878</v>
      </c>
      <c r="BA65">
        <f t="shared" si="101"/>
        <v>21000156.101113979</v>
      </c>
      <c r="BB65">
        <v>34</v>
      </c>
    </row>
    <row r="66" spans="1:54">
      <c r="A66" s="4">
        <v>75</v>
      </c>
      <c r="B66" s="19">
        <f t="shared" si="77"/>
        <v>17150</v>
      </c>
      <c r="C66" s="4">
        <v>565</v>
      </c>
      <c r="D66" s="6">
        <f t="shared" ref="D66:D71" si="129">C66+B66</f>
        <v>17715</v>
      </c>
      <c r="E66" s="6">
        <f t="shared" si="79"/>
        <v>9725.1</v>
      </c>
      <c r="F66" s="6">
        <f t="shared" si="64"/>
        <v>43738.38</v>
      </c>
      <c r="G66" s="6">
        <f t="shared" ref="G66:G71" si="130">F66/(A66*A66*3+2*A66+53+F66)</f>
        <v>0.71918749521099412</v>
      </c>
      <c r="H66" s="4">
        <f t="shared" si="81"/>
        <v>24009.3</v>
      </c>
      <c r="I66" s="6">
        <f t="shared" ref="I66:I71" si="131">D66*1.5*MAX($C$26:$C$29)</f>
        <v>15943.5</v>
      </c>
      <c r="J66" s="6">
        <v>2</v>
      </c>
      <c r="K66" s="7">
        <f t="shared" si="82"/>
        <v>124722.04865584592</v>
      </c>
      <c r="L66" s="6">
        <f t="shared" ref="L66:L71" si="132">$C$29*D66</f>
        <v>3543</v>
      </c>
      <c r="M66" s="4">
        <f t="shared" si="83"/>
        <v>45360</v>
      </c>
      <c r="N66" s="4">
        <f t="shared" si="84"/>
        <v>121185</v>
      </c>
      <c r="O66" s="4">
        <f t="shared" ref="O66:O71" si="133">M66/N66</f>
        <v>0.37430375046416636</v>
      </c>
      <c r="P66" s="17">
        <f t="shared" si="85"/>
        <v>4390</v>
      </c>
      <c r="Q66" s="6">
        <f t="shared" si="68"/>
        <v>12906.599999999999</v>
      </c>
      <c r="R66" s="4">
        <f t="shared" si="69"/>
        <v>0.42940984675578736</v>
      </c>
      <c r="S66" s="4">
        <f t="shared" si="86"/>
        <v>6161.22</v>
      </c>
      <c r="T66" s="4">
        <f t="shared" ref="T66:T71" si="134">T18</f>
        <v>4563.8666666666668</v>
      </c>
      <c r="U66" s="4">
        <f t="shared" ref="U66:U71" si="135">(S66+D66*C$74)/($A66*$A66*5+S66+D66*C$74+24200-$A66*645)</f>
        <v>0.66758452610176788</v>
      </c>
      <c r="V66" s="4">
        <f t="shared" ref="V66:V71" si="136">(T66+B66*C$76)/($A66*$A66*5+T66+B66*C$76+24200-$A66*645)</f>
        <v>0.61383796184653883</v>
      </c>
      <c r="W66" s="4">
        <f>(装备属性设计!Z18*战斗力成长!AB18+D18*C$75*0.2)*(1+AJ18/100)</f>
        <v>3823.3911111111115</v>
      </c>
      <c r="X66" s="4">
        <f t="shared" ref="X66:X71" si="137">W66/((3*$A66*$A66+3*$A66+50)/4+W66)</f>
        <v>0.47138977194175952</v>
      </c>
      <c r="Y66" s="10">
        <f t="shared" ref="Y66:Y71" si="138">(N66/(1-R66))/(1-U66)/(1-X66)</f>
        <v>1208670.1607558222</v>
      </c>
      <c r="Z66" s="23">
        <f t="shared" ref="Z66:Z71" si="139">Y66/K66</f>
        <v>9.6909100979489882</v>
      </c>
      <c r="AA66" s="20">
        <f t="shared" si="90"/>
        <v>2.1</v>
      </c>
      <c r="AB66" s="20">
        <f t="shared" si="91"/>
        <v>1.7333333333333334</v>
      </c>
      <c r="AC66" s="4">
        <f t="shared" si="90"/>
        <v>3430</v>
      </c>
      <c r="AD66" s="4">
        <f t="shared" si="90"/>
        <v>9.0909090909090912E-2</v>
      </c>
      <c r="AE66" s="4">
        <f t="shared" si="90"/>
        <v>10</v>
      </c>
      <c r="AF66" s="4">
        <f t="shared" si="90"/>
        <v>50</v>
      </c>
      <c r="AG66" s="4">
        <f t="shared" si="90"/>
        <v>20</v>
      </c>
      <c r="AH66" s="4">
        <f t="shared" si="90"/>
        <v>40</v>
      </c>
      <c r="AI66" s="4">
        <f t="shared" si="90"/>
        <v>35</v>
      </c>
      <c r="AJ66">
        <f t="shared" si="92"/>
        <v>80</v>
      </c>
      <c r="AK66">
        <f t="shared" si="93"/>
        <v>40</v>
      </c>
      <c r="AL66">
        <f t="shared" si="94"/>
        <v>80</v>
      </c>
      <c r="AM66">
        <f t="shared" si="95"/>
        <v>91</v>
      </c>
      <c r="AN66">
        <f t="shared" ref="AN66:AQ66" si="140">AN18</f>
        <v>0.44444444444444442</v>
      </c>
      <c r="AO66">
        <f t="shared" si="140"/>
        <v>0.44444444444444442</v>
      </c>
      <c r="AP66">
        <f t="shared" si="140"/>
        <v>15000</v>
      </c>
      <c r="AQ66">
        <f t="shared" si="140"/>
        <v>4500</v>
      </c>
      <c r="AR66">
        <f>AG66*K66/100/(1-U66)/(1-R66)*(1-(AP66*(1-AN66)/(AP66*(1-AN66)+VLOOKUP(A66,[1]怪物抗性与玩家穿透!$A$2:$I$74,8,0))))*(1-(AQ66*(1-AO66)/(VLOOKUP(A66,[1]怪物抗性与玩家穿透!$A$2:$I$74,9,0)+AQ66*(1-AO66))))</f>
        <v>54129.166698951885</v>
      </c>
      <c r="AS66">
        <f t="shared" si="98"/>
        <v>24173.403215116447</v>
      </c>
      <c r="AT66">
        <f t="shared" ref="AT66:AX66" si="141">AT18</f>
        <v>1819703.5181700764</v>
      </c>
      <c r="AU66">
        <f t="shared" si="141"/>
        <v>28762.981632000006</v>
      </c>
      <c r="AV66">
        <f t="shared" si="141"/>
        <v>1.22</v>
      </c>
      <c r="AW66">
        <f t="shared" si="141"/>
        <v>1.1100000000000001</v>
      </c>
      <c r="AX66">
        <f t="shared" si="141"/>
        <v>1.18</v>
      </c>
      <c r="AY66">
        <f t="shared" si="106"/>
        <v>160968.92464032612</v>
      </c>
      <c r="AZ66">
        <f t="shared" si="100"/>
        <v>8305000.0358719705</v>
      </c>
      <c r="BA66">
        <f t="shared" si="101"/>
        <v>32597822.375125591</v>
      </c>
      <c r="BB66">
        <v>35</v>
      </c>
    </row>
    <row r="67" spans="1:54">
      <c r="A67" s="4">
        <v>80</v>
      </c>
      <c r="B67" s="19">
        <f t="shared" si="77"/>
        <v>19490</v>
      </c>
      <c r="C67" s="4">
        <v>600</v>
      </c>
      <c r="D67" s="6">
        <f t="shared" si="129"/>
        <v>20090</v>
      </c>
      <c r="E67" s="6">
        <f t="shared" si="79"/>
        <v>11400.75</v>
      </c>
      <c r="F67" s="6">
        <f t="shared" si="64"/>
        <v>52156.369999999995</v>
      </c>
      <c r="G67" s="6">
        <f t="shared" si="130"/>
        <v>0.72875267729756454</v>
      </c>
      <c r="H67" s="4">
        <f t="shared" si="81"/>
        <v>29234.25</v>
      </c>
      <c r="I67" s="6">
        <f t="shared" si="131"/>
        <v>18081</v>
      </c>
      <c r="J67" s="6">
        <v>2</v>
      </c>
      <c r="K67" s="7">
        <f t="shared" si="82"/>
        <v>157558.66318255817</v>
      </c>
      <c r="L67" s="6">
        <f t="shared" si="132"/>
        <v>4018</v>
      </c>
      <c r="M67" s="4">
        <f t="shared" si="83"/>
        <v>54180</v>
      </c>
      <c r="N67" s="4">
        <f t="shared" si="84"/>
        <v>146258</v>
      </c>
      <c r="O67" s="4">
        <f t="shared" si="133"/>
        <v>0.3704412750071791</v>
      </c>
      <c r="P67" s="17">
        <f t="shared" si="85"/>
        <v>5146</v>
      </c>
      <c r="Q67" s="6">
        <f t="shared" si="68"/>
        <v>16673.04</v>
      </c>
      <c r="R67" s="4">
        <f t="shared" si="69"/>
        <v>0.46105194696021135</v>
      </c>
      <c r="S67" s="4">
        <f t="shared" si="86"/>
        <v>7785.085</v>
      </c>
      <c r="T67" s="4">
        <f t="shared" si="134"/>
        <v>5621</v>
      </c>
      <c r="U67" s="4">
        <f t="shared" si="135"/>
        <v>0.6804242853922291</v>
      </c>
      <c r="V67" s="4">
        <f t="shared" si="136"/>
        <v>0.6220213640098603</v>
      </c>
      <c r="W67" s="4">
        <f>(装备属性设计!Z19*战斗力成长!AB19+D19*C$75*0.2)*(1+AJ19/100)</f>
        <v>4464.7591111111124</v>
      </c>
      <c r="X67" s="4">
        <f t="shared" si="137"/>
        <v>0.47816592192436397</v>
      </c>
      <c r="Y67" s="10">
        <f t="shared" si="138"/>
        <v>1627295.8513706364</v>
      </c>
      <c r="Z67" s="23">
        <f t="shared" si="139"/>
        <v>10.32819026577511</v>
      </c>
      <c r="AA67" s="20">
        <f t="shared" si="90"/>
        <v>2.25</v>
      </c>
      <c r="AB67" s="20">
        <f t="shared" si="91"/>
        <v>1.8333333333333335</v>
      </c>
      <c r="AC67" s="4">
        <f t="shared" si="90"/>
        <v>3898</v>
      </c>
      <c r="AD67" s="4">
        <f t="shared" si="90"/>
        <v>9.0909090909090912E-2</v>
      </c>
      <c r="AE67" s="4">
        <f t="shared" si="90"/>
        <v>11</v>
      </c>
      <c r="AF67" s="4">
        <f t="shared" si="90"/>
        <v>55</v>
      </c>
      <c r="AG67" s="4">
        <f t="shared" si="90"/>
        <v>22</v>
      </c>
      <c r="AH67" s="4">
        <f t="shared" si="90"/>
        <v>44</v>
      </c>
      <c r="AI67" s="4">
        <f t="shared" si="90"/>
        <v>38.5</v>
      </c>
      <c r="AJ67">
        <f t="shared" si="92"/>
        <v>88</v>
      </c>
      <c r="AK67">
        <f t="shared" si="93"/>
        <v>44</v>
      </c>
      <c r="AL67">
        <f t="shared" si="94"/>
        <v>88</v>
      </c>
      <c r="AM67">
        <f t="shared" si="95"/>
        <v>100.10000000000001</v>
      </c>
      <c r="AN67">
        <f t="shared" ref="AN67:AQ67" si="142">AN19</f>
        <v>0.46808510638297873</v>
      </c>
      <c r="AO67">
        <f t="shared" si="142"/>
        <v>0.46808510638297873</v>
      </c>
      <c r="AP67">
        <f t="shared" si="142"/>
        <v>17500</v>
      </c>
      <c r="AQ67">
        <f t="shared" si="142"/>
        <v>5250</v>
      </c>
      <c r="AR67">
        <f>AG67*K67/100/(1-U67)/(1-R67)*(1-(AP67*(1-AN67)/(AP67*(1-AN67)+VLOOKUP(A67,[1]怪物抗性与玩家穿透!$A$2:$I$74,8,0))))*(1-(AQ67*(1-AO67)/(VLOOKUP(A67,[1]怪物抗性与玩家穿透!$A$2:$I$74,9,0)+AQ67*(1-AO67))))</f>
        <v>84646.214676137999</v>
      </c>
      <c r="AS67">
        <f t="shared" si="98"/>
        <v>35800.508730153997</v>
      </c>
      <c r="AT67">
        <f t="shared" ref="AT67:AX67" si="143">AT19</f>
        <v>2555862.4790303754</v>
      </c>
      <c r="AU67">
        <f t="shared" si="143"/>
        <v>40436.062992000006</v>
      </c>
      <c r="AV67">
        <f t="shared" si="143"/>
        <v>1.24</v>
      </c>
      <c r="AW67">
        <f t="shared" si="143"/>
        <v>1.1200000000000001</v>
      </c>
      <c r="AX67">
        <f t="shared" si="143"/>
        <v>1.19</v>
      </c>
      <c r="AY67">
        <f t="shared" si="106"/>
        <v>206963.89094327184</v>
      </c>
      <c r="AZ67">
        <f t="shared" si="100"/>
        <v>12570991.094439413</v>
      </c>
      <c r="BA67">
        <f t="shared" si="101"/>
        <v>48122821.962954737</v>
      </c>
      <c r="BB67">
        <v>36</v>
      </c>
    </row>
    <row r="68" spans="1:54">
      <c r="A68" s="4">
        <v>85</v>
      </c>
      <c r="B68" s="19">
        <f t="shared" si="77"/>
        <v>21980</v>
      </c>
      <c r="C68" s="4">
        <v>635</v>
      </c>
      <c r="D68" s="6">
        <f t="shared" si="129"/>
        <v>22615</v>
      </c>
      <c r="E68" s="6">
        <f t="shared" si="79"/>
        <v>13188</v>
      </c>
      <c r="F68" s="6">
        <f t="shared" si="64"/>
        <v>61491.08</v>
      </c>
      <c r="G68" s="6">
        <f t="shared" si="130"/>
        <v>0.73739966911734722</v>
      </c>
      <c r="H68" s="4">
        <f t="shared" si="81"/>
        <v>35167.199999999997</v>
      </c>
      <c r="I68" s="6">
        <f t="shared" si="131"/>
        <v>20353.5</v>
      </c>
      <c r="J68" s="6">
        <v>2</v>
      </c>
      <c r="K68" s="7">
        <f t="shared" si="82"/>
        <v>196811.83481698728</v>
      </c>
      <c r="L68" s="6">
        <f t="shared" si="132"/>
        <v>4523</v>
      </c>
      <c r="M68" s="4">
        <f t="shared" si="83"/>
        <v>64896</v>
      </c>
      <c r="N68" s="4">
        <f t="shared" si="84"/>
        <v>176202</v>
      </c>
      <c r="O68" s="4">
        <f t="shared" si="133"/>
        <v>0.36830455953961933</v>
      </c>
      <c r="P68" s="17">
        <f t="shared" si="85"/>
        <v>5978</v>
      </c>
      <c r="Q68" s="6">
        <f t="shared" si="68"/>
        <v>21233.856</v>
      </c>
      <c r="R68" s="4">
        <f t="shared" si="69"/>
        <v>0.49136684307921979</v>
      </c>
      <c r="S68" s="4">
        <f t="shared" si="86"/>
        <v>10080.863999999998</v>
      </c>
      <c r="T68" s="4">
        <f t="shared" si="134"/>
        <v>7099.1999999999989</v>
      </c>
      <c r="U68" s="4">
        <f t="shared" si="135"/>
        <v>0.69174488313319904</v>
      </c>
      <c r="V68" s="4">
        <f t="shared" si="136"/>
        <v>0.62830805828129654</v>
      </c>
      <c r="W68" s="4">
        <f>(装备属性设计!Z20*战斗力成长!AB20+D20*C$75*0.2)*(1+AJ20/100)</f>
        <v>5269.0880000000006</v>
      </c>
      <c r="X68" s="4">
        <f t="shared" si="137"/>
        <v>0.48950621734047517</v>
      </c>
      <c r="Y68" s="10">
        <f t="shared" si="138"/>
        <v>2201432.7062131111</v>
      </c>
      <c r="Z68" s="23">
        <f t="shared" si="139"/>
        <v>11.185469147524559</v>
      </c>
      <c r="AA68" s="20">
        <f t="shared" si="90"/>
        <v>2.4</v>
      </c>
      <c r="AB68" s="20">
        <f t="shared" si="91"/>
        <v>1.9333333333333331</v>
      </c>
      <c r="AC68" s="4">
        <f t="shared" si="90"/>
        <v>4396</v>
      </c>
      <c r="AD68" s="4">
        <f t="shared" si="90"/>
        <v>9.0909090909090912E-2</v>
      </c>
      <c r="AE68" s="4">
        <f t="shared" si="90"/>
        <v>12</v>
      </c>
      <c r="AF68" s="4">
        <f t="shared" si="90"/>
        <v>60</v>
      </c>
      <c r="AG68" s="4">
        <f t="shared" si="90"/>
        <v>24</v>
      </c>
      <c r="AH68" s="4">
        <f t="shared" si="90"/>
        <v>48</v>
      </c>
      <c r="AI68" s="4">
        <f t="shared" si="90"/>
        <v>42</v>
      </c>
      <c r="AJ68">
        <f t="shared" si="92"/>
        <v>96</v>
      </c>
      <c r="AK68">
        <f t="shared" si="93"/>
        <v>48</v>
      </c>
      <c r="AL68">
        <f t="shared" si="94"/>
        <v>96</v>
      </c>
      <c r="AM68">
        <f t="shared" si="95"/>
        <v>109.2</v>
      </c>
      <c r="AN68">
        <f t="shared" ref="AN68:AQ68" si="144">AN20</f>
        <v>0.48979591836734693</v>
      </c>
      <c r="AO68">
        <f t="shared" si="144"/>
        <v>0.48979591836734693</v>
      </c>
      <c r="AP68">
        <f t="shared" si="144"/>
        <v>20000</v>
      </c>
      <c r="AQ68">
        <f t="shared" si="144"/>
        <v>6000</v>
      </c>
      <c r="AR68">
        <f>AG68*K68/100/(1-U68)/(1-R68)*(1-(AP68*(1-AN68)/(AP68*(1-AN68)+VLOOKUP(A68,[1]怪物抗性与玩家穿透!$A$2:$I$74,8,0))))*(1-(AQ68*(1-AO68)/(VLOOKUP(A68,[1]怪物抗性与玩家穿透!$A$2:$I$74,9,0)+AQ68*(1-AO68))))</f>
        <v>132025.60247407659</v>
      </c>
      <c r="AS68">
        <f t="shared" si="98"/>
        <v>52834.384949114668</v>
      </c>
      <c r="AT68">
        <f t="shared" ref="AT68:AX68" si="145">AT20</f>
        <v>3375293.019886577</v>
      </c>
      <c r="AU68">
        <f t="shared" si="145"/>
        <v>55421.923085999995</v>
      </c>
      <c r="AV68">
        <f t="shared" si="145"/>
        <v>1.26</v>
      </c>
      <c r="AW68">
        <f t="shared" si="145"/>
        <v>1.1299999999999999</v>
      </c>
      <c r="AX68">
        <f t="shared" si="145"/>
        <v>1.2</v>
      </c>
      <c r="AY68">
        <f t="shared" si="106"/>
        <v>260001.15056440106</v>
      </c>
      <c r="AZ68">
        <f t="shared" si="100"/>
        <v>18773816.43426574</v>
      </c>
      <c r="BA68">
        <f t="shared" si="101"/>
        <v>69102346.069293439</v>
      </c>
      <c r="BB68">
        <v>37</v>
      </c>
    </row>
    <row r="69" spans="1:54">
      <c r="A69" s="4">
        <v>90</v>
      </c>
      <c r="B69" s="19">
        <f t="shared" si="77"/>
        <v>24620</v>
      </c>
      <c r="C69" s="4">
        <v>670</v>
      </c>
      <c r="D69" s="6">
        <f t="shared" si="129"/>
        <v>25290</v>
      </c>
      <c r="E69" s="6">
        <f t="shared" si="79"/>
        <v>15695.249999999998</v>
      </c>
      <c r="F69" s="6">
        <f t="shared" si="64"/>
        <v>73018.23</v>
      </c>
      <c r="G69" s="6">
        <f t="shared" si="130"/>
        <v>0.74851162819781969</v>
      </c>
      <c r="H69" s="4">
        <f t="shared" si="81"/>
        <v>41853.149999999994</v>
      </c>
      <c r="I69" s="6">
        <f t="shared" si="131"/>
        <v>22761</v>
      </c>
      <c r="J69" s="6">
        <v>2</v>
      </c>
      <c r="K69" s="7">
        <f t="shared" si="82"/>
        <v>243991.67637086948</v>
      </c>
      <c r="L69" s="6">
        <f t="shared" si="132"/>
        <v>5058</v>
      </c>
      <c r="M69" s="4">
        <f t="shared" si="83"/>
        <v>75990</v>
      </c>
      <c r="N69" s="4">
        <f t="shared" si="84"/>
        <v>208841</v>
      </c>
      <c r="O69" s="4">
        <f t="shared" si="133"/>
        <v>0.36386533295665124</v>
      </c>
      <c r="P69" s="17">
        <f t="shared" si="85"/>
        <v>6894</v>
      </c>
      <c r="Q69" s="6">
        <f t="shared" si="68"/>
        <v>26721.143999999997</v>
      </c>
      <c r="R69" s="4">
        <f t="shared" si="69"/>
        <v>0.52046257481134417</v>
      </c>
      <c r="S69" s="4">
        <f t="shared" si="86"/>
        <v>13100.238000000001</v>
      </c>
      <c r="T69" s="4">
        <f t="shared" si="134"/>
        <v>9003.6</v>
      </c>
      <c r="U69" s="4">
        <f t="shared" si="135"/>
        <v>0.70151582383562683</v>
      </c>
      <c r="V69" s="4">
        <f t="shared" si="136"/>
        <v>0.63291306939875003</v>
      </c>
      <c r="W69" s="4">
        <f>(装备属性设计!Z21*战斗力成长!AB21+D21*C$75*0.2)*(1+AJ21/100)</f>
        <v>6044.6928888888888</v>
      </c>
      <c r="X69" s="4">
        <f t="shared" si="137"/>
        <v>0.49547910295301056</v>
      </c>
      <c r="Y69" s="10">
        <f t="shared" si="138"/>
        <v>2891963.3537888601</v>
      </c>
      <c r="Z69" s="23">
        <f t="shared" si="139"/>
        <v>11.852713161382811</v>
      </c>
      <c r="AA69" s="20">
        <f t="shared" si="90"/>
        <v>2.5499999999999998</v>
      </c>
      <c r="AB69" s="20">
        <f t="shared" si="91"/>
        <v>2.0333333333333332</v>
      </c>
      <c r="AC69" s="4">
        <f t="shared" si="90"/>
        <v>4924</v>
      </c>
      <c r="AD69" s="4">
        <f t="shared" si="90"/>
        <v>9.0909090909090912E-2</v>
      </c>
      <c r="AE69" s="4">
        <f t="shared" si="90"/>
        <v>13</v>
      </c>
      <c r="AF69" s="4">
        <f t="shared" si="90"/>
        <v>65</v>
      </c>
      <c r="AG69" s="4">
        <f t="shared" si="90"/>
        <v>26</v>
      </c>
      <c r="AH69" s="4">
        <f t="shared" si="90"/>
        <v>52</v>
      </c>
      <c r="AI69" s="4">
        <f t="shared" si="90"/>
        <v>45.5</v>
      </c>
      <c r="AJ69">
        <f t="shared" si="92"/>
        <v>104</v>
      </c>
      <c r="AK69">
        <f t="shared" si="93"/>
        <v>52</v>
      </c>
      <c r="AL69">
        <f t="shared" si="94"/>
        <v>104</v>
      </c>
      <c r="AM69">
        <f t="shared" si="95"/>
        <v>118.3</v>
      </c>
      <c r="AN69">
        <f t="shared" ref="AN69:AQ69" si="146">AN21</f>
        <v>0.50980392156862742</v>
      </c>
      <c r="AO69">
        <f t="shared" si="146"/>
        <v>0.50980392156862742</v>
      </c>
      <c r="AP69">
        <f t="shared" si="146"/>
        <v>27000</v>
      </c>
      <c r="AQ69">
        <f t="shared" si="146"/>
        <v>8000</v>
      </c>
      <c r="AR69">
        <f>AG69*K69/100/(1-U69)/(1-R69)*(1-(AP69*(1-AN69)/(AP69*(1-AN69)+VLOOKUP(A69,[1]怪物抗性与玩家穿透!$A$2:$I$74,8,0))))*(1-(AQ69*(1-AO69)/(VLOOKUP(A69,[1]怪物抗性与玩家穿透!$A$2:$I$74,9,0)+AQ69*(1-AO69))))</f>
        <v>181101.66657150551</v>
      </c>
      <c r="AS69">
        <f t="shared" si="98"/>
        <v>75191.047198510365</v>
      </c>
      <c r="AT69">
        <f t="shared" ref="AT69:AX69" si="147">AT21</f>
        <v>4250447.3246527277</v>
      </c>
      <c r="AU69">
        <f t="shared" si="147"/>
        <v>72789.696225000007</v>
      </c>
      <c r="AV69">
        <f t="shared" si="147"/>
        <v>1.28</v>
      </c>
      <c r="AW69">
        <f t="shared" si="147"/>
        <v>1.1399999999999999</v>
      </c>
      <c r="AX69">
        <f t="shared" si="147"/>
        <v>1.21</v>
      </c>
      <c r="AY69">
        <f t="shared" si="106"/>
        <v>323593.02412135358</v>
      </c>
      <c r="AZ69">
        <f t="shared" si="100"/>
        <v>26146119.552076351</v>
      </c>
      <c r="BA69">
        <f t="shared" si="101"/>
        <v>96043556.046532795</v>
      </c>
      <c r="BB69">
        <v>38</v>
      </c>
    </row>
    <row r="70" spans="1:54">
      <c r="A70" s="4">
        <v>95</v>
      </c>
      <c r="B70" s="19">
        <f t="shared" si="77"/>
        <v>27410</v>
      </c>
      <c r="C70" s="4">
        <v>705</v>
      </c>
      <c r="D70" s="6">
        <f t="shared" si="129"/>
        <v>28115</v>
      </c>
      <c r="E70" s="6">
        <f t="shared" si="79"/>
        <v>18503.100000000002</v>
      </c>
      <c r="F70" s="6">
        <f t="shared" si="64"/>
        <v>86610.69200000001</v>
      </c>
      <c r="G70" s="6">
        <f t="shared" si="130"/>
        <v>0.76021843558074031</v>
      </c>
      <c r="H70" s="4">
        <f t="shared" si="81"/>
        <v>49337.100000000006</v>
      </c>
      <c r="I70" s="6">
        <f t="shared" si="131"/>
        <v>25303.5</v>
      </c>
      <c r="J70" s="6">
        <v>2</v>
      </c>
      <c r="K70" s="7">
        <f t="shared" si="82"/>
        <v>300028.42611715489</v>
      </c>
      <c r="L70" s="6">
        <f t="shared" si="132"/>
        <v>5623</v>
      </c>
      <c r="M70" s="4">
        <f t="shared" si="83"/>
        <v>88452</v>
      </c>
      <c r="N70" s="4">
        <f t="shared" si="84"/>
        <v>245959</v>
      </c>
      <c r="O70" s="4">
        <f t="shared" si="133"/>
        <v>0.3596209124284942</v>
      </c>
      <c r="P70" s="17">
        <f t="shared" si="85"/>
        <v>7674</v>
      </c>
      <c r="Q70" s="6">
        <f t="shared" si="68"/>
        <v>32322.888000000006</v>
      </c>
      <c r="R70" s="4">
        <f t="shared" si="69"/>
        <v>0.54112381105698426</v>
      </c>
      <c r="S70" s="4">
        <f t="shared" si="86"/>
        <v>16993.152000000006</v>
      </c>
      <c r="T70" s="4">
        <f t="shared" si="134"/>
        <v>11404.800000000003</v>
      </c>
      <c r="U70" s="4">
        <f t="shared" si="135"/>
        <v>0.71099979996160079</v>
      </c>
      <c r="V70" s="4">
        <f t="shared" si="136"/>
        <v>0.6373187720199317</v>
      </c>
      <c r="W70" s="4">
        <f>(装备属性设计!Z22*战斗力成长!AB22+D22*C$75*0.2)*(1+AJ22/100)</f>
        <v>6936.1573333333336</v>
      </c>
      <c r="X70" s="4">
        <f t="shared" si="137"/>
        <v>0.50303355617994427</v>
      </c>
      <c r="Y70" s="10">
        <f t="shared" si="138"/>
        <v>3732003.0263034101</v>
      </c>
      <c r="Z70" s="23">
        <f t="shared" si="139"/>
        <v>12.438831462076664</v>
      </c>
      <c r="AA70" s="20">
        <f t="shared" si="90"/>
        <v>2.7</v>
      </c>
      <c r="AB70" s="20">
        <f t="shared" si="91"/>
        <v>2.1333333333333337</v>
      </c>
      <c r="AC70" s="4">
        <f t="shared" si="90"/>
        <v>5482</v>
      </c>
      <c r="AD70" s="4">
        <f t="shared" si="90"/>
        <v>9.0909090909090912E-2</v>
      </c>
      <c r="AE70" s="4">
        <f t="shared" si="90"/>
        <v>14</v>
      </c>
      <c r="AF70" s="4">
        <f t="shared" si="90"/>
        <v>70</v>
      </c>
      <c r="AG70" s="4">
        <f t="shared" si="90"/>
        <v>28</v>
      </c>
      <c r="AH70" s="4">
        <f t="shared" si="90"/>
        <v>56</v>
      </c>
      <c r="AI70" s="4">
        <f t="shared" si="90"/>
        <v>49</v>
      </c>
      <c r="AJ70">
        <f t="shared" si="92"/>
        <v>112</v>
      </c>
      <c r="AK70">
        <f t="shared" si="93"/>
        <v>56</v>
      </c>
      <c r="AL70">
        <f t="shared" si="94"/>
        <v>112</v>
      </c>
      <c r="AM70">
        <f t="shared" si="95"/>
        <v>127.4</v>
      </c>
      <c r="AN70">
        <f t="shared" ref="AN70:AQ70" si="148">AN22</f>
        <v>0.52830188679245282</v>
      </c>
      <c r="AO70">
        <f t="shared" si="148"/>
        <v>0.52830188679245282</v>
      </c>
      <c r="AP70">
        <f t="shared" si="148"/>
        <v>34000</v>
      </c>
      <c r="AQ70">
        <f t="shared" si="148"/>
        <v>10000</v>
      </c>
      <c r="AR70">
        <f>AG70*K70/100/(1-U70)/(1-R70)*(1-(AP70*(1-AN70)/(AP70*(1-AN70)+VLOOKUP(A70,[1]怪物抗性与玩家穿透!$A$2:$I$74,8,0))))*(1-(AQ70*(1-AO70)/(VLOOKUP(A70,[1]怪物抗性与玩家穿透!$A$2:$I$74,9,0)+AQ70*(1-AO70))))</f>
        <v>251679.89996601758</v>
      </c>
      <c r="AS70">
        <f t="shared" si="98"/>
        <v>104496.08473649548</v>
      </c>
      <c r="AT70">
        <f t="shared" ref="AT70:AX70" si="149">AT22</f>
        <v>5148922.2826135606</v>
      </c>
      <c r="AU70">
        <f t="shared" si="149"/>
        <v>93540.932100000005</v>
      </c>
      <c r="AV70">
        <f t="shared" si="149"/>
        <v>1.3</v>
      </c>
      <c r="AW70">
        <f t="shared" si="149"/>
        <v>1.1499999999999999</v>
      </c>
      <c r="AX70">
        <f t="shared" si="149"/>
        <v>1.22</v>
      </c>
      <c r="AY70">
        <f t="shared" si="106"/>
        <v>396906.59534809488</v>
      </c>
      <c r="AZ70">
        <f t="shared" si="100"/>
        <v>36116056.897731557</v>
      </c>
      <c r="BA70">
        <f t="shared" si="101"/>
        <v>131196351.7181166</v>
      </c>
      <c r="BB70">
        <v>39</v>
      </c>
    </row>
    <row r="71" spans="1:54">
      <c r="A71" s="4">
        <v>100</v>
      </c>
      <c r="B71" s="19">
        <f t="shared" si="77"/>
        <v>30350</v>
      </c>
      <c r="C71" s="4">
        <v>740</v>
      </c>
      <c r="D71" s="6">
        <f t="shared" si="129"/>
        <v>31090</v>
      </c>
      <c r="E71" s="6">
        <f t="shared" si="79"/>
        <v>21625.8</v>
      </c>
      <c r="F71" s="6">
        <f t="shared" si="64"/>
        <v>101969.56000000001</v>
      </c>
      <c r="G71" s="6">
        <f t="shared" si="130"/>
        <v>0.7711963828260473</v>
      </c>
      <c r="H71" s="4">
        <f t="shared" si="81"/>
        <v>57664.05</v>
      </c>
      <c r="I71" s="6">
        <f t="shared" si="131"/>
        <v>27981</v>
      </c>
      <c r="J71" s="6">
        <v>2</v>
      </c>
      <c r="K71" s="7">
        <f t="shared" si="82"/>
        <v>365826.34518473549</v>
      </c>
      <c r="L71" s="6">
        <f t="shared" si="132"/>
        <v>6218</v>
      </c>
      <c r="M71" s="4">
        <f t="shared" si="83"/>
        <v>102942</v>
      </c>
      <c r="N71" s="4">
        <f t="shared" si="84"/>
        <v>288964</v>
      </c>
      <c r="O71" s="4">
        <f t="shared" si="133"/>
        <v>0.35624506858985894</v>
      </c>
      <c r="P71" s="17">
        <f t="shared" si="85"/>
        <v>8498</v>
      </c>
      <c r="Q71" s="6">
        <f t="shared" si="68"/>
        <v>38750.879999999997</v>
      </c>
      <c r="R71" s="4">
        <f t="shared" si="69"/>
        <v>0.56078706957132807</v>
      </c>
      <c r="S71" s="4">
        <f t="shared" si="86"/>
        <v>22001.683333333334</v>
      </c>
      <c r="T71" s="4">
        <f t="shared" si="134"/>
        <v>14427.333333333334</v>
      </c>
      <c r="U71" s="4">
        <f t="shared" si="135"/>
        <v>0.72134991125808601</v>
      </c>
      <c r="V71" s="4">
        <f t="shared" si="136"/>
        <v>0.64288782259746935</v>
      </c>
      <c r="W71" s="4">
        <f>(装备属性设计!Z23*战斗力成长!AB23+D23*C$75*0.2)*(1+AJ23/100)</f>
        <v>7946.4466666666667</v>
      </c>
      <c r="X71" s="4">
        <f t="shared" si="137"/>
        <v>0.51155362105873936</v>
      </c>
      <c r="Y71" s="10">
        <f t="shared" si="138"/>
        <v>4833843.0268190159</v>
      </c>
      <c r="Z71" s="23">
        <f t="shared" si="139"/>
        <v>13.213490746211882</v>
      </c>
      <c r="AA71" s="20">
        <f t="shared" si="90"/>
        <v>2.85</v>
      </c>
      <c r="AB71" s="20">
        <f t="shared" si="91"/>
        <v>2.2333333333333334</v>
      </c>
      <c r="AC71" s="4">
        <f t="shared" si="90"/>
        <v>6070</v>
      </c>
      <c r="AD71" s="4">
        <f t="shared" si="90"/>
        <v>9.0909090909090912E-2</v>
      </c>
      <c r="AE71" s="4">
        <f t="shared" si="90"/>
        <v>15</v>
      </c>
      <c r="AF71" s="4">
        <f t="shared" si="90"/>
        <v>75</v>
      </c>
      <c r="AG71" s="4">
        <f t="shared" si="90"/>
        <v>30</v>
      </c>
      <c r="AH71" s="4">
        <f t="shared" si="90"/>
        <v>60</v>
      </c>
      <c r="AI71" s="4">
        <f t="shared" si="90"/>
        <v>52.5</v>
      </c>
      <c r="AJ71">
        <f t="shared" si="92"/>
        <v>120</v>
      </c>
      <c r="AK71">
        <f t="shared" si="93"/>
        <v>60</v>
      </c>
      <c r="AL71">
        <f t="shared" si="94"/>
        <v>120</v>
      </c>
      <c r="AM71">
        <f t="shared" si="95"/>
        <v>136.5</v>
      </c>
      <c r="AN71">
        <f t="shared" ref="AN71:AQ71" si="150">AN23</f>
        <v>0.54545454545454541</v>
      </c>
      <c r="AO71">
        <f t="shared" si="150"/>
        <v>0.54545454545454541</v>
      </c>
      <c r="AP71">
        <f t="shared" si="150"/>
        <v>40000</v>
      </c>
      <c r="AQ71">
        <f t="shared" si="150"/>
        <v>12000</v>
      </c>
      <c r="AR71">
        <f>AG71*K71/100/(1-U71)/(1-R71)*(1-(AP71*(1-AN71)/(AP71*(1-AN71)+VLOOKUP(A71,[1]怪物抗性与玩家穿透!$A$2:$I$74,8,0))))*(1-(AQ71*(1-AO71)/(VLOOKUP(A71,[1]怪物抗性与玩家穿透!$A$2:$I$74,9,0)+AQ71*(1-AO71))))</f>
        <v>358519.1022631849</v>
      </c>
      <c r="AS71">
        <f t="shared" si="98"/>
        <v>145015.29080457045</v>
      </c>
      <c r="AT71">
        <f t="shared" ref="AT71:AX71" si="151">AT23</f>
        <v>6706275.3979708906</v>
      </c>
      <c r="AU71">
        <f t="shared" si="151"/>
        <v>118880.46021599998</v>
      </c>
      <c r="AV71">
        <f t="shared" si="151"/>
        <v>1.32</v>
      </c>
      <c r="AW71">
        <f t="shared" si="151"/>
        <v>1.1599999999999999</v>
      </c>
      <c r="AX71">
        <f t="shared" si="151"/>
        <v>1.23</v>
      </c>
      <c r="AY71">
        <f t="shared" si="106"/>
        <v>486407.09649288649</v>
      </c>
      <c r="AZ71">
        <f t="shared" si="100"/>
        <v>51438073.897881195</v>
      </c>
      <c r="BA71">
        <f t="shared" si="101"/>
        <v>180895654.86442989</v>
      </c>
      <c r="BB71">
        <v>40</v>
      </c>
    </row>
    <row r="73" spans="1:54" ht="14.25" thickBot="1">
      <c r="B73" s="10" t="s">
        <v>193</v>
      </c>
      <c r="C73" s="10" t="s">
        <v>183</v>
      </c>
      <c r="D73" s="30" t="s">
        <v>187</v>
      </c>
      <c r="E73" s="31" t="s">
        <v>188</v>
      </c>
      <c r="F73" s="31" t="s">
        <v>190</v>
      </c>
      <c r="G73" s="38" t="s">
        <v>250</v>
      </c>
      <c r="H73" s="37" t="str">
        <f>G50</f>
        <v>暴击率</v>
      </c>
      <c r="I73" s="37" t="s">
        <v>247</v>
      </c>
      <c r="J73" s="37"/>
      <c r="R73" s="4" t="s">
        <v>252</v>
      </c>
      <c r="S73" s="4" t="s">
        <v>247</v>
      </c>
      <c r="W73" s="4" t="s">
        <v>249</v>
      </c>
      <c r="X73" s="4" t="s">
        <v>247</v>
      </c>
      <c r="Z73" s="4" t="s">
        <v>254</v>
      </c>
      <c r="AO73">
        <v>80</v>
      </c>
      <c r="AP73">
        <v>19415</v>
      </c>
      <c r="AQ73">
        <v>4600</v>
      </c>
    </row>
    <row r="74" spans="1:54" ht="15" thickTop="1" thickBot="1">
      <c r="B74" s="21" t="s">
        <v>179</v>
      </c>
      <c r="C74" s="21">
        <v>0.1</v>
      </c>
      <c r="D74" s="32">
        <v>4</v>
      </c>
      <c r="E74" s="32">
        <v>0</v>
      </c>
      <c r="F74" s="32">
        <v>0</v>
      </c>
      <c r="G74" s="39">
        <v>10</v>
      </c>
      <c r="H74" s="37">
        <f>G51</f>
        <v>0.57186544342507639</v>
      </c>
      <c r="I74" s="37">
        <f t="shared" ref="I74:I88" si="152">H74-G51</f>
        <v>0</v>
      </c>
      <c r="J74" s="37"/>
      <c r="R74" s="4">
        <v>0</v>
      </c>
      <c r="S74" s="4">
        <v>0</v>
      </c>
      <c r="U74" s="4">
        <f t="shared" ref="U74:U79" si="153">$A66*$A66*5+24200-$A66*645</f>
        <v>3950</v>
      </c>
      <c r="W74" s="4">
        <f t="shared" ref="W74:W88" si="154">W51/((3*($A51-G$26)*($A51-G$26)+3*($A51-G$26)+50)/4+W51)</f>
        <v>0.18763742975812361</v>
      </c>
      <c r="X74" s="4">
        <v>0</v>
      </c>
      <c r="Z74" s="4">
        <f t="shared" ref="Z74:Z88" si="155">X74+V74+S74+I74</f>
        <v>0</v>
      </c>
      <c r="AO74">
        <v>85</v>
      </c>
      <c r="AP74">
        <v>21900</v>
      </c>
      <c r="AQ74">
        <v>5500</v>
      </c>
    </row>
    <row r="75" spans="1:54" ht="14.25" thickTop="1">
      <c r="B75" s="21" t="s">
        <v>180</v>
      </c>
      <c r="C75" s="21">
        <v>0.6</v>
      </c>
      <c r="D75" s="32">
        <v>12</v>
      </c>
      <c r="E75" s="32">
        <v>0</v>
      </c>
      <c r="F75" s="32">
        <v>0</v>
      </c>
      <c r="G75"/>
      <c r="H75" s="37">
        <f t="shared" ref="H75:H88" si="156">F52/(($A52-G$122)*($A52-G$122)*3+2*($A52-G$122)+53+F52)</f>
        <v>0.58325975631290838</v>
      </c>
      <c r="I75" s="37">
        <f t="shared" si="152"/>
        <v>3.8479944338638106E-2</v>
      </c>
      <c r="J75" s="37"/>
      <c r="R75" s="4">
        <f t="shared" ref="R75:R88" si="157">Q52/((A52-G$26)*(A52-G$26)*3+(A52-G$26)*3+50+Q52)</f>
        <v>0.14662529092319629</v>
      </c>
      <c r="S75" s="4">
        <f t="shared" ref="S75:S88" si="158">R75-R52</f>
        <v>2.7682559645663241E-2</v>
      </c>
      <c r="U75" s="4">
        <f t="shared" si="153"/>
        <v>4600</v>
      </c>
      <c r="W75" s="4">
        <f t="shared" si="154"/>
        <v>0.51241134751773043</v>
      </c>
      <c r="X75" s="4">
        <f t="shared" ref="X75:X88" si="159">W75-X52</f>
        <v>6.014217693870072E-2</v>
      </c>
      <c r="Z75" s="4">
        <f t="shared" si="155"/>
        <v>0.12630468092300207</v>
      </c>
      <c r="AO75">
        <v>90</v>
      </c>
      <c r="AP75">
        <v>24535</v>
      </c>
      <c r="AQ75">
        <v>6650</v>
      </c>
    </row>
    <row r="76" spans="1:54">
      <c r="B76" s="21" t="s">
        <v>181</v>
      </c>
      <c r="C76" s="21">
        <v>0.1</v>
      </c>
      <c r="D76" s="32">
        <v>30</v>
      </c>
      <c r="E76" s="32">
        <v>0</v>
      </c>
      <c r="F76" s="32">
        <v>0</v>
      </c>
      <c r="G76"/>
      <c r="H76" s="37">
        <f t="shared" si="156"/>
        <v>0.8832609404322429</v>
      </c>
      <c r="I76" s="37">
        <f t="shared" si="152"/>
        <v>0.36517059464591617</v>
      </c>
      <c r="J76" s="37"/>
      <c r="R76" s="4">
        <f t="shared" si="157"/>
        <v>0.47786131996658315</v>
      </c>
      <c r="S76" s="4">
        <f t="shared" si="158"/>
        <v>0.37038292838447118</v>
      </c>
      <c r="U76" s="4">
        <f t="shared" si="153"/>
        <v>5500</v>
      </c>
      <c r="W76" s="4">
        <f t="shared" si="154"/>
        <v>0.85466693537135507</v>
      </c>
      <c r="X76" s="4">
        <f t="shared" si="159"/>
        <v>0.41843392750631098</v>
      </c>
      <c r="Z76" s="4">
        <f t="shared" si="155"/>
        <v>1.1539874505366985</v>
      </c>
      <c r="AO76">
        <v>95</v>
      </c>
      <c r="AP76">
        <v>27320</v>
      </c>
      <c r="AQ76">
        <v>8050</v>
      </c>
    </row>
    <row r="77" spans="1:54">
      <c r="B77" s="21" t="s">
        <v>182</v>
      </c>
      <c r="C77" s="21">
        <v>0.2</v>
      </c>
      <c r="D77" s="32">
        <v>103</v>
      </c>
      <c r="E77" s="32">
        <v>0</v>
      </c>
      <c r="F77" s="32">
        <v>0</v>
      </c>
      <c r="G77"/>
      <c r="H77" s="37">
        <f t="shared" si="156"/>
        <v>0.85911696966727102</v>
      </c>
      <c r="I77" s="37">
        <f t="shared" si="152"/>
        <v>0.33300439702120366</v>
      </c>
      <c r="J77" s="37"/>
      <c r="R77" s="4">
        <f t="shared" si="157"/>
        <v>0.41013887016313871</v>
      </c>
      <c r="S77" s="4">
        <f t="shared" si="158"/>
        <v>0.29790658401139269</v>
      </c>
      <c r="U77" s="4">
        <f t="shared" si="153"/>
        <v>6650</v>
      </c>
      <c r="W77" s="4">
        <f t="shared" si="154"/>
        <v>0.80074388947927733</v>
      </c>
      <c r="X77" s="4">
        <f t="shared" si="159"/>
        <v>0.37855590796926186</v>
      </c>
      <c r="Z77" s="4">
        <f t="shared" si="155"/>
        <v>1.0094668890018581</v>
      </c>
      <c r="AO77">
        <v>100</v>
      </c>
      <c r="AP77">
        <v>30255</v>
      </c>
      <c r="AQ77">
        <v>9700</v>
      </c>
    </row>
    <row r="78" spans="1:54">
      <c r="B78" s="4"/>
      <c r="C78" s="4"/>
      <c r="D78" s="32">
        <v>171</v>
      </c>
      <c r="E78" s="32">
        <v>0</v>
      </c>
      <c r="F78" s="32">
        <v>0</v>
      </c>
      <c r="G78"/>
      <c r="H78" s="37">
        <f t="shared" si="156"/>
        <v>0.80390218872495411</v>
      </c>
      <c r="I78" s="37">
        <f t="shared" si="152"/>
        <v>0.26206968880999693</v>
      </c>
      <c r="J78" s="37"/>
      <c r="R78" s="4">
        <f t="shared" si="157"/>
        <v>0.41028951680985254</v>
      </c>
      <c r="S78" s="4">
        <f t="shared" si="158"/>
        <v>0.24236098095074826</v>
      </c>
      <c r="U78" s="4">
        <f t="shared" si="153"/>
        <v>8050</v>
      </c>
      <c r="W78" s="4">
        <f t="shared" si="154"/>
        <v>0.71306645045412687</v>
      </c>
      <c r="X78" s="4">
        <f t="shared" si="159"/>
        <v>0.2941656160371266</v>
      </c>
      <c r="Z78" s="4">
        <f t="shared" si="155"/>
        <v>0.79859628579787179</v>
      </c>
    </row>
    <row r="79" spans="1:54">
      <c r="B79" s="22" t="s">
        <v>189</v>
      </c>
      <c r="C79" s="4"/>
      <c r="D79" s="32">
        <v>256</v>
      </c>
      <c r="E79" s="32">
        <v>0</v>
      </c>
      <c r="F79" s="32">
        <v>0</v>
      </c>
      <c r="G79"/>
      <c r="H79" s="37">
        <f t="shared" si="156"/>
        <v>0.74966048942365104</v>
      </c>
      <c r="I79" s="37">
        <f t="shared" si="152"/>
        <v>0.21530365139025653</v>
      </c>
      <c r="J79" s="37"/>
      <c r="R79" s="4">
        <f t="shared" si="157"/>
        <v>0.35813221476062501</v>
      </c>
      <c r="S79" s="4">
        <f t="shared" si="158"/>
        <v>0.18130485381917891</v>
      </c>
      <c r="U79" s="4">
        <f t="shared" si="153"/>
        <v>9700</v>
      </c>
      <c r="W79" s="4">
        <f t="shared" si="154"/>
        <v>0.65053626798149744</v>
      </c>
      <c r="X79" s="4">
        <f t="shared" si="159"/>
        <v>0.23305330077953651</v>
      </c>
      <c r="Z79" s="4">
        <f t="shared" si="155"/>
        <v>0.62966180598897192</v>
      </c>
    </row>
    <row r="80" spans="1:54">
      <c r="B80" s="22">
        <v>0.8</v>
      </c>
      <c r="D80" s="32">
        <v>368</v>
      </c>
      <c r="E80" s="32">
        <v>0</v>
      </c>
      <c r="F80" s="32">
        <v>0</v>
      </c>
      <c r="G80"/>
      <c r="H80" s="37">
        <f t="shared" si="156"/>
        <v>0.72132924012755495</v>
      </c>
      <c r="I80" s="37">
        <f t="shared" si="152"/>
        <v>0.17799368380863723</v>
      </c>
      <c r="J80" s="37"/>
      <c r="R80" s="4">
        <f t="shared" si="157"/>
        <v>0.32439123008243459</v>
      </c>
      <c r="S80" s="4">
        <f t="shared" si="158"/>
        <v>0.14307285287084112</v>
      </c>
      <c r="W80" s="4">
        <f t="shared" si="154"/>
        <v>0.6012302806851777</v>
      </c>
      <c r="X80" s="4">
        <f t="shared" si="159"/>
        <v>0.19104100959155235</v>
      </c>
      <c r="Z80" s="4">
        <f t="shared" si="155"/>
        <v>0.51210754627103072</v>
      </c>
    </row>
    <row r="81" spans="2:26">
      <c r="B81" s="22" t="s">
        <v>340</v>
      </c>
      <c r="D81" s="32">
        <v>676</v>
      </c>
      <c r="E81" s="32">
        <v>0</v>
      </c>
      <c r="F81" s="32">
        <v>0</v>
      </c>
      <c r="G81"/>
      <c r="H81" s="37">
        <f t="shared" si="156"/>
        <v>0.71327382726386113</v>
      </c>
      <c r="I81" s="37">
        <f t="shared" si="152"/>
        <v>0.14889582390367628</v>
      </c>
      <c r="J81" s="37"/>
      <c r="R81" s="4">
        <f t="shared" si="157"/>
        <v>0.31479816694805624</v>
      </c>
      <c r="S81" s="4">
        <f t="shared" si="158"/>
        <v>0.12130955665772897</v>
      </c>
      <c r="W81" s="4">
        <f t="shared" si="154"/>
        <v>0.56350176345287561</v>
      </c>
      <c r="X81" s="4">
        <f t="shared" si="159"/>
        <v>0.1608267456734897</v>
      </c>
      <c r="Z81" s="4">
        <f t="shared" si="155"/>
        <v>0.43103212623489495</v>
      </c>
    </row>
    <row r="82" spans="2:26">
      <c r="B82" s="22">
        <v>0</v>
      </c>
      <c r="D82" s="32">
        <v>880</v>
      </c>
      <c r="E82" s="32">
        <v>0</v>
      </c>
      <c r="F82" s="32">
        <v>0</v>
      </c>
      <c r="G82"/>
      <c r="H82" s="37">
        <f t="shared" si="156"/>
        <v>0.71268124675706701</v>
      </c>
      <c r="I82" s="37">
        <f t="shared" si="152"/>
        <v>0.12685292020205508</v>
      </c>
      <c r="J82" s="37"/>
      <c r="R82" s="4">
        <f t="shared" si="157"/>
        <v>0.36240754909461875</v>
      </c>
      <c r="S82" s="4">
        <f t="shared" si="158"/>
        <v>0.11723846696901488</v>
      </c>
      <c r="W82" s="4">
        <f t="shared" si="154"/>
        <v>0.54600793910623668</v>
      </c>
      <c r="X82" s="4">
        <f t="shared" si="159"/>
        <v>0.13868950239270245</v>
      </c>
      <c r="Z82" s="4">
        <f t="shared" si="155"/>
        <v>0.38278088956377243</v>
      </c>
    </row>
    <row r="83" spans="2:26">
      <c r="D83" s="32">
        <v>1253</v>
      </c>
      <c r="E83" s="32">
        <v>0</v>
      </c>
      <c r="F83" s="32">
        <v>0</v>
      </c>
      <c r="G83"/>
      <c r="H83" s="37">
        <f t="shared" si="156"/>
        <v>0.70807699757422593</v>
      </c>
      <c r="I83" s="37">
        <f t="shared" si="152"/>
        <v>0.11105089046534644</v>
      </c>
      <c r="J83" s="37"/>
      <c r="R83" s="4">
        <f t="shared" si="157"/>
        <v>0.34750135610684213</v>
      </c>
      <c r="S83" s="4">
        <f t="shared" si="158"/>
        <v>0.10174148688677945</v>
      </c>
      <c r="W83" s="4">
        <f t="shared" si="154"/>
        <v>0.52786358202380657</v>
      </c>
      <c r="X83" s="4">
        <f t="shared" si="159"/>
        <v>0.12167529248821496</v>
      </c>
      <c r="Z83" s="4">
        <f t="shared" si="155"/>
        <v>0.33446766984034082</v>
      </c>
    </row>
    <row r="84" spans="2:26">
      <c r="D84" s="32">
        <v>1401</v>
      </c>
      <c r="E84" s="32">
        <v>0</v>
      </c>
      <c r="F84" s="32">
        <v>0</v>
      </c>
      <c r="G84"/>
      <c r="H84" s="37">
        <f t="shared" si="156"/>
        <v>0.71509593060191978</v>
      </c>
      <c r="I84" s="37">
        <f t="shared" si="152"/>
        <v>9.7085089357273002E-2</v>
      </c>
      <c r="J84" s="37"/>
      <c r="R84" s="4">
        <f t="shared" si="157"/>
        <v>0.36101825662123938</v>
      </c>
      <c r="S84" s="4">
        <f t="shared" si="158"/>
        <v>9.3793285170915786E-2</v>
      </c>
      <c r="W84" s="4">
        <f t="shared" si="154"/>
        <v>0.52260216719191455</v>
      </c>
      <c r="X84" s="4">
        <f t="shared" si="159"/>
        <v>0.10857216823363897</v>
      </c>
      <c r="Z84" s="4">
        <f t="shared" si="155"/>
        <v>0.29945054276182775</v>
      </c>
    </row>
    <row r="85" spans="2:26">
      <c r="D85" s="32">
        <v>1981</v>
      </c>
      <c r="E85" s="32">
        <v>0</v>
      </c>
      <c r="F85" s="32">
        <v>0</v>
      </c>
      <c r="G85"/>
      <c r="H85" s="37">
        <f t="shared" si="156"/>
        <v>0.71224313372688186</v>
      </c>
      <c r="I85" s="37">
        <f t="shared" si="152"/>
        <v>8.7336724409553868E-2</v>
      </c>
      <c r="J85" s="37"/>
      <c r="R85" s="4">
        <f t="shared" si="157"/>
        <v>0.40658782310629471</v>
      </c>
      <c r="S85" s="4">
        <f t="shared" si="158"/>
        <v>9.0724397091725306E-2</v>
      </c>
      <c r="W85" s="4">
        <f t="shared" si="154"/>
        <v>0.51867006539935923</v>
      </c>
      <c r="X85" s="4">
        <f t="shared" si="159"/>
        <v>9.8004886752206422E-2</v>
      </c>
      <c r="Z85" s="4">
        <f t="shared" si="155"/>
        <v>0.2760660082534856</v>
      </c>
    </row>
    <row r="86" spans="2:26">
      <c r="D86" s="32">
        <v>2515</v>
      </c>
      <c r="E86" s="32">
        <v>0</v>
      </c>
      <c r="F86" s="32">
        <v>0</v>
      </c>
      <c r="G86"/>
      <c r="H86" s="37">
        <f t="shared" si="156"/>
        <v>0.72910923555921792</v>
      </c>
      <c r="I86" s="37">
        <f t="shared" si="152"/>
        <v>7.6672397474936149E-2</v>
      </c>
      <c r="J86" s="37"/>
      <c r="R86" s="4">
        <f t="shared" si="157"/>
        <v>0.4303237063465194</v>
      </c>
      <c r="S86" s="4">
        <f t="shared" si="158"/>
        <v>8.5061132301237019E-2</v>
      </c>
      <c r="W86" s="4">
        <f t="shared" si="154"/>
        <v>0.52139630617950994</v>
      </c>
      <c r="X86" s="4">
        <f t="shared" si="159"/>
        <v>8.9412292427835494E-2</v>
      </c>
      <c r="Z86" s="4">
        <f t="shared" si="155"/>
        <v>0.25114582220400866</v>
      </c>
    </row>
    <row r="87" spans="2:26">
      <c r="D87" s="32">
        <v>2988</v>
      </c>
      <c r="E87" s="32">
        <v>0</v>
      </c>
      <c r="F87" s="32">
        <v>0</v>
      </c>
      <c r="G87"/>
      <c r="H87" s="37">
        <f t="shared" si="156"/>
        <v>0.76193328111911862</v>
      </c>
      <c r="I87" s="37">
        <f t="shared" si="152"/>
        <v>6.5014669856993335E-2</v>
      </c>
      <c r="J87" s="37"/>
      <c r="R87" s="4">
        <f t="shared" si="157"/>
        <v>0.45437211798060595</v>
      </c>
      <c r="S87" s="4">
        <f t="shared" si="158"/>
        <v>7.9848486979905708E-2</v>
      </c>
      <c r="W87" s="4">
        <f t="shared" si="154"/>
        <v>0.52896203491465688</v>
      </c>
      <c r="X87" s="4">
        <f t="shared" si="159"/>
        <v>8.2224184262169098E-2</v>
      </c>
      <c r="Z87" s="4">
        <f t="shared" si="155"/>
        <v>0.22708734109906814</v>
      </c>
    </row>
    <row r="88" spans="2:26">
      <c r="D88" s="32">
        <v>3522</v>
      </c>
      <c r="E88" s="32">
        <v>0</v>
      </c>
      <c r="F88" s="32">
        <v>0</v>
      </c>
      <c r="G88"/>
      <c r="H88" s="37">
        <f t="shared" si="156"/>
        <v>0.76686141412139519</v>
      </c>
      <c r="I88" s="37">
        <f t="shared" si="152"/>
        <v>5.8958765679239189E-2</v>
      </c>
      <c r="J88" s="37"/>
      <c r="R88" s="4">
        <f t="shared" si="157"/>
        <v>0.46998103272105485</v>
      </c>
      <c r="S88" s="4">
        <f t="shared" si="158"/>
        <v>7.4655717740514438E-2</v>
      </c>
      <c r="W88" s="4">
        <f t="shared" si="154"/>
        <v>0.53714655565420322</v>
      </c>
      <c r="X88" s="4">
        <f t="shared" si="159"/>
        <v>7.6042964971097693E-2</v>
      </c>
      <c r="Z88" s="4">
        <f t="shared" si="155"/>
        <v>0.20965744839085132</v>
      </c>
    </row>
    <row r="89" spans="2:26">
      <c r="D89" s="32">
        <v>3945</v>
      </c>
      <c r="E89" s="32">
        <v>0</v>
      </c>
      <c r="F89" s="32">
        <v>0</v>
      </c>
      <c r="G89"/>
      <c r="H89" s="37"/>
      <c r="I89" s="37"/>
      <c r="J89" s="37"/>
    </row>
    <row r="90" spans="2:26">
      <c r="D90" s="32">
        <v>4288</v>
      </c>
      <c r="E90" s="32">
        <v>0</v>
      </c>
      <c r="F90" s="32">
        <v>0</v>
      </c>
      <c r="G90"/>
      <c r="H90" s="37"/>
      <c r="I90" s="37"/>
      <c r="J90" s="37"/>
    </row>
    <row r="91" spans="2:26">
      <c r="D91" s="32">
        <v>4616</v>
      </c>
      <c r="E91" s="32">
        <v>0</v>
      </c>
      <c r="F91" s="32">
        <v>0</v>
      </c>
      <c r="G91"/>
      <c r="H91" s="37"/>
      <c r="I91" s="37"/>
      <c r="J91" s="37"/>
    </row>
    <row r="92" spans="2:26">
      <c r="D92" s="32">
        <v>4924</v>
      </c>
      <c r="E92" s="32">
        <v>0</v>
      </c>
      <c r="F92" s="32">
        <v>0</v>
      </c>
      <c r="G92"/>
      <c r="H92" s="37"/>
      <c r="I92" s="37"/>
      <c r="J92" s="37"/>
    </row>
    <row r="93" spans="2:26">
      <c r="D93" s="32">
        <v>5482</v>
      </c>
      <c r="E93" s="32">
        <v>0</v>
      </c>
      <c r="F93" s="32">
        <v>0</v>
      </c>
      <c r="G93"/>
      <c r="H93" s="37"/>
      <c r="I93" s="37"/>
      <c r="J93" s="37"/>
    </row>
    <row r="94" spans="2:26">
      <c r="D94" s="32">
        <v>6070</v>
      </c>
      <c r="E94" s="32">
        <v>0</v>
      </c>
      <c r="F94" s="32">
        <v>0</v>
      </c>
      <c r="G94"/>
      <c r="H94" s="37"/>
      <c r="I94" s="37"/>
      <c r="J94" s="37"/>
    </row>
    <row r="97" spans="1:54" s="28" customFormat="1">
      <c r="A97" s="28" t="s">
        <v>194</v>
      </c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spans="1:54">
      <c r="A98" t="s">
        <v>52</v>
      </c>
      <c r="B98" s="18" t="s">
        <v>57</v>
      </c>
      <c r="C98" t="s">
        <v>58</v>
      </c>
      <c r="D98" t="s">
        <v>30</v>
      </c>
      <c r="E98" s="4" t="s">
        <v>184</v>
      </c>
      <c r="F98" s="4" t="s">
        <v>186</v>
      </c>
      <c r="G98" s="4" t="s">
        <v>185</v>
      </c>
      <c r="H98" s="4" t="s">
        <v>29</v>
      </c>
      <c r="I98" s="4" t="s">
        <v>59</v>
      </c>
      <c r="J98" s="4" t="s">
        <v>338</v>
      </c>
      <c r="K98" s="5" t="s">
        <v>60</v>
      </c>
      <c r="L98" s="4" t="s">
        <v>61</v>
      </c>
      <c r="M98" s="4" t="s">
        <v>62</v>
      </c>
      <c r="N98" s="4" t="s">
        <v>63</v>
      </c>
      <c r="O98" s="16" t="s">
        <v>178</v>
      </c>
      <c r="P98" s="17" t="s">
        <v>64</v>
      </c>
      <c r="Q98" s="4" t="s">
        <v>65</v>
      </c>
      <c r="R98" s="4" t="s">
        <v>66</v>
      </c>
      <c r="S98" s="4" t="s">
        <v>67</v>
      </c>
      <c r="T98" s="4" t="s">
        <v>68</v>
      </c>
      <c r="U98" s="4" t="s">
        <v>69</v>
      </c>
      <c r="V98" s="4" t="s">
        <v>70</v>
      </c>
      <c r="W98" s="4" t="s">
        <v>248</v>
      </c>
      <c r="X98" s="4" t="s">
        <v>249</v>
      </c>
      <c r="Y98" s="9" t="s">
        <v>71</v>
      </c>
      <c r="Z98" s="23" t="s">
        <v>191</v>
      </c>
      <c r="AA98" s="20" t="s">
        <v>72</v>
      </c>
      <c r="AB98" s="20" t="s">
        <v>379</v>
      </c>
      <c r="AC98" s="4" t="str">
        <f>AC50</f>
        <v>韧性</v>
      </c>
      <c r="AD98" s="4" t="str">
        <f t="shared" ref="AD98:AI98" si="160">AD50</f>
        <v>韧性减免</v>
      </c>
      <c r="AE98" s="4" t="str">
        <f t="shared" si="160"/>
        <v>神器星级</v>
      </c>
      <c r="AF98" s="4" t="str">
        <f t="shared" si="160"/>
        <v>神器生命</v>
      </c>
      <c r="AG98" s="4" t="str">
        <f t="shared" si="160"/>
        <v>神器吸血</v>
      </c>
      <c r="AH98" s="4" t="str">
        <f t="shared" si="160"/>
        <v>神器护甲</v>
      </c>
      <c r="AI98" s="4" t="str">
        <f t="shared" si="160"/>
        <v>神器物抗</v>
      </c>
      <c r="AJ98" t="s">
        <v>319</v>
      </c>
      <c r="AK98" t="s">
        <v>320</v>
      </c>
      <c r="AL98" t="s">
        <v>321</v>
      </c>
      <c r="AM98" t="s">
        <v>322</v>
      </c>
      <c r="AN98" t="str">
        <f>AN50</f>
        <v>护甲穿透</v>
      </c>
      <c r="AO98" t="str">
        <f t="shared" ref="AO98:AQ98" si="161">AO50</f>
        <v>抗性穿透</v>
      </c>
      <c r="AP98" t="str">
        <f t="shared" si="161"/>
        <v>BOSS护甲</v>
      </c>
      <c r="AQ98" t="str">
        <f t="shared" si="161"/>
        <v>BOSS抗性</v>
      </c>
      <c r="AR98" t="s">
        <v>341</v>
      </c>
      <c r="AS98" t="s">
        <v>342</v>
      </c>
      <c r="AT98" t="str">
        <f>AT50</f>
        <v>佣兵EHP</v>
      </c>
      <c r="AU98" t="str">
        <f t="shared" ref="AU98:AZ98" si="162">AU50</f>
        <v>佣兵DPS</v>
      </c>
      <c r="AV98" t="str">
        <f t="shared" si="162"/>
        <v>佣兵辅助加成</v>
      </c>
      <c r="AW98" t="str">
        <f t="shared" si="162"/>
        <v>佣兵光环DPS</v>
      </c>
      <c r="AX98" t="str">
        <f t="shared" si="162"/>
        <v>佣兵光环EHP</v>
      </c>
      <c r="AY98" t="str">
        <f t="shared" si="162"/>
        <v>合计DPS</v>
      </c>
      <c r="AZ98" t="str">
        <f t="shared" si="162"/>
        <v>合计EHP</v>
      </c>
    </row>
    <row r="99" spans="1:54">
      <c r="A99" s="4">
        <v>1</v>
      </c>
      <c r="B99" s="19">
        <f>B3</f>
        <v>56</v>
      </c>
      <c r="C99" s="4">
        <v>47</v>
      </c>
      <c r="D99" s="6">
        <f>C99+B99</f>
        <v>103</v>
      </c>
      <c r="E99" s="6">
        <f>E3</f>
        <v>9</v>
      </c>
      <c r="F99" s="6">
        <f t="shared" ref="F99:F119" si="163">(E99+$C$123*D99+D122)*(1+AL3/100)</f>
        <v>19.3</v>
      </c>
      <c r="G99" s="6">
        <v>0</v>
      </c>
      <c r="H99" s="4">
        <f>H3</f>
        <v>8</v>
      </c>
      <c r="I99" s="6">
        <f t="shared" ref="I99:I113" si="164">D99*1.5*MAX($C$26:$C$29)</f>
        <v>92.7</v>
      </c>
      <c r="J99" s="6">
        <v>1</v>
      </c>
      <c r="K99" s="7">
        <f>(I99+H99)/2*(1+AK99/100)*((1+G99*(B$128+AM99/100))*(1-B130)+J99*B$130)</f>
        <v>50.35</v>
      </c>
      <c r="L99" s="6">
        <f t="shared" ref="L99:L113" si="165">$C$29*D99</f>
        <v>20.6</v>
      </c>
      <c r="M99" s="4">
        <f>M3</f>
        <v>100</v>
      </c>
      <c r="N99" s="4">
        <f>ROUND((L99*10+M99)*(100+AF99)/100,0)</f>
        <v>306</v>
      </c>
      <c r="O99" s="4">
        <f t="shared" ref="O99:O113" si="166">M99/N99</f>
        <v>0.32679738562091504</v>
      </c>
      <c r="P99" s="17">
        <f>P3</f>
        <v>6</v>
      </c>
      <c r="Q99" s="6">
        <f t="shared" ref="Q99:Q119" si="167">(P99+E122)*AA99*(1+AH99/100)</f>
        <v>6</v>
      </c>
      <c r="R99" s="4">
        <f t="shared" ref="R99:R119" si="168">Q99/(A99*A99*3+A99*3+50+Q99)</f>
        <v>9.6774193548387094E-2</v>
      </c>
      <c r="S99" s="4">
        <f>S51</f>
        <v>0</v>
      </c>
      <c r="T99" s="4">
        <f t="shared" ref="T99:T119" si="169">T3</f>
        <v>0</v>
      </c>
      <c r="U99" s="4">
        <f t="shared" ref="U99:U113" si="170">(S99+D99*$C$122)/($A99*50+S99+D99*$C$122+50)</f>
        <v>9.3381686310063466E-2</v>
      </c>
      <c r="V99" s="4">
        <f t="shared" ref="V99:V113" si="171">(T99+B99*$C$124)/($A99*50+T99+B99*$C$124+50)</f>
        <v>0.25149700598802399</v>
      </c>
      <c r="W99" s="4">
        <f>(装备属性设计!Z3*战斗力成长!AB3+D3*C$123*0.2)*(1+AJ3/100)</f>
        <v>5.0600000000000005</v>
      </c>
      <c r="X99" s="4">
        <f>W99/((3*$A99*$A99+3*$A99+50)/4+W99)</f>
        <v>0.26547743966421827</v>
      </c>
      <c r="Y99" s="10">
        <f>(N99/(1-R99))/(1-U99)/(1-X99)</f>
        <v>508.73950377551023</v>
      </c>
      <c r="Z99" s="23">
        <f t="shared" ref="Z99:Z113" si="172">Y99/K99</f>
        <v>10.104061644002188</v>
      </c>
      <c r="AA99" s="20">
        <f>AA3</f>
        <v>1</v>
      </c>
      <c r="AB99" s="20">
        <f>(AA99-1)/1.5+1</f>
        <v>1</v>
      </c>
      <c r="AC99" s="4">
        <f t="shared" ref="AC99:AI99" si="173">AC51</f>
        <v>11.200000000000001</v>
      </c>
      <c r="AD99" s="4">
        <f t="shared" si="173"/>
        <v>9.0909090909090912E-2</v>
      </c>
      <c r="AE99" s="4">
        <v>0</v>
      </c>
      <c r="AF99" s="4">
        <f t="shared" si="173"/>
        <v>0</v>
      </c>
      <c r="AG99" s="4">
        <f t="shared" si="173"/>
        <v>0</v>
      </c>
      <c r="AH99" s="4">
        <f t="shared" si="173"/>
        <v>0</v>
      </c>
      <c r="AI99" s="4">
        <f t="shared" si="173"/>
        <v>0</v>
      </c>
      <c r="AJ99">
        <f>AE99*8</f>
        <v>0</v>
      </c>
      <c r="AK99">
        <f>AE99*4</f>
        <v>0</v>
      </c>
      <c r="AL99">
        <f>AE99*8</f>
        <v>0</v>
      </c>
      <c r="AM99">
        <f>AE99*7</f>
        <v>0</v>
      </c>
      <c r="AN99">
        <f t="shared" ref="AN99:AQ99" si="174">AN51</f>
        <v>0</v>
      </c>
      <c r="AO99">
        <f t="shared" si="174"/>
        <v>0</v>
      </c>
      <c r="AP99">
        <f t="shared" si="174"/>
        <v>0</v>
      </c>
      <c r="AQ99">
        <f t="shared" si="174"/>
        <v>0</v>
      </c>
      <c r="AR99">
        <f>AG99*K99/100/(1-X99)/(1-U99)/(1-R99)</f>
        <v>0</v>
      </c>
      <c r="AS99">
        <f>Y99*AE99/1000*2</f>
        <v>0</v>
      </c>
      <c r="AT99">
        <f t="shared" ref="AT99:AX99" si="175">AT51</f>
        <v>1</v>
      </c>
      <c r="AU99">
        <f t="shared" si="175"/>
        <v>0</v>
      </c>
      <c r="AV99">
        <f t="shared" si="175"/>
        <v>1</v>
      </c>
      <c r="AW99">
        <f t="shared" si="175"/>
        <v>1</v>
      </c>
      <c r="AX99">
        <f t="shared" si="175"/>
        <v>1</v>
      </c>
      <c r="AY99">
        <f t="shared" ref="AY99:AY100" si="176">(MIN(AT99/(Y99+(AR99+AS99)/2*BB99),1)*AU99+K99)*AW99</f>
        <v>50.35</v>
      </c>
      <c r="AZ99">
        <f>(Y99+AT99+(AR99+AS99)*BB99)*AX99*AV99</f>
        <v>509.73950377551023</v>
      </c>
      <c r="BA99">
        <f>AY99*AZ99^(1/3)</f>
        <v>402.20633386794901</v>
      </c>
      <c r="BB99">
        <v>10</v>
      </c>
    </row>
    <row r="100" spans="1:54">
      <c r="A100" s="4">
        <v>5</v>
      </c>
      <c r="B100" s="19">
        <f t="shared" ref="B100:B119" si="177">B4</f>
        <v>140</v>
      </c>
      <c r="C100" s="4">
        <v>75</v>
      </c>
      <c r="D100" s="6">
        <f t="shared" ref="D100:D113" si="178">C100+B100</f>
        <v>215</v>
      </c>
      <c r="E100" s="6">
        <f t="shared" ref="E100:E119" si="179">E4</f>
        <v>24.150000000000002</v>
      </c>
      <c r="F100" s="6">
        <f t="shared" si="163"/>
        <v>45.650000000000006</v>
      </c>
      <c r="G100" s="6">
        <f t="shared" ref="G100:G113" si="180">F100/(A100*A100*3+2*A100+53+F100)</f>
        <v>0.24857065069425541</v>
      </c>
      <c r="H100" s="4">
        <f t="shared" ref="H100:H119" si="181">H4</f>
        <v>31.5</v>
      </c>
      <c r="I100" s="6">
        <f t="shared" si="164"/>
        <v>193.5</v>
      </c>
      <c r="J100" s="6">
        <v>1.25</v>
      </c>
      <c r="K100" s="7">
        <f t="shared" ref="K100:K119" si="182">(I100+H100)/2*(1+AK100/100)*((1+G100*(B$128+AM100/100))*(1-B131)+J100*B$130)</f>
        <v>205.18385856248298</v>
      </c>
      <c r="L100" s="6">
        <f t="shared" si="165"/>
        <v>43</v>
      </c>
      <c r="M100" s="4">
        <f t="shared" ref="M100:M119" si="183">M4</f>
        <v>252</v>
      </c>
      <c r="N100" s="4">
        <f t="shared" ref="N100:N119" si="184">ROUND((L100*10+M100)*(100+AF100)/100,0)</f>
        <v>682</v>
      </c>
      <c r="O100" s="4">
        <f t="shared" si="166"/>
        <v>0.36950146627565983</v>
      </c>
      <c r="P100" s="17">
        <f t="shared" ref="P100:P119" si="185">P4</f>
        <v>18</v>
      </c>
      <c r="Q100" s="6">
        <f t="shared" si="167"/>
        <v>18.900000000000002</v>
      </c>
      <c r="R100" s="4">
        <f t="shared" si="168"/>
        <v>0.11894273127753305</v>
      </c>
      <c r="S100" s="4">
        <f t="shared" ref="S100:S119" si="186">S52</f>
        <v>20.666666666666668</v>
      </c>
      <c r="T100" s="4">
        <f t="shared" si="169"/>
        <v>20.666666666666668</v>
      </c>
      <c r="U100" s="4">
        <f t="shared" si="170"/>
        <v>0.12323429128105212</v>
      </c>
      <c r="V100" s="4">
        <f t="shared" si="171"/>
        <v>0.25864909390444812</v>
      </c>
      <c r="W100" s="4">
        <f>(装备属性设计!Z4*战斗力成长!AB4+D4*C$123*0.2)*(1+AJ4/100)</f>
        <v>7.4</v>
      </c>
      <c r="X100" s="4">
        <f t="shared" ref="X100:X113" si="187">W100/((3*$A100*$A100+3*$A100+50)/4+W100)</f>
        <v>0.17452830188679247</v>
      </c>
      <c r="Y100" s="10">
        <f t="shared" ref="Y100:Y113" si="188">(N100/(1-R100))/(1-U100)/(1-X100)</f>
        <v>1069.5337476825398</v>
      </c>
      <c r="Z100" s="23">
        <f t="shared" si="172"/>
        <v>5.2125627969748081</v>
      </c>
      <c r="AA100" s="20">
        <f t="shared" ref="AA100:AA119" si="189">AA4</f>
        <v>1.05</v>
      </c>
      <c r="AB100" s="20">
        <f t="shared" ref="AB100:AB119" si="190">(AA100-1)/1.5+1</f>
        <v>1.0333333333333334</v>
      </c>
      <c r="AC100" s="4">
        <f t="shared" ref="AC100:AI100" si="191">AC52</f>
        <v>28</v>
      </c>
      <c r="AD100" s="4">
        <f t="shared" si="191"/>
        <v>9.0909090909090912E-2</v>
      </c>
      <c r="AE100" s="4">
        <f t="shared" si="191"/>
        <v>0</v>
      </c>
      <c r="AF100" s="4">
        <f t="shared" si="191"/>
        <v>0</v>
      </c>
      <c r="AG100" s="4">
        <f t="shared" si="191"/>
        <v>0</v>
      </c>
      <c r="AH100" s="4">
        <f t="shared" si="191"/>
        <v>0</v>
      </c>
      <c r="AI100" s="4">
        <f t="shared" si="191"/>
        <v>0</v>
      </c>
      <c r="AJ100">
        <f t="shared" ref="AJ100:AJ119" si="192">AE100*8</f>
        <v>0</v>
      </c>
      <c r="AK100">
        <f t="shared" ref="AK100:AK119" si="193">AE100*4</f>
        <v>0</v>
      </c>
      <c r="AL100">
        <f t="shared" ref="AL100:AL119" si="194">AE100*8</f>
        <v>0</v>
      </c>
      <c r="AM100">
        <f t="shared" ref="AM100:AM119" si="195">AE100*7</f>
        <v>0</v>
      </c>
      <c r="AN100">
        <f t="shared" ref="AN100:AQ100" si="196">AN52</f>
        <v>0</v>
      </c>
      <c r="AO100">
        <f t="shared" si="196"/>
        <v>0</v>
      </c>
      <c r="AP100">
        <f t="shared" si="196"/>
        <v>0</v>
      </c>
      <c r="AQ100">
        <f t="shared" si="196"/>
        <v>0</v>
      </c>
      <c r="AR100">
        <f t="shared" ref="AR100:AR104" si="197">AG100*K100/100/(1-X100)/(1-U100)/(1-R100)</f>
        <v>0</v>
      </c>
      <c r="AS100">
        <f t="shared" ref="AS100:AS119" si="198">Y100*AE100/1000*2</f>
        <v>0</v>
      </c>
      <c r="AT100">
        <f t="shared" ref="AT100:AX100" si="199">AT52</f>
        <v>1</v>
      </c>
      <c r="AU100">
        <f t="shared" si="199"/>
        <v>0</v>
      </c>
      <c r="AV100">
        <f t="shared" si="199"/>
        <v>1</v>
      </c>
      <c r="AW100">
        <f t="shared" si="199"/>
        <v>1</v>
      </c>
      <c r="AX100">
        <f t="shared" si="199"/>
        <v>1</v>
      </c>
      <c r="AY100">
        <f t="shared" si="176"/>
        <v>205.18385856248298</v>
      </c>
      <c r="AZ100">
        <f t="shared" ref="AZ100:AZ119" si="200">(Y100+AT100+(AR100+AS100)*BB100)*AX100*AV100</f>
        <v>1070.5337476825398</v>
      </c>
      <c r="BA100">
        <f t="shared" ref="BA100:BA119" si="201">AY100*AZ100^(1/3)</f>
        <v>2098.9881182305971</v>
      </c>
      <c r="BB100">
        <v>12</v>
      </c>
    </row>
    <row r="101" spans="1:54">
      <c r="A101" s="4">
        <v>10</v>
      </c>
      <c r="B101" s="19">
        <f t="shared" si="177"/>
        <v>380</v>
      </c>
      <c r="C101" s="4">
        <v>110</v>
      </c>
      <c r="D101" s="6">
        <f t="shared" si="178"/>
        <v>490</v>
      </c>
      <c r="E101" s="6">
        <f t="shared" si="179"/>
        <v>47.300000000000004</v>
      </c>
      <c r="F101" s="6">
        <f t="shared" si="163"/>
        <v>104.00400000000002</v>
      </c>
      <c r="G101" s="6">
        <f t="shared" si="180"/>
        <v>0.2180359074557027</v>
      </c>
      <c r="H101" s="4">
        <f t="shared" si="181"/>
        <v>105.60000000000001</v>
      </c>
      <c r="I101" s="6">
        <f t="shared" si="164"/>
        <v>441</v>
      </c>
      <c r="J101" s="6">
        <v>1.3</v>
      </c>
      <c r="K101" s="7">
        <f t="shared" si="182"/>
        <v>522.89912038171599</v>
      </c>
      <c r="L101" s="6">
        <f t="shared" si="165"/>
        <v>98</v>
      </c>
      <c r="M101" s="4">
        <f t="shared" si="183"/>
        <v>528</v>
      </c>
      <c r="N101" s="4">
        <f t="shared" si="184"/>
        <v>1583</v>
      </c>
      <c r="O101" s="4">
        <f t="shared" si="166"/>
        <v>0.33354390397978523</v>
      </c>
      <c r="P101" s="17">
        <f t="shared" si="185"/>
        <v>40</v>
      </c>
      <c r="Q101" s="6">
        <f t="shared" si="167"/>
        <v>45.760000000000005</v>
      </c>
      <c r="R101" s="4">
        <f t="shared" si="168"/>
        <v>0.107478391582112</v>
      </c>
      <c r="S101" s="4">
        <f t="shared" si="186"/>
        <v>70.655999999999992</v>
      </c>
      <c r="T101" s="4">
        <f t="shared" si="169"/>
        <v>21.333333333333332</v>
      </c>
      <c r="U101" s="4">
        <f t="shared" si="170"/>
        <v>0.17868278638584587</v>
      </c>
      <c r="V101" s="4">
        <f t="shared" si="171"/>
        <v>0.31192660550458717</v>
      </c>
      <c r="W101" s="4">
        <f>(装备属性设计!Z5*战斗力成长!AB5+D5*C$123*0.2)*(1+AJ5/100)</f>
        <v>23.202666666666666</v>
      </c>
      <c r="X101" s="4">
        <f t="shared" si="187"/>
        <v>0.1962956278482155</v>
      </c>
      <c r="Y101" s="10">
        <f t="shared" si="188"/>
        <v>2686.9211350043711</v>
      </c>
      <c r="Z101" s="23">
        <f t="shared" si="172"/>
        <v>5.1385076590737437</v>
      </c>
      <c r="AA101" s="20">
        <f t="shared" si="189"/>
        <v>1.1000000000000001</v>
      </c>
      <c r="AB101" s="20">
        <f t="shared" si="190"/>
        <v>1.0666666666666667</v>
      </c>
      <c r="AC101" s="4">
        <f t="shared" ref="AC101:AI101" si="202">AC53</f>
        <v>76</v>
      </c>
      <c r="AD101" s="4">
        <f t="shared" si="202"/>
        <v>9.0909090909090912E-2</v>
      </c>
      <c r="AE101" s="4">
        <f t="shared" si="202"/>
        <v>1</v>
      </c>
      <c r="AF101" s="4">
        <f t="shared" si="202"/>
        <v>5</v>
      </c>
      <c r="AG101" s="4">
        <f t="shared" si="202"/>
        <v>2</v>
      </c>
      <c r="AH101" s="4">
        <f t="shared" si="202"/>
        <v>4</v>
      </c>
      <c r="AI101" s="4">
        <f t="shared" si="202"/>
        <v>3.5</v>
      </c>
      <c r="AJ101">
        <f t="shared" si="192"/>
        <v>8</v>
      </c>
      <c r="AK101">
        <f t="shared" si="193"/>
        <v>4</v>
      </c>
      <c r="AL101">
        <f t="shared" si="194"/>
        <v>8</v>
      </c>
      <c r="AM101">
        <f t="shared" si="195"/>
        <v>7</v>
      </c>
      <c r="AN101">
        <f t="shared" ref="AN101:AQ101" si="203">AN53</f>
        <v>7.407407407407407E-2</v>
      </c>
      <c r="AO101">
        <f t="shared" si="203"/>
        <v>7.407407407407407E-2</v>
      </c>
      <c r="AP101">
        <f t="shared" si="203"/>
        <v>0</v>
      </c>
      <c r="AQ101">
        <f t="shared" si="203"/>
        <v>0</v>
      </c>
      <c r="AR101">
        <f t="shared" si="197"/>
        <v>17.750962704091314</v>
      </c>
      <c r="AS101">
        <f t="shared" si="198"/>
        <v>5.3738422700087423</v>
      </c>
      <c r="AT101">
        <f t="shared" ref="AT101:AX101" si="204">AT53</f>
        <v>1</v>
      </c>
      <c r="AU101">
        <f t="shared" si="204"/>
        <v>0</v>
      </c>
      <c r="AV101">
        <f t="shared" si="204"/>
        <v>1</v>
      </c>
      <c r="AW101">
        <f t="shared" si="204"/>
        <v>1</v>
      </c>
      <c r="AX101">
        <f t="shared" si="204"/>
        <v>1</v>
      </c>
      <c r="AY101">
        <f>(MIN(AT101/(Y101+(AR101+AS101)/2*BB101),1)*AU101+K101)*AW101</f>
        <v>522.89912038171599</v>
      </c>
      <c r="AZ101">
        <f t="shared" si="200"/>
        <v>3011.6684046417718</v>
      </c>
      <c r="BA101">
        <f t="shared" si="201"/>
        <v>7551.2751559779808</v>
      </c>
      <c r="BB101">
        <v>14</v>
      </c>
    </row>
    <row r="102" spans="1:54">
      <c r="A102" s="4">
        <v>15</v>
      </c>
      <c r="B102" s="19">
        <f t="shared" si="177"/>
        <v>770</v>
      </c>
      <c r="C102" s="4">
        <v>145</v>
      </c>
      <c r="D102" s="6">
        <f t="shared" si="178"/>
        <v>915</v>
      </c>
      <c r="E102" s="6">
        <f t="shared" si="179"/>
        <v>127.19999999999999</v>
      </c>
      <c r="F102" s="6">
        <f t="shared" si="163"/>
        <v>236.196</v>
      </c>
      <c r="G102" s="6">
        <f t="shared" si="180"/>
        <v>0.23757488463039481</v>
      </c>
      <c r="H102" s="4">
        <f t="shared" si="181"/>
        <v>187.2</v>
      </c>
      <c r="I102" s="6">
        <f t="shared" si="164"/>
        <v>823.5</v>
      </c>
      <c r="J102" s="6">
        <v>1.3</v>
      </c>
      <c r="K102" s="7">
        <f t="shared" si="182"/>
        <v>975.80950179932336</v>
      </c>
      <c r="L102" s="6">
        <f t="shared" si="165"/>
        <v>183</v>
      </c>
      <c r="M102" s="4">
        <f t="shared" si="183"/>
        <v>1392</v>
      </c>
      <c r="N102" s="4">
        <f t="shared" si="184"/>
        <v>3383</v>
      </c>
      <c r="O102" s="4">
        <f t="shared" si="166"/>
        <v>0.4114691102571682</v>
      </c>
      <c r="P102" s="17">
        <f t="shared" si="185"/>
        <v>78</v>
      </c>
      <c r="Q102" s="6">
        <f t="shared" si="167"/>
        <v>97.343999999999994</v>
      </c>
      <c r="R102" s="4">
        <f t="shared" si="168"/>
        <v>0.11223228615174601</v>
      </c>
      <c r="S102" s="4">
        <f t="shared" si="186"/>
        <v>75.071999999999989</v>
      </c>
      <c r="T102" s="4">
        <f t="shared" si="169"/>
        <v>72.533333333333331</v>
      </c>
      <c r="U102" s="4">
        <f t="shared" si="170"/>
        <v>0.1723327387923507</v>
      </c>
      <c r="V102" s="4">
        <f t="shared" si="171"/>
        <v>0.40053951443700669</v>
      </c>
      <c r="W102" s="4">
        <f>(装备属性设计!Z6*战斗力成长!AB6+D6*C$123*0.2)*(1+AJ6/100)</f>
        <v>46.713333333333331</v>
      </c>
      <c r="X102" s="4">
        <f t="shared" si="187"/>
        <v>0.19527896995708152</v>
      </c>
      <c r="Y102" s="10">
        <f t="shared" si="188"/>
        <v>5721.3896144476494</v>
      </c>
      <c r="Z102" s="23">
        <f t="shared" si="172"/>
        <v>5.8632239221874904</v>
      </c>
      <c r="AA102" s="20">
        <f t="shared" si="189"/>
        <v>1.2</v>
      </c>
      <c r="AB102" s="20">
        <f t="shared" si="190"/>
        <v>1.1333333333333333</v>
      </c>
      <c r="AC102" s="4">
        <f t="shared" ref="AC102:AI102" si="205">AC54</f>
        <v>154</v>
      </c>
      <c r="AD102" s="4">
        <f t="shared" si="205"/>
        <v>9.0909090909090912E-2</v>
      </c>
      <c r="AE102" s="4">
        <f t="shared" si="205"/>
        <v>1</v>
      </c>
      <c r="AF102" s="4">
        <f t="shared" si="205"/>
        <v>5</v>
      </c>
      <c r="AG102" s="4">
        <f t="shared" si="205"/>
        <v>2</v>
      </c>
      <c r="AH102" s="4">
        <f t="shared" si="205"/>
        <v>4</v>
      </c>
      <c r="AI102" s="4">
        <f t="shared" si="205"/>
        <v>3.5</v>
      </c>
      <c r="AJ102">
        <f t="shared" si="192"/>
        <v>8</v>
      </c>
      <c r="AK102">
        <f t="shared" si="193"/>
        <v>4</v>
      </c>
      <c r="AL102">
        <f t="shared" si="194"/>
        <v>8</v>
      </c>
      <c r="AM102">
        <f t="shared" si="195"/>
        <v>7</v>
      </c>
      <c r="AN102">
        <f t="shared" ref="AN102:AQ102" si="206">AN54</f>
        <v>7.407407407407407E-2</v>
      </c>
      <c r="AO102">
        <f t="shared" si="206"/>
        <v>7.407407407407407E-2</v>
      </c>
      <c r="AP102">
        <f t="shared" si="206"/>
        <v>0</v>
      </c>
      <c r="AQ102">
        <f t="shared" si="206"/>
        <v>0</v>
      </c>
      <c r="AR102">
        <f t="shared" si="197"/>
        <v>33.006126806231059</v>
      </c>
      <c r="AS102">
        <f t="shared" si="198"/>
        <v>11.442779228895299</v>
      </c>
      <c r="AT102">
        <f t="shared" ref="AT102:AX102" si="207">AT54</f>
        <v>3644.064310216057</v>
      </c>
      <c r="AU102">
        <f t="shared" si="207"/>
        <v>329.04999999999944</v>
      </c>
      <c r="AV102">
        <f t="shared" si="207"/>
        <v>1.1000000000000001</v>
      </c>
      <c r="AW102">
        <f t="shared" si="207"/>
        <v>1</v>
      </c>
      <c r="AX102">
        <f t="shared" si="207"/>
        <v>1</v>
      </c>
      <c r="AY102">
        <f t="shared" ref="AY102:AY119" si="208">(MIN(AT102/(Y102+(AR102+AS102)/2*BB102),1)*AU102+K102)*AW102</f>
        <v>1173.1244824389341</v>
      </c>
      <c r="AZ102">
        <f t="shared" si="200"/>
        <v>11084.300063348303</v>
      </c>
      <c r="BA102">
        <f t="shared" si="201"/>
        <v>26156.533673346959</v>
      </c>
      <c r="BB102">
        <v>16</v>
      </c>
    </row>
    <row r="103" spans="1:54">
      <c r="A103" s="4">
        <v>20</v>
      </c>
      <c r="B103" s="19">
        <f t="shared" si="177"/>
        <v>1310</v>
      </c>
      <c r="C103" s="4">
        <v>180</v>
      </c>
      <c r="D103" s="6">
        <f t="shared" si="178"/>
        <v>1490</v>
      </c>
      <c r="E103" s="6">
        <f t="shared" si="179"/>
        <v>253.2</v>
      </c>
      <c r="F103" s="6">
        <f t="shared" si="163"/>
        <v>466.55199999999996</v>
      </c>
      <c r="G103" s="6">
        <f t="shared" si="180"/>
        <v>0.26515385734550612</v>
      </c>
      <c r="H103" s="4">
        <f t="shared" si="181"/>
        <v>405.59999999999997</v>
      </c>
      <c r="I103" s="6">
        <f t="shared" si="164"/>
        <v>1341</v>
      </c>
      <c r="J103" s="6">
        <v>1.3</v>
      </c>
      <c r="K103" s="7">
        <f t="shared" si="182"/>
        <v>1791.299158346852</v>
      </c>
      <c r="L103" s="6">
        <f t="shared" si="165"/>
        <v>298</v>
      </c>
      <c r="M103" s="4">
        <f t="shared" si="183"/>
        <v>2544</v>
      </c>
      <c r="N103" s="4">
        <f t="shared" si="184"/>
        <v>6076</v>
      </c>
      <c r="O103" s="4">
        <f t="shared" si="166"/>
        <v>0.4186965108624095</v>
      </c>
      <c r="P103" s="17">
        <f t="shared" si="185"/>
        <v>204</v>
      </c>
      <c r="Q103" s="6">
        <f t="shared" si="167"/>
        <v>264.38400000000001</v>
      </c>
      <c r="R103" s="4">
        <f t="shared" si="168"/>
        <v>0.16792853585910428</v>
      </c>
      <c r="S103" s="4">
        <f t="shared" si="186"/>
        <v>164.92266666666666</v>
      </c>
      <c r="T103" s="4">
        <f t="shared" si="169"/>
        <v>154.13333333333333</v>
      </c>
      <c r="U103" s="4">
        <f t="shared" si="170"/>
        <v>0.23016163184227453</v>
      </c>
      <c r="V103" s="4">
        <f t="shared" si="171"/>
        <v>0.47239715931930859</v>
      </c>
      <c r="W103" s="4">
        <f>(装备属性设计!Z7*战斗力成长!AB7+D7*C$123*0.2)*(1+AJ7/100)</f>
        <v>79.140444444444427</v>
      </c>
      <c r="X103" s="4">
        <f t="shared" si="187"/>
        <v>0.19462019955385099</v>
      </c>
      <c r="Y103" s="10">
        <f t="shared" si="188"/>
        <v>11777.601396160555</v>
      </c>
      <c r="Z103" s="23">
        <f t="shared" si="172"/>
        <v>6.5748936135434954</v>
      </c>
      <c r="AA103" s="20">
        <f t="shared" si="189"/>
        <v>1.2</v>
      </c>
      <c r="AB103" s="20">
        <f t="shared" si="190"/>
        <v>1.1333333333333333</v>
      </c>
      <c r="AC103" s="4">
        <f t="shared" ref="AC103:AI103" si="209">AC55</f>
        <v>262</v>
      </c>
      <c r="AD103" s="4">
        <f t="shared" si="209"/>
        <v>9.0909090909090912E-2</v>
      </c>
      <c r="AE103" s="4">
        <f t="shared" si="209"/>
        <v>2</v>
      </c>
      <c r="AF103" s="4">
        <f t="shared" si="209"/>
        <v>10</v>
      </c>
      <c r="AG103" s="4">
        <f t="shared" si="209"/>
        <v>4</v>
      </c>
      <c r="AH103" s="4">
        <f t="shared" si="209"/>
        <v>8</v>
      </c>
      <c r="AI103" s="4">
        <f t="shared" si="209"/>
        <v>7</v>
      </c>
      <c r="AJ103">
        <f t="shared" si="192"/>
        <v>16</v>
      </c>
      <c r="AK103">
        <f t="shared" si="193"/>
        <v>8</v>
      </c>
      <c r="AL103">
        <f t="shared" si="194"/>
        <v>16</v>
      </c>
      <c r="AM103">
        <f t="shared" si="195"/>
        <v>14</v>
      </c>
      <c r="AN103">
        <f t="shared" ref="AN103:AQ103" si="210">AN55</f>
        <v>0.13793103448275862</v>
      </c>
      <c r="AO103">
        <f t="shared" si="210"/>
        <v>0.13793103448275862</v>
      </c>
      <c r="AP103">
        <f t="shared" si="210"/>
        <v>0</v>
      </c>
      <c r="AQ103">
        <f t="shared" si="210"/>
        <v>0</v>
      </c>
      <c r="AR103">
        <f t="shared" si="197"/>
        <v>138.88879175962549</v>
      </c>
      <c r="AS103">
        <f t="shared" si="198"/>
        <v>47.110405584642223</v>
      </c>
      <c r="AT103">
        <f t="shared" ref="AT103:AX103" si="211">AT55</f>
        <v>10236.557614123487</v>
      </c>
      <c r="AU103">
        <f t="shared" si="211"/>
        <v>745.49339999999859</v>
      </c>
      <c r="AV103">
        <f t="shared" si="211"/>
        <v>1.1000000000000001</v>
      </c>
      <c r="AW103">
        <f t="shared" si="211"/>
        <v>1.03</v>
      </c>
      <c r="AX103">
        <f t="shared" si="211"/>
        <v>1.05</v>
      </c>
      <c r="AY103">
        <f t="shared" si="208"/>
        <v>2429.3721996468034</v>
      </c>
      <c r="AZ103">
        <f t="shared" si="200"/>
        <v>29293.2769696654</v>
      </c>
      <c r="BA103">
        <f t="shared" si="201"/>
        <v>74888.772130794401</v>
      </c>
      <c r="BB103">
        <v>18</v>
      </c>
    </row>
    <row r="104" spans="1:54">
      <c r="A104" s="4">
        <v>25</v>
      </c>
      <c r="B104" s="19">
        <f t="shared" si="177"/>
        <v>2000</v>
      </c>
      <c r="C104" s="4">
        <v>215</v>
      </c>
      <c r="D104" s="6">
        <f t="shared" si="178"/>
        <v>2215</v>
      </c>
      <c r="E104" s="6">
        <f t="shared" si="179"/>
        <v>371.8</v>
      </c>
      <c r="F104" s="6">
        <f t="shared" si="163"/>
        <v>688.22799999999995</v>
      </c>
      <c r="G104" s="6">
        <f t="shared" si="180"/>
        <v>0.25812796204975719</v>
      </c>
      <c r="H104" s="4">
        <f t="shared" si="181"/>
        <v>690.30000000000007</v>
      </c>
      <c r="I104" s="6">
        <f t="shared" si="164"/>
        <v>1993.5</v>
      </c>
      <c r="J104" s="6">
        <v>1.3</v>
      </c>
      <c r="K104" s="7">
        <f t="shared" si="182"/>
        <v>2742.9127173411425</v>
      </c>
      <c r="L104" s="6">
        <f t="shared" si="165"/>
        <v>443</v>
      </c>
      <c r="M104" s="4">
        <f t="shared" si="183"/>
        <v>4368</v>
      </c>
      <c r="N104" s="4">
        <f t="shared" si="184"/>
        <v>9678</v>
      </c>
      <c r="O104" s="4">
        <f t="shared" si="166"/>
        <v>0.45133292002479852</v>
      </c>
      <c r="P104" s="17">
        <f t="shared" si="185"/>
        <v>306</v>
      </c>
      <c r="Q104" s="6">
        <f t="shared" si="167"/>
        <v>429.62400000000002</v>
      </c>
      <c r="R104" s="4">
        <f t="shared" si="168"/>
        <v>0.1768273609414461</v>
      </c>
      <c r="S104" s="4">
        <f t="shared" si="186"/>
        <v>304.30799999999999</v>
      </c>
      <c r="T104" s="4">
        <f t="shared" si="169"/>
        <v>284.39999999999998</v>
      </c>
      <c r="U104" s="4">
        <f t="shared" si="170"/>
        <v>0.2879864695521106</v>
      </c>
      <c r="V104" s="4">
        <f t="shared" si="171"/>
        <v>0.5331130584686109</v>
      </c>
      <c r="W104" s="4">
        <f>(装备属性设计!Z8*战斗力成长!AB8+D8*C$123*0.2)*(1+AJ8/100)</f>
        <v>125.03066666666665</v>
      </c>
      <c r="X104" s="4">
        <f t="shared" si="187"/>
        <v>0.20003925140739759</v>
      </c>
      <c r="Y104" s="10">
        <f t="shared" si="188"/>
        <v>20641.334236613697</v>
      </c>
      <c r="Z104" s="23">
        <f t="shared" si="172"/>
        <v>7.5253339656474694</v>
      </c>
      <c r="AA104" s="20">
        <f t="shared" si="189"/>
        <v>1.3</v>
      </c>
      <c r="AB104" s="20">
        <f t="shared" si="190"/>
        <v>1.2</v>
      </c>
      <c r="AC104" s="4">
        <f t="shared" ref="AC104:AI104" si="212">AC56</f>
        <v>400</v>
      </c>
      <c r="AD104" s="4">
        <f t="shared" si="212"/>
        <v>9.0909090909090912E-2</v>
      </c>
      <c r="AE104" s="4">
        <f t="shared" si="212"/>
        <v>2</v>
      </c>
      <c r="AF104" s="4">
        <f t="shared" si="212"/>
        <v>10</v>
      </c>
      <c r="AG104" s="4">
        <f t="shared" si="212"/>
        <v>4</v>
      </c>
      <c r="AH104" s="4">
        <f t="shared" si="212"/>
        <v>8</v>
      </c>
      <c r="AI104" s="4">
        <f t="shared" si="212"/>
        <v>7</v>
      </c>
      <c r="AJ104">
        <f t="shared" si="192"/>
        <v>16</v>
      </c>
      <c r="AK104">
        <f t="shared" si="193"/>
        <v>8</v>
      </c>
      <c r="AL104">
        <f t="shared" si="194"/>
        <v>16</v>
      </c>
      <c r="AM104">
        <f t="shared" si="195"/>
        <v>14</v>
      </c>
      <c r="AN104">
        <f t="shared" ref="AN104:AQ104" si="213">AN56</f>
        <v>0.13793103448275862</v>
      </c>
      <c r="AO104">
        <f t="shared" si="213"/>
        <v>0.13793103448275862</v>
      </c>
      <c r="AP104">
        <f t="shared" si="213"/>
        <v>0</v>
      </c>
      <c r="AQ104">
        <f t="shared" si="213"/>
        <v>0</v>
      </c>
      <c r="AR104">
        <f t="shared" si="197"/>
        <v>234.00445621201422</v>
      </c>
      <c r="AS104">
        <f t="shared" si="198"/>
        <v>82.565336946454792</v>
      </c>
      <c r="AT104">
        <f t="shared" ref="AT104:AX104" si="214">AT56</f>
        <v>22668.779259259263</v>
      </c>
      <c r="AU104">
        <f t="shared" si="214"/>
        <v>1252.0391400000001</v>
      </c>
      <c r="AV104">
        <f t="shared" si="214"/>
        <v>1.1000000000000001</v>
      </c>
      <c r="AW104">
        <f t="shared" si="214"/>
        <v>1.03</v>
      </c>
      <c r="AX104">
        <f t="shared" si="214"/>
        <v>1.05</v>
      </c>
      <c r="AY104">
        <f t="shared" si="208"/>
        <v>4053.1425256507914</v>
      </c>
      <c r="AZ104">
        <f t="shared" si="200"/>
        <v>57335.94330969391</v>
      </c>
      <c r="BA104">
        <f t="shared" si="201"/>
        <v>156291.08147150752</v>
      </c>
      <c r="BB104">
        <v>20</v>
      </c>
    </row>
    <row r="105" spans="1:54">
      <c r="A105" s="4">
        <v>30</v>
      </c>
      <c r="B105" s="19">
        <f t="shared" si="177"/>
        <v>2840</v>
      </c>
      <c r="C105" s="4">
        <v>250</v>
      </c>
      <c r="D105" s="6">
        <f t="shared" si="178"/>
        <v>3090</v>
      </c>
      <c r="E105" s="6">
        <f t="shared" si="179"/>
        <v>477.1</v>
      </c>
      <c r="F105" s="6">
        <f t="shared" si="163"/>
        <v>974.76400000000001</v>
      </c>
      <c r="G105" s="6">
        <f t="shared" si="180"/>
        <v>0.25734549459786826</v>
      </c>
      <c r="H105" s="4">
        <f t="shared" si="181"/>
        <v>1072.5</v>
      </c>
      <c r="I105" s="6">
        <f t="shared" si="164"/>
        <v>2781</v>
      </c>
      <c r="J105" s="6">
        <v>1.3</v>
      </c>
      <c r="K105" s="7">
        <f t="shared" si="182"/>
        <v>4121.52869635764</v>
      </c>
      <c r="L105" s="6">
        <f t="shared" si="165"/>
        <v>618</v>
      </c>
      <c r="M105" s="4">
        <f t="shared" si="183"/>
        <v>4368</v>
      </c>
      <c r="N105" s="4">
        <f t="shared" si="184"/>
        <v>12130</v>
      </c>
      <c r="O105" s="4">
        <f t="shared" si="166"/>
        <v>0.36009892827699919</v>
      </c>
      <c r="P105" s="17">
        <f t="shared" si="185"/>
        <v>432</v>
      </c>
      <c r="Q105" s="6">
        <f t="shared" si="167"/>
        <v>628.99200000000008</v>
      </c>
      <c r="R105" s="4">
        <f t="shared" si="168"/>
        <v>0.18131837721159347</v>
      </c>
      <c r="S105" s="4">
        <f t="shared" si="186"/>
        <v>493.27199999999999</v>
      </c>
      <c r="T105" s="4">
        <f t="shared" si="169"/>
        <v>446.4</v>
      </c>
      <c r="U105" s="4">
        <f t="shared" si="170"/>
        <v>0.34106259820292889</v>
      </c>
      <c r="V105" s="4">
        <f t="shared" si="171"/>
        <v>0.58112636471732781</v>
      </c>
      <c r="W105" s="4">
        <f>(装备属性设计!Z9*战斗力成长!AB9+D9*C$123*0.2)*(1+AJ9/100)</f>
        <v>160.05600000000001</v>
      </c>
      <c r="X105" s="4">
        <f t="shared" si="187"/>
        <v>0.18396057265279478</v>
      </c>
      <c r="Y105" s="10">
        <f t="shared" si="188"/>
        <v>27554.368207673964</v>
      </c>
      <c r="Z105" s="23">
        <f t="shared" si="172"/>
        <v>6.6854728518631603</v>
      </c>
      <c r="AA105" s="20">
        <f t="shared" si="189"/>
        <v>1.3</v>
      </c>
      <c r="AB105" s="20">
        <f t="shared" si="190"/>
        <v>1.2</v>
      </c>
      <c r="AC105" s="4">
        <f t="shared" ref="AC105:AI105" si="215">AC57</f>
        <v>568</v>
      </c>
      <c r="AD105" s="4">
        <f t="shared" si="215"/>
        <v>9.0909090909090912E-2</v>
      </c>
      <c r="AE105" s="4">
        <f t="shared" si="215"/>
        <v>3</v>
      </c>
      <c r="AF105" s="4">
        <f t="shared" si="215"/>
        <v>15</v>
      </c>
      <c r="AG105" s="4">
        <f t="shared" si="215"/>
        <v>6</v>
      </c>
      <c r="AH105" s="4">
        <f t="shared" si="215"/>
        <v>12</v>
      </c>
      <c r="AI105" s="4">
        <f t="shared" si="215"/>
        <v>10.5</v>
      </c>
      <c r="AJ105">
        <f t="shared" si="192"/>
        <v>24</v>
      </c>
      <c r="AK105">
        <f t="shared" si="193"/>
        <v>12</v>
      </c>
      <c r="AL105">
        <f t="shared" si="194"/>
        <v>24</v>
      </c>
      <c r="AM105">
        <f t="shared" si="195"/>
        <v>21</v>
      </c>
      <c r="AN105">
        <f t="shared" ref="AN105:AQ105" si="216">AN57</f>
        <v>0.19354838709677419</v>
      </c>
      <c r="AO105">
        <f t="shared" si="216"/>
        <v>0.19354838709677419</v>
      </c>
      <c r="AP105">
        <f t="shared" si="216"/>
        <v>20</v>
      </c>
      <c r="AQ105">
        <f t="shared" si="216"/>
        <v>0</v>
      </c>
      <c r="AR105">
        <f>AG105*K105/100/(1-U105)/(1-R105)*(1-(AP105*(1-AN105)/(AP105*(1-AN105)+VLOOKUP(A105,[1]怪物抗性与玩家穿透!$A$2:$I$74,8,0))))*(1-(AQ105*(1-AO105)/(VLOOKUP(A105,[1]怪物抗性与玩家穿透!$A$2:$I$74,9,0)+AQ105*(1-AO105))))</f>
        <v>455.79453466044515</v>
      </c>
      <c r="AS105">
        <f t="shared" si="198"/>
        <v>165.32620924604379</v>
      </c>
      <c r="AT105">
        <f t="shared" ref="AT105:AX105" si="217">AT57</f>
        <v>43754.725483308546</v>
      </c>
      <c r="AU105">
        <f t="shared" si="217"/>
        <v>1893.8499300000005</v>
      </c>
      <c r="AV105">
        <f t="shared" si="217"/>
        <v>1.1000000000000001</v>
      </c>
      <c r="AW105">
        <f t="shared" si="217"/>
        <v>1.06</v>
      </c>
      <c r="AX105">
        <f t="shared" si="217"/>
        <v>1.05</v>
      </c>
      <c r="AY105">
        <f t="shared" si="208"/>
        <v>6376.3013439390988</v>
      </c>
      <c r="AZ105">
        <f t="shared" si="200"/>
        <v>98144.681315748705</v>
      </c>
      <c r="BA105">
        <f t="shared" si="201"/>
        <v>294119.90928277688</v>
      </c>
      <c r="BB105">
        <v>22</v>
      </c>
    </row>
    <row r="106" spans="1:54">
      <c r="A106" s="4">
        <v>35</v>
      </c>
      <c r="B106" s="19">
        <f t="shared" si="177"/>
        <v>3830</v>
      </c>
      <c r="C106" s="4">
        <v>285</v>
      </c>
      <c r="D106" s="6">
        <f t="shared" si="178"/>
        <v>4115</v>
      </c>
      <c r="E106" s="6">
        <f t="shared" si="179"/>
        <v>823.19999999999993</v>
      </c>
      <c r="F106" s="6">
        <f t="shared" si="163"/>
        <v>1531.0279999999998</v>
      </c>
      <c r="G106" s="6">
        <f t="shared" si="180"/>
        <v>0.28729967266075535</v>
      </c>
      <c r="H106" s="4">
        <f t="shared" si="181"/>
        <v>1860.6</v>
      </c>
      <c r="I106" s="6">
        <f t="shared" si="164"/>
        <v>3703.5</v>
      </c>
      <c r="J106" s="6">
        <v>2</v>
      </c>
      <c r="K106" s="7">
        <f t="shared" si="182"/>
        <v>7135.9398598534081</v>
      </c>
      <c r="L106" s="6">
        <f t="shared" si="165"/>
        <v>823</v>
      </c>
      <c r="M106" s="4">
        <f t="shared" si="183"/>
        <v>6860</v>
      </c>
      <c r="N106" s="4">
        <f t="shared" si="184"/>
        <v>17354</v>
      </c>
      <c r="O106" s="4">
        <f t="shared" si="166"/>
        <v>0.3952979140255849</v>
      </c>
      <c r="P106" s="17">
        <f t="shared" si="185"/>
        <v>586</v>
      </c>
      <c r="Q106" s="6">
        <f t="shared" si="167"/>
        <v>918.84800000000007</v>
      </c>
      <c r="R106" s="4">
        <f t="shared" si="168"/>
        <v>0.19348861029032727</v>
      </c>
      <c r="S106" s="4">
        <f t="shared" si="186"/>
        <v>834.20133333333331</v>
      </c>
      <c r="T106" s="4">
        <f t="shared" si="169"/>
        <v>686.5333333333333</v>
      </c>
      <c r="U106" s="4">
        <f t="shared" si="170"/>
        <v>0.40900311521024607</v>
      </c>
      <c r="V106" s="4">
        <f t="shared" si="171"/>
        <v>0.62378776056181029</v>
      </c>
      <c r="W106" s="4">
        <f>(装备属性设计!Z10*战斗力成长!AB10+D10*C$123*0.2)*(1+AJ10/100)</f>
        <v>201.06000000000003</v>
      </c>
      <c r="X106" s="4">
        <f t="shared" si="187"/>
        <v>0.17354301892003871</v>
      </c>
      <c r="Y106" s="10">
        <f t="shared" si="188"/>
        <v>44053.827202587527</v>
      </c>
      <c r="Z106" s="23">
        <f t="shared" si="172"/>
        <v>6.1735143607968288</v>
      </c>
      <c r="AA106" s="20">
        <f t="shared" si="189"/>
        <v>1.4</v>
      </c>
      <c r="AB106" s="20">
        <f t="shared" si="190"/>
        <v>1.2666666666666666</v>
      </c>
      <c r="AC106" s="4">
        <f t="shared" ref="AC106:AI106" si="218">AC58</f>
        <v>766</v>
      </c>
      <c r="AD106" s="4">
        <f t="shared" si="218"/>
        <v>9.0909090909090912E-2</v>
      </c>
      <c r="AE106" s="4">
        <f t="shared" si="218"/>
        <v>3</v>
      </c>
      <c r="AF106" s="4">
        <f t="shared" si="218"/>
        <v>15</v>
      </c>
      <c r="AG106" s="4">
        <f t="shared" si="218"/>
        <v>6</v>
      </c>
      <c r="AH106" s="4">
        <f t="shared" si="218"/>
        <v>12</v>
      </c>
      <c r="AI106" s="4">
        <f t="shared" si="218"/>
        <v>10.5</v>
      </c>
      <c r="AJ106">
        <f t="shared" si="192"/>
        <v>24</v>
      </c>
      <c r="AK106">
        <f t="shared" si="193"/>
        <v>12</v>
      </c>
      <c r="AL106">
        <f t="shared" si="194"/>
        <v>24</v>
      </c>
      <c r="AM106">
        <f t="shared" si="195"/>
        <v>21</v>
      </c>
      <c r="AN106">
        <f t="shared" ref="AN106:AQ106" si="219">AN58</f>
        <v>0.19354838709677419</v>
      </c>
      <c r="AO106">
        <f t="shared" si="219"/>
        <v>0.19354838709677419</v>
      </c>
      <c r="AP106">
        <f t="shared" si="219"/>
        <v>170</v>
      </c>
      <c r="AQ106">
        <f t="shared" si="219"/>
        <v>40</v>
      </c>
      <c r="AR106">
        <f>AG106*K106/100/(1-U106)/(1-R106)*(1-(AP106*(1-AN106)/(AP106*(1-AN106)+VLOOKUP(A106,[1]怪物抗性与玩家穿透!$A$2:$I$74,8,0))))*(1-(AQ106*(1-AO106)/(VLOOKUP(A106,[1]怪物抗性与玩家穿透!$A$2:$I$74,9,0)+AQ106*(1-AO106))))</f>
        <v>851.72639241327636</v>
      </c>
      <c r="AS106">
        <f t="shared" si="198"/>
        <v>264.32296321552514</v>
      </c>
      <c r="AT106">
        <f t="shared" ref="AT106:AX106" si="220">AT58</f>
        <v>77274.350391274726</v>
      </c>
      <c r="AU106">
        <f t="shared" si="220"/>
        <v>2779.4340000000007</v>
      </c>
      <c r="AV106">
        <f t="shared" si="220"/>
        <v>1.1000000000000001</v>
      </c>
      <c r="AW106">
        <f t="shared" si="220"/>
        <v>1.06</v>
      </c>
      <c r="AX106">
        <f t="shared" si="220"/>
        <v>1.1000000000000001</v>
      </c>
      <c r="AY106">
        <f t="shared" si="208"/>
        <v>10510.296291444614</v>
      </c>
      <c r="AZ106">
        <f t="shared" si="200"/>
        <v>179217.1681760338</v>
      </c>
      <c r="BA106">
        <f t="shared" si="201"/>
        <v>592572.50433281227</v>
      </c>
      <c r="BB106">
        <v>24</v>
      </c>
    </row>
    <row r="107" spans="1:54">
      <c r="A107" s="4">
        <v>40</v>
      </c>
      <c r="B107" s="19">
        <f t="shared" si="177"/>
        <v>4970</v>
      </c>
      <c r="C107" s="4">
        <v>320</v>
      </c>
      <c r="D107" s="6">
        <f t="shared" si="178"/>
        <v>5290</v>
      </c>
      <c r="E107" s="6">
        <f t="shared" si="179"/>
        <v>1232</v>
      </c>
      <c r="F107" s="6">
        <f t="shared" si="163"/>
        <v>2324.52</v>
      </c>
      <c r="G107" s="6">
        <f t="shared" si="180"/>
        <v>0.32029122895975481</v>
      </c>
      <c r="H107" s="4">
        <f t="shared" si="181"/>
        <v>2814</v>
      </c>
      <c r="I107" s="6">
        <f t="shared" si="164"/>
        <v>4761</v>
      </c>
      <c r="J107" s="6">
        <v>2.2000000000000002</v>
      </c>
      <c r="K107" s="7">
        <f t="shared" si="182"/>
        <v>10746.125475589459</v>
      </c>
      <c r="L107" s="6">
        <f t="shared" si="165"/>
        <v>1058</v>
      </c>
      <c r="M107" s="4">
        <f t="shared" si="183"/>
        <v>9408</v>
      </c>
      <c r="N107" s="4">
        <f t="shared" si="184"/>
        <v>23986</v>
      </c>
      <c r="O107" s="4">
        <f t="shared" si="166"/>
        <v>0.39222880013341116</v>
      </c>
      <c r="P107" s="17">
        <f t="shared" si="185"/>
        <v>994</v>
      </c>
      <c r="Q107" s="6">
        <f t="shared" si="167"/>
        <v>1614.2559999999999</v>
      </c>
      <c r="R107" s="4">
        <f t="shared" si="168"/>
        <v>0.24516908212560387</v>
      </c>
      <c r="S107" s="4">
        <f t="shared" si="186"/>
        <v>1084.4440000000002</v>
      </c>
      <c r="T107" s="4">
        <f t="shared" si="169"/>
        <v>686.5333333333333</v>
      </c>
      <c r="U107" s="4">
        <f t="shared" si="170"/>
        <v>0.44041726855931196</v>
      </c>
      <c r="V107" s="4">
        <f t="shared" si="171"/>
        <v>0.64151647275525203</v>
      </c>
      <c r="W107" s="4">
        <f>(装备属性设计!Z11*战斗力成长!AB11+D11*C$123*0.2)*(1+AJ11/100)</f>
        <v>268.47733333333332</v>
      </c>
      <c r="X107" s="4">
        <f t="shared" si="187"/>
        <v>0.17768455383844275</v>
      </c>
      <c r="Y107" s="10">
        <f t="shared" si="188"/>
        <v>69056.632578722507</v>
      </c>
      <c r="Z107" s="23">
        <f t="shared" si="172"/>
        <v>6.426188930660568</v>
      </c>
      <c r="AA107" s="20">
        <f t="shared" si="189"/>
        <v>1.4</v>
      </c>
      <c r="AB107" s="20">
        <f t="shared" si="190"/>
        <v>1.2666666666666666</v>
      </c>
      <c r="AC107" s="4">
        <f t="shared" ref="AC107:AI107" si="221">AC59</f>
        <v>994</v>
      </c>
      <c r="AD107" s="4">
        <f t="shared" si="221"/>
        <v>9.0909090909090912E-2</v>
      </c>
      <c r="AE107" s="4">
        <f t="shared" si="221"/>
        <v>4</v>
      </c>
      <c r="AF107" s="4">
        <f t="shared" si="221"/>
        <v>20</v>
      </c>
      <c r="AG107" s="4">
        <f t="shared" si="221"/>
        <v>8</v>
      </c>
      <c r="AH107" s="4">
        <f t="shared" si="221"/>
        <v>16</v>
      </c>
      <c r="AI107" s="4">
        <f t="shared" si="221"/>
        <v>14</v>
      </c>
      <c r="AJ107">
        <f t="shared" si="192"/>
        <v>32</v>
      </c>
      <c r="AK107">
        <f t="shared" si="193"/>
        <v>16</v>
      </c>
      <c r="AL107">
        <f t="shared" si="194"/>
        <v>32</v>
      </c>
      <c r="AM107">
        <f t="shared" si="195"/>
        <v>28</v>
      </c>
      <c r="AN107">
        <f t="shared" ref="AN107:AQ107" si="222">AN59</f>
        <v>0.24242424242424243</v>
      </c>
      <c r="AO107">
        <f t="shared" si="222"/>
        <v>0.24242424242424243</v>
      </c>
      <c r="AP107">
        <f t="shared" si="222"/>
        <v>320</v>
      </c>
      <c r="AQ107">
        <f t="shared" si="222"/>
        <v>90</v>
      </c>
      <c r="AR107">
        <f>AG107*K107/100/(1-U107)/(1-R107)*(1-(AP107*(1-AN107)/(AP107*(1-AN107)+VLOOKUP(A107,[1]怪物抗性与玩家穿透!$A$2:$I$74,8,0))))*(1-(AQ107*(1-AO107)/(VLOOKUP(A107,[1]怪物抗性与玩家穿透!$A$2:$I$74,9,0)+AQ107*(1-AO107))))</f>
        <v>1877.551849748143</v>
      </c>
      <c r="AS107">
        <f t="shared" si="198"/>
        <v>552.45306062978011</v>
      </c>
      <c r="AT107">
        <f t="shared" ref="AT107:AX107" si="223">AT59</f>
        <v>128760.46600692799</v>
      </c>
      <c r="AU107">
        <f t="shared" si="223"/>
        <v>3885.2451000000005</v>
      </c>
      <c r="AV107">
        <f t="shared" si="223"/>
        <v>1.1000000000000001</v>
      </c>
      <c r="AW107">
        <f t="shared" si="223"/>
        <v>1.06</v>
      </c>
      <c r="AX107">
        <f t="shared" si="223"/>
        <v>1.1100000000000001</v>
      </c>
      <c r="AY107">
        <f t="shared" si="208"/>
        <v>15509.252810124828</v>
      </c>
      <c r="AZ107">
        <f t="shared" si="200"/>
        <v>318677.61325793684</v>
      </c>
      <c r="BA107">
        <f t="shared" si="201"/>
        <v>1059354.6906436053</v>
      </c>
      <c r="BB107">
        <v>26</v>
      </c>
    </row>
    <row r="108" spans="1:54">
      <c r="A108" s="4">
        <v>45</v>
      </c>
      <c r="B108" s="19">
        <f t="shared" si="177"/>
        <v>6260</v>
      </c>
      <c r="C108" s="4">
        <v>355</v>
      </c>
      <c r="D108" s="6">
        <f t="shared" si="178"/>
        <v>6615</v>
      </c>
      <c r="E108" s="6">
        <f t="shared" si="179"/>
        <v>1757</v>
      </c>
      <c r="F108" s="6">
        <f t="shared" si="163"/>
        <v>3192.42</v>
      </c>
      <c r="G108" s="6">
        <f t="shared" si="180"/>
        <v>0.33924309435710626</v>
      </c>
      <c r="H108" s="4">
        <f t="shared" si="181"/>
        <v>3588.2</v>
      </c>
      <c r="I108" s="6">
        <f t="shared" si="164"/>
        <v>5953.5</v>
      </c>
      <c r="J108" s="6">
        <v>2.4</v>
      </c>
      <c r="K108" s="7">
        <f t="shared" si="182"/>
        <v>14202.838334058799</v>
      </c>
      <c r="L108" s="6">
        <f t="shared" si="165"/>
        <v>1323</v>
      </c>
      <c r="M108" s="4">
        <f t="shared" si="183"/>
        <v>12376</v>
      </c>
      <c r="N108" s="4">
        <f t="shared" si="184"/>
        <v>30727</v>
      </c>
      <c r="O108" s="4">
        <f t="shared" si="166"/>
        <v>0.40277280567579005</v>
      </c>
      <c r="P108" s="17">
        <f t="shared" si="185"/>
        <v>1256</v>
      </c>
      <c r="Q108" s="6">
        <f t="shared" si="167"/>
        <v>2039.7439999999997</v>
      </c>
      <c r="R108" s="4">
        <f t="shared" si="168"/>
        <v>0.24575986922006268</v>
      </c>
      <c r="S108" s="4">
        <f t="shared" si="186"/>
        <v>1084.4440000000002</v>
      </c>
      <c r="T108" s="4">
        <f t="shared" si="169"/>
        <v>951.26666666666665</v>
      </c>
      <c r="U108" s="4">
        <f t="shared" si="170"/>
        <v>0.4315294527062164</v>
      </c>
      <c r="V108" s="4">
        <f t="shared" si="171"/>
        <v>0.67176930614885499</v>
      </c>
      <c r="W108" s="4">
        <f>(装备属性设计!Z12*战斗力成长!AB12+D12*C$123*0.2)*(1+AJ12/100)</f>
        <v>338.45555555555558</v>
      </c>
      <c r="X108" s="4">
        <f t="shared" si="187"/>
        <v>0.17781111545668404</v>
      </c>
      <c r="Y108" s="10">
        <f t="shared" si="188"/>
        <v>87162.756158576361</v>
      </c>
      <c r="Z108" s="23">
        <f t="shared" si="172"/>
        <v>6.1369955855624765</v>
      </c>
      <c r="AA108" s="20">
        <f t="shared" si="189"/>
        <v>1.4</v>
      </c>
      <c r="AB108" s="20">
        <f t="shared" si="190"/>
        <v>1.2666666666666666</v>
      </c>
      <c r="AC108" s="4">
        <f t="shared" ref="AC108:AI108" si="224">AC60</f>
        <v>1252</v>
      </c>
      <c r="AD108" s="4">
        <f t="shared" si="224"/>
        <v>9.0909090909090912E-2</v>
      </c>
      <c r="AE108" s="4">
        <f t="shared" si="224"/>
        <v>4</v>
      </c>
      <c r="AF108" s="4">
        <f t="shared" si="224"/>
        <v>20</v>
      </c>
      <c r="AG108" s="4">
        <f t="shared" si="224"/>
        <v>8</v>
      </c>
      <c r="AH108" s="4">
        <f t="shared" si="224"/>
        <v>16</v>
      </c>
      <c r="AI108" s="4">
        <f t="shared" si="224"/>
        <v>14</v>
      </c>
      <c r="AJ108">
        <f t="shared" si="192"/>
        <v>32</v>
      </c>
      <c r="AK108">
        <f t="shared" si="193"/>
        <v>16</v>
      </c>
      <c r="AL108">
        <f t="shared" si="194"/>
        <v>32</v>
      </c>
      <c r="AM108">
        <f t="shared" si="195"/>
        <v>28</v>
      </c>
      <c r="AN108">
        <f t="shared" ref="AN108:AQ108" si="225">AN60</f>
        <v>0.24242424242424243</v>
      </c>
      <c r="AO108">
        <f t="shared" si="225"/>
        <v>0.24242424242424243</v>
      </c>
      <c r="AP108">
        <f t="shared" si="225"/>
        <v>470</v>
      </c>
      <c r="AQ108">
        <f t="shared" si="225"/>
        <v>140</v>
      </c>
      <c r="AR108">
        <f>AG108*K108/100/(1-U108)/(1-R108)*(1-(AP108*(1-AN108)/(AP108*(1-AN108)+VLOOKUP(A108,[1]怪物抗性与玩家穿透!$A$2:$I$74,8,0))))*(1-(AQ108*(1-AO108)/(VLOOKUP(A108,[1]怪物抗性与玩家穿透!$A$2:$I$74,9,0)+AQ108*(1-AO108))))</f>
        <v>2396.0362096217486</v>
      </c>
      <c r="AS108">
        <f t="shared" si="198"/>
        <v>697.30204926861086</v>
      </c>
      <c r="AT108">
        <f t="shared" ref="AT108:AX108" si="226">AT60</f>
        <v>197466.89230332003</v>
      </c>
      <c r="AU108">
        <f t="shared" si="226"/>
        <v>5259.5284500000007</v>
      </c>
      <c r="AV108">
        <f t="shared" si="226"/>
        <v>1.1000000000000001</v>
      </c>
      <c r="AW108">
        <f t="shared" si="226"/>
        <v>1.06</v>
      </c>
      <c r="AX108">
        <f t="shared" si="226"/>
        <v>1.1200000000000001</v>
      </c>
      <c r="AY108">
        <f t="shared" si="208"/>
        <v>20630.108791102328</v>
      </c>
      <c r="AZ108">
        <f t="shared" si="200"/>
        <v>457371.5234837383</v>
      </c>
      <c r="BA108">
        <f t="shared" si="201"/>
        <v>1589490.3367984316</v>
      </c>
      <c r="BB108">
        <v>28</v>
      </c>
    </row>
    <row r="109" spans="1:54">
      <c r="A109" s="4">
        <v>50</v>
      </c>
      <c r="B109" s="19">
        <f t="shared" si="177"/>
        <v>7700</v>
      </c>
      <c r="C109" s="4">
        <v>390</v>
      </c>
      <c r="D109" s="6">
        <f t="shared" si="178"/>
        <v>8090</v>
      </c>
      <c r="E109" s="6">
        <f t="shared" si="179"/>
        <v>2589</v>
      </c>
      <c r="F109" s="6">
        <f t="shared" si="163"/>
        <v>4757.2</v>
      </c>
      <c r="G109" s="6">
        <f t="shared" si="180"/>
        <v>0.38332984158192451</v>
      </c>
      <c r="H109" s="4">
        <f t="shared" si="181"/>
        <v>4936.5</v>
      </c>
      <c r="I109" s="6">
        <f t="shared" si="164"/>
        <v>7281</v>
      </c>
      <c r="J109" s="6">
        <v>2.6</v>
      </c>
      <c r="K109" s="7">
        <f t="shared" si="182"/>
        <v>20091.649314273742</v>
      </c>
      <c r="L109" s="6">
        <f t="shared" si="165"/>
        <v>1618</v>
      </c>
      <c r="M109" s="4">
        <f t="shared" si="183"/>
        <v>17340</v>
      </c>
      <c r="N109" s="4">
        <f t="shared" si="184"/>
        <v>41900</v>
      </c>
      <c r="O109" s="4">
        <f t="shared" si="166"/>
        <v>0.41384248210023866</v>
      </c>
      <c r="P109" s="17">
        <f t="shared" si="185"/>
        <v>1560</v>
      </c>
      <c r="Q109" s="6">
        <f t="shared" si="167"/>
        <v>2808</v>
      </c>
      <c r="R109" s="4">
        <f t="shared" si="168"/>
        <v>0.26722497145032359</v>
      </c>
      <c r="S109" s="4">
        <f t="shared" si="186"/>
        <v>1566.6666666666667</v>
      </c>
      <c r="T109" s="4">
        <f t="shared" si="169"/>
        <v>1333.3333333333333</v>
      </c>
      <c r="U109" s="4">
        <f t="shared" si="170"/>
        <v>0.48230357988766331</v>
      </c>
      <c r="V109" s="4">
        <f t="shared" si="171"/>
        <v>0.70011760094080755</v>
      </c>
      <c r="W109" s="4">
        <f>(装备属性设计!Z13*战斗力成长!AB13+D13*C$123*0.2)*(1+AJ13/100)</f>
        <v>443.28444444444443</v>
      </c>
      <c r="X109" s="4">
        <f t="shared" si="187"/>
        <v>0.18717533929858274</v>
      </c>
      <c r="Y109" s="10">
        <f t="shared" si="188"/>
        <v>135884.94053316693</v>
      </c>
      <c r="Z109" s="23">
        <f t="shared" si="172"/>
        <v>6.7632546441386463</v>
      </c>
      <c r="AA109" s="20">
        <f t="shared" si="189"/>
        <v>1.5</v>
      </c>
      <c r="AB109" s="20">
        <f t="shared" si="190"/>
        <v>1.3333333333333333</v>
      </c>
      <c r="AC109" s="4">
        <f t="shared" ref="AC109:AI109" si="227">AC61</f>
        <v>1540</v>
      </c>
      <c r="AD109" s="4">
        <f t="shared" si="227"/>
        <v>9.0909090909090912E-2</v>
      </c>
      <c r="AE109" s="4">
        <f t="shared" si="227"/>
        <v>5</v>
      </c>
      <c r="AF109" s="4">
        <f t="shared" si="227"/>
        <v>25</v>
      </c>
      <c r="AG109" s="4">
        <f t="shared" si="227"/>
        <v>10</v>
      </c>
      <c r="AH109" s="4">
        <f t="shared" si="227"/>
        <v>20</v>
      </c>
      <c r="AI109" s="4">
        <f t="shared" si="227"/>
        <v>17.5</v>
      </c>
      <c r="AJ109">
        <f t="shared" si="192"/>
        <v>40</v>
      </c>
      <c r="AK109">
        <f t="shared" si="193"/>
        <v>20</v>
      </c>
      <c r="AL109">
        <f t="shared" si="194"/>
        <v>40</v>
      </c>
      <c r="AM109">
        <f t="shared" si="195"/>
        <v>35</v>
      </c>
      <c r="AN109">
        <f t="shared" ref="AN109:AQ109" si="228">AN61</f>
        <v>0.2857142857142857</v>
      </c>
      <c r="AO109">
        <f t="shared" si="228"/>
        <v>0.2857142857142857</v>
      </c>
      <c r="AP109">
        <f t="shared" si="228"/>
        <v>2500</v>
      </c>
      <c r="AQ109">
        <f t="shared" si="228"/>
        <v>750</v>
      </c>
      <c r="AR109">
        <f>AG109*K109/100/(1-U109)/(1-R109)*(1-(AP109*(1-AN109)/(AP109*(1-AN109)+VLOOKUP(A109,[1]怪物抗性与玩家穿透!$A$2:$I$74,8,0))))*(1-(AQ109*(1-AO109)/(VLOOKUP(A109,[1]怪物抗性与玩家穿透!$A$2:$I$74,9,0)+AQ109*(1-AO109))))</f>
        <v>3548.9066540688409</v>
      </c>
      <c r="AS109">
        <f t="shared" si="198"/>
        <v>1358.8494053316695</v>
      </c>
      <c r="AT109">
        <f t="shared" ref="AT109:AX109" si="229">AT61</f>
        <v>297398.47790277033</v>
      </c>
      <c r="AU109">
        <f t="shared" si="229"/>
        <v>7187.7375899999988</v>
      </c>
      <c r="AV109">
        <f t="shared" si="229"/>
        <v>1.1200000000000001</v>
      </c>
      <c r="AW109">
        <f t="shared" si="229"/>
        <v>1.06</v>
      </c>
      <c r="AX109">
        <f t="shared" si="229"/>
        <v>1.1299999999999999</v>
      </c>
      <c r="AY109">
        <f t="shared" si="208"/>
        <v>28916.150118530168</v>
      </c>
      <c r="AZ109">
        <f t="shared" si="200"/>
        <v>734701.17643584078</v>
      </c>
      <c r="BA109">
        <f t="shared" si="201"/>
        <v>2609220.1022912352</v>
      </c>
      <c r="BB109">
        <v>30</v>
      </c>
    </row>
    <row r="110" spans="1:54">
      <c r="A110" s="4">
        <v>55</v>
      </c>
      <c r="B110" s="19">
        <f t="shared" si="177"/>
        <v>9290</v>
      </c>
      <c r="C110" s="4">
        <v>425</v>
      </c>
      <c r="D110" s="6">
        <f t="shared" si="178"/>
        <v>9715</v>
      </c>
      <c r="E110" s="6">
        <f t="shared" si="179"/>
        <v>2589</v>
      </c>
      <c r="F110" s="6">
        <f t="shared" si="163"/>
        <v>5269.54</v>
      </c>
      <c r="G110" s="6">
        <f t="shared" si="180"/>
        <v>0.36322767333400424</v>
      </c>
      <c r="H110" s="4">
        <f t="shared" si="181"/>
        <v>6342</v>
      </c>
      <c r="I110" s="6">
        <f t="shared" si="164"/>
        <v>8743.5</v>
      </c>
      <c r="J110" s="6">
        <v>2.8</v>
      </c>
      <c r="K110" s="7">
        <f t="shared" si="182"/>
        <v>26591.895914383003</v>
      </c>
      <c r="L110" s="6">
        <f t="shared" si="165"/>
        <v>1943</v>
      </c>
      <c r="M110" s="4">
        <f t="shared" si="183"/>
        <v>20880</v>
      </c>
      <c r="N110" s="4">
        <f t="shared" si="184"/>
        <v>52403</v>
      </c>
      <c r="O110" s="4">
        <f t="shared" si="166"/>
        <v>0.39845047039291642</v>
      </c>
      <c r="P110" s="17">
        <f t="shared" si="185"/>
        <v>2306</v>
      </c>
      <c r="Q110" s="6">
        <f t="shared" si="167"/>
        <v>4289.16</v>
      </c>
      <c r="R110" s="4">
        <f t="shared" si="168"/>
        <v>0.3158634260145694</v>
      </c>
      <c r="S110" s="4">
        <f t="shared" si="186"/>
        <v>2082.813333333333</v>
      </c>
      <c r="T110" s="4">
        <f t="shared" si="169"/>
        <v>1721.3333333333333</v>
      </c>
      <c r="U110" s="4">
        <f t="shared" si="170"/>
        <v>0.52172016758014317</v>
      </c>
      <c r="V110" s="4">
        <f t="shared" si="171"/>
        <v>0.72264412599881134</v>
      </c>
      <c r="W110" s="4">
        <f>(装备属性设计!Z14*战斗力成长!AB14+D14*C$123*0.2)*(1+AJ14/100)</f>
        <v>559.46799999999996</v>
      </c>
      <c r="X110" s="4">
        <f t="shared" si="187"/>
        <v>0.19412706872525995</v>
      </c>
      <c r="Y110" s="10">
        <f t="shared" si="188"/>
        <v>198730.58237891848</v>
      </c>
      <c r="Z110" s="23">
        <f t="shared" si="172"/>
        <v>7.4733513931749878</v>
      </c>
      <c r="AA110" s="20">
        <f t="shared" si="189"/>
        <v>1.5</v>
      </c>
      <c r="AB110" s="20">
        <f t="shared" si="190"/>
        <v>1.3333333333333333</v>
      </c>
      <c r="AC110" s="4">
        <f t="shared" ref="AC110:AI110" si="230">AC62</f>
        <v>1858</v>
      </c>
      <c r="AD110" s="4">
        <f t="shared" si="230"/>
        <v>9.0909090909090912E-2</v>
      </c>
      <c r="AE110" s="4">
        <f t="shared" si="230"/>
        <v>6</v>
      </c>
      <c r="AF110" s="4">
        <f t="shared" si="230"/>
        <v>30</v>
      </c>
      <c r="AG110" s="4">
        <f t="shared" si="230"/>
        <v>12</v>
      </c>
      <c r="AH110" s="4">
        <f t="shared" si="230"/>
        <v>24</v>
      </c>
      <c r="AI110" s="4">
        <f t="shared" si="230"/>
        <v>21</v>
      </c>
      <c r="AJ110">
        <f t="shared" si="192"/>
        <v>48</v>
      </c>
      <c r="AK110">
        <f t="shared" si="193"/>
        <v>24</v>
      </c>
      <c r="AL110">
        <f t="shared" si="194"/>
        <v>48</v>
      </c>
      <c r="AM110">
        <f t="shared" si="195"/>
        <v>42</v>
      </c>
      <c r="AN110">
        <f t="shared" ref="AN110:AQ110" si="231">AN62</f>
        <v>0.32432432432432434</v>
      </c>
      <c r="AO110">
        <f t="shared" si="231"/>
        <v>0.32432432432432434</v>
      </c>
      <c r="AP110">
        <f t="shared" si="231"/>
        <v>5000</v>
      </c>
      <c r="AQ110">
        <f t="shared" si="231"/>
        <v>1500</v>
      </c>
      <c r="AR110">
        <f>AG110*K110/100/(1-U110)/(1-R110)*(1-(AP110*(1-AN110)/(AP110*(1-AN110)+VLOOKUP(A110,[1]怪物抗性与玩家穿透!$A$2:$I$74,8,0))))*(1-(AQ110*(1-AO110)/(VLOOKUP(A110,[1]怪物抗性与玩家穿透!$A$2:$I$74,9,0)+AQ110*(1-AO110))))</f>
        <v>5243.32572975107</v>
      </c>
      <c r="AS110">
        <f t="shared" si="198"/>
        <v>2384.7669885470214</v>
      </c>
      <c r="AT110">
        <f t="shared" ref="AT110:AX110" si="232">AT62</f>
        <v>441587.36231792445</v>
      </c>
      <c r="AU110">
        <f t="shared" si="232"/>
        <v>9525.0209400000003</v>
      </c>
      <c r="AV110">
        <f t="shared" si="232"/>
        <v>1.1399999999999999</v>
      </c>
      <c r="AW110">
        <f t="shared" si="232"/>
        <v>1.07</v>
      </c>
      <c r="AX110">
        <f t="shared" si="232"/>
        <v>1.1399999999999999</v>
      </c>
      <c r="AY110">
        <f t="shared" si="208"/>
        <v>38645.101034189815</v>
      </c>
      <c r="AZ110">
        <f t="shared" si="200"/>
        <v>1149388.2184224233</v>
      </c>
      <c r="BA110">
        <f t="shared" si="201"/>
        <v>4048088.7693279246</v>
      </c>
      <c r="BB110">
        <v>32</v>
      </c>
    </row>
    <row r="111" spans="1:54">
      <c r="A111" s="4">
        <v>60</v>
      </c>
      <c r="B111" s="19">
        <f t="shared" si="177"/>
        <v>11030</v>
      </c>
      <c r="C111" s="4">
        <v>460</v>
      </c>
      <c r="D111" s="6">
        <f t="shared" si="178"/>
        <v>11490</v>
      </c>
      <c r="E111" s="6">
        <f t="shared" si="179"/>
        <v>3795</v>
      </c>
      <c r="F111" s="6">
        <f t="shared" si="163"/>
        <v>7712.64</v>
      </c>
      <c r="G111" s="6">
        <f t="shared" si="180"/>
        <v>0.41275760423512392</v>
      </c>
      <c r="H111" s="4">
        <f t="shared" si="181"/>
        <v>9934.65</v>
      </c>
      <c r="I111" s="6">
        <f t="shared" si="164"/>
        <v>10341</v>
      </c>
      <c r="J111" s="6">
        <v>3</v>
      </c>
      <c r="K111" s="7">
        <f t="shared" si="182"/>
        <v>39350.427549836648</v>
      </c>
      <c r="L111" s="6">
        <f t="shared" si="165"/>
        <v>2298</v>
      </c>
      <c r="M111" s="4">
        <f t="shared" si="183"/>
        <v>22968</v>
      </c>
      <c r="N111" s="4">
        <f t="shared" si="184"/>
        <v>62030</v>
      </c>
      <c r="O111" s="4">
        <f t="shared" si="166"/>
        <v>0.37027244881508947</v>
      </c>
      <c r="P111" s="17">
        <f t="shared" si="185"/>
        <v>2754</v>
      </c>
      <c r="Q111" s="6">
        <f t="shared" si="167"/>
        <v>5816.4479999999994</v>
      </c>
      <c r="R111" s="4">
        <f t="shared" si="168"/>
        <v>0.34526257404528238</v>
      </c>
      <c r="S111" s="4">
        <f t="shared" si="186"/>
        <v>2905.1660000000002</v>
      </c>
      <c r="T111" s="4">
        <f t="shared" si="169"/>
        <v>2333.4666666666667</v>
      </c>
      <c r="U111" s="4">
        <f t="shared" si="170"/>
        <v>0.57067444651490407</v>
      </c>
      <c r="V111" s="4">
        <f t="shared" si="171"/>
        <v>0.74586439435180141</v>
      </c>
      <c r="W111" s="4">
        <f>(装备属性设计!Z15*战斗力成长!AB15+D15*C$123*0.2)*(1+AJ15/100)</f>
        <v>733.63688888888896</v>
      </c>
      <c r="X111" s="4">
        <f t="shared" si="187"/>
        <v>0.21014268767970906</v>
      </c>
      <c r="Y111" s="10">
        <f t="shared" si="188"/>
        <v>279382.52166034654</v>
      </c>
      <c r="Z111" s="23">
        <f t="shared" si="172"/>
        <v>7.0998598758936815</v>
      </c>
      <c r="AA111" s="20">
        <f t="shared" si="189"/>
        <v>1.65</v>
      </c>
      <c r="AB111" s="20">
        <f t="shared" si="190"/>
        <v>1.4333333333333333</v>
      </c>
      <c r="AC111" s="4">
        <f t="shared" ref="AC111:AI111" si="233">AC63</f>
        <v>2206</v>
      </c>
      <c r="AD111" s="4">
        <f t="shared" si="233"/>
        <v>9.0909090909090912E-2</v>
      </c>
      <c r="AE111" s="4">
        <f t="shared" si="233"/>
        <v>7</v>
      </c>
      <c r="AF111" s="4">
        <f t="shared" si="233"/>
        <v>35</v>
      </c>
      <c r="AG111" s="4">
        <f t="shared" si="233"/>
        <v>14</v>
      </c>
      <c r="AH111" s="4">
        <f t="shared" si="233"/>
        <v>28</v>
      </c>
      <c r="AI111" s="4">
        <f t="shared" si="233"/>
        <v>24.5</v>
      </c>
      <c r="AJ111">
        <f t="shared" si="192"/>
        <v>56</v>
      </c>
      <c r="AK111">
        <f t="shared" si="193"/>
        <v>28</v>
      </c>
      <c r="AL111">
        <f t="shared" si="194"/>
        <v>56</v>
      </c>
      <c r="AM111">
        <f t="shared" si="195"/>
        <v>49</v>
      </c>
      <c r="AN111">
        <f t="shared" ref="AN111:AQ111" si="234">AN63</f>
        <v>0.35897435897435898</v>
      </c>
      <c r="AO111">
        <f t="shared" si="234"/>
        <v>0.35897435897435898</v>
      </c>
      <c r="AP111">
        <f t="shared" si="234"/>
        <v>7500</v>
      </c>
      <c r="AQ111">
        <f t="shared" si="234"/>
        <v>2250</v>
      </c>
      <c r="AR111">
        <f>AG111*K111/100/(1-U111)/(1-R111)*(1-(AP111*(1-AN111)/(AP111*(1-AN111)+VLOOKUP(A111,[1]怪物抗性与玩家穿透!$A$2:$I$74,8,0))))*(1-(AQ111*(1-AO111)/(VLOOKUP(A111,[1]怪物抗性与玩家穿透!$A$2:$I$74,9,0)+AQ111*(1-AO111))))</f>
        <v>9252.8893686887222</v>
      </c>
      <c r="AS111">
        <f t="shared" si="198"/>
        <v>3911.3553032448517</v>
      </c>
      <c r="AT111">
        <f t="shared" ref="AT111:AX111" si="235">AT63</f>
        <v>623569.15381421067</v>
      </c>
      <c r="AU111">
        <f t="shared" si="235"/>
        <v>11995.647840000001</v>
      </c>
      <c r="AV111">
        <f t="shared" si="235"/>
        <v>1.1599999999999999</v>
      </c>
      <c r="AW111">
        <f t="shared" si="235"/>
        <v>1.08</v>
      </c>
      <c r="AX111">
        <f t="shared" si="235"/>
        <v>1.1499999999999999</v>
      </c>
      <c r="AY111">
        <f t="shared" si="208"/>
        <v>55453.761421023592</v>
      </c>
      <c r="AZ111">
        <f t="shared" si="200"/>
        <v>1801615.0164232783</v>
      </c>
      <c r="BA111">
        <f t="shared" si="201"/>
        <v>6747636.4249063414</v>
      </c>
      <c r="BB111">
        <v>34</v>
      </c>
    </row>
    <row r="112" spans="1:54">
      <c r="A112" s="4">
        <v>65</v>
      </c>
      <c r="B112" s="19">
        <f t="shared" si="177"/>
        <v>12920</v>
      </c>
      <c r="C112" s="4">
        <v>495</v>
      </c>
      <c r="D112" s="6">
        <f t="shared" si="178"/>
        <v>13415</v>
      </c>
      <c r="E112" s="6">
        <f t="shared" si="179"/>
        <v>6991.2</v>
      </c>
      <c r="F112" s="6">
        <f t="shared" si="163"/>
        <v>13665.628000000002</v>
      </c>
      <c r="G112" s="6">
        <f t="shared" si="180"/>
        <v>0.51522468947309918</v>
      </c>
      <c r="H112" s="4">
        <f t="shared" si="181"/>
        <v>14146.2</v>
      </c>
      <c r="I112" s="6">
        <f t="shared" si="164"/>
        <v>12073.5</v>
      </c>
      <c r="J112" s="6">
        <v>3.2</v>
      </c>
      <c r="K112" s="7">
        <f t="shared" si="182"/>
        <v>57118.716623222652</v>
      </c>
      <c r="L112" s="6">
        <f t="shared" si="165"/>
        <v>2683</v>
      </c>
      <c r="M112" s="4">
        <f t="shared" si="183"/>
        <v>30420</v>
      </c>
      <c r="N112" s="4">
        <f t="shared" si="184"/>
        <v>80150</v>
      </c>
      <c r="O112" s="4">
        <f t="shared" si="166"/>
        <v>0.37953836556456644</v>
      </c>
      <c r="P112" s="17">
        <f t="shared" si="185"/>
        <v>3256</v>
      </c>
      <c r="Q112" s="6">
        <f t="shared" si="167"/>
        <v>7736.2560000000003</v>
      </c>
      <c r="R112" s="4">
        <f t="shared" si="168"/>
        <v>0.37452363100070024</v>
      </c>
      <c r="S112" s="4">
        <f t="shared" si="186"/>
        <v>3954.7733333333331</v>
      </c>
      <c r="T112" s="4">
        <f t="shared" si="169"/>
        <v>3089.6666666666665</v>
      </c>
      <c r="U112" s="4">
        <f t="shared" si="170"/>
        <v>0.61611271861217376</v>
      </c>
      <c r="V112" s="4">
        <f t="shared" si="171"/>
        <v>0.76664702416028285</v>
      </c>
      <c r="W112" s="4">
        <f>(装备属性设计!Z16*战斗力成长!AB16+D16*C$123*0.2)*(1+AJ16/100)</f>
        <v>980.4137777777778</v>
      </c>
      <c r="X112" s="4">
        <f t="shared" si="187"/>
        <v>0.23285449590544335</v>
      </c>
      <c r="Y112" s="10">
        <f t="shared" si="188"/>
        <v>435122.11067776708</v>
      </c>
      <c r="Z112" s="23">
        <f t="shared" si="172"/>
        <v>7.6178551690508449</v>
      </c>
      <c r="AA112" s="20">
        <f t="shared" si="189"/>
        <v>1.8</v>
      </c>
      <c r="AB112" s="20">
        <f t="shared" si="190"/>
        <v>1.5333333333333332</v>
      </c>
      <c r="AC112" s="4">
        <f t="shared" ref="AC112:AI112" si="236">AC64</f>
        <v>2584</v>
      </c>
      <c r="AD112" s="4">
        <f t="shared" si="236"/>
        <v>9.0909090909090912E-2</v>
      </c>
      <c r="AE112" s="4">
        <f t="shared" si="236"/>
        <v>8</v>
      </c>
      <c r="AF112" s="4">
        <f t="shared" si="236"/>
        <v>40</v>
      </c>
      <c r="AG112" s="4">
        <f t="shared" si="236"/>
        <v>16</v>
      </c>
      <c r="AH112" s="4">
        <f t="shared" si="236"/>
        <v>32</v>
      </c>
      <c r="AI112" s="4">
        <f t="shared" si="236"/>
        <v>28</v>
      </c>
      <c r="AJ112">
        <f t="shared" si="192"/>
        <v>64</v>
      </c>
      <c r="AK112">
        <f t="shared" si="193"/>
        <v>32</v>
      </c>
      <c r="AL112">
        <f t="shared" si="194"/>
        <v>64</v>
      </c>
      <c r="AM112">
        <f t="shared" si="195"/>
        <v>56</v>
      </c>
      <c r="AN112">
        <f t="shared" ref="AN112:AQ112" si="237">AN64</f>
        <v>0.3902439024390244</v>
      </c>
      <c r="AO112">
        <f t="shared" si="237"/>
        <v>0.3902439024390244</v>
      </c>
      <c r="AP112">
        <f t="shared" si="237"/>
        <v>10000</v>
      </c>
      <c r="AQ112">
        <f t="shared" si="237"/>
        <v>3000</v>
      </c>
      <c r="AR112">
        <f>AG112*K112/100/(1-U112)/(1-R112)*(1-(AP112*(1-AN112)/(AP112*(1-AN112)+VLOOKUP(A112,[1]怪物抗性与玩家穿透!$A$2:$I$74,8,0))))*(1-(AQ112*(1-AO112)/(VLOOKUP(A112,[1]怪物抗性与玩家穿透!$A$2:$I$74,9,0)+AQ112*(1-AO112))))</f>
        <v>16611.193010932424</v>
      </c>
      <c r="AS112">
        <f t="shared" si="198"/>
        <v>6961.9537708442731</v>
      </c>
      <c r="AT112">
        <f t="shared" ref="AT112:AX112" si="238">AT64</f>
        <v>847048.44697208994</v>
      </c>
      <c r="AU112">
        <f t="shared" si="238"/>
        <v>15317.716049999999</v>
      </c>
      <c r="AV112">
        <f t="shared" si="238"/>
        <v>1.18</v>
      </c>
      <c r="AW112">
        <f t="shared" si="238"/>
        <v>1.0900000000000001</v>
      </c>
      <c r="AX112">
        <f t="shared" si="238"/>
        <v>1.1599999999999999</v>
      </c>
      <c r="AY112">
        <f t="shared" si="208"/>
        <v>78715.005232207623</v>
      </c>
      <c r="AZ112">
        <f t="shared" si="200"/>
        <v>2916644.2986473776</v>
      </c>
      <c r="BA112">
        <f t="shared" si="201"/>
        <v>11246533.586082762</v>
      </c>
      <c r="BB112">
        <v>36</v>
      </c>
    </row>
    <row r="113" spans="1:54">
      <c r="A113" s="4">
        <v>70</v>
      </c>
      <c r="B113" s="19">
        <f t="shared" si="177"/>
        <v>14960</v>
      </c>
      <c r="C113" s="4">
        <v>530</v>
      </c>
      <c r="D113" s="6">
        <f t="shared" si="178"/>
        <v>15490</v>
      </c>
      <c r="E113" s="6">
        <f t="shared" si="179"/>
        <v>8168.55</v>
      </c>
      <c r="F113" s="6">
        <f t="shared" si="163"/>
        <v>16714.185999999998</v>
      </c>
      <c r="G113" s="6">
        <f t="shared" si="180"/>
        <v>0.52880968270949524</v>
      </c>
      <c r="H113" s="4">
        <f t="shared" si="181"/>
        <v>19125.599999999999</v>
      </c>
      <c r="I113" s="6">
        <f t="shared" si="164"/>
        <v>13941</v>
      </c>
      <c r="J113" s="6">
        <v>3.4</v>
      </c>
      <c r="K113" s="7">
        <f t="shared" si="182"/>
        <v>77713.603958463602</v>
      </c>
      <c r="L113" s="6">
        <f t="shared" si="165"/>
        <v>3098</v>
      </c>
      <c r="M113" s="4">
        <f t="shared" si="183"/>
        <v>37440</v>
      </c>
      <c r="N113" s="4">
        <f t="shared" si="184"/>
        <v>99209</v>
      </c>
      <c r="O113" s="4">
        <f t="shared" si="166"/>
        <v>0.37738511626969329</v>
      </c>
      <c r="P113" s="17">
        <f t="shared" si="185"/>
        <v>3688</v>
      </c>
      <c r="Q113" s="6">
        <f t="shared" si="167"/>
        <v>9780.5759999999991</v>
      </c>
      <c r="R113" s="4">
        <f t="shared" si="168"/>
        <v>0.39532531498054041</v>
      </c>
      <c r="S113" s="4">
        <f t="shared" si="186"/>
        <v>4845.5119999999997</v>
      </c>
      <c r="T113" s="4">
        <f t="shared" si="169"/>
        <v>3684.7999999999997</v>
      </c>
      <c r="U113" s="4">
        <f t="shared" si="170"/>
        <v>0.64301918485291187</v>
      </c>
      <c r="V113" s="4">
        <f t="shared" si="171"/>
        <v>0.78101019073703948</v>
      </c>
      <c r="W113" s="4">
        <f>(装备属性设计!Z17*战斗力成长!AB17+D17*C$123*0.2)*(1+AJ17/100)</f>
        <v>1279.3493333333333</v>
      </c>
      <c r="X113" s="4">
        <f t="shared" si="187"/>
        <v>0.25488350150032724</v>
      </c>
      <c r="Y113" s="10">
        <f t="shared" si="188"/>
        <v>616822.53010896745</v>
      </c>
      <c r="Z113" s="23">
        <f t="shared" si="172"/>
        <v>7.9371242445357053</v>
      </c>
      <c r="AA113" s="20">
        <f t="shared" si="189"/>
        <v>1.95</v>
      </c>
      <c r="AB113" s="20">
        <f t="shared" si="190"/>
        <v>1.6333333333333333</v>
      </c>
      <c r="AC113" s="4">
        <f t="shared" ref="AC113:AI113" si="239">AC65</f>
        <v>2992</v>
      </c>
      <c r="AD113" s="4">
        <f t="shared" si="239"/>
        <v>9.0909090909090912E-2</v>
      </c>
      <c r="AE113" s="4">
        <f t="shared" si="239"/>
        <v>9</v>
      </c>
      <c r="AF113" s="4">
        <f t="shared" si="239"/>
        <v>45</v>
      </c>
      <c r="AG113" s="4">
        <f t="shared" si="239"/>
        <v>18</v>
      </c>
      <c r="AH113" s="4">
        <f t="shared" si="239"/>
        <v>36</v>
      </c>
      <c r="AI113" s="4">
        <f t="shared" si="239"/>
        <v>31.5</v>
      </c>
      <c r="AJ113">
        <f t="shared" si="192"/>
        <v>72</v>
      </c>
      <c r="AK113">
        <f t="shared" si="193"/>
        <v>36</v>
      </c>
      <c r="AL113">
        <f t="shared" si="194"/>
        <v>72</v>
      </c>
      <c r="AM113">
        <f t="shared" si="195"/>
        <v>63</v>
      </c>
      <c r="AN113">
        <f t="shared" ref="AN113:AQ113" si="240">AN65</f>
        <v>0.41860465116279072</v>
      </c>
      <c r="AO113">
        <f t="shared" si="240"/>
        <v>0.41860465116279072</v>
      </c>
      <c r="AP113">
        <f t="shared" si="240"/>
        <v>12500</v>
      </c>
      <c r="AQ113">
        <f t="shared" si="240"/>
        <v>3750</v>
      </c>
      <c r="AR113">
        <f>AG113*K113/100/(1-U113)/(1-R113)*(1-(AP113*(1-AN113)/(AP113*(1-AN113)+VLOOKUP(A113,[1]怪物抗性与玩家穿透!$A$2:$I$74,8,0))))*(1-(AQ113*(1-AO113)/(VLOOKUP(A113,[1]怪物抗性与玩家穿透!$A$2:$I$74,9,0)+AQ113*(1-AO113))))</f>
        <v>26982.481894483393</v>
      </c>
      <c r="AS113">
        <f t="shared" si="198"/>
        <v>11102.805541961414</v>
      </c>
      <c r="AT113">
        <f t="shared" ref="AT113:AX113" si="241">AT65</f>
        <v>1178621.3453561435</v>
      </c>
      <c r="AU113">
        <f t="shared" si="241"/>
        <v>19701.123750000002</v>
      </c>
      <c r="AV113">
        <f t="shared" si="241"/>
        <v>1.2</v>
      </c>
      <c r="AW113">
        <f t="shared" si="241"/>
        <v>1.1000000000000001</v>
      </c>
      <c r="AX113">
        <f t="shared" si="241"/>
        <v>1.17</v>
      </c>
      <c r="AY113">
        <f t="shared" si="208"/>
        <v>104539.99440111119</v>
      </c>
      <c r="AZ113">
        <f t="shared" si="200"/>
        <v>4552729.4564622184</v>
      </c>
      <c r="BA113">
        <f t="shared" si="201"/>
        <v>17326323.557083484</v>
      </c>
      <c r="BB113">
        <v>38</v>
      </c>
    </row>
    <row r="114" spans="1:54">
      <c r="A114" s="4">
        <v>75</v>
      </c>
      <c r="B114" s="19">
        <f t="shared" si="177"/>
        <v>17150</v>
      </c>
      <c r="C114" s="4">
        <v>565</v>
      </c>
      <c r="D114" s="6">
        <f t="shared" ref="D114:D119" si="242">C114+B114</f>
        <v>17715</v>
      </c>
      <c r="E114" s="6">
        <f t="shared" si="179"/>
        <v>9725.1</v>
      </c>
      <c r="F114" s="6">
        <f t="shared" si="163"/>
        <v>20693.88</v>
      </c>
      <c r="G114" s="6">
        <f t="shared" ref="G114:G119" si="243">F114/(A114*A114*3+2*A114+53+F114)</f>
        <v>0.54786470781967955</v>
      </c>
      <c r="H114" s="4">
        <f t="shared" si="181"/>
        <v>24009.3</v>
      </c>
      <c r="I114" s="6">
        <f t="shared" ref="I114:I119" si="244">D114*1.5*MAX($C$26:$C$29)</f>
        <v>15943.5</v>
      </c>
      <c r="J114" s="6">
        <v>3.6</v>
      </c>
      <c r="K114" s="7">
        <f t="shared" si="182"/>
        <v>101290.65355350699</v>
      </c>
      <c r="L114" s="6">
        <f t="shared" ref="L114:L119" si="245">$C$29*D114</f>
        <v>3543</v>
      </c>
      <c r="M114" s="4">
        <f t="shared" si="183"/>
        <v>45360</v>
      </c>
      <c r="N114" s="4">
        <f t="shared" si="184"/>
        <v>121185</v>
      </c>
      <c r="O114" s="4">
        <f t="shared" ref="O114:O119" si="246">M114/N114</f>
        <v>0.37430375046416636</v>
      </c>
      <c r="P114" s="17">
        <f t="shared" si="185"/>
        <v>4390</v>
      </c>
      <c r="Q114" s="6">
        <f t="shared" si="167"/>
        <v>12906.599999999999</v>
      </c>
      <c r="R114" s="4">
        <f t="shared" si="168"/>
        <v>0.42940984675578736</v>
      </c>
      <c r="S114" s="4">
        <f t="shared" si="186"/>
        <v>6161.22</v>
      </c>
      <c r="T114" s="4">
        <f t="shared" si="169"/>
        <v>4563.8666666666668</v>
      </c>
      <c r="U114" s="4">
        <f t="shared" ref="U114:U119" si="247">(S114+D114*C$74)/($A114*$A114*5+S114+D114*C$74+24200-$A114*645)</f>
        <v>0.66758452610176788</v>
      </c>
      <c r="V114" s="4">
        <f t="shared" ref="V114:V119" si="248">(T114+B114*C$76)/($A114*$A114*5+T114+B114*C$76+24200-$A114*645)</f>
        <v>0.61383796184653883</v>
      </c>
      <c r="W114" s="4">
        <f>(装备属性设计!Z18*战斗力成长!AB18+D18*C$123*0.2)*(1+AJ18/100)</f>
        <v>1579.491111111111</v>
      </c>
      <c r="X114" s="4">
        <f t="shared" ref="X114:X119" si="249">W114/((3*$A114*$A114+3*$A114+50)/4+W114)</f>
        <v>0.26921655090286672</v>
      </c>
      <c r="Y114" s="10">
        <f t="shared" ref="Y114:Y119" si="250">(N114/(1-R114))/(1-U114)/(1-X114)</f>
        <v>874288.28624087095</v>
      </c>
      <c r="Z114" s="23">
        <f t="shared" ref="Z114:Z119" si="251">Y114/K114</f>
        <v>8.6314803544931866</v>
      </c>
      <c r="AA114" s="20">
        <f t="shared" si="189"/>
        <v>2.1</v>
      </c>
      <c r="AB114" s="20">
        <f t="shared" si="190"/>
        <v>1.7333333333333334</v>
      </c>
      <c r="AC114" s="4">
        <f t="shared" ref="AC114:AI114" si="252">AC66</f>
        <v>3430</v>
      </c>
      <c r="AD114" s="4">
        <f t="shared" si="252"/>
        <v>9.0909090909090912E-2</v>
      </c>
      <c r="AE114" s="4">
        <f t="shared" si="252"/>
        <v>10</v>
      </c>
      <c r="AF114" s="4">
        <f t="shared" si="252"/>
        <v>50</v>
      </c>
      <c r="AG114" s="4">
        <f t="shared" si="252"/>
        <v>20</v>
      </c>
      <c r="AH114" s="4">
        <f t="shared" si="252"/>
        <v>40</v>
      </c>
      <c r="AI114" s="4">
        <f t="shared" si="252"/>
        <v>35</v>
      </c>
      <c r="AJ114">
        <f t="shared" si="192"/>
        <v>80</v>
      </c>
      <c r="AK114">
        <f t="shared" si="193"/>
        <v>40</v>
      </c>
      <c r="AL114">
        <f t="shared" si="194"/>
        <v>80</v>
      </c>
      <c r="AM114">
        <f t="shared" si="195"/>
        <v>70</v>
      </c>
      <c r="AN114">
        <f t="shared" ref="AN114:AQ114" si="253">AN66</f>
        <v>0.44444444444444442</v>
      </c>
      <c r="AO114">
        <f t="shared" si="253"/>
        <v>0.44444444444444442</v>
      </c>
      <c r="AP114">
        <f t="shared" si="253"/>
        <v>15000</v>
      </c>
      <c r="AQ114">
        <f t="shared" si="253"/>
        <v>4500</v>
      </c>
      <c r="AR114">
        <f>AG114*K114/100/(1-U114)/(1-R114)*(1-(AP114*(1-AN114)/(AP114*(1-AN114)+VLOOKUP(A114,[1]怪物抗性与玩家穿透!$A$2:$I$74,8,0))))*(1-(AQ114*(1-AO114)/(VLOOKUP(A114,[1]怪物抗性与玩家穿透!$A$2:$I$74,9,0)+AQ114*(1-AO114))))</f>
        <v>43959.979252526289</v>
      </c>
      <c r="AS114">
        <f t="shared" si="198"/>
        <v>17485.765724817418</v>
      </c>
      <c r="AT114">
        <f t="shared" ref="AT114:AX114" si="254">AT66</f>
        <v>1819703.5181700764</v>
      </c>
      <c r="AU114">
        <f t="shared" si="254"/>
        <v>28762.981632000006</v>
      </c>
      <c r="AV114">
        <f t="shared" si="254"/>
        <v>1.22</v>
      </c>
      <c r="AW114">
        <f t="shared" si="254"/>
        <v>1.1100000000000001</v>
      </c>
      <c r="AX114">
        <f t="shared" si="254"/>
        <v>1.18</v>
      </c>
      <c r="AY114">
        <f t="shared" si="208"/>
        <v>140055.9716512505</v>
      </c>
      <c r="AZ114">
        <f t="shared" si="200"/>
        <v>7416562.380405359</v>
      </c>
      <c r="BA114">
        <f t="shared" si="201"/>
        <v>27312986.001931965</v>
      </c>
      <c r="BB114">
        <v>40</v>
      </c>
    </row>
    <row r="115" spans="1:54">
      <c r="A115" s="4">
        <v>80</v>
      </c>
      <c r="B115" s="19">
        <f t="shared" si="177"/>
        <v>19490</v>
      </c>
      <c r="C115" s="4">
        <v>600</v>
      </c>
      <c r="D115" s="6">
        <f t="shared" si="242"/>
        <v>20090</v>
      </c>
      <c r="E115" s="6">
        <f t="shared" si="179"/>
        <v>11400.75</v>
      </c>
      <c r="F115" s="6">
        <f t="shared" si="163"/>
        <v>25210.329999999998</v>
      </c>
      <c r="G115" s="6">
        <f t="shared" si="243"/>
        <v>0.56495850937166714</v>
      </c>
      <c r="H115" s="4">
        <f t="shared" si="181"/>
        <v>29234.25</v>
      </c>
      <c r="I115" s="6">
        <f t="shared" si="244"/>
        <v>18081</v>
      </c>
      <c r="J115" s="6">
        <v>3.8</v>
      </c>
      <c r="K115" s="7">
        <f t="shared" si="182"/>
        <v>129011.13747616319</v>
      </c>
      <c r="L115" s="6">
        <f t="shared" si="245"/>
        <v>4018</v>
      </c>
      <c r="M115" s="4">
        <f t="shared" si="183"/>
        <v>54180</v>
      </c>
      <c r="N115" s="4">
        <f t="shared" si="184"/>
        <v>146258</v>
      </c>
      <c r="O115" s="4">
        <f t="shared" si="246"/>
        <v>0.3704412750071791</v>
      </c>
      <c r="P115" s="17">
        <f t="shared" si="185"/>
        <v>5146</v>
      </c>
      <c r="Q115" s="6">
        <f t="shared" si="167"/>
        <v>16673.04</v>
      </c>
      <c r="R115" s="4">
        <f t="shared" si="168"/>
        <v>0.46105194696021135</v>
      </c>
      <c r="S115" s="4">
        <f t="shared" si="186"/>
        <v>7785.085</v>
      </c>
      <c r="T115" s="4">
        <f t="shared" si="169"/>
        <v>5621</v>
      </c>
      <c r="U115" s="4">
        <f t="shared" si="247"/>
        <v>0.6804242853922291</v>
      </c>
      <c r="V115" s="4">
        <f t="shared" si="248"/>
        <v>0.6220213640098603</v>
      </c>
      <c r="W115" s="4">
        <f>(装备属性设计!Z19*战斗力成长!AB19+D19*C$123*0.2)*(1+AJ19/100)</f>
        <v>1866.4524444444448</v>
      </c>
      <c r="X115" s="4">
        <f t="shared" si="249"/>
        <v>0.27696477454491281</v>
      </c>
      <c r="Y115" s="10">
        <f t="shared" si="250"/>
        <v>1174463.4292496885</v>
      </c>
      <c r="Z115" s="23">
        <f t="shared" si="251"/>
        <v>9.1035816924464275</v>
      </c>
      <c r="AA115" s="20">
        <f t="shared" si="189"/>
        <v>2.25</v>
      </c>
      <c r="AB115" s="20">
        <f t="shared" si="190"/>
        <v>1.8333333333333335</v>
      </c>
      <c r="AC115" s="4">
        <f t="shared" ref="AC115:AI115" si="255">AC67</f>
        <v>3898</v>
      </c>
      <c r="AD115" s="4">
        <f t="shared" si="255"/>
        <v>9.0909090909090912E-2</v>
      </c>
      <c r="AE115" s="4">
        <f t="shared" si="255"/>
        <v>11</v>
      </c>
      <c r="AF115" s="4">
        <f t="shared" si="255"/>
        <v>55</v>
      </c>
      <c r="AG115" s="4">
        <f t="shared" si="255"/>
        <v>22</v>
      </c>
      <c r="AH115" s="4">
        <f t="shared" si="255"/>
        <v>44</v>
      </c>
      <c r="AI115" s="4">
        <f t="shared" si="255"/>
        <v>38.5</v>
      </c>
      <c r="AJ115">
        <f t="shared" si="192"/>
        <v>88</v>
      </c>
      <c r="AK115">
        <f t="shared" si="193"/>
        <v>44</v>
      </c>
      <c r="AL115">
        <f t="shared" si="194"/>
        <v>88</v>
      </c>
      <c r="AM115">
        <f t="shared" si="195"/>
        <v>77</v>
      </c>
      <c r="AN115">
        <f t="shared" ref="AN115:AQ115" si="256">AN67</f>
        <v>0.46808510638297873</v>
      </c>
      <c r="AO115">
        <f t="shared" si="256"/>
        <v>0.46808510638297873</v>
      </c>
      <c r="AP115">
        <f t="shared" si="256"/>
        <v>17500</v>
      </c>
      <c r="AQ115">
        <f t="shared" si="256"/>
        <v>5250</v>
      </c>
      <c r="AR115">
        <f>AG115*K115/100/(1-U115)/(1-R115)*(1-(AP115*(1-AN115)/(AP115*(1-AN115)+VLOOKUP(A115,[1]怪物抗性与玩家穿透!$A$2:$I$74,8,0))))*(1-(AQ115*(1-AO115)/(VLOOKUP(A115,[1]怪物抗性与玩家穿透!$A$2:$I$74,9,0)+AQ115*(1-AO115))))</f>
        <v>69309.450955210574</v>
      </c>
      <c r="AS115">
        <f t="shared" si="198"/>
        <v>25838.195443493147</v>
      </c>
      <c r="AT115">
        <f t="shared" ref="AT115:AX115" si="257">AT67</f>
        <v>2555862.4790303754</v>
      </c>
      <c r="AU115">
        <f t="shared" si="257"/>
        <v>40436.062992000006</v>
      </c>
      <c r="AV115">
        <f t="shared" si="257"/>
        <v>1.24</v>
      </c>
      <c r="AW115">
        <f t="shared" si="257"/>
        <v>1.1200000000000001</v>
      </c>
      <c r="AX115">
        <f t="shared" si="257"/>
        <v>1.19</v>
      </c>
      <c r="AY115">
        <f t="shared" si="208"/>
        <v>180977.44260211888</v>
      </c>
      <c r="AZ115">
        <f t="shared" si="200"/>
        <v>11401263.325347004</v>
      </c>
      <c r="BA115">
        <f t="shared" si="201"/>
        <v>40732597.493103236</v>
      </c>
      <c r="BB115">
        <v>42</v>
      </c>
    </row>
    <row r="116" spans="1:54">
      <c r="A116" s="4">
        <v>85</v>
      </c>
      <c r="B116" s="19">
        <f t="shared" si="177"/>
        <v>21980</v>
      </c>
      <c r="C116" s="4">
        <v>635</v>
      </c>
      <c r="D116" s="6">
        <f t="shared" si="242"/>
        <v>22615</v>
      </c>
      <c r="E116" s="6">
        <f t="shared" si="179"/>
        <v>13188</v>
      </c>
      <c r="F116" s="6">
        <f t="shared" si="163"/>
        <v>30281.02</v>
      </c>
      <c r="G116" s="6">
        <f t="shared" si="243"/>
        <v>0.58032941208937994</v>
      </c>
      <c r="H116" s="4">
        <f t="shared" si="181"/>
        <v>35167.199999999997</v>
      </c>
      <c r="I116" s="6">
        <f t="shared" si="244"/>
        <v>20353.5</v>
      </c>
      <c r="J116" s="6">
        <v>4</v>
      </c>
      <c r="K116" s="7">
        <f t="shared" si="182"/>
        <v>162358.50424233015</v>
      </c>
      <c r="L116" s="6">
        <f t="shared" si="245"/>
        <v>4523</v>
      </c>
      <c r="M116" s="4">
        <f t="shared" si="183"/>
        <v>64896</v>
      </c>
      <c r="N116" s="4">
        <f t="shared" si="184"/>
        <v>176202</v>
      </c>
      <c r="O116" s="4">
        <f t="shared" si="246"/>
        <v>0.36830455953961933</v>
      </c>
      <c r="P116" s="17">
        <f t="shared" si="185"/>
        <v>5978</v>
      </c>
      <c r="Q116" s="6">
        <f t="shared" si="167"/>
        <v>21233.856</v>
      </c>
      <c r="R116" s="4">
        <f t="shared" si="168"/>
        <v>0.49136684307921979</v>
      </c>
      <c r="S116" s="4">
        <f t="shared" si="186"/>
        <v>10080.863999999998</v>
      </c>
      <c r="T116" s="4">
        <f t="shared" si="169"/>
        <v>7099.1999999999989</v>
      </c>
      <c r="U116" s="4">
        <f t="shared" si="247"/>
        <v>0.69174488313319904</v>
      </c>
      <c r="V116" s="4">
        <f t="shared" si="248"/>
        <v>0.62830805828129654</v>
      </c>
      <c r="W116" s="4">
        <f>(装备属性设计!Z20*战斗力成长!AB20+D20*C$123*0.2)*(1+AJ20/100)</f>
        <v>2283.9079999999999</v>
      </c>
      <c r="X116" s="4">
        <f t="shared" si="249"/>
        <v>0.29360264962640004</v>
      </c>
      <c r="Y116" s="10">
        <f t="shared" si="250"/>
        <v>1590914.3895723277</v>
      </c>
      <c r="Z116" s="23">
        <f t="shared" si="251"/>
        <v>9.7987746129872519</v>
      </c>
      <c r="AA116" s="20">
        <f t="shared" si="189"/>
        <v>2.4</v>
      </c>
      <c r="AB116" s="20">
        <f t="shared" si="190"/>
        <v>1.9333333333333331</v>
      </c>
      <c r="AC116" s="4">
        <f t="shared" ref="AC116:AI116" si="258">AC68</f>
        <v>4396</v>
      </c>
      <c r="AD116" s="4">
        <f t="shared" si="258"/>
        <v>9.0909090909090912E-2</v>
      </c>
      <c r="AE116" s="4">
        <f t="shared" si="258"/>
        <v>12</v>
      </c>
      <c r="AF116" s="4">
        <f t="shared" si="258"/>
        <v>60</v>
      </c>
      <c r="AG116" s="4">
        <f t="shared" si="258"/>
        <v>24</v>
      </c>
      <c r="AH116" s="4">
        <f t="shared" si="258"/>
        <v>48</v>
      </c>
      <c r="AI116" s="4">
        <f t="shared" si="258"/>
        <v>42</v>
      </c>
      <c r="AJ116">
        <f t="shared" si="192"/>
        <v>96</v>
      </c>
      <c r="AK116">
        <f t="shared" si="193"/>
        <v>48</v>
      </c>
      <c r="AL116">
        <f t="shared" si="194"/>
        <v>96</v>
      </c>
      <c r="AM116">
        <f t="shared" si="195"/>
        <v>84</v>
      </c>
      <c r="AN116">
        <f t="shared" ref="AN116:AQ116" si="259">AN68</f>
        <v>0.48979591836734693</v>
      </c>
      <c r="AO116">
        <f t="shared" si="259"/>
        <v>0.48979591836734693</v>
      </c>
      <c r="AP116">
        <f t="shared" si="259"/>
        <v>20000</v>
      </c>
      <c r="AQ116">
        <f t="shared" si="259"/>
        <v>6000</v>
      </c>
      <c r="AR116">
        <f>AG116*K116/100/(1-U116)/(1-R116)*(1-(AP116*(1-AN116)/(AP116*(1-AN116)+VLOOKUP(A116,[1]怪物抗性与玩家穿透!$A$2:$I$74,8,0))))*(1-(AQ116*(1-AO116)/(VLOOKUP(A116,[1]怪物抗性与玩家穿透!$A$2:$I$74,9,0)+AQ116*(1-AO116))))</f>
        <v>108913.56893916531</v>
      </c>
      <c r="AS116">
        <f t="shared" si="198"/>
        <v>38181.945349735863</v>
      </c>
      <c r="AT116">
        <f t="shared" ref="AT116:AX116" si="260">AT68</f>
        <v>3375293.019886577</v>
      </c>
      <c r="AU116">
        <f t="shared" si="260"/>
        <v>55421.923085999995</v>
      </c>
      <c r="AV116">
        <f t="shared" si="260"/>
        <v>1.26</v>
      </c>
      <c r="AW116">
        <f t="shared" si="260"/>
        <v>1.1299999999999999</v>
      </c>
      <c r="AX116">
        <f t="shared" si="260"/>
        <v>1.2</v>
      </c>
      <c r="AY116">
        <f t="shared" si="208"/>
        <v>227256.9105719325</v>
      </c>
      <c r="AZ116">
        <f t="shared" si="200"/>
        <v>17294875.977713883</v>
      </c>
      <c r="BA116">
        <f t="shared" si="201"/>
        <v>58770075.558185838</v>
      </c>
      <c r="BB116">
        <v>44</v>
      </c>
    </row>
    <row r="117" spans="1:54">
      <c r="A117" s="4">
        <v>90</v>
      </c>
      <c r="B117" s="19">
        <f t="shared" si="177"/>
        <v>24620</v>
      </c>
      <c r="C117" s="4">
        <v>670</v>
      </c>
      <c r="D117" s="6">
        <f t="shared" si="242"/>
        <v>25290</v>
      </c>
      <c r="E117" s="6">
        <f t="shared" si="179"/>
        <v>15695.249999999998</v>
      </c>
      <c r="F117" s="6">
        <f t="shared" si="163"/>
        <v>37177.47</v>
      </c>
      <c r="G117" s="6">
        <f t="shared" si="243"/>
        <v>0.60244995703322302</v>
      </c>
      <c r="H117" s="4">
        <f t="shared" si="181"/>
        <v>41853.149999999994</v>
      </c>
      <c r="I117" s="6">
        <f t="shared" si="244"/>
        <v>22761</v>
      </c>
      <c r="J117" s="6">
        <v>4</v>
      </c>
      <c r="K117" s="7">
        <f t="shared" si="182"/>
        <v>197909.52074185316</v>
      </c>
      <c r="L117" s="6">
        <f t="shared" si="245"/>
        <v>5058</v>
      </c>
      <c r="M117" s="4">
        <f t="shared" si="183"/>
        <v>75990</v>
      </c>
      <c r="N117" s="4">
        <f t="shared" si="184"/>
        <v>208841</v>
      </c>
      <c r="O117" s="4">
        <f t="shared" si="246"/>
        <v>0.36386533295665124</v>
      </c>
      <c r="P117" s="17">
        <f t="shared" si="185"/>
        <v>6894</v>
      </c>
      <c r="Q117" s="6">
        <f t="shared" si="167"/>
        <v>26721.143999999997</v>
      </c>
      <c r="R117" s="4">
        <f t="shared" si="168"/>
        <v>0.52046257481134417</v>
      </c>
      <c r="S117" s="4">
        <f t="shared" si="186"/>
        <v>13100.238000000001</v>
      </c>
      <c r="T117" s="4">
        <f t="shared" si="169"/>
        <v>9003.6</v>
      </c>
      <c r="U117" s="4">
        <f t="shared" si="247"/>
        <v>0.70151582383562683</v>
      </c>
      <c r="V117" s="4">
        <f t="shared" si="248"/>
        <v>0.63291306939875003</v>
      </c>
      <c r="W117" s="4">
        <f>(装备属性设计!Z21*战斗力成长!AB21+D21*C$123*0.2)*(1+AJ21/100)</f>
        <v>2638.972888888889</v>
      </c>
      <c r="X117" s="4">
        <f t="shared" si="249"/>
        <v>0.30008881335342857</v>
      </c>
      <c r="Y117" s="10">
        <f t="shared" si="250"/>
        <v>2084630.1263896551</v>
      </c>
      <c r="Z117" s="23">
        <f t="shared" si="251"/>
        <v>10.533248317592461</v>
      </c>
      <c r="AA117" s="20">
        <f t="shared" si="189"/>
        <v>2.5499999999999998</v>
      </c>
      <c r="AB117" s="20">
        <f t="shared" si="190"/>
        <v>2.0333333333333332</v>
      </c>
      <c r="AC117" s="4">
        <f t="shared" ref="AC117:AI117" si="261">AC69</f>
        <v>4924</v>
      </c>
      <c r="AD117" s="4">
        <f t="shared" si="261"/>
        <v>9.0909090909090912E-2</v>
      </c>
      <c r="AE117" s="4">
        <f t="shared" si="261"/>
        <v>13</v>
      </c>
      <c r="AF117" s="4">
        <f t="shared" si="261"/>
        <v>65</v>
      </c>
      <c r="AG117" s="4">
        <f t="shared" si="261"/>
        <v>26</v>
      </c>
      <c r="AH117" s="4">
        <f t="shared" si="261"/>
        <v>52</v>
      </c>
      <c r="AI117" s="4">
        <f t="shared" si="261"/>
        <v>45.5</v>
      </c>
      <c r="AJ117">
        <f t="shared" si="192"/>
        <v>104</v>
      </c>
      <c r="AK117">
        <f t="shared" si="193"/>
        <v>52</v>
      </c>
      <c r="AL117">
        <f t="shared" si="194"/>
        <v>104</v>
      </c>
      <c r="AM117">
        <f t="shared" si="195"/>
        <v>91</v>
      </c>
      <c r="AN117">
        <f t="shared" ref="AN117:AQ117" si="262">AN69</f>
        <v>0.50980392156862742</v>
      </c>
      <c r="AO117">
        <f t="shared" si="262"/>
        <v>0.50980392156862742</v>
      </c>
      <c r="AP117">
        <f t="shared" si="262"/>
        <v>27000</v>
      </c>
      <c r="AQ117">
        <f t="shared" si="262"/>
        <v>8000</v>
      </c>
      <c r="AR117">
        <f>AG117*K117/100/(1-U117)/(1-R117)*(1-(AP117*(1-AN117)/(AP117*(1-AN117)+VLOOKUP(A117,[1]怪物抗性与玩家穿透!$A$2:$I$74,8,0))))*(1-(AQ117*(1-AO117)/(VLOOKUP(A117,[1]怪物抗性与玩家穿透!$A$2:$I$74,9,0)+AQ117*(1-AO117))))</f>
        <v>146897.4047386673</v>
      </c>
      <c r="AS117">
        <f t="shared" si="198"/>
        <v>54200.383286131029</v>
      </c>
      <c r="AT117">
        <f t="shared" ref="AT117:AX117" si="263">AT69</f>
        <v>4250447.3246527277</v>
      </c>
      <c r="AU117">
        <f t="shared" si="263"/>
        <v>72789.696225000007</v>
      </c>
      <c r="AV117">
        <f t="shared" si="263"/>
        <v>1.28</v>
      </c>
      <c r="AW117">
        <f t="shared" si="263"/>
        <v>1.1399999999999999</v>
      </c>
      <c r="AX117">
        <f t="shared" si="263"/>
        <v>1.21</v>
      </c>
      <c r="AY117">
        <f t="shared" si="208"/>
        <v>278181.61437115038</v>
      </c>
      <c r="AZ117">
        <f t="shared" si="200"/>
        <v>24138939.644443594</v>
      </c>
      <c r="BA117">
        <f t="shared" si="201"/>
        <v>80396008.24987036</v>
      </c>
      <c r="BB117">
        <v>46</v>
      </c>
    </row>
    <row r="118" spans="1:54">
      <c r="A118" s="4">
        <v>95</v>
      </c>
      <c r="B118" s="19">
        <f t="shared" si="177"/>
        <v>27410</v>
      </c>
      <c r="C118" s="4">
        <v>705</v>
      </c>
      <c r="D118" s="6">
        <f t="shared" si="242"/>
        <v>28115</v>
      </c>
      <c r="E118" s="6">
        <f t="shared" si="179"/>
        <v>18503.100000000002</v>
      </c>
      <c r="F118" s="6">
        <f t="shared" si="163"/>
        <v>45186.952000000005</v>
      </c>
      <c r="G118" s="6">
        <f t="shared" si="243"/>
        <v>0.62322573498152234</v>
      </c>
      <c r="H118" s="4">
        <f t="shared" si="181"/>
        <v>49337.100000000006</v>
      </c>
      <c r="I118" s="6">
        <f t="shared" si="244"/>
        <v>25303.5</v>
      </c>
      <c r="J118" s="6">
        <v>4</v>
      </c>
      <c r="K118" s="7">
        <f t="shared" si="182"/>
        <v>239244.51577583081</v>
      </c>
      <c r="L118" s="6">
        <f t="shared" si="245"/>
        <v>5623</v>
      </c>
      <c r="M118" s="4">
        <f t="shared" si="183"/>
        <v>88452</v>
      </c>
      <c r="N118" s="4">
        <f t="shared" si="184"/>
        <v>245959</v>
      </c>
      <c r="O118" s="4">
        <f t="shared" si="246"/>
        <v>0.3596209124284942</v>
      </c>
      <c r="P118" s="17">
        <f t="shared" si="185"/>
        <v>7674</v>
      </c>
      <c r="Q118" s="6">
        <f t="shared" si="167"/>
        <v>32322.888000000006</v>
      </c>
      <c r="R118" s="4">
        <f t="shared" si="168"/>
        <v>0.54112381105698426</v>
      </c>
      <c r="S118" s="4">
        <f t="shared" si="186"/>
        <v>16993.152000000006</v>
      </c>
      <c r="T118" s="4">
        <f t="shared" si="169"/>
        <v>11404.800000000003</v>
      </c>
      <c r="U118" s="4">
        <f t="shared" si="247"/>
        <v>0.71099979996160079</v>
      </c>
      <c r="V118" s="4">
        <f t="shared" si="248"/>
        <v>0.6373187720199317</v>
      </c>
      <c r="W118" s="4">
        <f>(装备属性设计!Z22*战斗力成长!AB22+D22*C$123*0.2)*(1+AJ22/100)</f>
        <v>3075.030666666667</v>
      </c>
      <c r="X118" s="4">
        <f t="shared" si="249"/>
        <v>0.30974778823817617</v>
      </c>
      <c r="Y118" s="10">
        <f t="shared" si="250"/>
        <v>2686960.2743810713</v>
      </c>
      <c r="Z118" s="23">
        <f t="shared" si="251"/>
        <v>11.2310213910973</v>
      </c>
      <c r="AA118" s="20">
        <f t="shared" si="189"/>
        <v>2.7</v>
      </c>
      <c r="AB118" s="20">
        <f t="shared" si="190"/>
        <v>2.1333333333333337</v>
      </c>
      <c r="AC118" s="4">
        <f t="shared" ref="AC118:AI118" si="264">AC70</f>
        <v>5482</v>
      </c>
      <c r="AD118" s="4">
        <f t="shared" si="264"/>
        <v>9.0909090909090912E-2</v>
      </c>
      <c r="AE118" s="4">
        <f t="shared" si="264"/>
        <v>14</v>
      </c>
      <c r="AF118" s="4">
        <f t="shared" si="264"/>
        <v>70</v>
      </c>
      <c r="AG118" s="4">
        <f t="shared" si="264"/>
        <v>28</v>
      </c>
      <c r="AH118" s="4">
        <f t="shared" si="264"/>
        <v>56</v>
      </c>
      <c r="AI118" s="4">
        <f t="shared" si="264"/>
        <v>49</v>
      </c>
      <c r="AJ118">
        <f t="shared" si="192"/>
        <v>112</v>
      </c>
      <c r="AK118">
        <f t="shared" si="193"/>
        <v>56</v>
      </c>
      <c r="AL118">
        <f t="shared" si="194"/>
        <v>112</v>
      </c>
      <c r="AM118">
        <f t="shared" si="195"/>
        <v>98</v>
      </c>
      <c r="AN118">
        <f t="shared" ref="AN118:AQ118" si="265">AN70</f>
        <v>0.52830188679245282</v>
      </c>
      <c r="AO118">
        <f t="shared" si="265"/>
        <v>0.52830188679245282</v>
      </c>
      <c r="AP118">
        <f t="shared" si="265"/>
        <v>34000</v>
      </c>
      <c r="AQ118">
        <f t="shared" si="265"/>
        <v>10000</v>
      </c>
      <c r="AR118">
        <f>AG118*K118/100/(1-U118)/(1-R118)*(1-(AP118*(1-AN118)/(AP118*(1-AN118)+VLOOKUP(A118,[1]怪物抗性与玩家穿透!$A$2:$I$74,8,0))))*(1-(AQ118*(1-AO118)/(VLOOKUP(A118,[1]怪物抗性与玩家穿透!$A$2:$I$74,9,0)+AQ118*(1-AO118))))</f>
        <v>200691.10309690272</v>
      </c>
      <c r="AS118">
        <f t="shared" si="198"/>
        <v>75234.88768267</v>
      </c>
      <c r="AT118">
        <f t="shared" ref="AT118:AX118" si="266">AT70</f>
        <v>5148922.2826135606</v>
      </c>
      <c r="AU118">
        <f t="shared" si="266"/>
        <v>93540.932100000005</v>
      </c>
      <c r="AV118">
        <f t="shared" si="266"/>
        <v>1.3</v>
      </c>
      <c r="AW118">
        <f t="shared" si="266"/>
        <v>1.1499999999999999</v>
      </c>
      <c r="AX118">
        <f t="shared" si="266"/>
        <v>1.22</v>
      </c>
      <c r="AY118">
        <f t="shared" si="208"/>
        <v>334629.45151922753</v>
      </c>
      <c r="AZ118">
        <f t="shared" si="200"/>
        <v>33433403.561460804</v>
      </c>
      <c r="BA118">
        <f t="shared" si="201"/>
        <v>107801389.43289924</v>
      </c>
      <c r="BB118">
        <v>48</v>
      </c>
    </row>
    <row r="119" spans="1:54">
      <c r="A119" s="4">
        <v>100</v>
      </c>
      <c r="B119" s="19">
        <f t="shared" si="177"/>
        <v>30350</v>
      </c>
      <c r="C119" s="4">
        <v>740</v>
      </c>
      <c r="D119" s="6">
        <f t="shared" si="242"/>
        <v>31090</v>
      </c>
      <c r="E119" s="6">
        <f t="shared" si="179"/>
        <v>21625.8</v>
      </c>
      <c r="F119" s="6">
        <f t="shared" si="163"/>
        <v>54416.560000000005</v>
      </c>
      <c r="G119" s="6">
        <f t="shared" si="243"/>
        <v>0.64269331268522012</v>
      </c>
      <c r="H119" s="4">
        <f t="shared" si="181"/>
        <v>57664.05</v>
      </c>
      <c r="I119" s="6">
        <f t="shared" si="244"/>
        <v>27981</v>
      </c>
      <c r="J119" s="6">
        <v>4</v>
      </c>
      <c r="K119" s="7">
        <f t="shared" si="182"/>
        <v>287012.50133139518</v>
      </c>
      <c r="L119" s="6">
        <f t="shared" si="245"/>
        <v>6218</v>
      </c>
      <c r="M119" s="4">
        <f t="shared" si="183"/>
        <v>102942</v>
      </c>
      <c r="N119" s="4">
        <f t="shared" si="184"/>
        <v>288964</v>
      </c>
      <c r="O119" s="4">
        <f t="shared" si="246"/>
        <v>0.35624506858985894</v>
      </c>
      <c r="P119" s="17">
        <f t="shared" si="185"/>
        <v>8498</v>
      </c>
      <c r="Q119" s="6">
        <f t="shared" si="167"/>
        <v>38750.879999999997</v>
      </c>
      <c r="R119" s="4">
        <f t="shared" si="168"/>
        <v>0.56078706957132807</v>
      </c>
      <c r="S119" s="4">
        <f t="shared" si="186"/>
        <v>22001.683333333334</v>
      </c>
      <c r="T119" s="4">
        <f t="shared" si="169"/>
        <v>14427.333333333334</v>
      </c>
      <c r="U119" s="4">
        <f t="shared" si="247"/>
        <v>0.72134991125808601</v>
      </c>
      <c r="V119" s="4">
        <f t="shared" si="248"/>
        <v>0.64288782259746935</v>
      </c>
      <c r="W119" s="4">
        <f>(装备属性设计!Z23*战斗力成长!AB23+D23*C$123*0.2)*(1+AJ23/100)</f>
        <v>3593.8466666666664</v>
      </c>
      <c r="X119" s="4">
        <f t="shared" si="249"/>
        <v>0.32141447482175667</v>
      </c>
      <c r="Y119" s="10">
        <f t="shared" si="250"/>
        <v>3479403.9000463951</v>
      </c>
      <c r="Z119" s="23">
        <f t="shared" si="251"/>
        <v>12.122830482665798</v>
      </c>
      <c r="AA119" s="20">
        <f t="shared" si="189"/>
        <v>2.85</v>
      </c>
      <c r="AB119" s="20">
        <f t="shared" si="190"/>
        <v>2.2333333333333334</v>
      </c>
      <c r="AC119" s="4">
        <f t="shared" ref="AC119:AI119" si="267">AC71</f>
        <v>6070</v>
      </c>
      <c r="AD119" s="4">
        <f t="shared" si="267"/>
        <v>9.0909090909090912E-2</v>
      </c>
      <c r="AE119" s="4">
        <f t="shared" si="267"/>
        <v>15</v>
      </c>
      <c r="AF119" s="4">
        <f t="shared" si="267"/>
        <v>75</v>
      </c>
      <c r="AG119" s="4">
        <f t="shared" si="267"/>
        <v>30</v>
      </c>
      <c r="AH119" s="4">
        <f t="shared" si="267"/>
        <v>60</v>
      </c>
      <c r="AI119" s="4">
        <f t="shared" si="267"/>
        <v>52.5</v>
      </c>
      <c r="AJ119">
        <f t="shared" si="192"/>
        <v>120</v>
      </c>
      <c r="AK119">
        <f t="shared" si="193"/>
        <v>60</v>
      </c>
      <c r="AL119">
        <f t="shared" si="194"/>
        <v>120</v>
      </c>
      <c r="AM119">
        <f t="shared" si="195"/>
        <v>105</v>
      </c>
      <c r="AN119">
        <f t="shared" ref="AN119:AQ119" si="268">AN71</f>
        <v>0.54545454545454541</v>
      </c>
      <c r="AO119">
        <f t="shared" si="268"/>
        <v>0.54545454545454541</v>
      </c>
      <c r="AP119">
        <f t="shared" si="268"/>
        <v>40000</v>
      </c>
      <c r="AQ119">
        <f t="shared" si="268"/>
        <v>12000</v>
      </c>
      <c r="AR119">
        <f>AG119*K119/100/(1-U119)/(1-R119)*(1-(AP119*(1-AN119)/(AP119*(1-AN119)+VLOOKUP(A119,[1]怪物抗性与玩家穿透!$A$2:$I$74,8,0))))*(1-(AQ119*(1-AO119)/(VLOOKUP(A119,[1]怪物抗性与玩家穿透!$A$2:$I$74,9,0)+AQ119*(1-AO119))))</f>
        <v>281279.53514031548</v>
      </c>
      <c r="AS119">
        <f t="shared" si="198"/>
        <v>104382.11700139186</v>
      </c>
      <c r="AT119">
        <f t="shared" ref="AT119:AX119" si="269">AT71</f>
        <v>6706275.3979708906</v>
      </c>
      <c r="AU119">
        <f t="shared" si="269"/>
        <v>118880.46021599998</v>
      </c>
      <c r="AV119">
        <f t="shared" si="269"/>
        <v>1.32</v>
      </c>
      <c r="AW119">
        <f t="shared" si="269"/>
        <v>1.1599999999999999</v>
      </c>
      <c r="AX119">
        <f t="shared" si="269"/>
        <v>1.23</v>
      </c>
      <c r="AY119">
        <f t="shared" si="208"/>
        <v>403417.5580772977</v>
      </c>
      <c r="AZ119">
        <f t="shared" si="200"/>
        <v>47845481.829124674</v>
      </c>
      <c r="BA119">
        <f t="shared" si="201"/>
        <v>146454180.73896226</v>
      </c>
      <c r="BB119">
        <v>50</v>
      </c>
    </row>
    <row r="120" spans="1:54">
      <c r="H120" s="37"/>
      <c r="I120" s="37"/>
      <c r="J120" s="37"/>
    </row>
    <row r="121" spans="1:54" ht="14.25" thickBot="1">
      <c r="B121" s="10" t="s">
        <v>194</v>
      </c>
      <c r="C121" s="10" t="s">
        <v>183</v>
      </c>
      <c r="D121" s="30" t="s">
        <v>187</v>
      </c>
      <c r="E121" s="31" t="s">
        <v>188</v>
      </c>
      <c r="F121" s="31" t="s">
        <v>190</v>
      </c>
      <c r="G121" s="38" t="s">
        <v>250</v>
      </c>
      <c r="H121" s="37" t="str">
        <f>G98</f>
        <v>暴击率</v>
      </c>
      <c r="I121" s="37" t="s">
        <v>247</v>
      </c>
      <c r="J121" s="37"/>
      <c r="R121" s="4" t="s">
        <v>252</v>
      </c>
      <c r="S121" s="4" t="s">
        <v>247</v>
      </c>
      <c r="T121" s="37"/>
      <c r="U121" s="37"/>
      <c r="V121" s="38"/>
      <c r="W121" s="4" t="s">
        <v>249</v>
      </c>
      <c r="X121" s="4" t="s">
        <v>247</v>
      </c>
      <c r="Z121" s="4" t="s">
        <v>254</v>
      </c>
      <c r="AO121">
        <v>80</v>
      </c>
      <c r="AP121">
        <v>19415</v>
      </c>
      <c r="AQ121">
        <v>4600</v>
      </c>
    </row>
    <row r="122" spans="1:54" ht="15" thickTop="1" thickBot="1">
      <c r="B122" s="21" t="s">
        <v>179</v>
      </c>
      <c r="C122" s="21">
        <v>0.1</v>
      </c>
      <c r="D122" s="32">
        <v>0</v>
      </c>
      <c r="E122" s="32">
        <v>0</v>
      </c>
      <c r="F122" s="32">
        <v>30</v>
      </c>
      <c r="G122" s="39">
        <v>10</v>
      </c>
      <c r="H122" s="37">
        <f>G99</f>
        <v>0</v>
      </c>
      <c r="I122" s="37">
        <f t="shared" ref="I122:I136" si="270">H122-G99</f>
        <v>0</v>
      </c>
      <c r="J122" s="37"/>
      <c r="R122" s="4">
        <v>0</v>
      </c>
      <c r="S122" s="4">
        <v>0</v>
      </c>
      <c r="T122" s="37"/>
      <c r="U122" s="37"/>
      <c r="V122" s="39"/>
      <c r="W122" s="4">
        <f t="shared" ref="W122:W136" si="271">W99/((3*($A99-G$26)*($A99-G$26)+3*($A99-G$26)+50)/4+W99)</f>
        <v>7.0709893795416437E-2</v>
      </c>
      <c r="X122" s="4">
        <v>0</v>
      </c>
      <c r="Z122" s="4">
        <f t="shared" ref="Z122:Z136" si="272">X122+V122+S122+I122</f>
        <v>0</v>
      </c>
      <c r="AO122">
        <v>85</v>
      </c>
      <c r="AP122">
        <v>21900</v>
      </c>
      <c r="AQ122">
        <v>5500</v>
      </c>
    </row>
    <row r="123" spans="1:54" ht="14.25" thickTop="1">
      <c r="B123" s="21" t="s">
        <v>180</v>
      </c>
      <c r="C123" s="21">
        <v>0.1</v>
      </c>
      <c r="D123" s="32">
        <v>0</v>
      </c>
      <c r="E123" s="32">
        <v>0</v>
      </c>
      <c r="F123" s="32">
        <v>110</v>
      </c>
      <c r="G123"/>
      <c r="H123" s="37">
        <f t="shared" ref="H123:H136" si="273">F100/(($A100-G$122)*($A100-G$122)*3+2*($A100-G$122)+53+F100)</f>
        <v>0.27894897647418271</v>
      </c>
      <c r="I123" s="37">
        <f t="shared" si="270"/>
        <v>3.0378325779927301E-2</v>
      </c>
      <c r="J123" s="37"/>
      <c r="R123" s="4">
        <f t="shared" ref="R123:R136" si="274">Q100/((A100-G$26)*(A100-G$26)*3+(A100-G$26)*3+50+Q100)</f>
        <v>0.14662529092319629</v>
      </c>
      <c r="S123" s="4">
        <f t="shared" ref="S123:S136" si="275">R123-R100</f>
        <v>2.7682559645663241E-2</v>
      </c>
      <c r="T123" s="37"/>
      <c r="U123" s="37"/>
      <c r="W123" s="4">
        <f t="shared" si="271"/>
        <v>0.21203438395415475</v>
      </c>
      <c r="X123" s="4">
        <f t="shared" ref="X123:X136" si="276">W123-X100</f>
        <v>3.7506082067362279E-2</v>
      </c>
      <c r="Z123" s="4">
        <f t="shared" si="272"/>
        <v>9.556696749295282E-2</v>
      </c>
      <c r="AO123">
        <v>90</v>
      </c>
      <c r="AP123">
        <v>24535</v>
      </c>
      <c r="AQ123">
        <v>6650</v>
      </c>
    </row>
    <row r="124" spans="1:54">
      <c r="B124" s="21" t="s">
        <v>181</v>
      </c>
      <c r="C124" s="21">
        <v>0.6</v>
      </c>
      <c r="D124" s="32">
        <v>0</v>
      </c>
      <c r="E124" s="32">
        <v>0</v>
      </c>
      <c r="F124" s="32">
        <v>240</v>
      </c>
      <c r="G124"/>
      <c r="H124" s="37">
        <f t="shared" si="273"/>
        <v>0.66242898270107775</v>
      </c>
      <c r="I124" s="37">
        <f t="shared" si="270"/>
        <v>0.44439307524537508</v>
      </c>
      <c r="J124" s="37"/>
      <c r="R124" s="4">
        <f t="shared" si="274"/>
        <v>0.47786131996658315</v>
      </c>
      <c r="S124" s="4">
        <f t="shared" si="275"/>
        <v>0.37038292838447118</v>
      </c>
      <c r="W124" s="4">
        <f t="shared" si="271"/>
        <v>0.64988609627665528</v>
      </c>
      <c r="X124" s="4">
        <f t="shared" si="276"/>
        <v>0.45359046842843975</v>
      </c>
      <c r="Z124" s="4">
        <f t="shared" si="272"/>
        <v>1.2683664720582861</v>
      </c>
      <c r="AO124">
        <v>95</v>
      </c>
      <c r="AP124">
        <v>27320</v>
      </c>
      <c r="AQ124">
        <v>8050</v>
      </c>
    </row>
    <row r="125" spans="1:54">
      <c r="B125" s="21" t="s">
        <v>182</v>
      </c>
      <c r="C125" s="21">
        <v>0.2</v>
      </c>
      <c r="D125" s="32">
        <v>0</v>
      </c>
      <c r="E125" s="32">
        <v>0</v>
      </c>
      <c r="F125" s="32">
        <v>420</v>
      </c>
      <c r="G125"/>
      <c r="H125" s="37">
        <f t="shared" si="273"/>
        <v>0.63120931276657144</v>
      </c>
      <c r="I125" s="37">
        <f t="shared" si="270"/>
        <v>0.39363442813617666</v>
      </c>
      <c r="J125" s="37"/>
      <c r="R125" s="4">
        <f t="shared" si="274"/>
        <v>0.41013887016313871</v>
      </c>
      <c r="S125" s="4">
        <f t="shared" si="275"/>
        <v>0.29790658401139269</v>
      </c>
      <c r="T125" s="37"/>
      <c r="U125" s="37"/>
      <c r="W125" s="4">
        <f t="shared" si="271"/>
        <v>0.57167332952598504</v>
      </c>
      <c r="X125" s="4">
        <f t="shared" si="276"/>
        <v>0.37639435956890355</v>
      </c>
      <c r="Z125" s="4">
        <f t="shared" si="272"/>
        <v>1.067935371716473</v>
      </c>
      <c r="AO125">
        <v>100</v>
      </c>
      <c r="AP125">
        <v>30255</v>
      </c>
      <c r="AQ125">
        <v>9700</v>
      </c>
    </row>
    <row r="126" spans="1:54">
      <c r="B126" s="4"/>
      <c r="C126" s="4"/>
      <c r="D126" s="32">
        <v>0</v>
      </c>
      <c r="E126" s="32">
        <v>0</v>
      </c>
      <c r="F126" s="32">
        <v>550</v>
      </c>
      <c r="G126"/>
      <c r="H126" s="37">
        <f t="shared" si="273"/>
        <v>0.5557154291812777</v>
      </c>
      <c r="I126" s="37">
        <f t="shared" si="270"/>
        <v>0.29056157183577158</v>
      </c>
      <c r="J126" s="37"/>
      <c r="R126" s="4">
        <f t="shared" si="274"/>
        <v>0.41028951680985254</v>
      </c>
      <c r="S126" s="4">
        <f t="shared" si="275"/>
        <v>0.24236098095074826</v>
      </c>
      <c r="T126" s="37"/>
      <c r="U126" s="37"/>
      <c r="W126" s="4">
        <f t="shared" si="271"/>
        <v>0.45446331951732438</v>
      </c>
      <c r="X126" s="4">
        <f t="shared" si="276"/>
        <v>0.25984311996347342</v>
      </c>
      <c r="Z126" s="4">
        <f t="shared" si="272"/>
        <v>0.79276567274999332</v>
      </c>
    </row>
    <row r="127" spans="1:54">
      <c r="B127" s="22" t="s">
        <v>189</v>
      </c>
      <c r="C127" s="4"/>
      <c r="D127" s="32">
        <v>0</v>
      </c>
      <c r="E127" s="32">
        <v>0</v>
      </c>
      <c r="F127" s="32">
        <v>690</v>
      </c>
      <c r="G127"/>
      <c r="H127" s="37">
        <f t="shared" si="273"/>
        <v>0.47587793902482867</v>
      </c>
      <c r="I127" s="37">
        <f t="shared" si="270"/>
        <v>0.21774997697507148</v>
      </c>
      <c r="J127" s="37"/>
      <c r="R127" s="4">
        <f t="shared" si="274"/>
        <v>0.35813221476062501</v>
      </c>
      <c r="S127" s="4">
        <f t="shared" si="275"/>
        <v>0.18130485381917891</v>
      </c>
      <c r="T127" s="37"/>
      <c r="U127" s="37"/>
      <c r="W127" s="4">
        <f t="shared" si="271"/>
        <v>0.39375934292960674</v>
      </c>
      <c r="X127" s="4">
        <f t="shared" si="276"/>
        <v>0.19372009152220915</v>
      </c>
      <c r="Z127" s="4">
        <f t="shared" si="272"/>
        <v>0.59277492231645956</v>
      </c>
    </row>
    <row r="128" spans="1:54">
      <c r="B128" s="22">
        <v>0.8</v>
      </c>
      <c r="D128" s="32">
        <v>0</v>
      </c>
      <c r="E128" s="32">
        <v>0</v>
      </c>
      <c r="F128" s="32">
        <v>880</v>
      </c>
      <c r="G128"/>
      <c r="H128" s="37">
        <f t="shared" si="273"/>
        <v>0.42983485054000325</v>
      </c>
      <c r="I128" s="37">
        <f t="shared" si="270"/>
        <v>0.17248935594213499</v>
      </c>
      <c r="J128" s="37"/>
      <c r="R128" s="4">
        <f t="shared" si="274"/>
        <v>0.32439123008243459</v>
      </c>
      <c r="S128" s="4">
        <f t="shared" si="275"/>
        <v>0.14307285287084112</v>
      </c>
      <c r="T128" s="37"/>
      <c r="U128" s="37"/>
      <c r="W128" s="4">
        <f t="shared" si="271"/>
        <v>0.32828228962416622</v>
      </c>
      <c r="X128" s="4">
        <f t="shared" si="276"/>
        <v>0.14432171697137144</v>
      </c>
      <c r="Z128" s="4">
        <f t="shared" si="272"/>
        <v>0.45988392578434756</v>
      </c>
    </row>
    <row r="129" spans="2:26">
      <c r="B129" s="22" t="s">
        <v>340</v>
      </c>
      <c r="D129" s="32">
        <v>0</v>
      </c>
      <c r="E129" s="32">
        <v>0</v>
      </c>
      <c r="F129" s="32">
        <v>1040</v>
      </c>
      <c r="G129"/>
      <c r="H129" s="37">
        <f t="shared" si="273"/>
        <v>0.43631113801314775</v>
      </c>
      <c r="I129" s="37">
        <f t="shared" si="270"/>
        <v>0.1490114653523924</v>
      </c>
      <c r="J129" s="37"/>
      <c r="R129" s="4">
        <f t="shared" si="274"/>
        <v>0.31479816694805624</v>
      </c>
      <c r="S129" s="4">
        <f t="shared" si="275"/>
        <v>0.12130955665772897</v>
      </c>
      <c r="T129" s="37"/>
      <c r="U129" s="37"/>
      <c r="W129" s="4">
        <f t="shared" si="271"/>
        <v>0.2867942829429721</v>
      </c>
      <c r="X129" s="4">
        <f t="shared" si="276"/>
        <v>0.1132512640229334</v>
      </c>
      <c r="Z129" s="4">
        <f t="shared" si="272"/>
        <v>0.38357228603305477</v>
      </c>
    </row>
    <row r="130" spans="2:26">
      <c r="B130" s="19">
        <v>0.5</v>
      </c>
      <c r="D130" s="32">
        <v>0</v>
      </c>
      <c r="E130" s="32">
        <v>0</v>
      </c>
      <c r="F130" s="32">
        <v>1240</v>
      </c>
      <c r="G130"/>
      <c r="H130" s="37">
        <f t="shared" si="273"/>
        <v>0.45245955246889547</v>
      </c>
      <c r="I130" s="37">
        <f t="shared" si="270"/>
        <v>0.13216832350914065</v>
      </c>
      <c r="J130" s="37"/>
      <c r="R130" s="4">
        <f t="shared" si="274"/>
        <v>0.36240754909461875</v>
      </c>
      <c r="S130" s="4">
        <f t="shared" si="275"/>
        <v>0.11723846696901488</v>
      </c>
      <c r="T130" s="37"/>
      <c r="U130" s="37"/>
      <c r="W130" s="4">
        <f t="shared" si="271"/>
        <v>0.27438278250015669</v>
      </c>
      <c r="X130" s="4">
        <f t="shared" si="276"/>
        <v>9.6698228661713931E-2</v>
      </c>
      <c r="Z130" s="4">
        <f t="shared" si="272"/>
        <v>0.34610501913986946</v>
      </c>
    </row>
    <row r="131" spans="2:26">
      <c r="D131" s="32">
        <v>0</v>
      </c>
      <c r="E131" s="32">
        <v>0</v>
      </c>
      <c r="F131" s="32">
        <v>1320</v>
      </c>
      <c r="G131"/>
      <c r="H131" s="37">
        <f t="shared" si="273"/>
        <v>0.45668500605113854</v>
      </c>
      <c r="I131" s="37">
        <f t="shared" si="270"/>
        <v>0.11744191169403229</v>
      </c>
      <c r="J131" s="37"/>
      <c r="R131" s="4">
        <f t="shared" si="274"/>
        <v>0.34750135610684213</v>
      </c>
      <c r="S131" s="4">
        <f t="shared" si="275"/>
        <v>0.10174148688677945</v>
      </c>
      <c r="T131" s="37"/>
      <c r="U131" s="37"/>
      <c r="W131" s="4">
        <f t="shared" si="271"/>
        <v>0.26116293425700471</v>
      </c>
      <c r="X131" s="4">
        <f t="shared" si="276"/>
        <v>8.3351818800320665E-2</v>
      </c>
      <c r="Z131" s="4">
        <f t="shared" si="272"/>
        <v>0.30253521738113243</v>
      </c>
    </row>
    <row r="132" spans="2:26">
      <c r="D132" s="32">
        <v>0</v>
      </c>
      <c r="E132" s="32">
        <v>0</v>
      </c>
      <c r="F132" s="32">
        <v>1440</v>
      </c>
      <c r="G132"/>
      <c r="H132" s="37">
        <f t="shared" si="273"/>
        <v>0.49092897979401862</v>
      </c>
      <c r="I132" s="37">
        <f t="shared" si="270"/>
        <v>0.1075991382120941</v>
      </c>
      <c r="J132" s="37"/>
      <c r="R132" s="4">
        <f t="shared" si="274"/>
        <v>0.36101825662123938</v>
      </c>
      <c r="S132" s="4">
        <f t="shared" si="275"/>
        <v>9.3793285170915786E-2</v>
      </c>
      <c r="T132" s="37"/>
      <c r="U132" s="37"/>
      <c r="W132" s="4">
        <f t="shared" si="271"/>
        <v>0.26295440434588313</v>
      </c>
      <c r="X132" s="4">
        <f t="shared" si="276"/>
        <v>7.5779065047300392E-2</v>
      </c>
      <c r="Z132" s="4">
        <f t="shared" si="272"/>
        <v>0.27717148843031025</v>
      </c>
    </row>
    <row r="133" spans="2:26">
      <c r="D133" s="32">
        <v>0</v>
      </c>
      <c r="E133" s="32">
        <v>0</v>
      </c>
      <c r="F133" s="32">
        <v>1780</v>
      </c>
      <c r="G133"/>
      <c r="H133" s="37">
        <f t="shared" si="273"/>
        <v>0.45871788041652084</v>
      </c>
      <c r="I133" s="37">
        <f t="shared" si="270"/>
        <v>9.5490207082516598E-2</v>
      </c>
      <c r="J133" s="37"/>
      <c r="R133" s="4">
        <f t="shared" si="274"/>
        <v>0.40658782310629471</v>
      </c>
      <c r="S133" s="4">
        <f t="shared" si="275"/>
        <v>9.0724397091725306E-2</v>
      </c>
      <c r="T133" s="37"/>
      <c r="U133" s="37"/>
      <c r="W133" s="4">
        <f t="shared" si="271"/>
        <v>0.26334498801582323</v>
      </c>
      <c r="X133" s="4">
        <f t="shared" si="276"/>
        <v>6.9217919290563285E-2</v>
      </c>
      <c r="Z133" s="4">
        <f t="shared" si="272"/>
        <v>0.25543252346480516</v>
      </c>
    </row>
    <row r="134" spans="2:26">
      <c r="D134" s="32">
        <v>0</v>
      </c>
      <c r="E134" s="32">
        <v>0</v>
      </c>
      <c r="F134" s="32">
        <v>2260</v>
      </c>
      <c r="G134"/>
      <c r="H134" s="37">
        <f t="shared" si="273"/>
        <v>0.50194069365154981</v>
      </c>
      <c r="I134" s="37">
        <f t="shared" si="270"/>
        <v>8.9183089416425887E-2</v>
      </c>
      <c r="J134" s="37"/>
      <c r="R134" s="4">
        <f t="shared" si="274"/>
        <v>0.4303237063465194</v>
      </c>
      <c r="S134" s="4">
        <f t="shared" si="275"/>
        <v>8.5061132301237019E-2</v>
      </c>
      <c r="T134" s="37"/>
      <c r="U134" s="37"/>
      <c r="W134" s="4">
        <f t="shared" si="271"/>
        <v>0.27594474896325316</v>
      </c>
      <c r="X134" s="4">
        <f t="shared" si="276"/>
        <v>6.58020612835441E-2</v>
      </c>
      <c r="Z134" s="4">
        <f t="shared" si="272"/>
        <v>0.24004628300120701</v>
      </c>
    </row>
    <row r="135" spans="2:26">
      <c r="D135" s="32">
        <v>0</v>
      </c>
      <c r="E135" s="32">
        <v>0</v>
      </c>
      <c r="F135" s="32">
        <v>2620</v>
      </c>
      <c r="G135"/>
      <c r="H135" s="37">
        <f t="shared" si="273"/>
        <v>0.59665778714184492</v>
      </c>
      <c r="I135" s="37">
        <f t="shared" si="270"/>
        <v>8.1433097668745735E-2</v>
      </c>
      <c r="J135" s="37"/>
      <c r="R135" s="4">
        <f t="shared" si="274"/>
        <v>0.45437211798060595</v>
      </c>
      <c r="S135" s="4">
        <f t="shared" si="275"/>
        <v>7.9848486979905708E-2</v>
      </c>
      <c r="T135" s="37"/>
      <c r="U135" s="37"/>
      <c r="W135" s="4">
        <f t="shared" si="271"/>
        <v>0.29683299163728294</v>
      </c>
      <c r="X135" s="4">
        <f t="shared" si="276"/>
        <v>6.3978495731839585E-2</v>
      </c>
      <c r="Z135" s="4">
        <f t="shared" si="272"/>
        <v>0.22526008038049103</v>
      </c>
    </row>
    <row r="136" spans="2:26">
      <c r="D136" s="32">
        <v>0</v>
      </c>
      <c r="E136" s="32">
        <v>0</v>
      </c>
      <c r="F136" s="32">
        <v>3080</v>
      </c>
      <c r="G136"/>
      <c r="H136" s="37">
        <f t="shared" si="273"/>
        <v>0.60367947829728885</v>
      </c>
      <c r="I136" s="37">
        <f t="shared" si="270"/>
        <v>7.4869795587793608E-2</v>
      </c>
      <c r="J136" s="37"/>
      <c r="R136" s="4">
        <f t="shared" si="274"/>
        <v>0.46998103272105485</v>
      </c>
      <c r="S136" s="4">
        <f t="shared" si="275"/>
        <v>7.4655717740514438E-2</v>
      </c>
      <c r="T136" s="37"/>
      <c r="U136" s="37"/>
      <c r="W136" s="4">
        <f t="shared" si="271"/>
        <v>0.3169177810946292</v>
      </c>
      <c r="X136" s="4">
        <f t="shared" si="276"/>
        <v>6.2034279594301966E-2</v>
      </c>
      <c r="Z136" s="4">
        <f t="shared" si="272"/>
        <v>0.21155979292261001</v>
      </c>
    </row>
    <row r="137" spans="2:26">
      <c r="D137" s="32">
        <v>0</v>
      </c>
      <c r="E137" s="32">
        <v>0</v>
      </c>
      <c r="F137" s="32">
        <v>3350</v>
      </c>
      <c r="G137"/>
      <c r="H137" s="37"/>
      <c r="I137" s="37"/>
      <c r="J137" s="37"/>
      <c r="T137" s="37"/>
      <c r="U137" s="37"/>
    </row>
    <row r="138" spans="2:26">
      <c r="D138" s="32">
        <v>0</v>
      </c>
      <c r="E138" s="32">
        <v>0</v>
      </c>
      <c r="F138" s="32">
        <v>3610</v>
      </c>
      <c r="G138"/>
      <c r="H138" s="37"/>
      <c r="I138" s="37"/>
      <c r="J138" s="37"/>
      <c r="T138" s="37"/>
      <c r="U138" s="37"/>
    </row>
    <row r="139" spans="2:26">
      <c r="D139" s="32">
        <v>0</v>
      </c>
      <c r="E139" s="32">
        <v>0</v>
      </c>
      <c r="F139" s="32">
        <v>3790</v>
      </c>
      <c r="G139"/>
      <c r="H139" s="37"/>
      <c r="I139" s="37"/>
      <c r="J139" s="37"/>
      <c r="T139" s="37"/>
      <c r="U139" s="37"/>
    </row>
    <row r="140" spans="2:26">
      <c r="D140" s="32">
        <v>0</v>
      </c>
      <c r="E140" s="32">
        <v>0</v>
      </c>
      <c r="F140" s="32">
        <v>4040</v>
      </c>
      <c r="G140"/>
      <c r="H140" s="37"/>
      <c r="I140" s="37"/>
      <c r="J140" s="37"/>
      <c r="T140" s="37"/>
      <c r="U140" s="37"/>
    </row>
    <row r="141" spans="2:26">
      <c r="D141" s="32">
        <v>0</v>
      </c>
      <c r="E141" s="32">
        <v>0</v>
      </c>
      <c r="F141" s="32">
        <v>4280</v>
      </c>
      <c r="G141"/>
      <c r="H141" s="37"/>
      <c r="I141" s="37"/>
      <c r="J141" s="37"/>
      <c r="T141" s="37"/>
      <c r="U141" s="37"/>
    </row>
    <row r="142" spans="2:26">
      <c r="D142" s="32">
        <v>0</v>
      </c>
      <c r="E142" s="32">
        <v>0</v>
      </c>
      <c r="F142" s="32">
        <v>4560</v>
      </c>
      <c r="G142"/>
      <c r="H142" s="37"/>
      <c r="I142" s="37"/>
      <c r="J142" s="37"/>
      <c r="T142" s="37"/>
      <c r="U142" s="37"/>
    </row>
    <row r="143" spans="2:26">
      <c r="H143" s="37"/>
      <c r="I143" s="37"/>
      <c r="J143" s="37"/>
    </row>
  </sheetData>
  <phoneticPr fontId="8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4"/>
  <dimension ref="A2:AI41"/>
  <sheetViews>
    <sheetView tabSelected="1" workbookViewId="0">
      <pane xSplit="1" topLeftCell="B1" activePane="topRight" state="frozen"/>
      <selection pane="topRight" activeCell="I28" sqref="I28"/>
    </sheetView>
  </sheetViews>
  <sheetFormatPr defaultColWidth="9" defaultRowHeight="13.5"/>
  <cols>
    <col min="3" max="3" width="9" style="2"/>
    <col min="4" max="4" width="12.75" customWidth="1"/>
    <col min="5" max="5" width="9" style="2"/>
    <col min="6" max="7" width="11.625" customWidth="1"/>
    <col min="8" max="8" width="9" style="2"/>
    <col min="11" max="11" width="9" style="2"/>
    <col min="16" max="16" width="9" style="2"/>
    <col min="19" max="19" width="29.75" customWidth="1"/>
    <col min="20" max="20" width="31.375" customWidth="1"/>
    <col min="21" max="21" width="9" style="2"/>
    <col min="23" max="23" width="9" style="2"/>
    <col min="25" max="25" width="9" style="2"/>
    <col min="27" max="27" width="9" style="2"/>
    <col min="29" max="29" width="9" style="2"/>
  </cols>
  <sheetData>
    <row r="2" spans="1:35">
      <c r="B2" t="s">
        <v>0</v>
      </c>
      <c r="C2" s="3" t="s">
        <v>169</v>
      </c>
      <c r="D2" t="s">
        <v>2</v>
      </c>
      <c r="E2" s="3" t="s">
        <v>73</v>
      </c>
      <c r="F2" t="s">
        <v>4</v>
      </c>
      <c r="G2" t="s">
        <v>74</v>
      </c>
      <c r="H2" s="3" t="s">
        <v>75</v>
      </c>
      <c r="I2" t="s">
        <v>6</v>
      </c>
      <c r="J2" t="s">
        <v>74</v>
      </c>
      <c r="K2" s="3" t="s">
        <v>76</v>
      </c>
      <c r="L2" t="s">
        <v>8</v>
      </c>
      <c r="M2" t="s">
        <v>74</v>
      </c>
      <c r="N2" t="s">
        <v>77</v>
      </c>
      <c r="O2" t="s">
        <v>74</v>
      </c>
      <c r="P2" s="3" t="s">
        <v>78</v>
      </c>
      <c r="Q2" t="s">
        <v>10</v>
      </c>
      <c r="R2" t="s">
        <v>74</v>
      </c>
      <c r="U2" s="3" t="s">
        <v>79</v>
      </c>
      <c r="V2" t="s">
        <v>12</v>
      </c>
      <c r="W2" s="3" t="s">
        <v>80</v>
      </c>
      <c r="X2" t="s">
        <v>14</v>
      </c>
      <c r="Y2" s="3" t="s">
        <v>81</v>
      </c>
      <c r="Z2" t="s">
        <v>16</v>
      </c>
      <c r="AA2" s="3" t="s">
        <v>82</v>
      </c>
      <c r="AB2" t="s">
        <v>18</v>
      </c>
      <c r="AC2" s="3" t="s">
        <v>83</v>
      </c>
    </row>
    <row r="3" spans="1:35">
      <c r="A3">
        <v>1</v>
      </c>
      <c r="B3" s="33">
        <v>20</v>
      </c>
      <c r="C3" s="2">
        <v>7</v>
      </c>
      <c r="D3">
        <v>100</v>
      </c>
      <c r="E3" s="2">
        <v>8</v>
      </c>
      <c r="F3">
        <v>3</v>
      </c>
      <c r="H3" s="2">
        <v>8</v>
      </c>
      <c r="I3">
        <v>3</v>
      </c>
      <c r="K3" s="2">
        <v>8</v>
      </c>
      <c r="L3">
        <v>4</v>
      </c>
      <c r="N3">
        <v>30</v>
      </c>
      <c r="P3" s="2">
        <v>11</v>
      </c>
      <c r="Q3">
        <v>8</v>
      </c>
      <c r="S3" t="str">
        <f>"103_"&amp;ROUND(Q3/3,0)&amp;"_"&amp;ROUND(Q3/3,0)&amp;","&amp;"104_"&amp;ROUND(Q3/3*2,0)&amp;"_"&amp;ROUND(Q3/3*2,0)</f>
        <v>103_3_3,104_5_5</v>
      </c>
      <c r="T3" t="str">
        <f>"103_"&amp;ROUND(R3/3,0)&amp;"_"&amp;ROUND(R3/3,0)&amp;","&amp;"104_"&amp;ROUND(R3/3*2,0)&amp;"_"&amp;ROUND(R3/3*2,0)</f>
        <v>103_0_0,104_0_0</v>
      </c>
      <c r="U3" s="2">
        <v>11</v>
      </c>
      <c r="V3" s="33">
        <v>0</v>
      </c>
      <c r="W3" s="2">
        <v>8</v>
      </c>
      <c r="X3" s="33">
        <v>0</v>
      </c>
      <c r="Y3" s="2">
        <v>8</v>
      </c>
      <c r="Z3">
        <v>3</v>
      </c>
      <c r="AA3" s="2">
        <v>8</v>
      </c>
      <c r="AB3">
        <v>9</v>
      </c>
      <c r="AC3" s="2">
        <v>8</v>
      </c>
      <c r="AE3">
        <v>85</v>
      </c>
      <c r="AG3">
        <f t="shared" ref="AG3:AG16" si="0">AC3+AA3+Y3+W3+U3+P3+K3+H3+E3+C3</f>
        <v>85</v>
      </c>
      <c r="AH3">
        <f>A3*A3*3+3*A3+50</f>
        <v>56</v>
      </c>
    </row>
    <row r="4" spans="1:35">
      <c r="A4">
        <v>5</v>
      </c>
      <c r="B4">
        <v>80</v>
      </c>
      <c r="C4" s="2">
        <v>30</v>
      </c>
      <c r="D4" s="33">
        <v>240</v>
      </c>
      <c r="E4" s="2">
        <v>30</v>
      </c>
      <c r="F4">
        <v>9</v>
      </c>
      <c r="H4" s="2">
        <v>30</v>
      </c>
      <c r="I4">
        <v>9</v>
      </c>
      <c r="K4" s="2">
        <v>30</v>
      </c>
      <c r="L4">
        <v>12</v>
      </c>
      <c r="M4">
        <f>L5*0.4+L4*0.6</f>
        <v>19.2</v>
      </c>
      <c r="N4">
        <v>110</v>
      </c>
      <c r="O4">
        <f>N5*0.4+N4*0.6</f>
        <v>162</v>
      </c>
      <c r="P4" s="2">
        <v>40</v>
      </c>
      <c r="Q4">
        <v>30</v>
      </c>
      <c r="R4">
        <f>Q5*0.4+Q4*0.6</f>
        <v>56.400000000000006</v>
      </c>
      <c r="S4" t="str">
        <f t="shared" ref="S4:T23" si="1">"103_"&amp;ROUND(Q4/3,0)&amp;"_"&amp;ROUND(Q4/3,0)&amp;","&amp;"104_"&amp;ROUND(Q4/3*2,0)&amp;"_"&amp;ROUND(Q4/3*2,0)</f>
        <v>103_10_10,104_20_20</v>
      </c>
      <c r="T4" t="str">
        <f t="shared" si="1"/>
        <v>103_19_19,104_38_38</v>
      </c>
      <c r="U4" s="2">
        <v>40</v>
      </c>
      <c r="V4">
        <v>20</v>
      </c>
      <c r="W4" s="2">
        <v>30</v>
      </c>
      <c r="X4">
        <v>20</v>
      </c>
      <c r="Y4" s="2">
        <v>30</v>
      </c>
      <c r="Z4" s="33">
        <v>3</v>
      </c>
      <c r="AA4" s="2">
        <v>30</v>
      </c>
      <c r="AB4" s="33">
        <v>23</v>
      </c>
      <c r="AC4" s="2">
        <v>30</v>
      </c>
      <c r="AE4">
        <v>120</v>
      </c>
      <c r="AG4">
        <f t="shared" si="0"/>
        <v>320</v>
      </c>
      <c r="AH4">
        <f t="shared" ref="AH4:AH23" si="2">A4*A4*3+3*A4+50</f>
        <v>140</v>
      </c>
    </row>
    <row r="5" spans="1:35">
      <c r="A5">
        <v>10</v>
      </c>
      <c r="B5">
        <v>150</v>
      </c>
      <c r="C5" s="2">
        <v>60</v>
      </c>
      <c r="D5">
        <v>480</v>
      </c>
      <c r="E5" s="2">
        <v>64</v>
      </c>
      <c r="F5">
        <v>20</v>
      </c>
      <c r="G5">
        <f>F6*0.4+F5*0.6</f>
        <v>27.6</v>
      </c>
      <c r="H5" s="2">
        <v>64</v>
      </c>
      <c r="I5">
        <v>20</v>
      </c>
      <c r="J5">
        <f>I6*0.4+I5*0.6</f>
        <v>27.6</v>
      </c>
      <c r="K5" s="2">
        <v>64</v>
      </c>
      <c r="L5">
        <v>30</v>
      </c>
      <c r="M5">
        <f>L6*0.4+L5*0.6</f>
        <v>59.2</v>
      </c>
      <c r="N5">
        <v>240</v>
      </c>
      <c r="O5">
        <f>N6*0.4+N5*0.6</f>
        <v>312</v>
      </c>
      <c r="P5" s="2">
        <v>80</v>
      </c>
      <c r="Q5">
        <v>96</v>
      </c>
      <c r="R5">
        <f>Q6*0.4+Q5*0.6</f>
        <v>120</v>
      </c>
      <c r="S5" t="str">
        <f t="shared" si="1"/>
        <v>103_32_32,104_64_64</v>
      </c>
      <c r="T5" t="str">
        <f t="shared" si="1"/>
        <v>103_40_40,104_80_80</v>
      </c>
      <c r="U5" s="2">
        <v>80</v>
      </c>
      <c r="V5" s="33">
        <v>20</v>
      </c>
      <c r="W5" s="2">
        <v>60</v>
      </c>
      <c r="X5">
        <v>64</v>
      </c>
      <c r="Y5" s="2">
        <v>64</v>
      </c>
      <c r="Z5">
        <v>12</v>
      </c>
      <c r="AA5" s="2">
        <v>60</v>
      </c>
      <c r="AB5">
        <v>43</v>
      </c>
      <c r="AC5" s="2">
        <v>60</v>
      </c>
      <c r="AE5">
        <v>656</v>
      </c>
      <c r="AG5">
        <f t="shared" si="0"/>
        <v>656</v>
      </c>
      <c r="AH5">
        <f t="shared" si="2"/>
        <v>380</v>
      </c>
      <c r="AI5">
        <f t="shared" ref="AI5:AI16" si="3">AH5/Q5</f>
        <v>3.9583333333333335</v>
      </c>
    </row>
    <row r="6" spans="1:35">
      <c r="A6">
        <v>15</v>
      </c>
      <c r="B6" s="33">
        <v>185</v>
      </c>
      <c r="C6" s="2">
        <v>108</v>
      </c>
      <c r="D6">
        <v>1160</v>
      </c>
      <c r="E6" s="2">
        <v>108</v>
      </c>
      <c r="F6">
        <v>39</v>
      </c>
      <c r="G6">
        <f>F7*0.4+F6*0.6</f>
        <v>64.2</v>
      </c>
      <c r="H6" s="2">
        <v>108</v>
      </c>
      <c r="I6">
        <v>39</v>
      </c>
      <c r="J6">
        <f t="shared" ref="J6:J22" si="4">I7*0.4+I6*0.6</f>
        <v>64.2</v>
      </c>
      <c r="K6" s="2">
        <v>108</v>
      </c>
      <c r="L6">
        <v>103</v>
      </c>
      <c r="M6">
        <f t="shared" ref="M6:M16" si="5">L7*0.4+L6*0.6</f>
        <v>130.19999999999999</v>
      </c>
      <c r="N6">
        <v>420</v>
      </c>
      <c r="O6">
        <f t="shared" ref="O6:O16" si="6">N7*0.4+N6*0.6</f>
        <v>472</v>
      </c>
      <c r="P6" s="2">
        <v>136</v>
      </c>
      <c r="Q6">
        <v>156</v>
      </c>
      <c r="R6">
        <f t="shared" ref="R6:R22" si="7">Q7*0.4+Q6*0.6</f>
        <v>228.8</v>
      </c>
      <c r="S6" t="str">
        <f t="shared" si="1"/>
        <v>103_52_52,104_104_104</v>
      </c>
      <c r="T6" t="str">
        <f t="shared" si="1"/>
        <v>103_76_76,104_153_153</v>
      </c>
      <c r="U6" s="2">
        <v>136</v>
      </c>
      <c r="V6">
        <v>64</v>
      </c>
      <c r="W6" s="2">
        <v>108</v>
      </c>
      <c r="X6" s="33">
        <v>64</v>
      </c>
      <c r="Y6" s="2">
        <v>108</v>
      </c>
      <c r="Z6" s="40">
        <v>24</v>
      </c>
      <c r="AA6" s="2">
        <v>108</v>
      </c>
      <c r="AB6">
        <v>106</v>
      </c>
      <c r="AC6" s="2">
        <v>108</v>
      </c>
      <c r="AE6">
        <v>576.58000000000004</v>
      </c>
      <c r="AF6">
        <v>15</v>
      </c>
      <c r="AG6">
        <f t="shared" si="0"/>
        <v>1136</v>
      </c>
      <c r="AH6">
        <f t="shared" si="2"/>
        <v>770</v>
      </c>
      <c r="AI6">
        <f t="shared" si="3"/>
        <v>4.9358974358974361</v>
      </c>
    </row>
    <row r="7" spans="1:35">
      <c r="A7">
        <v>20</v>
      </c>
      <c r="B7">
        <v>240</v>
      </c>
      <c r="C7" s="2">
        <v>140</v>
      </c>
      <c r="D7">
        <v>2120</v>
      </c>
      <c r="E7" s="2">
        <v>140</v>
      </c>
      <c r="F7">
        <v>102</v>
      </c>
      <c r="G7">
        <f t="shared" ref="G7:G16" si="8">F8*0.4+F7*0.6</f>
        <v>122.4</v>
      </c>
      <c r="H7" s="2">
        <v>140</v>
      </c>
      <c r="I7">
        <v>102</v>
      </c>
      <c r="J7">
        <f t="shared" si="4"/>
        <v>122.4</v>
      </c>
      <c r="K7" s="2">
        <v>140</v>
      </c>
      <c r="L7">
        <v>171</v>
      </c>
      <c r="M7">
        <f t="shared" si="5"/>
        <v>205</v>
      </c>
      <c r="N7">
        <v>550</v>
      </c>
      <c r="O7">
        <f t="shared" si="6"/>
        <v>606</v>
      </c>
      <c r="P7" s="2">
        <v>180</v>
      </c>
      <c r="Q7">
        <v>338</v>
      </c>
      <c r="R7">
        <f t="shared" si="7"/>
        <v>415.2</v>
      </c>
      <c r="S7" t="str">
        <f t="shared" si="1"/>
        <v>103_113_113,104_225_225</v>
      </c>
      <c r="T7" t="str">
        <f t="shared" si="1"/>
        <v>103_138_138,104_277_277</v>
      </c>
      <c r="U7" s="2">
        <v>180</v>
      </c>
      <c r="V7">
        <v>136</v>
      </c>
      <c r="W7" s="2">
        <v>140</v>
      </c>
      <c r="X7">
        <v>136</v>
      </c>
      <c r="Y7" s="2">
        <v>140</v>
      </c>
      <c r="Z7">
        <v>40</v>
      </c>
      <c r="AA7" s="2">
        <v>140</v>
      </c>
      <c r="AB7">
        <v>211</v>
      </c>
      <c r="AC7" s="2">
        <v>140</v>
      </c>
      <c r="AE7">
        <v>847.57259999999997</v>
      </c>
      <c r="AF7">
        <v>20</v>
      </c>
      <c r="AG7">
        <f t="shared" si="0"/>
        <v>1480</v>
      </c>
      <c r="AH7">
        <f t="shared" si="2"/>
        <v>1310</v>
      </c>
      <c r="AI7">
        <f t="shared" si="3"/>
        <v>3.8757396449704142</v>
      </c>
    </row>
    <row r="8" spans="1:35">
      <c r="A8">
        <v>25</v>
      </c>
      <c r="B8">
        <v>330</v>
      </c>
      <c r="C8" s="2">
        <v>160</v>
      </c>
      <c r="D8">
        <v>3360</v>
      </c>
      <c r="E8" s="2">
        <v>168</v>
      </c>
      <c r="F8">
        <v>153</v>
      </c>
      <c r="G8">
        <f t="shared" si="8"/>
        <v>178.2</v>
      </c>
      <c r="H8" s="2">
        <v>168</v>
      </c>
      <c r="I8">
        <v>153</v>
      </c>
      <c r="J8">
        <f t="shared" si="4"/>
        <v>178.2</v>
      </c>
      <c r="K8" s="2">
        <v>168</v>
      </c>
      <c r="L8">
        <v>256</v>
      </c>
      <c r="M8">
        <f t="shared" si="5"/>
        <v>300.8</v>
      </c>
      <c r="N8">
        <v>690</v>
      </c>
      <c r="O8">
        <f t="shared" si="6"/>
        <v>766</v>
      </c>
      <c r="P8" s="2">
        <v>216</v>
      </c>
      <c r="Q8">
        <v>531</v>
      </c>
      <c r="R8">
        <f t="shared" si="7"/>
        <v>648.59999999999991</v>
      </c>
      <c r="S8" t="str">
        <f t="shared" si="1"/>
        <v>103_177_177,104_354_354</v>
      </c>
      <c r="T8" t="str">
        <f t="shared" si="1"/>
        <v>103_216_216,104_432_432</v>
      </c>
      <c r="U8" s="2">
        <v>216</v>
      </c>
      <c r="V8">
        <v>237</v>
      </c>
      <c r="W8" s="2">
        <v>160</v>
      </c>
      <c r="X8">
        <v>237</v>
      </c>
      <c r="Y8" s="2">
        <v>168</v>
      </c>
      <c r="Z8" s="33">
        <v>62</v>
      </c>
      <c r="AA8" s="2">
        <v>164</v>
      </c>
      <c r="AB8" s="33">
        <v>286</v>
      </c>
      <c r="AC8" s="2">
        <v>164</v>
      </c>
      <c r="AE8">
        <v>1245.931722</v>
      </c>
      <c r="AF8">
        <v>25</v>
      </c>
      <c r="AG8">
        <f t="shared" si="0"/>
        <v>1752</v>
      </c>
      <c r="AH8">
        <f t="shared" si="2"/>
        <v>2000</v>
      </c>
      <c r="AI8">
        <f t="shared" si="3"/>
        <v>3.766478342749529</v>
      </c>
    </row>
    <row r="9" spans="1:35">
      <c r="A9">
        <v>30</v>
      </c>
      <c r="B9">
        <v>460</v>
      </c>
      <c r="C9" s="2">
        <v>220</v>
      </c>
      <c r="D9" s="33">
        <v>3360</v>
      </c>
      <c r="E9" s="2">
        <v>232</v>
      </c>
      <c r="F9">
        <v>216</v>
      </c>
      <c r="G9">
        <f t="shared" si="8"/>
        <v>246.8</v>
      </c>
      <c r="H9" s="2">
        <v>232</v>
      </c>
      <c r="I9">
        <v>216</v>
      </c>
      <c r="J9">
        <f t="shared" si="4"/>
        <v>246.8</v>
      </c>
      <c r="K9" s="2">
        <v>232</v>
      </c>
      <c r="L9">
        <v>368</v>
      </c>
      <c r="M9">
        <f t="shared" si="5"/>
        <v>491.20000000000005</v>
      </c>
      <c r="N9">
        <v>880</v>
      </c>
      <c r="O9">
        <f t="shared" si="6"/>
        <v>944</v>
      </c>
      <c r="P9" s="2">
        <v>300</v>
      </c>
      <c r="Q9">
        <v>825</v>
      </c>
      <c r="R9">
        <f t="shared" si="7"/>
        <v>1026.5999999999999</v>
      </c>
      <c r="S9" t="str">
        <f t="shared" si="1"/>
        <v>103_275_275,104_550_550</v>
      </c>
      <c r="T9" t="str">
        <f t="shared" si="1"/>
        <v>103_342_342,104_684_684</v>
      </c>
      <c r="U9" s="2">
        <v>300</v>
      </c>
      <c r="V9">
        <v>372</v>
      </c>
      <c r="W9" s="2">
        <v>220</v>
      </c>
      <c r="X9">
        <v>372</v>
      </c>
      <c r="Y9" s="2">
        <v>232</v>
      </c>
      <c r="Z9">
        <v>72</v>
      </c>
      <c r="AA9" s="2">
        <v>224</v>
      </c>
      <c r="AB9">
        <v>367</v>
      </c>
      <c r="AC9" s="2">
        <v>224</v>
      </c>
      <c r="AE9">
        <v>1831.5196313399999</v>
      </c>
      <c r="AF9">
        <v>30</v>
      </c>
      <c r="AG9">
        <f t="shared" si="0"/>
        <v>2416</v>
      </c>
      <c r="AH9">
        <f t="shared" si="2"/>
        <v>2840</v>
      </c>
      <c r="AI9">
        <f t="shared" si="3"/>
        <v>3.4424242424242424</v>
      </c>
    </row>
    <row r="10" spans="1:35">
      <c r="A10">
        <v>35</v>
      </c>
      <c r="B10">
        <v>590</v>
      </c>
      <c r="C10" s="2">
        <v>292</v>
      </c>
      <c r="D10">
        <v>4900</v>
      </c>
      <c r="E10" s="2">
        <v>292</v>
      </c>
      <c r="F10">
        <v>293</v>
      </c>
      <c r="G10">
        <f t="shared" si="8"/>
        <v>374.6</v>
      </c>
      <c r="H10" s="2">
        <v>292</v>
      </c>
      <c r="I10">
        <v>293</v>
      </c>
      <c r="J10">
        <f t="shared" si="4"/>
        <v>374.6</v>
      </c>
      <c r="K10" s="2">
        <v>292</v>
      </c>
      <c r="L10">
        <v>676</v>
      </c>
      <c r="M10">
        <f t="shared" si="5"/>
        <v>757.59999999999991</v>
      </c>
      <c r="N10">
        <v>1040</v>
      </c>
      <c r="O10">
        <f t="shared" si="6"/>
        <v>1120</v>
      </c>
      <c r="P10" s="2">
        <v>416</v>
      </c>
      <c r="Q10">
        <v>1329</v>
      </c>
      <c r="R10">
        <f t="shared" si="7"/>
        <v>1601.4</v>
      </c>
      <c r="S10" t="str">
        <f t="shared" si="1"/>
        <v>103_443_443,104_886_886</v>
      </c>
      <c r="T10" t="str">
        <f t="shared" si="1"/>
        <v>103_534_534,104_1068_1068</v>
      </c>
      <c r="U10" s="2">
        <v>416</v>
      </c>
      <c r="V10">
        <v>542</v>
      </c>
      <c r="W10" s="2">
        <v>292</v>
      </c>
      <c r="X10">
        <v>596</v>
      </c>
      <c r="Y10" s="2">
        <v>292</v>
      </c>
      <c r="Z10">
        <v>82</v>
      </c>
      <c r="AA10" s="2">
        <v>292</v>
      </c>
      <c r="AB10">
        <v>588</v>
      </c>
      <c r="AC10" s="2">
        <v>292</v>
      </c>
      <c r="AE10">
        <v>3121</v>
      </c>
      <c r="AF10">
        <v>35</v>
      </c>
      <c r="AG10">
        <f t="shared" si="0"/>
        <v>3168</v>
      </c>
      <c r="AH10">
        <f t="shared" si="2"/>
        <v>3830</v>
      </c>
      <c r="AI10">
        <f t="shared" si="3"/>
        <v>2.8818660647103087</v>
      </c>
    </row>
    <row r="11" spans="1:35">
      <c r="A11">
        <v>40</v>
      </c>
      <c r="B11">
        <v>740</v>
      </c>
      <c r="C11" s="2">
        <v>368</v>
      </c>
      <c r="D11">
        <v>6720</v>
      </c>
      <c r="E11" s="2">
        <v>368</v>
      </c>
      <c r="F11">
        <v>497</v>
      </c>
      <c r="G11">
        <f t="shared" si="8"/>
        <v>549.4</v>
      </c>
      <c r="H11" s="2">
        <v>368</v>
      </c>
      <c r="I11">
        <v>497</v>
      </c>
      <c r="J11">
        <f t="shared" si="4"/>
        <v>549.4</v>
      </c>
      <c r="K11" s="2">
        <v>368</v>
      </c>
      <c r="L11">
        <v>880</v>
      </c>
      <c r="M11">
        <f t="shared" si="5"/>
        <v>1029.2</v>
      </c>
      <c r="N11">
        <v>1240</v>
      </c>
      <c r="O11">
        <f t="shared" si="6"/>
        <v>1272</v>
      </c>
      <c r="P11" s="2">
        <v>460</v>
      </c>
      <c r="Q11">
        <v>2010</v>
      </c>
      <c r="R11">
        <f t="shared" si="7"/>
        <v>2231.1999999999998</v>
      </c>
      <c r="S11" t="str">
        <f t="shared" si="1"/>
        <v>103_670_670,104_1340_1340</v>
      </c>
      <c r="T11" t="str">
        <f t="shared" si="1"/>
        <v>103_744_744,104_1487_1487</v>
      </c>
      <c r="U11" s="2">
        <v>460</v>
      </c>
      <c r="V11" s="33">
        <v>542</v>
      </c>
      <c r="W11" s="2">
        <v>368</v>
      </c>
      <c r="X11">
        <v>751</v>
      </c>
      <c r="Y11" s="2">
        <v>368</v>
      </c>
      <c r="Z11">
        <v>108</v>
      </c>
      <c r="AA11" s="2">
        <v>368</v>
      </c>
      <c r="AB11">
        <v>880</v>
      </c>
      <c r="AC11" s="2">
        <v>368</v>
      </c>
      <c r="AE11">
        <v>3948</v>
      </c>
      <c r="AF11">
        <v>40</v>
      </c>
      <c r="AG11">
        <f t="shared" si="0"/>
        <v>3864</v>
      </c>
      <c r="AH11">
        <f t="shared" si="2"/>
        <v>4970</v>
      </c>
      <c r="AI11">
        <f t="shared" si="3"/>
        <v>2.472636815920398</v>
      </c>
    </row>
    <row r="12" spans="1:35">
      <c r="A12">
        <v>45</v>
      </c>
      <c r="B12" s="33"/>
      <c r="C12" s="2">
        <v>496</v>
      </c>
      <c r="D12">
        <v>8840</v>
      </c>
      <c r="E12" s="2">
        <v>496</v>
      </c>
      <c r="F12">
        <v>628</v>
      </c>
      <c r="G12">
        <f t="shared" si="8"/>
        <v>688.8</v>
      </c>
      <c r="H12" s="2">
        <v>496</v>
      </c>
      <c r="I12">
        <v>628</v>
      </c>
      <c r="J12">
        <f t="shared" si="4"/>
        <v>688.8</v>
      </c>
      <c r="K12" s="2">
        <v>496</v>
      </c>
      <c r="L12">
        <v>1253</v>
      </c>
      <c r="M12">
        <f t="shared" si="5"/>
        <v>1312.1999999999998</v>
      </c>
      <c r="N12">
        <v>1320</v>
      </c>
      <c r="O12">
        <f t="shared" si="6"/>
        <v>1368</v>
      </c>
      <c r="P12" s="2">
        <v>560</v>
      </c>
      <c r="Q12">
        <v>2563</v>
      </c>
      <c r="R12">
        <f t="shared" si="7"/>
        <v>2854.2</v>
      </c>
      <c r="S12" t="str">
        <f t="shared" si="1"/>
        <v>103_854_854,104_1709_1709</v>
      </c>
      <c r="T12" t="str">
        <f t="shared" si="1"/>
        <v>103_951_951,104_1903_1903</v>
      </c>
      <c r="U12" s="2">
        <v>560</v>
      </c>
      <c r="V12">
        <v>751</v>
      </c>
      <c r="W12" s="2">
        <v>496</v>
      </c>
      <c r="X12" s="33">
        <v>751</v>
      </c>
      <c r="Y12" s="2">
        <v>496</v>
      </c>
      <c r="Z12">
        <v>137</v>
      </c>
      <c r="AA12" s="2">
        <v>496</v>
      </c>
      <c r="AB12">
        <v>1255</v>
      </c>
      <c r="AC12" s="2">
        <v>496</v>
      </c>
      <c r="AE12">
        <v>4994.1377763537303</v>
      </c>
      <c r="AF12">
        <v>45</v>
      </c>
      <c r="AG12">
        <f t="shared" si="0"/>
        <v>5088</v>
      </c>
      <c r="AH12">
        <f t="shared" si="2"/>
        <v>6260</v>
      </c>
      <c r="AI12">
        <f t="shared" si="3"/>
        <v>2.442450253609052</v>
      </c>
    </row>
    <row r="13" spans="1:35">
      <c r="A13">
        <v>50</v>
      </c>
      <c r="B13">
        <v>975</v>
      </c>
      <c r="C13" s="2">
        <v>560</v>
      </c>
      <c r="D13">
        <v>11560</v>
      </c>
      <c r="E13" s="2">
        <v>560</v>
      </c>
      <c r="F13">
        <v>780</v>
      </c>
      <c r="G13">
        <f t="shared" si="8"/>
        <v>929.2</v>
      </c>
      <c r="H13" s="2">
        <v>560</v>
      </c>
      <c r="I13">
        <v>780</v>
      </c>
      <c r="J13">
        <f t="shared" si="4"/>
        <v>929.2</v>
      </c>
      <c r="K13" s="2">
        <v>560</v>
      </c>
      <c r="L13">
        <v>1401</v>
      </c>
      <c r="M13">
        <f t="shared" si="5"/>
        <v>1633</v>
      </c>
      <c r="N13">
        <v>1440</v>
      </c>
      <c r="O13">
        <f t="shared" si="6"/>
        <v>1576</v>
      </c>
      <c r="P13" s="2">
        <v>680</v>
      </c>
      <c r="Q13">
        <v>3291</v>
      </c>
      <c r="R13">
        <f t="shared" si="7"/>
        <v>3665.8</v>
      </c>
      <c r="S13" t="str">
        <f t="shared" si="1"/>
        <v>103_1097_1097,104_2194_2194</v>
      </c>
      <c r="T13" t="str">
        <f t="shared" si="1"/>
        <v>103_1222_1222,104_2444_2444</v>
      </c>
      <c r="U13" s="2">
        <v>680</v>
      </c>
      <c r="V13">
        <v>1000</v>
      </c>
      <c r="W13" s="2">
        <v>560</v>
      </c>
      <c r="X13">
        <v>1000</v>
      </c>
      <c r="Y13" s="2">
        <v>560</v>
      </c>
      <c r="Z13" s="33">
        <v>172</v>
      </c>
      <c r="AA13" s="2">
        <v>560</v>
      </c>
      <c r="AB13">
        <v>1726</v>
      </c>
      <c r="AC13" s="2">
        <v>560</v>
      </c>
      <c r="AE13">
        <v>6317.4802758873902</v>
      </c>
      <c r="AF13">
        <v>50</v>
      </c>
      <c r="AG13">
        <f t="shared" si="0"/>
        <v>5840</v>
      </c>
      <c r="AH13">
        <f t="shared" si="2"/>
        <v>7700</v>
      </c>
      <c r="AI13">
        <f t="shared" si="3"/>
        <v>2.3397143725311453</v>
      </c>
    </row>
    <row r="14" spans="1:35">
      <c r="A14">
        <v>55</v>
      </c>
      <c r="B14">
        <v>1080</v>
      </c>
      <c r="C14" s="2">
        <v>680</v>
      </c>
      <c r="D14" s="33">
        <v>13920</v>
      </c>
      <c r="E14" s="2">
        <v>680</v>
      </c>
      <c r="F14">
        <v>1153</v>
      </c>
      <c r="G14">
        <f t="shared" si="8"/>
        <v>1242.5999999999999</v>
      </c>
      <c r="H14" s="2">
        <v>680</v>
      </c>
      <c r="I14">
        <v>1153</v>
      </c>
      <c r="J14">
        <f t="shared" si="4"/>
        <v>1242.5999999999999</v>
      </c>
      <c r="K14" s="2">
        <v>680</v>
      </c>
      <c r="L14">
        <v>1981</v>
      </c>
      <c r="M14">
        <f t="shared" si="5"/>
        <v>2194.6</v>
      </c>
      <c r="N14">
        <v>1780</v>
      </c>
      <c r="O14">
        <f t="shared" si="6"/>
        <v>1972</v>
      </c>
      <c r="P14" s="2">
        <v>880</v>
      </c>
      <c r="Q14">
        <v>4228</v>
      </c>
      <c r="R14">
        <f t="shared" si="7"/>
        <v>4945.2</v>
      </c>
      <c r="S14" t="str">
        <f t="shared" si="1"/>
        <v>103_1409_1409,104_2819_2819</v>
      </c>
      <c r="T14" t="str">
        <f t="shared" si="1"/>
        <v>103_1648_1648,104_3297_3297</v>
      </c>
      <c r="U14" s="2">
        <v>880</v>
      </c>
      <c r="V14">
        <v>1291</v>
      </c>
      <c r="W14" s="2">
        <v>680</v>
      </c>
      <c r="X14">
        <v>1291</v>
      </c>
      <c r="Y14" s="2">
        <v>680</v>
      </c>
      <c r="Z14">
        <v>216</v>
      </c>
      <c r="AA14" s="2">
        <v>680</v>
      </c>
      <c r="AB14" s="33">
        <v>1726</v>
      </c>
      <c r="AC14" s="2">
        <v>680</v>
      </c>
      <c r="AE14">
        <v>7991.4809769956501</v>
      </c>
      <c r="AF14">
        <v>55</v>
      </c>
      <c r="AG14">
        <f t="shared" si="0"/>
        <v>7200</v>
      </c>
      <c r="AH14">
        <f t="shared" si="2"/>
        <v>9290</v>
      </c>
      <c r="AI14">
        <f t="shared" si="3"/>
        <v>2.197256385998108</v>
      </c>
    </row>
    <row r="15" spans="1:35">
      <c r="A15">
        <v>60</v>
      </c>
      <c r="B15">
        <v>1260</v>
      </c>
      <c r="C15" s="2">
        <v>880</v>
      </c>
      <c r="D15">
        <v>13920</v>
      </c>
      <c r="E15" s="2">
        <v>880</v>
      </c>
      <c r="F15">
        <v>1377</v>
      </c>
      <c r="G15">
        <f t="shared" si="8"/>
        <v>1477.4</v>
      </c>
      <c r="H15" s="2">
        <v>880</v>
      </c>
      <c r="I15">
        <v>1377</v>
      </c>
      <c r="J15">
        <f t="shared" si="4"/>
        <v>1477.4</v>
      </c>
      <c r="K15" s="2">
        <v>880</v>
      </c>
      <c r="L15">
        <v>2515</v>
      </c>
      <c r="M15">
        <f t="shared" si="5"/>
        <v>2704.2</v>
      </c>
      <c r="N15">
        <v>2260</v>
      </c>
      <c r="O15">
        <f t="shared" si="6"/>
        <v>2404</v>
      </c>
      <c r="P15" s="2">
        <v>1180</v>
      </c>
      <c r="Q15">
        <v>6021</v>
      </c>
      <c r="R15">
        <f t="shared" si="7"/>
        <v>6756.2000000000007</v>
      </c>
      <c r="S15" t="str">
        <f t="shared" si="1"/>
        <v>103_2007_2007,104_4014_4014</v>
      </c>
      <c r="T15" t="str">
        <f t="shared" si="1"/>
        <v>103_2252_2252,104_4504_4504</v>
      </c>
      <c r="U15" s="2">
        <v>1180</v>
      </c>
      <c r="V15">
        <v>1628</v>
      </c>
      <c r="W15" s="2">
        <v>880</v>
      </c>
      <c r="X15">
        <v>1628</v>
      </c>
      <c r="Y15" s="2">
        <v>880</v>
      </c>
      <c r="Z15">
        <v>271</v>
      </c>
      <c r="AA15" s="2">
        <v>880</v>
      </c>
      <c r="AB15">
        <v>2300</v>
      </c>
      <c r="AC15" s="2">
        <v>880</v>
      </c>
      <c r="AE15">
        <v>10109.057000057301</v>
      </c>
      <c r="AF15">
        <v>60</v>
      </c>
      <c r="AG15">
        <f t="shared" si="0"/>
        <v>9400</v>
      </c>
      <c r="AH15">
        <f t="shared" si="2"/>
        <v>11030</v>
      </c>
      <c r="AI15">
        <f t="shared" si="3"/>
        <v>1.8319216077063611</v>
      </c>
    </row>
    <row r="16" spans="1:35">
      <c r="A16">
        <v>65</v>
      </c>
      <c r="B16">
        <v>1470</v>
      </c>
      <c r="C16" s="2">
        <v>1060</v>
      </c>
      <c r="D16">
        <v>16900</v>
      </c>
      <c r="E16" s="2">
        <v>1060</v>
      </c>
      <c r="F16">
        <v>1628</v>
      </c>
      <c r="G16">
        <f t="shared" si="8"/>
        <v>1714.4</v>
      </c>
      <c r="H16" s="2">
        <v>1060</v>
      </c>
      <c r="I16">
        <v>1628</v>
      </c>
      <c r="J16">
        <f t="shared" si="4"/>
        <v>1714.4</v>
      </c>
      <c r="K16" s="2">
        <v>1060</v>
      </c>
      <c r="L16">
        <v>2988</v>
      </c>
      <c r="M16">
        <f t="shared" si="5"/>
        <v>3201.6000000000004</v>
      </c>
      <c r="N16">
        <v>2620</v>
      </c>
      <c r="O16">
        <f t="shared" si="6"/>
        <v>2804</v>
      </c>
      <c r="P16" s="2">
        <v>1450</v>
      </c>
      <c r="Q16">
        <v>7859</v>
      </c>
      <c r="R16">
        <f t="shared" si="7"/>
        <v>8638.6</v>
      </c>
      <c r="S16" t="str">
        <f t="shared" si="1"/>
        <v>103_2620_2620,104_5239_5239</v>
      </c>
      <c r="T16" t="str">
        <f t="shared" si="1"/>
        <v>103_2880_2880,104_5759_5759</v>
      </c>
      <c r="U16" s="2">
        <v>1450</v>
      </c>
      <c r="V16">
        <v>2015</v>
      </c>
      <c r="W16" s="2">
        <v>1060</v>
      </c>
      <c r="X16">
        <v>2015</v>
      </c>
      <c r="Y16" s="2">
        <v>1060</v>
      </c>
      <c r="Z16">
        <v>352</v>
      </c>
      <c r="AA16" s="2">
        <v>1060</v>
      </c>
      <c r="AB16">
        <v>3884</v>
      </c>
      <c r="AC16" s="2">
        <v>1060</v>
      </c>
      <c r="AE16">
        <v>13167</v>
      </c>
      <c r="AF16">
        <v>65</v>
      </c>
      <c r="AG16">
        <f t="shared" si="0"/>
        <v>11380</v>
      </c>
      <c r="AH16">
        <f t="shared" si="2"/>
        <v>12920</v>
      </c>
      <c r="AI16">
        <f t="shared" si="3"/>
        <v>1.6439750604402597</v>
      </c>
    </row>
    <row r="17" spans="1:35">
      <c r="A17">
        <v>70</v>
      </c>
      <c r="B17" s="33">
        <v>1620</v>
      </c>
      <c r="C17" s="2">
        <v>1280</v>
      </c>
      <c r="D17" s="33">
        <v>19200</v>
      </c>
      <c r="E17" s="2">
        <v>1280</v>
      </c>
      <c r="F17">
        <v>1844</v>
      </c>
      <c r="G17">
        <v>1984</v>
      </c>
      <c r="H17" s="2">
        <v>1280</v>
      </c>
      <c r="I17">
        <v>1844</v>
      </c>
      <c r="J17">
        <v>1984.3999999999999</v>
      </c>
      <c r="K17" s="2">
        <v>1280</v>
      </c>
      <c r="L17">
        <v>3522</v>
      </c>
      <c r="M17">
        <v>3691</v>
      </c>
      <c r="N17">
        <v>3080</v>
      </c>
      <c r="O17">
        <v>3188</v>
      </c>
      <c r="P17" s="2">
        <v>1720</v>
      </c>
      <c r="Q17">
        <v>9808</v>
      </c>
      <c r="R17">
        <v>10458</v>
      </c>
      <c r="S17" t="str">
        <f t="shared" si="1"/>
        <v>103_3269_3269,104_6539_6539</v>
      </c>
      <c r="T17" t="str">
        <f t="shared" si="1"/>
        <v>103_3486_3486,104_6972_6972</v>
      </c>
      <c r="U17" s="2">
        <v>1720</v>
      </c>
      <c r="V17" s="33">
        <v>2256</v>
      </c>
      <c r="W17" s="2">
        <v>1280</v>
      </c>
      <c r="X17" s="33">
        <v>2256</v>
      </c>
      <c r="Y17" s="2">
        <v>1280</v>
      </c>
      <c r="Z17" s="33">
        <v>442</v>
      </c>
      <c r="AA17" s="2">
        <v>1280</v>
      </c>
      <c r="AB17" s="33">
        <v>4189</v>
      </c>
      <c r="AC17" s="2">
        <v>1280</v>
      </c>
      <c r="AF17">
        <v>70</v>
      </c>
      <c r="AG17">
        <v>13680</v>
      </c>
      <c r="AH17">
        <v>14960</v>
      </c>
      <c r="AI17">
        <v>1.5252854812398042</v>
      </c>
    </row>
    <row r="18" spans="1:35">
      <c r="A18">
        <v>75</v>
      </c>
      <c r="B18">
        <v>1760</v>
      </c>
      <c r="C18" s="2">
        <v>1440</v>
      </c>
      <c r="D18" s="33">
        <f>E18*15</f>
        <v>21600</v>
      </c>
      <c r="E18" s="2">
        <v>1440</v>
      </c>
      <c r="F18">
        <v>2195</v>
      </c>
      <c r="G18">
        <f>ROUND(F19*0.4+F18*0.6,0)</f>
        <v>2346</v>
      </c>
      <c r="H18" s="2">
        <v>1440</v>
      </c>
      <c r="I18">
        <v>2195</v>
      </c>
      <c r="J18">
        <f t="shared" si="4"/>
        <v>2346.1999999999998</v>
      </c>
      <c r="K18" s="2">
        <v>1440</v>
      </c>
      <c r="L18">
        <f>ROUND(AH18*0.23,0)</f>
        <v>3945</v>
      </c>
      <c r="M18">
        <f>ROUND(L19*0.4+L18*0.6,0)</f>
        <v>4082</v>
      </c>
      <c r="N18">
        <v>3350</v>
      </c>
      <c r="O18">
        <f>ROUND(N19*0.4+N18*0.6,-1)</f>
        <v>3450</v>
      </c>
      <c r="P18" s="2">
        <v>1960</v>
      </c>
      <c r="Q18">
        <f t="shared" ref="Q18:Q23" si="9">ROUND(AH18/1.5,0)</f>
        <v>11433</v>
      </c>
      <c r="R18">
        <f t="shared" si="7"/>
        <v>12057</v>
      </c>
      <c r="S18" t="str">
        <f t="shared" si="1"/>
        <v>103_3811_3811,104_7622_7622</v>
      </c>
      <c r="T18" t="str">
        <f t="shared" si="1"/>
        <v>103_4019_4019,104_8038_8038</v>
      </c>
      <c r="U18" s="2">
        <v>1960</v>
      </c>
      <c r="V18">
        <v>2633</v>
      </c>
      <c r="W18" s="2">
        <v>1440</v>
      </c>
      <c r="X18">
        <v>2633</v>
      </c>
      <c r="Y18" s="2">
        <v>1440</v>
      </c>
      <c r="Z18">
        <v>515</v>
      </c>
      <c r="AA18" s="2">
        <v>1440</v>
      </c>
      <c r="AB18">
        <f>ROUND(AH18*0.27,0)</f>
        <v>4631</v>
      </c>
      <c r="AC18" s="2">
        <v>1440</v>
      </c>
      <c r="AF18">
        <v>75</v>
      </c>
      <c r="AG18">
        <f>AC18+AA18+Y18+W18+U18+P18+K18+H18+E18+C18</f>
        <v>15440</v>
      </c>
      <c r="AH18">
        <f t="shared" si="2"/>
        <v>17150</v>
      </c>
    </row>
    <row r="19" spans="1:35">
      <c r="A19">
        <v>80</v>
      </c>
      <c r="B19">
        <v>1900</v>
      </c>
      <c r="C19" s="2">
        <v>1621</v>
      </c>
      <c r="D19" s="33">
        <v>24080</v>
      </c>
      <c r="E19" s="2">
        <v>1621</v>
      </c>
      <c r="F19">
        <v>2573</v>
      </c>
      <c r="G19">
        <f>ROUND(F20*0.4+F19*0.6,0)</f>
        <v>2739</v>
      </c>
      <c r="H19" s="2">
        <v>1621</v>
      </c>
      <c r="I19">
        <v>2573</v>
      </c>
      <c r="J19">
        <f t="shared" si="4"/>
        <v>2739.4</v>
      </c>
      <c r="K19" s="2">
        <v>1621</v>
      </c>
      <c r="L19">
        <f>ROUND(AH19*0.22,0)</f>
        <v>4288</v>
      </c>
      <c r="M19">
        <f>ROUND(L20*0.4+L19*0.6,0)</f>
        <v>4419</v>
      </c>
      <c r="N19">
        <v>3610</v>
      </c>
      <c r="O19">
        <f>ROUND(N20*0.4+N19*0.6,-1)</f>
        <v>3680</v>
      </c>
      <c r="P19" s="2">
        <v>2292</v>
      </c>
      <c r="Q19">
        <f t="shared" si="9"/>
        <v>12993</v>
      </c>
      <c r="R19">
        <f t="shared" si="7"/>
        <v>13657</v>
      </c>
      <c r="S19" t="str">
        <f t="shared" si="1"/>
        <v>103_4331_4331,104_8662_8662</v>
      </c>
      <c r="T19" t="str">
        <f t="shared" si="1"/>
        <v>103_4552_4552,104_9105_9105</v>
      </c>
      <c r="U19" s="2">
        <v>2292</v>
      </c>
      <c r="V19">
        <v>3066</v>
      </c>
      <c r="W19" s="2">
        <v>1621</v>
      </c>
      <c r="X19">
        <v>3066</v>
      </c>
      <c r="Y19" s="2">
        <v>1621</v>
      </c>
      <c r="Z19">
        <v>568</v>
      </c>
      <c r="AA19" s="2">
        <v>1621</v>
      </c>
      <c r="AB19">
        <f>ROUND(AH19*0.26,0)</f>
        <v>5067</v>
      </c>
      <c r="AC19" s="2">
        <f>ROUND(AG19/10.7,0)</f>
        <v>1621</v>
      </c>
      <c r="AE19">
        <f>AG19-AG18</f>
        <v>1910</v>
      </c>
      <c r="AG19">
        <f>ROUND(AH19*0.89,-1)</f>
        <v>17350</v>
      </c>
      <c r="AH19">
        <f t="shared" si="2"/>
        <v>19490</v>
      </c>
    </row>
    <row r="20" spans="1:35">
      <c r="A20">
        <v>85</v>
      </c>
      <c r="B20">
        <v>2020</v>
      </c>
      <c r="C20" s="2">
        <v>1807</v>
      </c>
      <c r="D20" s="33">
        <v>27040</v>
      </c>
      <c r="E20" s="2">
        <v>1807</v>
      </c>
      <c r="F20">
        <v>2989</v>
      </c>
      <c r="G20">
        <f>ROUND(F21*0.4+F20*0.6,0)</f>
        <v>3172</v>
      </c>
      <c r="H20" s="2">
        <v>1807</v>
      </c>
      <c r="I20">
        <v>2989</v>
      </c>
      <c r="J20">
        <f t="shared" si="4"/>
        <v>3172.2</v>
      </c>
      <c r="K20" s="2">
        <v>1807</v>
      </c>
      <c r="L20">
        <f>ROUND(AH20*0.21,0)</f>
        <v>4616</v>
      </c>
      <c r="M20">
        <f>ROUND(L21*0.4+L20*0.6,0)</f>
        <v>4739</v>
      </c>
      <c r="N20">
        <v>3790</v>
      </c>
      <c r="O20">
        <f>ROUND(N21*0.4+N20*0.6,-1)</f>
        <v>3890</v>
      </c>
      <c r="P20" s="2">
        <v>2555</v>
      </c>
      <c r="Q20">
        <f t="shared" si="9"/>
        <v>14653</v>
      </c>
      <c r="R20">
        <f t="shared" si="7"/>
        <v>15357</v>
      </c>
      <c r="S20" t="str">
        <f t="shared" si="1"/>
        <v>103_4884_4884,104_9769_9769</v>
      </c>
      <c r="T20" t="str">
        <f t="shared" si="1"/>
        <v>103_5119_5119,104_10238_10238</v>
      </c>
      <c r="U20" s="2">
        <v>2555</v>
      </c>
      <c r="V20">
        <v>3672</v>
      </c>
      <c r="W20" s="2">
        <v>1807</v>
      </c>
      <c r="X20">
        <v>3672</v>
      </c>
      <c r="Y20" s="2">
        <v>1807</v>
      </c>
      <c r="Z20">
        <v>661</v>
      </c>
      <c r="AA20" s="2">
        <v>1807</v>
      </c>
      <c r="AB20">
        <f>ROUND(AH20*0.25,0)</f>
        <v>5495</v>
      </c>
      <c r="AC20" s="2">
        <f>ROUND(AG20/10.7,0)</f>
        <v>1807</v>
      </c>
      <c r="AE20">
        <f>AG20-AG19</f>
        <v>1990</v>
      </c>
      <c r="AG20">
        <f>ROUND(AH20*0.88,-1)</f>
        <v>19340</v>
      </c>
      <c r="AH20">
        <f t="shared" si="2"/>
        <v>21980</v>
      </c>
    </row>
    <row r="21" spans="1:35">
      <c r="A21">
        <v>90</v>
      </c>
      <c r="B21">
        <v>2150</v>
      </c>
      <c r="C21" s="2">
        <v>2002</v>
      </c>
      <c r="D21" s="33">
        <v>29800</v>
      </c>
      <c r="E21" s="2">
        <v>2002</v>
      </c>
      <c r="F21">
        <v>3447</v>
      </c>
      <c r="G21">
        <f>ROUND(F22*0.4+F21*0.6,0)</f>
        <v>3603</v>
      </c>
      <c r="H21" s="2">
        <v>2002</v>
      </c>
      <c r="I21">
        <v>3447</v>
      </c>
      <c r="J21">
        <f t="shared" si="4"/>
        <v>3603</v>
      </c>
      <c r="K21" s="2">
        <v>2002</v>
      </c>
      <c r="L21">
        <f>ROUND(AH21*0.2,0)</f>
        <v>4924</v>
      </c>
      <c r="M21">
        <f>ROUND(L22*0.4+L21*0.6,0)</f>
        <v>5147</v>
      </c>
      <c r="N21">
        <f>B20*2</f>
        <v>4040</v>
      </c>
      <c r="O21">
        <f>ROUND(N22*0.4+N21*0.6,-1)</f>
        <v>4140</v>
      </c>
      <c r="P21" s="2">
        <v>2829</v>
      </c>
      <c r="Q21">
        <f t="shared" si="9"/>
        <v>16413</v>
      </c>
      <c r="R21">
        <f t="shared" si="7"/>
        <v>17157</v>
      </c>
      <c r="S21" t="str">
        <f t="shared" si="1"/>
        <v>103_5471_5471,104_10942_10942</v>
      </c>
      <c r="T21" t="str">
        <f t="shared" si="1"/>
        <v>103_5719_5719,104_11438_11438</v>
      </c>
      <c r="U21" s="2">
        <v>2829</v>
      </c>
      <c r="V21">
        <v>4428</v>
      </c>
      <c r="W21" s="2">
        <v>2002</v>
      </c>
      <c r="X21">
        <v>4428</v>
      </c>
      <c r="Y21" s="2">
        <v>2002</v>
      </c>
      <c r="Z21">
        <v>715</v>
      </c>
      <c r="AA21" s="2">
        <v>2002</v>
      </c>
      <c r="AB21">
        <f>ROUND(AH21*0.25,0)</f>
        <v>6155</v>
      </c>
      <c r="AC21" s="2">
        <f>ROUND(AG21/10.7,0)</f>
        <v>2002</v>
      </c>
      <c r="AE21">
        <f>AG21-AG20</f>
        <v>2080</v>
      </c>
      <c r="AG21">
        <f>ROUND(AH21*0.87,-1)</f>
        <v>21420</v>
      </c>
      <c r="AH21">
        <f t="shared" si="2"/>
        <v>24620</v>
      </c>
    </row>
    <row r="22" spans="1:35">
      <c r="A22">
        <v>95</v>
      </c>
      <c r="B22">
        <v>2240</v>
      </c>
      <c r="C22" s="2">
        <v>2203</v>
      </c>
      <c r="D22" s="33">
        <v>32760</v>
      </c>
      <c r="E22" s="2">
        <v>2203</v>
      </c>
      <c r="F22">
        <v>3837</v>
      </c>
      <c r="G22">
        <f>ROUND(F23*0.4+F22*0.6,0)</f>
        <v>4002</v>
      </c>
      <c r="H22" s="2">
        <v>2203</v>
      </c>
      <c r="I22">
        <v>3837</v>
      </c>
      <c r="J22">
        <f t="shared" si="4"/>
        <v>4001.8</v>
      </c>
      <c r="K22" s="2">
        <v>2203</v>
      </c>
      <c r="L22">
        <f>ROUND(AH22*0.2,0)</f>
        <v>5482</v>
      </c>
      <c r="M22">
        <f>ROUND(L23*0.4+L22*0.6,0)</f>
        <v>5717</v>
      </c>
      <c r="N22">
        <v>4280</v>
      </c>
      <c r="O22">
        <f>ROUND(N23*0.4+N22*0.6,-1)</f>
        <v>4390</v>
      </c>
      <c r="P22" s="2">
        <v>3114</v>
      </c>
      <c r="Q22">
        <f t="shared" si="9"/>
        <v>18273</v>
      </c>
      <c r="R22">
        <f t="shared" si="7"/>
        <v>19057</v>
      </c>
      <c r="S22" t="str">
        <f t="shared" si="1"/>
        <v>103_6091_6091,104_12182_12182</v>
      </c>
      <c r="T22" t="str">
        <f t="shared" si="1"/>
        <v>103_6352_6352,104_12705_12705</v>
      </c>
      <c r="U22" s="2">
        <v>3114</v>
      </c>
      <c r="V22">
        <v>5346</v>
      </c>
      <c r="W22" s="2">
        <v>2203</v>
      </c>
      <c r="X22">
        <v>5346</v>
      </c>
      <c r="Y22" s="2">
        <v>2203</v>
      </c>
      <c r="Z22">
        <v>786</v>
      </c>
      <c r="AA22" s="2">
        <v>2203</v>
      </c>
      <c r="AB22">
        <f>ROUND(AH22*0.25,0)</f>
        <v>6853</v>
      </c>
      <c r="AC22" s="2">
        <f>ROUND(AG22/10.7,0)</f>
        <v>2203</v>
      </c>
      <c r="AE22">
        <f>AG22-AG21</f>
        <v>2150</v>
      </c>
      <c r="AG22">
        <f>ROUND(AH22*0.86,-1)</f>
        <v>23570</v>
      </c>
      <c r="AH22">
        <f t="shared" si="2"/>
        <v>27410</v>
      </c>
    </row>
    <row r="23" spans="1:35">
      <c r="A23">
        <v>100</v>
      </c>
      <c r="B23">
        <v>2360</v>
      </c>
      <c r="C23" s="2">
        <v>2411</v>
      </c>
      <c r="D23" s="33">
        <v>36120</v>
      </c>
      <c r="E23" s="2">
        <v>2411</v>
      </c>
      <c r="F23">
        <v>4249</v>
      </c>
      <c r="H23" s="2">
        <v>2411</v>
      </c>
      <c r="I23">
        <v>4249</v>
      </c>
      <c r="K23" s="2">
        <v>2411</v>
      </c>
      <c r="L23">
        <f>ROUND(AH23*0.2,0)</f>
        <v>6070</v>
      </c>
      <c r="N23">
        <v>4560</v>
      </c>
      <c r="P23" s="2">
        <v>3408</v>
      </c>
      <c r="Q23">
        <f t="shared" si="9"/>
        <v>20233</v>
      </c>
      <c r="S23" t="str">
        <f t="shared" si="1"/>
        <v>103_6744_6744,104_13489_13489</v>
      </c>
      <c r="U23" s="2">
        <v>3408</v>
      </c>
      <c r="V23">
        <v>6460</v>
      </c>
      <c r="W23" s="2">
        <v>2411</v>
      </c>
      <c r="X23">
        <v>6460</v>
      </c>
      <c r="Y23" s="2">
        <v>2411</v>
      </c>
      <c r="Z23">
        <v>871</v>
      </c>
      <c r="AA23" s="2">
        <v>2411</v>
      </c>
      <c r="AB23">
        <f>ROUND(AH23*0.25,0)</f>
        <v>7588</v>
      </c>
      <c r="AC23" s="2">
        <f>ROUND(AG23/10.7,0)</f>
        <v>2411</v>
      </c>
      <c r="AE23">
        <f>AG23-AG22</f>
        <v>2230</v>
      </c>
      <c r="AG23">
        <f>ROUND(AH23*0.85,-1)</f>
        <v>25800</v>
      </c>
      <c r="AH23">
        <f t="shared" si="2"/>
        <v>30350</v>
      </c>
    </row>
    <row r="24" spans="1:35">
      <c r="B24" t="s">
        <v>172</v>
      </c>
      <c r="D24" t="s">
        <v>171</v>
      </c>
      <c r="F24" t="s">
        <v>170</v>
      </c>
      <c r="I24" t="s">
        <v>170</v>
      </c>
      <c r="L24" t="s">
        <v>173</v>
      </c>
      <c r="N24" t="s">
        <v>172</v>
      </c>
      <c r="V24" t="s">
        <v>174</v>
      </c>
      <c r="X24" t="s">
        <v>175</v>
      </c>
      <c r="Z24" t="s">
        <v>176</v>
      </c>
      <c r="AB24" t="s">
        <v>177</v>
      </c>
    </row>
    <row r="25" spans="1:35">
      <c r="C25" s="2" t="s">
        <v>265</v>
      </c>
      <c r="E25" s="2" t="s">
        <v>271</v>
      </c>
      <c r="H25" s="2" t="s">
        <v>266</v>
      </c>
      <c r="M25" t="s">
        <v>267</v>
      </c>
      <c r="O25" t="s">
        <v>268</v>
      </c>
      <c r="Q25" t="s">
        <v>269</v>
      </c>
      <c r="W25" s="2" t="s">
        <v>270</v>
      </c>
      <c r="Y25" s="2" t="s">
        <v>272</v>
      </c>
      <c r="AA25" s="2" t="s">
        <v>273</v>
      </c>
      <c r="AC25" s="2" t="s">
        <v>274</v>
      </c>
    </row>
    <row r="41" spans="6:6">
      <c r="F41" s="36"/>
    </row>
  </sheetData>
  <phoneticPr fontId="8" type="noConversion"/>
  <pageMargins left="0.69930555555555596" right="0.69930555555555596" top="0.75" bottom="0.75" header="0.3" footer="0.3"/>
  <pageSetup paperSize="9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5"/>
  <dimension ref="A1:AB103"/>
  <sheetViews>
    <sheetView topLeftCell="J82" workbookViewId="0">
      <selection activeCell="P110" sqref="P110"/>
    </sheetView>
  </sheetViews>
  <sheetFormatPr defaultColWidth="9" defaultRowHeight="13.5"/>
  <cols>
    <col min="3" max="3" width="13.5" customWidth="1"/>
    <col min="4" max="4" width="14" customWidth="1"/>
    <col min="5" max="5" width="13.5" customWidth="1"/>
    <col min="11" max="11" width="13.875" customWidth="1"/>
    <col min="12" max="12" width="12" customWidth="1"/>
    <col min="13" max="13" width="9" style="15"/>
    <col min="14" max="15" width="12.625"/>
    <col min="16" max="20" width="9" style="4"/>
    <col min="21" max="21" width="9.5" style="4" bestFit="1" customWidth="1"/>
    <col min="22" max="22" width="9.5" style="4" customWidth="1"/>
    <col min="23" max="27" width="9" style="4"/>
  </cols>
  <sheetData>
    <row r="1" spans="1:28">
      <c r="A1" t="s">
        <v>84</v>
      </c>
      <c r="B1" t="s">
        <v>85</v>
      </c>
      <c r="C1" t="s">
        <v>86</v>
      </c>
      <c r="D1" t="s">
        <v>87</v>
      </c>
      <c r="E1" t="s">
        <v>88</v>
      </c>
      <c r="K1" t="s">
        <v>43</v>
      </c>
      <c r="L1" t="s">
        <v>89</v>
      </c>
      <c r="O1" t="s">
        <v>237</v>
      </c>
      <c r="P1" s="4" t="s">
        <v>238</v>
      </c>
      <c r="R1" s="4" t="s">
        <v>240</v>
      </c>
      <c r="S1" s="4" t="s">
        <v>236</v>
      </c>
      <c r="U1" s="4" t="s">
        <v>241</v>
      </c>
      <c r="V1" s="4" t="s">
        <v>378</v>
      </c>
      <c r="W1" s="4" t="s">
        <v>242</v>
      </c>
      <c r="X1" s="4" t="s">
        <v>380</v>
      </c>
      <c r="Z1" s="4" t="s">
        <v>239</v>
      </c>
    </row>
    <row r="2" spans="1:28">
      <c r="A2">
        <v>1</v>
      </c>
      <c r="B2" t="s">
        <v>90</v>
      </c>
      <c r="C2" t="s">
        <v>167</v>
      </c>
      <c r="D2">
        <v>3</v>
      </c>
      <c r="E2">
        <v>204</v>
      </c>
      <c r="F2">
        <f>E2/INDEX(O$2:O$101,D2)</f>
        <v>0.84544317222067189</v>
      </c>
      <c r="K2">
        <v>1</v>
      </c>
      <c r="L2">
        <v>100</v>
      </c>
      <c r="O2">
        <f>R2*S2</f>
        <v>146.76948012232415</v>
      </c>
      <c r="Q2" s="4">
        <v>1</v>
      </c>
      <c r="R2" s="4">
        <f>战斗力成长!AY51</f>
        <v>146.76948012232415</v>
      </c>
      <c r="S2" s="4">
        <v>1</v>
      </c>
      <c r="U2" s="4">
        <f>战斗力成长!Y99</f>
        <v>508.73950377551023</v>
      </c>
      <c r="V2" s="4">
        <f>(战斗力成长!AR51+战斗力成长!AS51)*战斗力成长!AX51</f>
        <v>0</v>
      </c>
      <c r="W2" s="4">
        <f>V2+U2/(15+A2/4)</f>
        <v>33.359967460689198</v>
      </c>
      <c r="X2" s="4">
        <f>W2/(IF(15+K2/4&gt;25,25+(1+15+K2/4-25)*(15+K2/4-25)/2,15+K2/4)/(15+K2/4))</f>
        <v>33.359967460689198</v>
      </c>
      <c r="Y2" s="4">
        <f t="shared" ref="Y2:Y31" si="0">ROUND(W2*2*AA2/100,0)</f>
        <v>10</v>
      </c>
      <c r="Z2" s="4">
        <f t="shared" ref="Z2:Z31" si="1">ROUND(R2*AA2/100,0)*0.6</f>
        <v>13.2</v>
      </c>
      <c r="AA2" s="4">
        <v>15</v>
      </c>
      <c r="AB2">
        <f>ROUND(Z2*0.65,0)</f>
        <v>9</v>
      </c>
    </row>
    <row r="3" spans="1:28">
      <c r="A3">
        <v>2</v>
      </c>
      <c r="B3" t="s">
        <v>91</v>
      </c>
      <c r="C3" t="s">
        <v>166</v>
      </c>
      <c r="D3">
        <v>4</v>
      </c>
      <c r="E3">
        <v>269</v>
      </c>
      <c r="F3">
        <f t="shared" ref="F3:F8" si="2">E3/INDEX(O$2:O$101,D3)</f>
        <v>0.89377782925127269</v>
      </c>
      <c r="K3">
        <v>2</v>
      </c>
      <c r="L3">
        <v>120</v>
      </c>
      <c r="O3">
        <f t="shared" ref="O3:O66" si="3">R3*S3</f>
        <v>190.41868916907814</v>
      </c>
      <c r="P3" s="4">
        <f>L3/O3</f>
        <v>0.63019024300418647</v>
      </c>
      <c r="Q3" s="4">
        <v>2</v>
      </c>
      <c r="R3" s="4">
        <f t="shared" ref="R3:U4" si="4">R2*POWER(POWER(R6/R2,0.33),1)</f>
        <v>190.41868916907814</v>
      </c>
      <c r="S3" s="4">
        <v>1</v>
      </c>
      <c r="U3" s="4">
        <f t="shared" si="4"/>
        <v>650.10894577182</v>
      </c>
      <c r="W3" s="4">
        <f t="shared" ref="W3:W66" si="5">V3+U3/(15+A3/4)</f>
        <v>41.94251263044</v>
      </c>
      <c r="X3" s="4">
        <f t="shared" ref="X3:X66" si="6">W3/(IF(15+K3/4&gt;25,25+(1+15+K3/4-25)*(15+K3/4-25)/2,15+K3/4)/(15+K3/4))</f>
        <v>41.94251263044</v>
      </c>
      <c r="Y3" s="4">
        <f t="shared" si="0"/>
        <v>15</v>
      </c>
      <c r="Z3" s="4">
        <f t="shared" si="1"/>
        <v>20.399999999999999</v>
      </c>
      <c r="AA3" s="4">
        <v>18</v>
      </c>
      <c r="AB3">
        <f t="shared" ref="AB3:AB66" si="7">ROUND(Z3*0.65,0)</f>
        <v>13</v>
      </c>
    </row>
    <row r="4" spans="1:28">
      <c r="A4">
        <v>3</v>
      </c>
      <c r="B4" t="s">
        <v>92</v>
      </c>
      <c r="C4" t="s">
        <v>165</v>
      </c>
      <c r="D4">
        <v>6</v>
      </c>
      <c r="E4">
        <v>396</v>
      </c>
      <c r="F4">
        <f t="shared" si="2"/>
        <v>1.0147541629901431</v>
      </c>
      <c r="K4">
        <v>3</v>
      </c>
      <c r="L4">
        <v>136</v>
      </c>
      <c r="O4">
        <f t="shared" si="3"/>
        <v>241.29356851290922</v>
      </c>
      <c r="P4" s="4">
        <f t="shared" ref="P4:P67" si="8">L4/O4</f>
        <v>0.56362878148044793</v>
      </c>
      <c r="Q4" s="4">
        <v>3</v>
      </c>
      <c r="R4" s="4">
        <f t="shared" si="4"/>
        <v>241.29356851290922</v>
      </c>
      <c r="S4" s="4">
        <v>1</v>
      </c>
      <c r="U4" s="4">
        <f t="shared" si="4"/>
        <v>814.21460071629679</v>
      </c>
      <c r="W4" s="4">
        <f t="shared" si="5"/>
        <v>51.696165124844242</v>
      </c>
      <c r="X4" s="4">
        <f t="shared" si="6"/>
        <v>51.696165124844242</v>
      </c>
      <c r="Y4" s="4">
        <f t="shared" si="0"/>
        <v>22</v>
      </c>
      <c r="Z4" s="4">
        <f t="shared" si="1"/>
        <v>30.599999999999998</v>
      </c>
      <c r="AA4" s="4">
        <v>21</v>
      </c>
      <c r="AB4">
        <f t="shared" si="7"/>
        <v>20</v>
      </c>
    </row>
    <row r="5" spans="1:28">
      <c r="A5">
        <v>4</v>
      </c>
      <c r="B5" t="s">
        <v>93</v>
      </c>
      <c r="C5" t="s">
        <v>164</v>
      </c>
      <c r="D5">
        <v>8</v>
      </c>
      <c r="E5">
        <v>612</v>
      </c>
      <c r="F5">
        <f t="shared" si="2"/>
        <v>1.0747705340907769</v>
      </c>
      <c r="K5">
        <v>4</v>
      </c>
      <c r="L5">
        <v>149</v>
      </c>
      <c r="M5" s="15">
        <v>1</v>
      </c>
      <c r="O5">
        <f t="shared" si="3"/>
        <v>300.96964949929918</v>
      </c>
      <c r="P5" s="4">
        <f t="shared" si="8"/>
        <v>0.4950665299570246</v>
      </c>
      <c r="Q5" s="4">
        <v>4</v>
      </c>
      <c r="R5" s="4">
        <f>R4*POWER(POWER(R8/R4,0.33),1)</f>
        <v>300.96964949929918</v>
      </c>
      <c r="S5" s="4">
        <v>1</v>
      </c>
      <c r="U5" s="4">
        <f>U4*POWER(POWER(U8/U4,0.33),1)</f>
        <v>1006.090880718839</v>
      </c>
      <c r="W5" s="4">
        <f t="shared" si="5"/>
        <v>62.880680044927438</v>
      </c>
      <c r="X5" s="4">
        <f t="shared" si="6"/>
        <v>62.880680044927438</v>
      </c>
      <c r="Y5" s="4">
        <f t="shared" si="0"/>
        <v>30</v>
      </c>
      <c r="Z5" s="4">
        <f t="shared" si="1"/>
        <v>43.199999999999996</v>
      </c>
      <c r="AA5" s="4">
        <v>24</v>
      </c>
      <c r="AB5">
        <f t="shared" si="7"/>
        <v>28</v>
      </c>
    </row>
    <row r="6" spans="1:28">
      <c r="A6">
        <v>5</v>
      </c>
      <c r="B6" t="s">
        <v>94</v>
      </c>
      <c r="C6" t="s">
        <v>163</v>
      </c>
      <c r="D6">
        <v>10</v>
      </c>
      <c r="E6">
        <v>928</v>
      </c>
      <c r="F6">
        <f t="shared" si="2"/>
        <v>1.1168914820101379</v>
      </c>
      <c r="K6">
        <v>5</v>
      </c>
      <c r="L6">
        <v>175</v>
      </c>
      <c r="M6" s="15">
        <v>1</v>
      </c>
      <c r="O6">
        <f t="shared" si="3"/>
        <v>323.06036615536863</v>
      </c>
      <c r="P6" s="4">
        <f t="shared" si="8"/>
        <v>0.54169442721376004</v>
      </c>
      <c r="Q6" s="4">
        <v>5</v>
      </c>
      <c r="R6" s="4">
        <f>战斗力成长!AY52</f>
        <v>323.06036615536863</v>
      </c>
      <c r="S6" s="4">
        <v>1</v>
      </c>
      <c r="U6" s="4">
        <f>战斗力成长!Y100</f>
        <v>1069.5337476825398</v>
      </c>
      <c r="V6" s="4">
        <f>(战斗力成长!AR52+战斗力成长!AS52)*战斗力成长!AX52</f>
        <v>0</v>
      </c>
      <c r="W6" s="4">
        <f t="shared" si="5"/>
        <v>65.817461395848596</v>
      </c>
      <c r="X6" s="4">
        <f t="shared" si="6"/>
        <v>65.817461395848596</v>
      </c>
      <c r="Y6" s="4">
        <f t="shared" si="0"/>
        <v>36</v>
      </c>
      <c r="Z6" s="4">
        <f t="shared" si="1"/>
        <v>52.199999999999996</v>
      </c>
      <c r="AA6" s="4">
        <v>27</v>
      </c>
      <c r="AB6">
        <f t="shared" si="7"/>
        <v>34</v>
      </c>
    </row>
    <row r="7" spans="1:28">
      <c r="A7">
        <v>6</v>
      </c>
      <c r="B7" t="s">
        <v>95</v>
      </c>
      <c r="C7" t="s">
        <v>161</v>
      </c>
      <c r="D7">
        <v>12</v>
      </c>
      <c r="E7">
        <v>1428</v>
      </c>
      <c r="F7">
        <f t="shared" si="2"/>
        <v>1.2961972258896728</v>
      </c>
      <c r="K7">
        <v>6</v>
      </c>
      <c r="L7">
        <v>189</v>
      </c>
      <c r="M7" s="15">
        <v>1</v>
      </c>
      <c r="O7">
        <f t="shared" si="3"/>
        <v>390.24230147834004</v>
      </c>
      <c r="P7" s="4">
        <f t="shared" si="8"/>
        <v>0.48431448688165918</v>
      </c>
      <c r="Q7" s="4">
        <v>6</v>
      </c>
      <c r="R7" s="4">
        <f>R6*POWER(POWER(R$11/R$6,0.2),1)</f>
        <v>390.24230147834004</v>
      </c>
      <c r="S7" s="4">
        <v>1</v>
      </c>
      <c r="U7" s="4">
        <f>U6*POWER(POWER(U$11/U$6,0.2),1)</f>
        <v>1285.8981693600072</v>
      </c>
      <c r="W7" s="4">
        <f t="shared" si="5"/>
        <v>77.933222385454982</v>
      </c>
      <c r="X7" s="4">
        <f t="shared" si="6"/>
        <v>77.933222385454982</v>
      </c>
      <c r="Y7" s="4">
        <f t="shared" si="0"/>
        <v>47</v>
      </c>
      <c r="Z7" s="4">
        <f t="shared" si="1"/>
        <v>70.2</v>
      </c>
      <c r="AA7" s="4">
        <v>30</v>
      </c>
      <c r="AB7">
        <f t="shared" si="7"/>
        <v>46</v>
      </c>
    </row>
    <row r="8" spans="1:28">
      <c r="A8">
        <v>7</v>
      </c>
      <c r="B8" t="s">
        <v>96</v>
      </c>
      <c r="C8" t="s">
        <v>162</v>
      </c>
      <c r="D8">
        <v>14</v>
      </c>
      <c r="E8">
        <v>2138</v>
      </c>
      <c r="F8">
        <f t="shared" si="2"/>
        <v>1.4636271558499709</v>
      </c>
      <c r="K8">
        <v>7</v>
      </c>
      <c r="L8">
        <v>210</v>
      </c>
      <c r="M8" s="15">
        <v>1</v>
      </c>
      <c r="O8">
        <f t="shared" si="3"/>
        <v>471.3950388760212</v>
      </c>
      <c r="P8" s="4">
        <f t="shared" si="8"/>
        <v>0.44548623273744475</v>
      </c>
      <c r="Q8" s="4">
        <v>7</v>
      </c>
      <c r="R8" s="4">
        <f>R7*POWER(POWER(R$11/R$6,0.2),1)</f>
        <v>471.3950388760212</v>
      </c>
      <c r="S8" s="4">
        <v>1</v>
      </c>
      <c r="U8" s="4">
        <f>U7*POWER(POWER(U$11/U$6,0.2),1)</f>
        <v>1546.0326572642396</v>
      </c>
      <c r="W8" s="4">
        <f t="shared" si="5"/>
        <v>92.300457150103853</v>
      </c>
      <c r="X8" s="4">
        <f t="shared" si="6"/>
        <v>92.300457150103853</v>
      </c>
      <c r="Y8" s="4">
        <f t="shared" si="0"/>
        <v>61</v>
      </c>
      <c r="Z8" s="4">
        <f t="shared" si="1"/>
        <v>93.6</v>
      </c>
      <c r="AA8" s="4">
        <v>33</v>
      </c>
      <c r="AB8">
        <f t="shared" si="7"/>
        <v>61</v>
      </c>
    </row>
    <row r="9" spans="1:28">
      <c r="A9">
        <v>8</v>
      </c>
      <c r="B9" t="s">
        <v>98</v>
      </c>
      <c r="C9" t="s">
        <v>160</v>
      </c>
      <c r="D9">
        <v>16</v>
      </c>
      <c r="E9">
        <v>3180</v>
      </c>
      <c r="F9">
        <v>3.2</v>
      </c>
      <c r="K9">
        <v>8</v>
      </c>
      <c r="L9">
        <v>238</v>
      </c>
      <c r="M9" s="15">
        <v>1</v>
      </c>
      <c r="O9">
        <f t="shared" si="3"/>
        <v>569.42387289928195</v>
      </c>
      <c r="P9" s="4">
        <f t="shared" si="8"/>
        <v>0.41796631881307994</v>
      </c>
      <c r="Q9" s="4">
        <v>8</v>
      </c>
      <c r="R9" s="4">
        <f>R8*POWER(POWER(R$11/R$6,0.2),1)</f>
        <v>569.42387289928195</v>
      </c>
      <c r="S9" s="4">
        <v>1</v>
      </c>
      <c r="U9" s="4">
        <f>U8*POWER(POWER(U$11/U$6,0.2),1)</f>
        <v>1858.7918034887157</v>
      </c>
      <c r="W9" s="4">
        <f t="shared" si="5"/>
        <v>109.34069432286563</v>
      </c>
      <c r="X9" s="4">
        <f t="shared" si="6"/>
        <v>109.34069432286563</v>
      </c>
      <c r="Y9" s="4">
        <f t="shared" si="0"/>
        <v>79</v>
      </c>
      <c r="Z9" s="4">
        <f t="shared" si="1"/>
        <v>123</v>
      </c>
      <c r="AA9" s="4">
        <v>36</v>
      </c>
      <c r="AB9">
        <f t="shared" si="7"/>
        <v>80</v>
      </c>
    </row>
    <row r="10" spans="1:28">
      <c r="A10">
        <v>9</v>
      </c>
      <c r="B10" t="s">
        <v>97</v>
      </c>
      <c r="C10" t="s">
        <v>158</v>
      </c>
      <c r="D10">
        <v>18</v>
      </c>
      <c r="E10">
        <v>4602</v>
      </c>
      <c r="F10">
        <v>3.8</v>
      </c>
      <c r="K10">
        <v>9</v>
      </c>
      <c r="L10">
        <v>304</v>
      </c>
      <c r="M10" s="15">
        <v>1</v>
      </c>
      <c r="O10">
        <f t="shared" si="3"/>
        <v>687.83826787980888</v>
      </c>
      <c r="P10" s="4">
        <f t="shared" si="8"/>
        <v>0.44196436022242397</v>
      </c>
      <c r="Q10" s="4">
        <v>9</v>
      </c>
      <c r="R10" s="4">
        <f>R9*POWER(POWER(R$11/R$6,0.2),1)</f>
        <v>687.83826787980888</v>
      </c>
      <c r="S10" s="4">
        <v>1</v>
      </c>
      <c r="U10" s="4">
        <f>U9*POWER(POWER(U$11/U$6,0.2),1)</f>
        <v>2234.8214654344806</v>
      </c>
      <c r="W10" s="4">
        <f t="shared" si="5"/>
        <v>129.55486756141917</v>
      </c>
      <c r="X10" s="4">
        <f t="shared" si="6"/>
        <v>129.55486756141917</v>
      </c>
      <c r="Y10" s="4">
        <f t="shared" si="0"/>
        <v>101</v>
      </c>
      <c r="Z10" s="4">
        <f t="shared" si="1"/>
        <v>160.79999999999998</v>
      </c>
      <c r="AA10" s="4">
        <v>39</v>
      </c>
      <c r="AB10">
        <f t="shared" si="7"/>
        <v>105</v>
      </c>
    </row>
    <row r="11" spans="1:28">
      <c r="A11">
        <v>10</v>
      </c>
      <c r="B11" t="s">
        <v>100</v>
      </c>
      <c r="C11" t="s">
        <v>157</v>
      </c>
      <c r="D11">
        <v>20</v>
      </c>
      <c r="E11">
        <v>6526</v>
      </c>
      <c r="F11">
        <v>4.4000000000000004</v>
      </c>
      <c r="K11">
        <v>10</v>
      </c>
      <c r="L11">
        <v>344</v>
      </c>
      <c r="M11" s="15">
        <v>1</v>
      </c>
      <c r="O11">
        <f t="shared" si="3"/>
        <v>830.87749790142698</v>
      </c>
      <c r="P11" s="4">
        <f t="shared" si="8"/>
        <v>0.41402011833134422</v>
      </c>
      <c r="Q11" s="4">
        <v>10</v>
      </c>
      <c r="R11" s="4">
        <f>战斗力成长!AY53</f>
        <v>830.87749790142698</v>
      </c>
      <c r="S11" s="4">
        <v>1</v>
      </c>
      <c r="U11" s="4">
        <f>战斗力成长!Y101</f>
        <v>2686.9211350043711</v>
      </c>
      <c r="V11" s="4">
        <f>(战斗力成长!AR53+战斗力成长!AS53)*战斗力成长!AX53</f>
        <v>47.871266184057525</v>
      </c>
      <c r="W11" s="4">
        <f t="shared" si="5"/>
        <v>201.40961675573587</v>
      </c>
      <c r="X11" s="4">
        <f t="shared" si="6"/>
        <v>201.40961675573587</v>
      </c>
      <c r="Y11" s="4">
        <f t="shared" si="0"/>
        <v>169</v>
      </c>
      <c r="Z11" s="4">
        <f t="shared" si="1"/>
        <v>209.4</v>
      </c>
      <c r="AA11" s="4">
        <v>42</v>
      </c>
      <c r="AB11">
        <f t="shared" si="7"/>
        <v>136</v>
      </c>
    </row>
    <row r="12" spans="1:28">
      <c r="A12">
        <v>11</v>
      </c>
      <c r="B12" t="s">
        <v>99</v>
      </c>
      <c r="C12" t="s">
        <v>159</v>
      </c>
      <c r="D12">
        <v>22</v>
      </c>
      <c r="E12">
        <v>9108</v>
      </c>
      <c r="F12">
        <v>5</v>
      </c>
      <c r="K12">
        <v>11</v>
      </c>
      <c r="L12">
        <v>416</v>
      </c>
      <c r="M12" s="15">
        <v>1</v>
      </c>
      <c r="O12">
        <f t="shared" si="3"/>
        <v>956.74688873698187</v>
      </c>
      <c r="P12" s="4">
        <f t="shared" si="8"/>
        <v>0.43480674449766832</v>
      </c>
      <c r="Q12" s="4">
        <v>11</v>
      </c>
      <c r="R12" s="4">
        <f>R11*POWER(POWER(R$16/R$11,0.2),1)</f>
        <v>956.74688873698187</v>
      </c>
      <c r="S12" s="4">
        <v>1</v>
      </c>
      <c r="U12" s="4">
        <f t="shared" ref="U12:V15" si="9">U11*POWER(POWER(U$16/U$11,0.2),1)</f>
        <v>3125.3901581306873</v>
      </c>
      <c r="V12" s="4">
        <f t="shared" si="9"/>
        <v>54.151309562224</v>
      </c>
      <c r="W12" s="4">
        <f t="shared" si="5"/>
        <v>230.22962833015004</v>
      </c>
      <c r="X12" s="4">
        <f t="shared" si="6"/>
        <v>230.22962833015004</v>
      </c>
      <c r="Y12" s="4">
        <f t="shared" si="0"/>
        <v>207</v>
      </c>
      <c r="Z12" s="4">
        <f t="shared" si="1"/>
        <v>258.59999999999997</v>
      </c>
      <c r="AA12" s="4">
        <v>45</v>
      </c>
      <c r="AB12">
        <f t="shared" si="7"/>
        <v>168</v>
      </c>
    </row>
    <row r="13" spans="1:28">
      <c r="A13">
        <v>12</v>
      </c>
      <c r="B13" t="s">
        <v>101</v>
      </c>
      <c r="C13" t="s">
        <v>156</v>
      </c>
      <c r="D13">
        <v>24</v>
      </c>
      <c r="E13">
        <v>12475</v>
      </c>
      <c r="F13">
        <v>5.6</v>
      </c>
      <c r="K13">
        <v>12</v>
      </c>
      <c r="L13">
        <v>476</v>
      </c>
      <c r="M13" s="15">
        <v>1</v>
      </c>
      <c r="O13">
        <f t="shared" si="3"/>
        <v>1101.6841970324861</v>
      </c>
      <c r="P13" s="4">
        <f t="shared" si="8"/>
        <v>0.43206574196322423</v>
      </c>
      <c r="Q13" s="4">
        <v>12</v>
      </c>
      <c r="R13" s="4">
        <f>R12*POWER(POWER(R$16/R$11,0.2),1)</f>
        <v>1101.6841970324861</v>
      </c>
      <c r="S13" s="4">
        <v>1</v>
      </c>
      <c r="U13" s="4">
        <f t="shared" si="9"/>
        <v>3635.4113685306479</v>
      </c>
      <c r="V13" s="4">
        <f t="shared" si="9"/>
        <v>61.255207163924396</v>
      </c>
      <c r="W13" s="4">
        <f t="shared" si="5"/>
        <v>263.22250541562704</v>
      </c>
      <c r="X13" s="4">
        <f t="shared" si="6"/>
        <v>263.22250541562704</v>
      </c>
      <c r="Y13" s="4">
        <f t="shared" si="0"/>
        <v>253</v>
      </c>
      <c r="Z13" s="4">
        <f t="shared" si="1"/>
        <v>317.39999999999998</v>
      </c>
      <c r="AA13" s="4">
        <v>48</v>
      </c>
      <c r="AB13">
        <f t="shared" si="7"/>
        <v>206</v>
      </c>
    </row>
    <row r="14" spans="1:28">
      <c r="A14">
        <v>13</v>
      </c>
      <c r="B14" t="s">
        <v>103</v>
      </c>
      <c r="C14" t="s">
        <v>154</v>
      </c>
      <c r="D14">
        <v>26</v>
      </c>
      <c r="E14">
        <v>16830</v>
      </c>
      <c r="F14">
        <v>6.2</v>
      </c>
      <c r="K14">
        <v>13</v>
      </c>
      <c r="L14">
        <v>544</v>
      </c>
      <c r="M14" s="15">
        <v>1</v>
      </c>
      <c r="O14">
        <f t="shared" si="3"/>
        <v>1268.5780160658276</v>
      </c>
      <c r="P14" s="4">
        <f t="shared" si="8"/>
        <v>0.42882660199888833</v>
      </c>
      <c r="Q14" s="4">
        <v>13</v>
      </c>
      <c r="R14" s="4">
        <f>R13*POWER(POWER(R$16/R$11,0.2),1)</f>
        <v>1268.5780160658276</v>
      </c>
      <c r="S14" s="4">
        <v>1</v>
      </c>
      <c r="U14" s="4">
        <f t="shared" si="9"/>
        <v>4228.6611110167978</v>
      </c>
      <c r="V14" s="4">
        <f t="shared" si="9"/>
        <v>69.291037188744795</v>
      </c>
      <c r="W14" s="4">
        <f t="shared" si="5"/>
        <v>300.99849532665155</v>
      </c>
      <c r="X14" s="4">
        <f t="shared" si="6"/>
        <v>300.99849532665155</v>
      </c>
      <c r="Y14" s="4">
        <f t="shared" si="0"/>
        <v>307</v>
      </c>
      <c r="Z14" s="4">
        <f t="shared" si="1"/>
        <v>388.2</v>
      </c>
      <c r="AA14" s="4">
        <v>51</v>
      </c>
      <c r="AB14">
        <f t="shared" si="7"/>
        <v>252</v>
      </c>
    </row>
    <row r="15" spans="1:28">
      <c r="A15">
        <v>14</v>
      </c>
      <c r="B15" t="s">
        <v>102</v>
      </c>
      <c r="C15" t="s">
        <v>155</v>
      </c>
      <c r="D15">
        <v>28</v>
      </c>
      <c r="E15">
        <v>22275</v>
      </c>
      <c r="F15">
        <v>6.8</v>
      </c>
      <c r="K15">
        <v>14</v>
      </c>
      <c r="L15">
        <v>648</v>
      </c>
      <c r="M15" s="15">
        <v>1</v>
      </c>
      <c r="O15">
        <f t="shared" si="3"/>
        <v>1460.7545312715936</v>
      </c>
      <c r="P15" s="4">
        <f t="shared" si="8"/>
        <v>0.44360635967763384</v>
      </c>
      <c r="Q15" s="4">
        <v>14</v>
      </c>
      <c r="R15" s="4">
        <f>R14*POWER(POWER(R$16/R$11,0.2),1)</f>
        <v>1460.7545312715936</v>
      </c>
      <c r="S15" s="4">
        <v>1</v>
      </c>
      <c r="U15" s="4">
        <f t="shared" si="9"/>
        <v>4918.7211512333342</v>
      </c>
      <c r="V15" s="4">
        <f t="shared" si="9"/>
        <v>78.381056190756922</v>
      </c>
      <c r="W15" s="4">
        <f t="shared" si="5"/>
        <v>344.25787517634257</v>
      </c>
      <c r="X15" s="4">
        <f t="shared" si="6"/>
        <v>344.25787517634257</v>
      </c>
      <c r="Y15" s="4">
        <f t="shared" si="0"/>
        <v>372</v>
      </c>
      <c r="Z15" s="4">
        <f t="shared" si="1"/>
        <v>473.4</v>
      </c>
      <c r="AA15" s="4">
        <v>54</v>
      </c>
      <c r="AB15">
        <f t="shared" si="7"/>
        <v>308</v>
      </c>
    </row>
    <row r="16" spans="1:28">
      <c r="A16">
        <v>15</v>
      </c>
      <c r="B16" t="s">
        <v>104</v>
      </c>
      <c r="C16" t="s">
        <v>168</v>
      </c>
      <c r="D16">
        <v>30</v>
      </c>
      <c r="E16">
        <v>29121</v>
      </c>
      <c r="F16">
        <v>7.4</v>
      </c>
      <c r="K16">
        <v>15</v>
      </c>
      <c r="L16">
        <v>779</v>
      </c>
      <c r="M16" s="15">
        <v>1</v>
      </c>
      <c r="O16">
        <f t="shared" si="3"/>
        <v>1682.0438109497941</v>
      </c>
      <c r="P16" s="4">
        <f t="shared" si="8"/>
        <v>0.46312705705336216</v>
      </c>
      <c r="Q16" s="4">
        <v>15</v>
      </c>
      <c r="R16" s="4">
        <f>战斗力成长!AY54</f>
        <v>1682.0438109497941</v>
      </c>
      <c r="S16" s="4">
        <v>1</v>
      </c>
      <c r="U16" s="4">
        <f>战斗力成长!Y102</f>
        <v>5721.3896144476494</v>
      </c>
      <c r="V16" s="4">
        <f>(战斗力成长!AR54+战斗力成长!AS54)*战斗力成长!AX54</f>
        <v>88.663559081152272</v>
      </c>
      <c r="W16" s="4">
        <f t="shared" si="5"/>
        <v>393.80433851836028</v>
      </c>
      <c r="X16" s="4">
        <f t="shared" si="6"/>
        <v>393.80433851836028</v>
      </c>
      <c r="Y16" s="4">
        <f t="shared" si="0"/>
        <v>449</v>
      </c>
      <c r="Z16" s="4">
        <f t="shared" si="1"/>
        <v>575.4</v>
      </c>
      <c r="AA16" s="4">
        <v>57</v>
      </c>
      <c r="AB16">
        <f t="shared" si="7"/>
        <v>374</v>
      </c>
    </row>
    <row r="17" spans="1:28">
      <c r="A17">
        <v>16</v>
      </c>
      <c r="B17" t="s">
        <v>111</v>
      </c>
      <c r="C17" t="s">
        <v>105</v>
      </c>
      <c r="D17">
        <v>32</v>
      </c>
      <c r="E17">
        <v>37584</v>
      </c>
      <c r="F17">
        <v>8</v>
      </c>
      <c r="K17">
        <v>16</v>
      </c>
      <c r="L17">
        <f>ROUND(O17*M17,0)</f>
        <v>1740</v>
      </c>
      <c r="M17" s="15">
        <v>0.9</v>
      </c>
      <c r="O17">
        <f t="shared" si="3"/>
        <v>1933.4792754782943</v>
      </c>
      <c r="P17" s="4">
        <f t="shared" si="8"/>
        <v>0.89993206654339108</v>
      </c>
      <c r="Q17" s="4">
        <v>16</v>
      </c>
      <c r="R17" s="4">
        <f>R16*POWER(POWER(R$21/R$16,0.2),1)</f>
        <v>1933.4792754782943</v>
      </c>
      <c r="S17" s="4">
        <v>1</v>
      </c>
      <c r="U17" s="4">
        <f t="shared" ref="U17:V20" si="10">U16*POWER(POWER(U$21/U$16,0.2),1)</f>
        <v>6610.1693945910029</v>
      </c>
      <c r="V17" s="4">
        <f t="shared" si="10"/>
        <v>119.51929962444621</v>
      </c>
      <c r="W17" s="4">
        <f t="shared" si="5"/>
        <v>467.42295197134109</v>
      </c>
      <c r="X17" s="4">
        <f t="shared" si="6"/>
        <v>467.42295197134109</v>
      </c>
      <c r="Y17" s="4">
        <f t="shared" si="0"/>
        <v>561</v>
      </c>
      <c r="Z17" s="4">
        <f t="shared" si="1"/>
        <v>696</v>
      </c>
      <c r="AA17" s="4">
        <v>60</v>
      </c>
      <c r="AB17">
        <f t="shared" si="7"/>
        <v>452</v>
      </c>
    </row>
    <row r="18" spans="1:28">
      <c r="A18">
        <v>17</v>
      </c>
      <c r="B18" t="s">
        <v>106</v>
      </c>
      <c r="C18" t="s">
        <v>107</v>
      </c>
      <c r="D18">
        <v>34</v>
      </c>
      <c r="E18">
        <v>47980</v>
      </c>
      <c r="F18">
        <v>8.6</v>
      </c>
      <c r="K18">
        <v>17</v>
      </c>
      <c r="L18">
        <f t="shared" ref="L18:L81" si="11">ROUND(O18*M18,0)</f>
        <v>2111</v>
      </c>
      <c r="M18" s="15">
        <v>0.95</v>
      </c>
      <c r="O18">
        <f t="shared" si="3"/>
        <v>2222.4998447532425</v>
      </c>
      <c r="P18" s="4">
        <f t="shared" si="8"/>
        <v>0.94983133743902604</v>
      </c>
      <c r="Q18" s="4">
        <v>17</v>
      </c>
      <c r="R18" s="4">
        <f>R17*POWER(POWER(R$21/R$16,0.2),1)</f>
        <v>2222.4998447532425</v>
      </c>
      <c r="S18" s="4">
        <v>1</v>
      </c>
      <c r="U18" s="4">
        <f t="shared" si="10"/>
        <v>7637.0151955480651</v>
      </c>
      <c r="V18" s="4">
        <f t="shared" si="10"/>
        <v>161.11312393452931</v>
      </c>
      <c r="W18" s="4">
        <f t="shared" si="5"/>
        <v>557.84118604092237</v>
      </c>
      <c r="X18" s="4">
        <f t="shared" si="6"/>
        <v>557.84118604092237</v>
      </c>
      <c r="Y18" s="4">
        <f t="shared" si="0"/>
        <v>703</v>
      </c>
      <c r="Z18" s="4">
        <f t="shared" si="1"/>
        <v>840</v>
      </c>
      <c r="AA18" s="4">
        <v>63</v>
      </c>
      <c r="AB18">
        <f t="shared" si="7"/>
        <v>546</v>
      </c>
    </row>
    <row r="19" spans="1:28">
      <c r="A19">
        <v>18</v>
      </c>
      <c r="B19" t="s">
        <v>108</v>
      </c>
      <c r="C19" t="s">
        <v>109</v>
      </c>
      <c r="D19">
        <v>36</v>
      </c>
      <c r="E19">
        <v>60482</v>
      </c>
      <c r="F19">
        <v>9.1999999999999993</v>
      </c>
      <c r="K19">
        <v>18</v>
      </c>
      <c r="L19">
        <f t="shared" si="11"/>
        <v>2555</v>
      </c>
      <c r="M19" s="15">
        <v>1</v>
      </c>
      <c r="O19">
        <f t="shared" si="3"/>
        <v>2554.7238196831863</v>
      </c>
      <c r="P19" s="4">
        <f t="shared" si="8"/>
        <v>1.0001081057430496</v>
      </c>
      <c r="Q19" s="4">
        <v>18</v>
      </c>
      <c r="R19" s="4">
        <f>R18*POWER(POWER(R$21/R$16,0.2),1)</f>
        <v>2554.7238196831863</v>
      </c>
      <c r="S19" s="4">
        <v>1</v>
      </c>
      <c r="U19" s="4">
        <f t="shared" si="10"/>
        <v>8823.3746543254492</v>
      </c>
      <c r="V19" s="4">
        <f t="shared" si="10"/>
        <v>217.18198471298376</v>
      </c>
      <c r="W19" s="4">
        <f t="shared" si="5"/>
        <v>669.66273621685298</v>
      </c>
      <c r="X19" s="4">
        <f t="shared" si="6"/>
        <v>669.66273621685298</v>
      </c>
      <c r="Y19" s="4">
        <f t="shared" si="0"/>
        <v>884</v>
      </c>
      <c r="Z19" s="4">
        <f t="shared" si="1"/>
        <v>1011.5999999999999</v>
      </c>
      <c r="AA19" s="4">
        <v>66</v>
      </c>
      <c r="AB19">
        <f t="shared" si="7"/>
        <v>658</v>
      </c>
    </row>
    <row r="20" spans="1:28">
      <c r="A20">
        <v>19</v>
      </c>
      <c r="B20" t="s">
        <v>110</v>
      </c>
      <c r="C20" t="s">
        <v>198</v>
      </c>
      <c r="D20">
        <v>38</v>
      </c>
      <c r="E20">
        <v>80080</v>
      </c>
      <c r="F20">
        <v>9.7999999999999794</v>
      </c>
      <c r="K20">
        <v>19</v>
      </c>
      <c r="L20">
        <f t="shared" si="11"/>
        <v>3083</v>
      </c>
      <c r="M20" s="15">
        <v>1.05</v>
      </c>
      <c r="O20">
        <f t="shared" si="3"/>
        <v>2936.6093366729929</v>
      </c>
      <c r="P20" s="4">
        <f t="shared" si="8"/>
        <v>1.0498502342476577</v>
      </c>
      <c r="Q20" s="4">
        <v>19</v>
      </c>
      <c r="R20" s="4">
        <f>R19*POWER(POWER(R$21/R$16,0.2),1)</f>
        <v>2936.6093366729929</v>
      </c>
      <c r="S20" s="4">
        <v>1</v>
      </c>
      <c r="U20" s="4">
        <f t="shared" si="10"/>
        <v>10194.027155527447</v>
      </c>
      <c r="V20" s="4">
        <f t="shared" si="10"/>
        <v>292.76332884612259</v>
      </c>
      <c r="W20" s="4">
        <f t="shared" si="5"/>
        <v>808.91660254371482</v>
      </c>
      <c r="X20" s="4">
        <f t="shared" si="6"/>
        <v>808.91660254371482</v>
      </c>
      <c r="Y20" s="4">
        <f t="shared" si="0"/>
        <v>1116</v>
      </c>
      <c r="Z20" s="4">
        <f t="shared" si="1"/>
        <v>1215.5999999999999</v>
      </c>
      <c r="AA20" s="4">
        <v>69</v>
      </c>
      <c r="AB20">
        <f t="shared" si="7"/>
        <v>790</v>
      </c>
    </row>
    <row r="21" spans="1:28">
      <c r="A21">
        <v>20</v>
      </c>
      <c r="B21" t="s">
        <v>112</v>
      </c>
      <c r="C21" t="s">
        <v>199</v>
      </c>
      <c r="D21">
        <v>40</v>
      </c>
      <c r="E21">
        <v>98329</v>
      </c>
      <c r="F21">
        <v>10.4</v>
      </c>
      <c r="K21">
        <v>20</v>
      </c>
      <c r="L21">
        <f t="shared" si="11"/>
        <v>3713</v>
      </c>
      <c r="M21" s="15">
        <v>1.1000000000000001</v>
      </c>
      <c r="O21">
        <f t="shared" si="3"/>
        <v>3375.5799080091651</v>
      </c>
      <c r="P21" s="4">
        <f t="shared" si="8"/>
        <v>1.099959148112668</v>
      </c>
      <c r="Q21" s="4">
        <v>20</v>
      </c>
      <c r="R21" s="4">
        <f>战斗力成长!AY55</f>
        <v>3375.5799080091651</v>
      </c>
      <c r="S21" s="4">
        <v>1</v>
      </c>
      <c r="U21" s="4">
        <f>战斗力成长!Y103</f>
        <v>11777.601396160555</v>
      </c>
      <c r="V21" s="4">
        <f>(战斗力成长!AR55+战斗力成长!AS55)*战斗力成长!AX55</f>
        <v>394.6476814379111</v>
      </c>
      <c r="W21" s="4">
        <f>V21+U21/(15+A21/4)</f>
        <v>983.52775124593882</v>
      </c>
      <c r="X21" s="4">
        <f t="shared" si="6"/>
        <v>983.52775124593882</v>
      </c>
      <c r="Y21" s="4">
        <f t="shared" si="0"/>
        <v>1416</v>
      </c>
      <c r="Z21" s="4">
        <f t="shared" si="1"/>
        <v>1458</v>
      </c>
      <c r="AA21" s="4">
        <v>72</v>
      </c>
      <c r="AB21">
        <f t="shared" si="7"/>
        <v>948</v>
      </c>
    </row>
    <row r="22" spans="1:28">
      <c r="A22">
        <v>21</v>
      </c>
      <c r="B22" t="s">
        <v>113</v>
      </c>
      <c r="C22" t="s">
        <v>200</v>
      </c>
      <c r="D22">
        <v>42</v>
      </c>
      <c r="E22">
        <v>118550</v>
      </c>
      <c r="F22">
        <v>11</v>
      </c>
      <c r="K22">
        <v>21</v>
      </c>
      <c r="L22">
        <f t="shared" si="11"/>
        <v>4264</v>
      </c>
      <c r="M22" s="15">
        <v>1.1499999999999999</v>
      </c>
      <c r="O22">
        <f t="shared" si="3"/>
        <v>3707.5378872694455</v>
      </c>
      <c r="P22" s="4">
        <f t="shared" si="8"/>
        <v>1.1500893934600847</v>
      </c>
      <c r="Q22" s="4">
        <v>21</v>
      </c>
      <c r="R22" s="4">
        <f>R21*POWER(POWER(R$26/R$21,0.2),1)</f>
        <v>3707.5378872694455</v>
      </c>
      <c r="S22" s="4">
        <v>1</v>
      </c>
      <c r="U22" s="4">
        <f t="shared" ref="U22:V25" si="12">U21*POWER(POWER(U$26/U$21,0.2),1)</f>
        <v>13176.286662435992</v>
      </c>
      <c r="V22" s="4">
        <f t="shared" si="12"/>
        <v>437.75743979458872</v>
      </c>
      <c r="W22" s="4">
        <f t="shared" si="5"/>
        <v>1088.4382626309341</v>
      </c>
      <c r="X22" s="4">
        <f t="shared" si="6"/>
        <v>1088.4382626309341</v>
      </c>
      <c r="Y22" s="4">
        <f t="shared" si="0"/>
        <v>1633</v>
      </c>
      <c r="Z22" s="4">
        <f t="shared" si="1"/>
        <v>1668.6</v>
      </c>
      <c r="AA22" s="4">
        <v>75</v>
      </c>
      <c r="AB22">
        <f t="shared" si="7"/>
        <v>1085</v>
      </c>
    </row>
    <row r="23" spans="1:28">
      <c r="A23">
        <v>22</v>
      </c>
      <c r="B23" t="s">
        <v>114</v>
      </c>
      <c r="C23" t="s">
        <v>201</v>
      </c>
      <c r="D23">
        <v>44</v>
      </c>
      <c r="E23">
        <v>142087</v>
      </c>
      <c r="F23">
        <v>11.6</v>
      </c>
      <c r="K23">
        <v>22</v>
      </c>
      <c r="L23">
        <f t="shared" si="11"/>
        <v>4887</v>
      </c>
      <c r="M23" s="15">
        <v>1.2</v>
      </c>
      <c r="O23">
        <f t="shared" si="3"/>
        <v>4072.140953595539</v>
      </c>
      <c r="P23" s="4">
        <f t="shared" si="8"/>
        <v>1.2001058056904863</v>
      </c>
      <c r="Q23" s="4">
        <v>22</v>
      </c>
      <c r="R23" s="4">
        <f>R22*POWER(POWER(R$26/R$21,0.2),1)</f>
        <v>4072.140953595539</v>
      </c>
      <c r="S23" s="4">
        <v>1</v>
      </c>
      <c r="U23" s="4">
        <f t="shared" si="12"/>
        <v>14741.077098031708</v>
      </c>
      <c r="V23" s="4">
        <f t="shared" si="12"/>
        <v>485.57633836159221</v>
      </c>
      <c r="W23" s="4">
        <f t="shared" si="5"/>
        <v>1204.653269972895</v>
      </c>
      <c r="X23" s="4">
        <f t="shared" si="6"/>
        <v>1204.653269972895</v>
      </c>
      <c r="Y23" s="4">
        <f t="shared" si="0"/>
        <v>1879</v>
      </c>
      <c r="Z23" s="4">
        <f t="shared" si="1"/>
        <v>1905.6</v>
      </c>
      <c r="AA23" s="4">
        <v>78</v>
      </c>
      <c r="AB23">
        <f t="shared" si="7"/>
        <v>1239</v>
      </c>
    </row>
    <row r="24" spans="1:28">
      <c r="A24">
        <v>23</v>
      </c>
      <c r="B24" t="s">
        <v>115</v>
      </c>
      <c r="C24" t="s">
        <v>202</v>
      </c>
      <c r="D24">
        <v>46</v>
      </c>
      <c r="E24">
        <v>168820</v>
      </c>
      <c r="F24">
        <v>12.2</v>
      </c>
      <c r="K24">
        <v>23</v>
      </c>
      <c r="L24">
        <f t="shared" si="11"/>
        <v>5591</v>
      </c>
      <c r="M24" s="15">
        <v>1.25</v>
      </c>
      <c r="O24">
        <f t="shared" si="3"/>
        <v>4472.5994582250005</v>
      </c>
      <c r="P24" s="4">
        <f t="shared" si="8"/>
        <v>1.2500560473212705</v>
      </c>
      <c r="Q24" s="4">
        <v>23</v>
      </c>
      <c r="R24" s="4">
        <f>R23*POWER(POWER(R$26/R$21,0.2),1)</f>
        <v>4472.5994582250005</v>
      </c>
      <c r="S24" s="4">
        <v>1</v>
      </c>
      <c r="U24" s="4">
        <f t="shared" si="12"/>
        <v>16491.699033052253</v>
      </c>
      <c r="V24" s="4">
        <f t="shared" si="12"/>
        <v>538.61878506802725</v>
      </c>
      <c r="W24" s="4">
        <f t="shared" si="5"/>
        <v>1333.3994613597019</v>
      </c>
      <c r="X24" s="4">
        <f t="shared" si="6"/>
        <v>1333.3994613597019</v>
      </c>
      <c r="Y24" s="4">
        <f t="shared" si="0"/>
        <v>2160</v>
      </c>
      <c r="Z24" s="4">
        <f t="shared" si="1"/>
        <v>2173.7999999999997</v>
      </c>
      <c r="AA24" s="4">
        <v>81</v>
      </c>
      <c r="AB24">
        <f t="shared" si="7"/>
        <v>1413</v>
      </c>
    </row>
    <row r="25" spans="1:28">
      <c r="A25">
        <v>24</v>
      </c>
      <c r="B25" t="s">
        <v>116</v>
      </c>
      <c r="C25" t="s">
        <v>203</v>
      </c>
      <c r="D25">
        <v>48</v>
      </c>
      <c r="E25">
        <v>196913</v>
      </c>
      <c r="F25">
        <v>12.8</v>
      </c>
      <c r="K25">
        <v>24</v>
      </c>
      <c r="L25">
        <f t="shared" si="11"/>
        <v>6386</v>
      </c>
      <c r="M25" s="15">
        <v>1.3</v>
      </c>
      <c r="O25">
        <f t="shared" si="3"/>
        <v>4912.4394616182672</v>
      </c>
      <c r="P25" s="4">
        <f t="shared" si="8"/>
        <v>1.2999651293201502</v>
      </c>
      <c r="Q25" s="4">
        <v>24</v>
      </c>
      <c r="R25" s="4">
        <f>R24*POWER(POWER(R$26/R$21,0.2),1)</f>
        <v>4912.4394616182672</v>
      </c>
      <c r="S25" s="4">
        <v>1</v>
      </c>
      <c r="U25" s="4">
        <f t="shared" si="12"/>
        <v>18450.221458586089</v>
      </c>
      <c r="V25" s="4">
        <f t="shared" si="12"/>
        <v>597.45537973912258</v>
      </c>
      <c r="W25" s="4">
        <f t="shared" si="5"/>
        <v>1476.0373539575078</v>
      </c>
      <c r="X25" s="4">
        <f t="shared" si="6"/>
        <v>1476.0373539575078</v>
      </c>
      <c r="Y25" s="4">
        <f t="shared" si="0"/>
        <v>2480</v>
      </c>
      <c r="Z25" s="4">
        <f t="shared" si="1"/>
        <v>2475.6</v>
      </c>
      <c r="AA25" s="4">
        <v>84</v>
      </c>
      <c r="AB25">
        <f t="shared" si="7"/>
        <v>1609</v>
      </c>
    </row>
    <row r="26" spans="1:28">
      <c r="A26">
        <v>25</v>
      </c>
      <c r="B26" t="s">
        <v>117</v>
      </c>
      <c r="C26" t="s">
        <v>204</v>
      </c>
      <c r="D26">
        <v>50</v>
      </c>
      <c r="E26">
        <v>229580</v>
      </c>
      <c r="F26">
        <v>13.4</v>
      </c>
      <c r="K26">
        <v>25</v>
      </c>
      <c r="L26">
        <f t="shared" si="11"/>
        <v>7357</v>
      </c>
      <c r="M26" s="15">
        <v>1.35</v>
      </c>
      <c r="O26">
        <f t="shared" si="3"/>
        <v>5449.4891184326716</v>
      </c>
      <c r="P26" s="4">
        <f t="shared" si="8"/>
        <v>1.3500348087888188</v>
      </c>
      <c r="Q26" s="4">
        <v>25</v>
      </c>
      <c r="R26" s="4">
        <f>战斗力成长!AY56</f>
        <v>5395.5337806264079</v>
      </c>
      <c r="S26" s="4">
        <v>1.01</v>
      </c>
      <c r="U26" s="4">
        <f>战斗力成长!Y104</f>
        <v>20641.334236613697</v>
      </c>
      <c r="V26" s="4">
        <f>(战斗力成长!AR56+战斗力成长!AS56)*战斗力成长!AX56</f>
        <v>662.7190522776441</v>
      </c>
      <c r="W26" s="4">
        <f t="shared" si="5"/>
        <v>1634.0759575300533</v>
      </c>
      <c r="X26" s="4">
        <f t="shared" si="6"/>
        <v>1634.0759575300533</v>
      </c>
      <c r="Y26" s="4">
        <f t="shared" si="0"/>
        <v>2843</v>
      </c>
      <c r="Z26" s="4">
        <f t="shared" si="1"/>
        <v>2816.4</v>
      </c>
      <c r="AA26" s="4">
        <v>87</v>
      </c>
      <c r="AB26">
        <f t="shared" si="7"/>
        <v>1831</v>
      </c>
    </row>
    <row r="27" spans="1:28">
      <c r="A27">
        <v>26</v>
      </c>
      <c r="B27" t="s">
        <v>118</v>
      </c>
      <c r="C27" t="s">
        <v>205</v>
      </c>
      <c r="D27">
        <v>52</v>
      </c>
      <c r="E27">
        <v>257232</v>
      </c>
      <c r="F27">
        <v>14</v>
      </c>
      <c r="K27">
        <v>26</v>
      </c>
      <c r="L27">
        <f t="shared" si="11"/>
        <v>8542</v>
      </c>
      <c r="M27" s="15">
        <v>1.4</v>
      </c>
      <c r="O27">
        <f t="shared" si="3"/>
        <v>6101.3657605882418</v>
      </c>
      <c r="P27" s="4">
        <f t="shared" si="8"/>
        <v>1.4000144123758371</v>
      </c>
      <c r="Q27" s="4">
        <v>26</v>
      </c>
      <c r="R27" s="4">
        <f>R26*POWER(POWER(R$31/R$26,0.2),1)</f>
        <v>5981.7311378316099</v>
      </c>
      <c r="S27" s="4">
        <v>1.02</v>
      </c>
      <c r="U27" s="4">
        <f t="shared" ref="U27:V29" si="13">U26*POWER(POWER(U$31/U$26,0.2),1)</f>
        <v>21868.968776405709</v>
      </c>
      <c r="V27" s="4">
        <f t="shared" si="13"/>
        <v>724.31286240898021</v>
      </c>
      <c r="W27" s="4">
        <f t="shared" si="5"/>
        <v>1741.474200846455</v>
      </c>
      <c r="X27" s="4">
        <f t="shared" si="6"/>
        <v>1741.474200846455</v>
      </c>
      <c r="Y27" s="4">
        <f t="shared" si="0"/>
        <v>3135</v>
      </c>
      <c r="Z27" s="4">
        <f t="shared" si="1"/>
        <v>3230.4</v>
      </c>
      <c r="AA27" s="4">
        <v>90</v>
      </c>
      <c r="AB27">
        <f t="shared" si="7"/>
        <v>2100</v>
      </c>
    </row>
    <row r="28" spans="1:28">
      <c r="A28">
        <v>27</v>
      </c>
      <c r="B28" t="s">
        <v>119</v>
      </c>
      <c r="C28" t="s">
        <v>206</v>
      </c>
      <c r="D28">
        <v>54</v>
      </c>
      <c r="E28">
        <v>287322</v>
      </c>
      <c r="F28">
        <v>14.6</v>
      </c>
      <c r="K28">
        <v>27</v>
      </c>
      <c r="L28">
        <f t="shared" si="11"/>
        <v>9904</v>
      </c>
      <c r="M28" s="15">
        <v>1.45</v>
      </c>
      <c r="O28">
        <f t="shared" si="3"/>
        <v>6830.5643381931814</v>
      </c>
      <c r="P28" s="4">
        <f t="shared" si="8"/>
        <v>1.449953402037613</v>
      </c>
      <c r="Q28" s="4">
        <v>27</v>
      </c>
      <c r="R28" s="4">
        <f>R27*POWER(POWER(R$31/R$26,0.2),1)</f>
        <v>6631.6158623234769</v>
      </c>
      <c r="S28" s="4">
        <v>1.03</v>
      </c>
      <c r="U28" s="4">
        <f t="shared" si="13"/>
        <v>23169.61635624709</v>
      </c>
      <c r="V28" s="4">
        <f t="shared" si="13"/>
        <v>791.63126644395697</v>
      </c>
      <c r="W28" s="4">
        <f t="shared" si="5"/>
        <v>1856.9009839725588</v>
      </c>
      <c r="X28" s="4">
        <f t="shared" si="6"/>
        <v>1856.9009839725588</v>
      </c>
      <c r="Y28" s="4">
        <f t="shared" si="0"/>
        <v>3454</v>
      </c>
      <c r="Z28" s="4">
        <f t="shared" si="1"/>
        <v>3700.2</v>
      </c>
      <c r="AA28" s="4">
        <v>93</v>
      </c>
      <c r="AB28">
        <f t="shared" si="7"/>
        <v>2405</v>
      </c>
    </row>
    <row r="29" spans="1:28">
      <c r="A29">
        <v>28</v>
      </c>
      <c r="B29" t="s">
        <v>120</v>
      </c>
      <c r="C29" t="s">
        <v>207</v>
      </c>
      <c r="D29">
        <v>56</v>
      </c>
      <c r="E29">
        <v>331383</v>
      </c>
      <c r="F29">
        <v>15.2</v>
      </c>
      <c r="K29">
        <v>28</v>
      </c>
      <c r="L29">
        <f t="shared" si="11"/>
        <v>11469</v>
      </c>
      <c r="M29" s="15">
        <v>1.5</v>
      </c>
      <c r="O29">
        <f t="shared" si="3"/>
        <v>7646.1915538077983</v>
      </c>
      <c r="P29" s="4">
        <f t="shared" si="8"/>
        <v>1.49996242172202</v>
      </c>
      <c r="Q29" s="4">
        <v>28</v>
      </c>
      <c r="R29" s="4">
        <f>R28*POWER(POWER(R$31/R$26,0.2),1)</f>
        <v>7352.1072632767291</v>
      </c>
      <c r="S29" s="4">
        <v>1.04</v>
      </c>
      <c r="U29" s="4">
        <f t="shared" si="13"/>
        <v>24547.619395517926</v>
      </c>
      <c r="V29" s="4">
        <f t="shared" si="13"/>
        <v>865.20631419880954</v>
      </c>
      <c r="W29" s="4">
        <f t="shared" si="5"/>
        <v>1981.0071958132608</v>
      </c>
      <c r="X29" s="4">
        <f t="shared" si="6"/>
        <v>1981.0071958132608</v>
      </c>
      <c r="Y29" s="4">
        <f t="shared" si="0"/>
        <v>3804</v>
      </c>
      <c r="Z29" s="4">
        <f t="shared" si="1"/>
        <v>4234.8</v>
      </c>
      <c r="AA29" s="4">
        <v>96</v>
      </c>
      <c r="AB29">
        <f t="shared" si="7"/>
        <v>2753</v>
      </c>
    </row>
    <row r="30" spans="1:28">
      <c r="A30">
        <v>29</v>
      </c>
      <c r="B30" t="s">
        <v>121</v>
      </c>
      <c r="C30" t="s">
        <v>209</v>
      </c>
      <c r="D30">
        <v>58</v>
      </c>
      <c r="E30">
        <v>394754</v>
      </c>
      <c r="F30">
        <v>15.8</v>
      </c>
      <c r="K30">
        <v>29</v>
      </c>
      <c r="L30">
        <f t="shared" si="11"/>
        <v>13266</v>
      </c>
      <c r="M30" s="15">
        <v>1.55</v>
      </c>
      <c r="O30">
        <f t="shared" si="3"/>
        <v>8558.4202175693372</v>
      </c>
      <c r="P30" s="4">
        <f t="shared" si="8"/>
        <v>1.5500524235496882</v>
      </c>
      <c r="Q30" s="4">
        <v>29</v>
      </c>
      <c r="R30" s="4">
        <f>R29*POWER(POWER(R$31/R$26,0.2),1)</f>
        <v>8150.8763976850823</v>
      </c>
      <c r="S30" s="4">
        <v>1.05</v>
      </c>
      <c r="U30" s="4">
        <f>U29*POWER(POWER(U34/U29,0.2),1)</f>
        <v>26576.683149042885</v>
      </c>
      <c r="V30" s="4">
        <f>V29*POWER(POWER(V34/V29,0.2),1)</f>
        <v>952.75570689148162</v>
      </c>
      <c r="W30" s="4">
        <f t="shared" si="5"/>
        <v>2147.2133765113867</v>
      </c>
      <c r="X30" s="4">
        <f t="shared" si="6"/>
        <v>2147.2133765113867</v>
      </c>
      <c r="Y30" s="4">
        <f t="shared" si="0"/>
        <v>4251</v>
      </c>
      <c r="Z30" s="4">
        <f t="shared" si="1"/>
        <v>4841.3999999999996</v>
      </c>
      <c r="AA30" s="4">
        <v>99</v>
      </c>
      <c r="AB30">
        <f t="shared" si="7"/>
        <v>3147</v>
      </c>
    </row>
    <row r="31" spans="1:28">
      <c r="A31">
        <v>30</v>
      </c>
      <c r="B31" t="s">
        <v>122</v>
      </c>
      <c r="C31" t="s">
        <v>208</v>
      </c>
      <c r="D31">
        <v>60</v>
      </c>
      <c r="E31">
        <v>469177</v>
      </c>
      <c r="F31">
        <v>16.399999999999999</v>
      </c>
      <c r="K31">
        <v>30</v>
      </c>
      <c r="L31">
        <f t="shared" si="11"/>
        <v>15326</v>
      </c>
      <c r="M31" s="15">
        <v>1.6</v>
      </c>
      <c r="O31">
        <f t="shared" si="3"/>
        <v>9578.6134085826161</v>
      </c>
      <c r="P31" s="4">
        <f t="shared" si="8"/>
        <v>1.6000228160651748</v>
      </c>
      <c r="Q31" s="4">
        <v>30</v>
      </c>
      <c r="R31" s="4">
        <f>战斗力成长!AY57</f>
        <v>9036.4277439458638</v>
      </c>
      <c r="S31" s="4">
        <v>1.06</v>
      </c>
      <c r="U31" s="4">
        <f>战斗力成长!Y105</f>
        <v>27554.368207673964</v>
      </c>
      <c r="V31" s="4">
        <f>(战斗力成长!AR57+战斗力成长!AS57)*战斗力成长!AX57</f>
        <v>1033.5063823660298</v>
      </c>
      <c r="W31" s="4">
        <f t="shared" si="5"/>
        <v>2258.1449693737613</v>
      </c>
      <c r="X31" s="4">
        <f t="shared" si="6"/>
        <v>2258.1449693737613</v>
      </c>
      <c r="Y31" s="4">
        <f t="shared" si="0"/>
        <v>4607</v>
      </c>
      <c r="Z31" s="4">
        <f t="shared" si="1"/>
        <v>5530.2</v>
      </c>
      <c r="AA31" s="4">
        <v>102</v>
      </c>
      <c r="AB31">
        <f t="shared" si="7"/>
        <v>3595</v>
      </c>
    </row>
    <row r="32" spans="1:28">
      <c r="A32">
        <v>31</v>
      </c>
      <c r="B32" t="s">
        <v>124</v>
      </c>
      <c r="C32" t="s">
        <v>231</v>
      </c>
      <c r="D32">
        <v>62</v>
      </c>
      <c r="E32">
        <v>553308</v>
      </c>
      <c r="F32">
        <v>17</v>
      </c>
      <c r="K32">
        <v>31</v>
      </c>
      <c r="L32">
        <f t="shared" si="11"/>
        <v>17278</v>
      </c>
      <c r="M32" s="15">
        <v>1.65</v>
      </c>
      <c r="O32">
        <f t="shared" si="3"/>
        <v>10471.59258213238</v>
      </c>
      <c r="P32" s="4">
        <f t="shared" si="8"/>
        <v>1.6499877993230327</v>
      </c>
      <c r="Q32" s="4">
        <v>31</v>
      </c>
      <c r="R32" s="4">
        <f>R31*POWER(POWER(R$36/R$31,0.2),1)</f>
        <v>9786.5351234882055</v>
      </c>
      <c r="S32" s="4">
        <v>1.07</v>
      </c>
      <c r="U32" s="4">
        <f t="shared" ref="U32:V35" si="14">U31*POWER(POWER(U$36/U$31,0.2),1)</f>
        <v>30265.586539488828</v>
      </c>
      <c r="V32" s="4">
        <f t="shared" si="14"/>
        <v>1143.8044970203896</v>
      </c>
      <c r="W32" s="4">
        <f t="shared" si="5"/>
        <v>2474.1599493056128</v>
      </c>
      <c r="X32" s="4">
        <f t="shared" si="6"/>
        <v>2474.1599493056128</v>
      </c>
      <c r="Y32" s="4">
        <f>ROUND(W32*2,0)</f>
        <v>4948</v>
      </c>
      <c r="Z32" s="4">
        <f>ROUND(R32*0.6,0)</f>
        <v>5872</v>
      </c>
      <c r="AB32">
        <f t="shared" si="7"/>
        <v>3817</v>
      </c>
    </row>
    <row r="33" spans="1:28">
      <c r="A33">
        <v>32</v>
      </c>
      <c r="B33" t="s">
        <v>123</v>
      </c>
      <c r="C33" t="s">
        <v>232</v>
      </c>
      <c r="D33">
        <v>64</v>
      </c>
      <c r="E33">
        <v>651292</v>
      </c>
      <c r="F33">
        <v>17.600000000000001</v>
      </c>
      <c r="K33">
        <v>32</v>
      </c>
      <c r="L33">
        <f t="shared" si="11"/>
        <v>19460</v>
      </c>
      <c r="M33" s="15">
        <v>1.7</v>
      </c>
      <c r="O33">
        <f t="shared" si="3"/>
        <v>11446.821048331893</v>
      </c>
      <c r="P33" s="4">
        <f t="shared" si="8"/>
        <v>1.700035312671883</v>
      </c>
      <c r="Q33" s="4">
        <v>32</v>
      </c>
      <c r="R33" s="4">
        <f>R32*POWER(POWER(R$36/R$31,0.2),1)</f>
        <v>10598.908378085085</v>
      </c>
      <c r="S33" s="4">
        <v>1.08</v>
      </c>
      <c r="U33" s="4">
        <f t="shared" si="14"/>
        <v>33243.575816199525</v>
      </c>
      <c r="V33" s="4">
        <f t="shared" si="14"/>
        <v>1265.8738733755772</v>
      </c>
      <c r="W33" s="4">
        <f t="shared" si="5"/>
        <v>2711.2467349494696</v>
      </c>
      <c r="X33" s="4">
        <f t="shared" si="6"/>
        <v>2711.2467349494696</v>
      </c>
      <c r="Y33" s="4">
        <f t="shared" ref="Y33:Y71" si="15">ROUND(W33*2,0)</f>
        <v>5422</v>
      </c>
      <c r="Z33" s="4">
        <f t="shared" ref="Z33:Z71" si="16">ROUND(R33*0.6,0)</f>
        <v>6359</v>
      </c>
      <c r="AB33">
        <f t="shared" si="7"/>
        <v>4133</v>
      </c>
    </row>
    <row r="34" spans="1:28">
      <c r="A34">
        <v>33</v>
      </c>
      <c r="B34" t="s">
        <v>128</v>
      </c>
      <c r="C34" s="35" t="s">
        <v>233</v>
      </c>
      <c r="D34">
        <v>66</v>
      </c>
      <c r="E34">
        <v>747814</v>
      </c>
      <c r="F34">
        <v>18.2</v>
      </c>
      <c r="K34">
        <v>33</v>
      </c>
      <c r="L34">
        <f t="shared" si="11"/>
        <v>21896</v>
      </c>
      <c r="M34" s="15">
        <v>1.75</v>
      </c>
      <c r="O34">
        <f t="shared" si="3"/>
        <v>12511.80060712154</v>
      </c>
      <c r="P34" s="4">
        <f t="shared" si="8"/>
        <v>1.7500278886747209</v>
      </c>
      <c r="Q34" s="4">
        <v>33</v>
      </c>
      <c r="R34" s="4">
        <f>R33*POWER(POWER(R$36/R$31,0.2),1)</f>
        <v>11478.716153322513</v>
      </c>
      <c r="S34" s="4">
        <v>1.0900000000000001</v>
      </c>
      <c r="U34" s="4">
        <f t="shared" si="14"/>
        <v>36514.585025652414</v>
      </c>
      <c r="V34" s="4">
        <f t="shared" si="14"/>
        <v>1400.97076683055</v>
      </c>
      <c r="W34" s="4">
        <f t="shared" si="5"/>
        <v>2971.4905528801164</v>
      </c>
      <c r="X34" s="4">
        <f t="shared" si="6"/>
        <v>2971.4905528801164</v>
      </c>
      <c r="Y34" s="4">
        <f t="shared" si="15"/>
        <v>5943</v>
      </c>
      <c r="Z34" s="4">
        <f t="shared" si="16"/>
        <v>6887</v>
      </c>
      <c r="AB34">
        <f t="shared" si="7"/>
        <v>4477</v>
      </c>
    </row>
    <row r="35" spans="1:28">
      <c r="A35">
        <v>34</v>
      </c>
      <c r="B35" t="s">
        <v>126</v>
      </c>
      <c r="C35" t="s">
        <v>234</v>
      </c>
      <c r="D35">
        <v>68</v>
      </c>
      <c r="E35">
        <v>837684</v>
      </c>
      <c r="F35">
        <v>18.8</v>
      </c>
      <c r="K35">
        <v>34</v>
      </c>
      <c r="L35">
        <f t="shared" si="11"/>
        <v>24614</v>
      </c>
      <c r="M35" s="15">
        <v>1.8</v>
      </c>
      <c r="O35">
        <f t="shared" si="3"/>
        <v>13674.711754380487</v>
      </c>
      <c r="P35" s="4">
        <f t="shared" si="8"/>
        <v>1.7999648140382394</v>
      </c>
      <c r="Q35" s="4">
        <v>34</v>
      </c>
      <c r="R35" s="4">
        <f>R34*POWER(POWER(R$36/R$31,0.2),1)</f>
        <v>12431.556140345896</v>
      </c>
      <c r="S35" s="4">
        <v>1.1000000000000001</v>
      </c>
      <c r="U35" s="4">
        <f t="shared" si="14"/>
        <v>40107.445930827875</v>
      </c>
      <c r="V35" s="4">
        <f t="shared" si="14"/>
        <v>1550.4855031725997</v>
      </c>
      <c r="W35" s="4">
        <f t="shared" si="5"/>
        <v>3257.1853300163393</v>
      </c>
      <c r="X35" s="4">
        <f t="shared" si="6"/>
        <v>3257.1853300163393</v>
      </c>
      <c r="Y35" s="4">
        <f t="shared" si="15"/>
        <v>6514</v>
      </c>
      <c r="Z35" s="4">
        <f t="shared" si="16"/>
        <v>7459</v>
      </c>
      <c r="AB35">
        <f t="shared" si="7"/>
        <v>4848</v>
      </c>
    </row>
    <row r="36" spans="1:28">
      <c r="A36">
        <v>35</v>
      </c>
      <c r="B36" t="s">
        <v>127</v>
      </c>
      <c r="C36" t="s">
        <v>235</v>
      </c>
      <c r="D36">
        <v>70</v>
      </c>
      <c r="E36">
        <v>936966</v>
      </c>
      <c r="F36">
        <v>19.399999999999999</v>
      </c>
      <c r="K36">
        <v>35</v>
      </c>
      <c r="L36">
        <f t="shared" si="11"/>
        <v>27647</v>
      </c>
      <c r="M36" s="15">
        <v>1.85</v>
      </c>
      <c r="O36">
        <f t="shared" si="3"/>
        <v>14944.474666592525</v>
      </c>
      <c r="P36" s="4">
        <f t="shared" si="8"/>
        <v>1.849981388894399</v>
      </c>
      <c r="Q36" s="4">
        <v>35</v>
      </c>
      <c r="R36" s="4">
        <f>战斗力成长!AY58</f>
        <v>13463.490690623896</v>
      </c>
      <c r="S36" s="4">
        <v>1.1100000000000001</v>
      </c>
      <c r="U36" s="4">
        <f>战斗力成长!Y106</f>
        <v>44053.827202587527</v>
      </c>
      <c r="V36" s="4">
        <f>(战斗力成长!AR58+战斗力成长!AS58)*战斗力成长!AX58</f>
        <v>1715.9567868693148</v>
      </c>
      <c r="W36" s="4">
        <f t="shared" si="5"/>
        <v>3570.8547743466843</v>
      </c>
      <c r="X36" s="4">
        <f t="shared" si="6"/>
        <v>3570.8547743466843</v>
      </c>
      <c r="Y36" s="4">
        <f t="shared" si="15"/>
        <v>7142</v>
      </c>
      <c r="Z36" s="4">
        <f t="shared" si="16"/>
        <v>8078</v>
      </c>
      <c r="AB36">
        <f t="shared" si="7"/>
        <v>5251</v>
      </c>
    </row>
    <row r="37" spans="1:28">
      <c r="A37">
        <v>36</v>
      </c>
      <c r="B37" t="s">
        <v>125</v>
      </c>
      <c r="C37" t="s">
        <v>294</v>
      </c>
      <c r="D37">
        <v>72</v>
      </c>
      <c r="E37">
        <v>1091027</v>
      </c>
      <c r="F37">
        <v>20</v>
      </c>
      <c r="K37">
        <v>36</v>
      </c>
      <c r="L37">
        <f t="shared" si="11"/>
        <v>30844</v>
      </c>
      <c r="M37" s="15">
        <v>1.9</v>
      </c>
      <c r="O37">
        <f t="shared" si="3"/>
        <v>16233.886778542661</v>
      </c>
      <c r="P37" s="4">
        <f t="shared" si="8"/>
        <v>1.899976291615415</v>
      </c>
      <c r="Q37" s="4">
        <v>36</v>
      </c>
      <c r="R37" s="4">
        <f>R36*POWER(POWER(R$41/R$36,0.2),1)</f>
        <v>14494.541766555945</v>
      </c>
      <c r="S37" s="4">
        <v>1.1200000000000001</v>
      </c>
      <c r="U37" s="4">
        <f t="shared" ref="U37:V40" si="17">U36*POWER(POWER(U$41/U$36,0.2),1)</f>
        <v>48197.886492734717</v>
      </c>
      <c r="V37" s="4">
        <f t="shared" si="17"/>
        <v>2002.8282293565528</v>
      </c>
      <c r="W37" s="4">
        <f t="shared" si="5"/>
        <v>4011.0734998871658</v>
      </c>
      <c r="X37" s="4">
        <f t="shared" si="6"/>
        <v>4011.0734998871658</v>
      </c>
      <c r="Y37" s="4">
        <f t="shared" si="15"/>
        <v>8022</v>
      </c>
      <c r="Z37" s="4">
        <f t="shared" si="16"/>
        <v>8697</v>
      </c>
      <c r="AB37">
        <f t="shared" si="7"/>
        <v>5653</v>
      </c>
    </row>
    <row r="38" spans="1:28">
      <c r="A38">
        <v>37</v>
      </c>
      <c r="B38" t="s">
        <v>278</v>
      </c>
      <c r="C38" t="s">
        <v>295</v>
      </c>
      <c r="D38">
        <v>74</v>
      </c>
      <c r="E38">
        <v>1375670</v>
      </c>
      <c r="F38">
        <v>22</v>
      </c>
      <c r="K38">
        <v>37</v>
      </c>
      <c r="L38">
        <f t="shared" si="11"/>
        <v>34385</v>
      </c>
      <c r="M38" s="15">
        <v>1.95</v>
      </c>
      <c r="O38">
        <f t="shared" si="3"/>
        <v>17633.143796852135</v>
      </c>
      <c r="P38" s="4">
        <f t="shared" si="8"/>
        <v>1.9500209603087568</v>
      </c>
      <c r="Q38" s="4">
        <v>37</v>
      </c>
      <c r="R38" s="4">
        <f>R37*POWER(POWER(R$41/R$36,0.2),1)</f>
        <v>15604.552032612512</v>
      </c>
      <c r="S38" s="4">
        <v>1.1299999999999999</v>
      </c>
      <c r="U38" s="4">
        <f t="shared" si="17"/>
        <v>52731.769516499458</v>
      </c>
      <c r="V38" s="4">
        <f t="shared" si="17"/>
        <v>2337.6584696086534</v>
      </c>
      <c r="W38" s="4">
        <f>V38+U38/(15+A38/4)</f>
        <v>4512.1644290519298</v>
      </c>
      <c r="X38" s="4">
        <f t="shared" si="6"/>
        <v>4512.1644290519298</v>
      </c>
      <c r="Y38" s="4">
        <f t="shared" si="15"/>
        <v>9024</v>
      </c>
      <c r="Z38" s="4">
        <f t="shared" si="16"/>
        <v>9363</v>
      </c>
      <c r="AB38">
        <f t="shared" si="7"/>
        <v>6086</v>
      </c>
    </row>
    <row r="39" spans="1:28">
      <c r="A39">
        <v>38</v>
      </c>
      <c r="B39" t="s">
        <v>279</v>
      </c>
      <c r="C39" t="s">
        <v>296</v>
      </c>
      <c r="D39">
        <v>76</v>
      </c>
      <c r="E39">
        <v>1680990</v>
      </c>
      <c r="F39">
        <v>24</v>
      </c>
      <c r="K39">
        <v>38</v>
      </c>
      <c r="L39">
        <f t="shared" si="11"/>
        <v>38303</v>
      </c>
      <c r="M39" s="15">
        <v>2</v>
      </c>
      <c r="O39">
        <f t="shared" si="3"/>
        <v>19151.507842656119</v>
      </c>
      <c r="P39" s="4">
        <f t="shared" si="8"/>
        <v>1.9999991809881306</v>
      </c>
      <c r="Q39" s="4">
        <v>38</v>
      </c>
      <c r="R39" s="4">
        <f>R38*POWER(POWER(R$41/R$36,0.2),1)</f>
        <v>16799.568283031684</v>
      </c>
      <c r="S39" s="4">
        <v>1.1399999999999999</v>
      </c>
      <c r="U39" s="4">
        <f t="shared" si="17"/>
        <v>57692.14624712582</v>
      </c>
      <c r="V39" s="4">
        <f t="shared" si="17"/>
        <v>2728.4651975814695</v>
      </c>
      <c r="W39" s="4">
        <f t="shared" si="5"/>
        <v>5083.2466770559931</v>
      </c>
      <c r="X39" s="4">
        <f t="shared" si="6"/>
        <v>5083.2466770559931</v>
      </c>
      <c r="Y39" s="4">
        <f t="shared" si="15"/>
        <v>10166</v>
      </c>
      <c r="Z39" s="4">
        <f t="shared" si="16"/>
        <v>10080</v>
      </c>
      <c r="AB39">
        <f t="shared" si="7"/>
        <v>6552</v>
      </c>
    </row>
    <row r="40" spans="1:28">
      <c r="A40">
        <v>39</v>
      </c>
      <c r="B40" t="s">
        <v>280</v>
      </c>
      <c r="C40" t="s">
        <v>297</v>
      </c>
      <c r="D40">
        <v>78</v>
      </c>
      <c r="E40">
        <v>2029880</v>
      </c>
      <c r="F40">
        <v>26</v>
      </c>
      <c r="K40">
        <v>39</v>
      </c>
      <c r="L40">
        <f t="shared" si="11"/>
        <v>41598</v>
      </c>
      <c r="M40" s="15">
        <v>2</v>
      </c>
      <c r="O40">
        <f t="shared" si="3"/>
        <v>20799.015440646584</v>
      </c>
      <c r="P40" s="4">
        <f t="shared" si="8"/>
        <v>1.999998515252164</v>
      </c>
      <c r="Q40" s="4">
        <v>39</v>
      </c>
      <c r="R40" s="4">
        <f>R39*POWER(POWER(R$41/R$36,0.2),1)</f>
        <v>18086.100383170946</v>
      </c>
      <c r="S40" s="4">
        <v>1.1499999999999999</v>
      </c>
      <c r="U40" s="4">
        <f t="shared" si="17"/>
        <v>63119.136132124724</v>
      </c>
      <c r="V40" s="4">
        <f t="shared" si="17"/>
        <v>3184.6064902969219</v>
      </c>
      <c r="W40" s="4">
        <f t="shared" si="5"/>
        <v>5734.8746168474154</v>
      </c>
      <c r="X40" s="4">
        <f t="shared" si="6"/>
        <v>5734.8746168474154</v>
      </c>
      <c r="Y40" s="4">
        <f t="shared" si="15"/>
        <v>11470</v>
      </c>
      <c r="Z40" s="4">
        <f t="shared" si="16"/>
        <v>10852</v>
      </c>
      <c r="AB40">
        <f t="shared" si="7"/>
        <v>7054</v>
      </c>
    </row>
    <row r="41" spans="1:28">
      <c r="A41">
        <v>40</v>
      </c>
      <c r="B41" t="s">
        <v>281</v>
      </c>
      <c r="C41" t="s">
        <v>298</v>
      </c>
      <c r="D41">
        <v>80</v>
      </c>
      <c r="E41">
        <v>2435155</v>
      </c>
      <c r="F41">
        <v>28</v>
      </c>
      <c r="K41">
        <v>40</v>
      </c>
      <c r="L41">
        <f t="shared" si="11"/>
        <v>45173</v>
      </c>
      <c r="M41" s="15">
        <v>2</v>
      </c>
      <c r="O41">
        <f t="shared" si="3"/>
        <v>22586.541809209088</v>
      </c>
      <c r="P41" s="4">
        <f t="shared" si="8"/>
        <v>1.9999962978653889</v>
      </c>
      <c r="Q41" s="4">
        <v>40</v>
      </c>
      <c r="R41" s="4">
        <f>战斗力成长!AY59</f>
        <v>19471.156732076801</v>
      </c>
      <c r="S41" s="4">
        <v>1.1599999999999999</v>
      </c>
      <c r="U41" s="4">
        <f>战斗力成长!Y107</f>
        <v>69056.632578722507</v>
      </c>
      <c r="V41" s="4">
        <f>(战斗力成长!AR59+战斗力成长!AS59)*战斗力成长!AX59</f>
        <v>3717.0048960239515</v>
      </c>
      <c r="W41" s="4">
        <f t="shared" si="5"/>
        <v>6479.2701991728518</v>
      </c>
      <c r="X41" s="4">
        <f t="shared" si="6"/>
        <v>6479.2701991728518</v>
      </c>
      <c r="Y41" s="4">
        <f t="shared" si="15"/>
        <v>12959</v>
      </c>
      <c r="Z41" s="4">
        <f t="shared" si="16"/>
        <v>11683</v>
      </c>
      <c r="AB41">
        <f t="shared" si="7"/>
        <v>7594</v>
      </c>
    </row>
    <row r="42" spans="1:28">
      <c r="A42">
        <v>41</v>
      </c>
      <c r="B42" t="s">
        <v>282</v>
      </c>
      <c r="C42" t="s">
        <v>299</v>
      </c>
      <c r="D42">
        <v>82</v>
      </c>
      <c r="E42">
        <f>E41*(E$44/E$41)^(1/3)</f>
        <v>2994813.3759127571</v>
      </c>
      <c r="F42">
        <v>30</v>
      </c>
      <c r="K42">
        <v>41</v>
      </c>
      <c r="L42">
        <f t="shared" si="11"/>
        <v>48073</v>
      </c>
      <c r="M42" s="15">
        <v>2</v>
      </c>
      <c r="O42">
        <f t="shared" si="3"/>
        <v>24036.65813323978</v>
      </c>
      <c r="P42" s="4">
        <f t="shared" si="8"/>
        <v>1.9999868423273399</v>
      </c>
      <c r="Q42" s="4">
        <v>41</v>
      </c>
      <c r="R42" s="4">
        <f>R41*POWER(POWER(R$46/R$41,0.2),1)</f>
        <v>20544.152250632291</v>
      </c>
      <c r="S42" s="4">
        <v>1.17</v>
      </c>
      <c r="U42" s="4">
        <f t="shared" ref="U42:V45" si="18">U41*POWER(POWER(U$46/U$41,0.2),1)</f>
        <v>72348.662780108949</v>
      </c>
      <c r="V42" s="4">
        <f t="shared" si="18"/>
        <v>3883.2514107578627</v>
      </c>
      <c r="W42" s="4">
        <f t="shared" si="5"/>
        <v>6748.5449862077221</v>
      </c>
      <c r="X42" s="4">
        <f t="shared" si="6"/>
        <v>6773.6948432991794</v>
      </c>
      <c r="Y42" s="4">
        <f t="shared" si="15"/>
        <v>13497</v>
      </c>
      <c r="Z42" s="4">
        <f t="shared" si="16"/>
        <v>12326</v>
      </c>
      <c r="AB42">
        <f t="shared" si="7"/>
        <v>8012</v>
      </c>
    </row>
    <row r="43" spans="1:28">
      <c r="A43">
        <v>42</v>
      </c>
      <c r="B43" t="s">
        <v>283</v>
      </c>
      <c r="C43" t="s">
        <v>300</v>
      </c>
      <c r="D43">
        <v>84</v>
      </c>
      <c r="E43">
        <f>E42*(E$44/E$41)^(1/3)</f>
        <v>3683094.9802152081</v>
      </c>
      <c r="F43">
        <v>32</v>
      </c>
      <c r="K43">
        <v>42</v>
      </c>
      <c r="L43">
        <f t="shared" si="11"/>
        <v>51156</v>
      </c>
      <c r="M43" s="15">
        <v>2</v>
      </c>
      <c r="O43">
        <f t="shared" si="3"/>
        <v>25578.00715466421</v>
      </c>
      <c r="P43" s="4">
        <f t="shared" si="8"/>
        <v>1.9999994405612473</v>
      </c>
      <c r="Q43" s="4">
        <v>42</v>
      </c>
      <c r="R43" s="4">
        <f>R42*POWER(POWER(R$46/R$41,0.2),1)</f>
        <v>21676.277249715433</v>
      </c>
      <c r="S43" s="4">
        <v>1.18</v>
      </c>
      <c r="U43" s="4">
        <f t="shared" si="18"/>
        <v>75797.628853433343</v>
      </c>
      <c r="V43" s="4">
        <f t="shared" si="18"/>
        <v>4056.9334560961956</v>
      </c>
      <c r="W43" s="4">
        <f t="shared" si="5"/>
        <v>7029.3894895641697</v>
      </c>
      <c r="X43" s="4">
        <f t="shared" si="6"/>
        <v>7064.0170239955205</v>
      </c>
      <c r="Y43" s="4">
        <f t="shared" si="15"/>
        <v>14059</v>
      </c>
      <c r="Z43" s="4">
        <f t="shared" si="16"/>
        <v>13006</v>
      </c>
      <c r="AB43">
        <f t="shared" si="7"/>
        <v>8454</v>
      </c>
    </row>
    <row r="44" spans="1:28">
      <c r="A44">
        <v>43</v>
      </c>
      <c r="B44" t="s">
        <v>284</v>
      </c>
      <c r="C44" t="s">
        <v>301</v>
      </c>
      <c r="D44">
        <v>86</v>
      </c>
      <c r="E44">
        <f>ROUND(F44*INDEX(O$2:O$101,D44),0)/G44/H44</f>
        <v>4529560.5871107336</v>
      </c>
      <c r="F44">
        <v>34</v>
      </c>
      <c r="G44">
        <v>2.5408238091272559</v>
      </c>
      <c r="H44">
        <v>1.3</v>
      </c>
      <c r="K44">
        <v>43</v>
      </c>
      <c r="L44">
        <f t="shared" si="11"/>
        <v>54432</v>
      </c>
      <c r="M44" s="15">
        <v>2</v>
      </c>
      <c r="O44">
        <f t="shared" si="3"/>
        <v>27216.240305878917</v>
      </c>
      <c r="P44" s="4">
        <f>L44/O44</f>
        <v>1.9999823409937438</v>
      </c>
      <c r="Q44" s="4">
        <v>43</v>
      </c>
      <c r="R44" s="4">
        <f>R43*POWER(POWER(R$46/R$41,0.2),1)</f>
        <v>22870.790173007495</v>
      </c>
      <c r="S44" s="4">
        <v>1.19</v>
      </c>
      <c r="U44" s="4">
        <f t="shared" si="18"/>
        <v>79411.012160163926</v>
      </c>
      <c r="V44" s="4">
        <f t="shared" si="18"/>
        <v>4238.3835930881723</v>
      </c>
      <c r="W44" s="4">
        <f t="shared" si="5"/>
        <v>7322.3063954246354</v>
      </c>
      <c r="X44" s="4">
        <f t="shared" si="6"/>
        <v>7349.0626916320343</v>
      </c>
      <c r="Y44" s="4">
        <f t="shared" si="15"/>
        <v>14645</v>
      </c>
      <c r="Z44" s="4">
        <f t="shared" si="16"/>
        <v>13722</v>
      </c>
      <c r="AB44">
        <f t="shared" si="7"/>
        <v>8919</v>
      </c>
    </row>
    <row r="45" spans="1:28">
      <c r="A45">
        <v>44</v>
      </c>
      <c r="B45" t="s">
        <v>285</v>
      </c>
      <c r="C45" t="s">
        <v>302</v>
      </c>
      <c r="D45">
        <v>88</v>
      </c>
      <c r="E45">
        <f>E44*(E46/E44)^0.5</f>
        <v>4850958.7677011825</v>
      </c>
      <c r="F45">
        <v>36</v>
      </c>
      <c r="K45">
        <v>44</v>
      </c>
      <c r="L45">
        <f t="shared" si="11"/>
        <v>57915</v>
      </c>
      <c r="M45" s="15">
        <v>2</v>
      </c>
      <c r="O45">
        <f t="shared" si="3"/>
        <v>28957.354832390502</v>
      </c>
      <c r="P45" s="4">
        <f t="shared" si="8"/>
        <v>2.0000100263031855</v>
      </c>
      <c r="Q45" s="4">
        <v>44</v>
      </c>
      <c r="R45" s="4">
        <f>R44*POWER(POWER(R$46/R$41,0.2),1)</f>
        <v>24131.129026992086</v>
      </c>
      <c r="S45" s="4">
        <v>1.2</v>
      </c>
      <c r="U45" s="4">
        <f t="shared" si="18"/>
        <v>83196.650709160807</v>
      </c>
      <c r="V45" s="4">
        <f t="shared" si="18"/>
        <v>4427.9492568864689</v>
      </c>
      <c r="W45" s="4">
        <f t="shared" si="5"/>
        <v>7627.8204380080388</v>
      </c>
      <c r="X45" s="4">
        <f t="shared" si="6"/>
        <v>7627.8204380080388</v>
      </c>
      <c r="Y45" s="4">
        <f t="shared" si="15"/>
        <v>15256</v>
      </c>
      <c r="Z45" s="4">
        <f t="shared" si="16"/>
        <v>14479</v>
      </c>
      <c r="AB45">
        <f t="shared" si="7"/>
        <v>9411</v>
      </c>
    </row>
    <row r="46" spans="1:28">
      <c r="A46">
        <v>45</v>
      </c>
      <c r="B46" t="s">
        <v>286</v>
      </c>
      <c r="C46" t="s">
        <v>303</v>
      </c>
      <c r="D46">
        <v>90</v>
      </c>
      <c r="E46">
        <f>ROUND(F46*INDEX(O$2:O$101,D46),0)/G46/H46</f>
        <v>5195161.9839016628</v>
      </c>
      <c r="F46">
        <v>36</v>
      </c>
      <c r="G46">
        <v>2.8633028871451405</v>
      </c>
      <c r="H46">
        <v>1.3</v>
      </c>
      <c r="K46">
        <v>45</v>
      </c>
      <c r="L46">
        <f t="shared" si="11"/>
        <v>61615</v>
      </c>
      <c r="M46" s="15">
        <v>2</v>
      </c>
      <c r="O46">
        <f t="shared" si="3"/>
        <v>30807.714744091307</v>
      </c>
      <c r="P46" s="4">
        <f t="shared" si="8"/>
        <v>1.9999860590703926</v>
      </c>
      <c r="Q46" s="4">
        <v>45</v>
      </c>
      <c r="R46" s="4">
        <f>战斗力成长!AY60</f>
        <v>25460.921276108518</v>
      </c>
      <c r="S46" s="4">
        <v>1.21</v>
      </c>
      <c r="U46" s="4">
        <f>战斗力成长!Y108</f>
        <v>87162.756158576361</v>
      </c>
      <c r="V46" s="4">
        <f>(战斗力成长!AR60+战斗力成长!AS60)*战斗力成长!AX60</f>
        <v>4625.9934220053847</v>
      </c>
      <c r="W46" s="4">
        <f t="shared" si="5"/>
        <v>7946.4793709035312</v>
      </c>
      <c r="X46" s="4">
        <f t="shared" si="6"/>
        <v>7899.4587829100192</v>
      </c>
      <c r="Y46" s="4">
        <f t="shared" si="15"/>
        <v>15893</v>
      </c>
      <c r="Z46" s="4">
        <f t="shared" si="16"/>
        <v>15277</v>
      </c>
      <c r="AB46">
        <f t="shared" si="7"/>
        <v>9930</v>
      </c>
    </row>
    <row r="47" spans="1:28">
      <c r="A47">
        <v>46</v>
      </c>
      <c r="B47" t="s">
        <v>287</v>
      </c>
      <c r="C47" t="s">
        <v>304</v>
      </c>
      <c r="D47">
        <v>92</v>
      </c>
      <c r="E47">
        <f>E46*(E$49/E$46)^(1/3)</f>
        <v>5601358.0141870482</v>
      </c>
      <c r="F47">
        <v>36</v>
      </c>
      <c r="K47">
        <v>46</v>
      </c>
      <c r="L47">
        <f t="shared" si="11"/>
        <v>66287</v>
      </c>
      <c r="M47" s="15">
        <v>2</v>
      </c>
      <c r="O47">
        <f t="shared" si="3"/>
        <v>33143.613811656491</v>
      </c>
      <c r="P47" s="4">
        <f t="shared" si="8"/>
        <v>1.999993132212007</v>
      </c>
      <c r="Q47" s="4">
        <v>46</v>
      </c>
      <c r="R47" s="4">
        <f>R46*POWER(POWER(R$51/R$46,0.2),1)</f>
        <v>27166.896566931551</v>
      </c>
      <c r="S47" s="4">
        <v>1.22</v>
      </c>
      <c r="U47" s="4">
        <f t="shared" ref="U47:V50" si="19">U46*POWER(POWER(U$51/U$46,0.2),1)</f>
        <v>95257.467087794299</v>
      </c>
      <c r="V47" s="4">
        <f t="shared" si="19"/>
        <v>5071.5020877867064</v>
      </c>
      <c r="W47" s="4">
        <f t="shared" si="5"/>
        <v>8666.1234873261128</v>
      </c>
      <c r="X47" s="4">
        <f t="shared" si="6"/>
        <v>8545.2008340145858</v>
      </c>
      <c r="Y47" s="4">
        <f t="shared" si="15"/>
        <v>17332</v>
      </c>
      <c r="Z47" s="4">
        <f t="shared" si="16"/>
        <v>16300</v>
      </c>
      <c r="AB47">
        <f t="shared" si="7"/>
        <v>10595</v>
      </c>
    </row>
    <row r="48" spans="1:28">
      <c r="A48">
        <v>47</v>
      </c>
      <c r="B48" t="s">
        <v>288</v>
      </c>
      <c r="C48" t="s">
        <v>305</v>
      </c>
      <c r="D48">
        <v>94</v>
      </c>
      <c r="E48">
        <f>E47*(E$49/E$46)^(1/3)</f>
        <v>6039313.4420679035</v>
      </c>
      <c r="F48">
        <v>36</v>
      </c>
      <c r="K48">
        <v>47</v>
      </c>
      <c r="L48">
        <f t="shared" si="11"/>
        <v>71308</v>
      </c>
      <c r="M48" s="15">
        <v>2</v>
      </c>
      <c r="O48">
        <f t="shared" si="3"/>
        <v>35654.229519896115</v>
      </c>
      <c r="P48" s="4">
        <f t="shared" si="8"/>
        <v>1.9999871252359562</v>
      </c>
      <c r="Q48" s="4">
        <v>47</v>
      </c>
      <c r="R48" s="4">
        <f>R47*POWER(POWER(R$51/R$46,0.2),1)</f>
        <v>28987.178471460258</v>
      </c>
      <c r="S48" s="4">
        <v>1.23</v>
      </c>
      <c r="U48" s="4">
        <f t="shared" si="19"/>
        <v>104103.92506948486</v>
      </c>
      <c r="V48" s="4">
        <f t="shared" si="19"/>
        <v>5559.9156938003498</v>
      </c>
      <c r="W48" s="4">
        <f t="shared" si="5"/>
        <v>9451.6512104166068</v>
      </c>
      <c r="X48" s="4">
        <f t="shared" si="6"/>
        <v>9225.3288895286369</v>
      </c>
      <c r="Y48" s="4">
        <f t="shared" si="15"/>
        <v>18903</v>
      </c>
      <c r="Z48" s="4">
        <f t="shared" si="16"/>
        <v>17392</v>
      </c>
      <c r="AB48">
        <f t="shared" si="7"/>
        <v>11305</v>
      </c>
    </row>
    <row r="49" spans="1:28">
      <c r="A49">
        <v>48</v>
      </c>
      <c r="B49" t="s">
        <v>289</v>
      </c>
      <c r="C49" t="s">
        <v>306</v>
      </c>
      <c r="D49">
        <v>96</v>
      </c>
      <c r="E49">
        <f>ROUND(F49*INDEX(O$2:O$101,D49),0)/G49/H49</f>
        <v>6511511.4511807552</v>
      </c>
      <c r="F49">
        <v>36</v>
      </c>
      <c r="G49">
        <v>3.0238234113310782</v>
      </c>
      <c r="H49">
        <v>1.3</v>
      </c>
      <c r="K49">
        <v>48</v>
      </c>
      <c r="L49">
        <f t="shared" si="11"/>
        <v>76705</v>
      </c>
      <c r="M49" s="15">
        <v>2</v>
      </c>
      <c r="O49">
        <f t="shared" si="3"/>
        <v>38352.488181563429</v>
      </c>
      <c r="P49" s="4">
        <f t="shared" si="8"/>
        <v>2.000000616306119</v>
      </c>
      <c r="Q49" s="4">
        <v>48</v>
      </c>
      <c r="R49" s="4">
        <f>R48*POWER(POWER(R$51/R$46,0.2),1)</f>
        <v>30929.425952873735</v>
      </c>
      <c r="S49" s="4">
        <v>1.24</v>
      </c>
      <c r="U49" s="4">
        <f t="shared" si="19"/>
        <v>113771.94403966663</v>
      </c>
      <c r="V49" s="4">
        <f t="shared" si="19"/>
        <v>6095.3662222898265</v>
      </c>
      <c r="W49" s="4">
        <f t="shared" si="5"/>
        <v>10309.141927462664</v>
      </c>
      <c r="X49" s="4">
        <f t="shared" si="6"/>
        <v>9940.9582871961411</v>
      </c>
      <c r="Y49" s="4">
        <f t="shared" si="15"/>
        <v>20618</v>
      </c>
      <c r="Z49" s="4">
        <f t="shared" si="16"/>
        <v>18558</v>
      </c>
      <c r="AB49">
        <f t="shared" si="7"/>
        <v>12063</v>
      </c>
    </row>
    <row r="50" spans="1:28">
      <c r="A50">
        <v>49</v>
      </c>
      <c r="B50" t="s">
        <v>290</v>
      </c>
      <c r="C50" t="s">
        <v>307</v>
      </c>
      <c r="D50">
        <v>98</v>
      </c>
      <c r="E50">
        <f>E49*(E51/E49)^0.5</f>
        <v>7087365.9941793</v>
      </c>
      <c r="F50">
        <v>36</v>
      </c>
      <c r="K50">
        <v>49</v>
      </c>
      <c r="L50">
        <f t="shared" si="11"/>
        <v>82505</v>
      </c>
      <c r="M50" s="15">
        <v>2</v>
      </c>
      <c r="O50">
        <f t="shared" si="3"/>
        <v>41252.263941287121</v>
      </c>
      <c r="P50" s="4">
        <f t="shared" si="8"/>
        <v>2.0000114446428063</v>
      </c>
      <c r="Q50" s="4">
        <v>49</v>
      </c>
      <c r="R50" s="4">
        <f>R49*POWER(POWER(R$51/R$46,0.2),1)</f>
        <v>33001.811153029696</v>
      </c>
      <c r="S50" s="4">
        <v>1.25</v>
      </c>
      <c r="U50" s="4">
        <f t="shared" si="19"/>
        <v>124337.82147911753</v>
      </c>
      <c r="V50" s="4">
        <f t="shared" si="19"/>
        <v>6682.3835881648693</v>
      </c>
      <c r="W50" s="4">
        <f t="shared" si="5"/>
        <v>11245.239422260925</v>
      </c>
      <c r="X50" s="4">
        <f t="shared" si="6"/>
        <v>10693.401064570913</v>
      </c>
      <c r="Y50" s="4">
        <f t="shared" si="15"/>
        <v>22490</v>
      </c>
      <c r="Z50" s="4">
        <f t="shared" si="16"/>
        <v>19801</v>
      </c>
      <c r="AB50">
        <f t="shared" si="7"/>
        <v>12871</v>
      </c>
    </row>
    <row r="51" spans="1:28">
      <c r="A51">
        <v>50</v>
      </c>
      <c r="B51" t="s">
        <v>291</v>
      </c>
      <c r="C51" t="s">
        <v>308</v>
      </c>
      <c r="D51">
        <v>100</v>
      </c>
      <c r="E51">
        <f>ROUND(F51*INDEX(O$2:O$101,D51),0)/G51/H51</f>
        <v>7714147.0320751155</v>
      </c>
      <c r="F51">
        <v>36</v>
      </c>
      <c r="G51">
        <v>3.0731503752238831</v>
      </c>
      <c r="H51">
        <v>1.3</v>
      </c>
      <c r="K51">
        <v>50</v>
      </c>
      <c r="L51">
        <f t="shared" si="11"/>
        <v>88737</v>
      </c>
      <c r="M51" s="15">
        <v>2</v>
      </c>
      <c r="O51">
        <f t="shared" si="3"/>
        <v>44368.447759425442</v>
      </c>
      <c r="P51" s="4">
        <f t="shared" si="8"/>
        <v>2.000002354852477</v>
      </c>
      <c r="Q51" s="4">
        <v>50</v>
      </c>
      <c r="R51" s="4">
        <f>战斗力成长!AY61</f>
        <v>35213.05377732178</v>
      </c>
      <c r="S51" s="4">
        <v>1.26</v>
      </c>
      <c r="U51" s="4">
        <f>战斗力成长!Y109</f>
        <v>135884.94053316693</v>
      </c>
      <c r="V51" s="4">
        <f>(战斗力成长!AR61+战斗力成长!AS61)*战斗力成长!AX61</f>
        <v>7325.9339621106565</v>
      </c>
      <c r="W51" s="4">
        <f t="shared" si="5"/>
        <v>12267.20452695309</v>
      </c>
      <c r="X51" s="4">
        <f t="shared" si="6"/>
        <v>11484.191472041191</v>
      </c>
      <c r="Y51" s="4">
        <f t="shared" si="15"/>
        <v>24534</v>
      </c>
      <c r="Z51" s="4">
        <f t="shared" si="16"/>
        <v>21128</v>
      </c>
      <c r="AB51">
        <f t="shared" si="7"/>
        <v>13733</v>
      </c>
    </row>
    <row r="52" spans="1:28">
      <c r="A52">
        <v>51</v>
      </c>
      <c r="B52" t="s">
        <v>292</v>
      </c>
      <c r="C52" t="s">
        <v>309</v>
      </c>
      <c r="D52">
        <v>102</v>
      </c>
      <c r="E52">
        <f>ROUND(E51*1.1,0)</f>
        <v>8485562</v>
      </c>
      <c r="F52">
        <v>36</v>
      </c>
      <c r="K52">
        <v>51</v>
      </c>
      <c r="L52">
        <f t="shared" si="11"/>
        <v>94775</v>
      </c>
      <c r="M52" s="15">
        <v>2</v>
      </c>
      <c r="O52">
        <f t="shared" si="3"/>
        <v>47387.640881087224</v>
      </c>
      <c r="P52" s="4">
        <f t="shared" si="8"/>
        <v>1.9999940540999888</v>
      </c>
      <c r="Q52" s="4">
        <v>51</v>
      </c>
      <c r="R52" s="4">
        <f>R51*POWER(POWER(R$56/R$51,0.2),1)</f>
        <v>37313.103055974192</v>
      </c>
      <c r="S52" s="4">
        <v>1.27</v>
      </c>
      <c r="U52" s="4">
        <f t="shared" ref="U52:V55" si="20">U51*POWER(POWER(U$56/U$51,0.2),1)</f>
        <v>146618.91588735121</v>
      </c>
      <c r="V52" s="4">
        <f t="shared" si="20"/>
        <v>8020.5710951353221</v>
      </c>
      <c r="W52" s="4">
        <f t="shared" si="5"/>
        <v>13304.135631616446</v>
      </c>
      <c r="X52" s="4">
        <f t="shared" si="6"/>
        <v>12242.562114896791</v>
      </c>
      <c r="Y52" s="4">
        <f t="shared" si="15"/>
        <v>26608</v>
      </c>
      <c r="Z52" s="4">
        <f t="shared" si="16"/>
        <v>22388</v>
      </c>
      <c r="AB52">
        <f t="shared" si="7"/>
        <v>14552</v>
      </c>
    </row>
    <row r="53" spans="1:28">
      <c r="A53">
        <v>52</v>
      </c>
      <c r="B53" t="s">
        <v>293</v>
      </c>
      <c r="C53" t="s">
        <v>310</v>
      </c>
      <c r="D53">
        <v>104</v>
      </c>
      <c r="E53">
        <f>ROUND(E52*1.33,0)</f>
        <v>11285797</v>
      </c>
      <c r="F53">
        <v>36</v>
      </c>
      <c r="K53">
        <v>52</v>
      </c>
      <c r="L53">
        <f t="shared" si="11"/>
        <v>101218</v>
      </c>
      <c r="M53" s="15">
        <v>2</v>
      </c>
      <c r="O53">
        <f t="shared" si="3"/>
        <v>50609.146700019701</v>
      </c>
      <c r="P53" s="4">
        <f t="shared" si="8"/>
        <v>1.9999942026282098</v>
      </c>
      <c r="Q53" s="4">
        <v>52</v>
      </c>
      <c r="R53" s="4">
        <f>R52*POWER(POWER(R$56/R$51,0.2),1)</f>
        <v>39538.395859390388</v>
      </c>
      <c r="S53" s="4">
        <v>1.28</v>
      </c>
      <c r="U53" s="4">
        <f t="shared" si="20"/>
        <v>158200.80144006197</v>
      </c>
      <c r="V53" s="4">
        <f t="shared" si="20"/>
        <v>8781.0729696485541</v>
      </c>
      <c r="W53" s="4">
        <f t="shared" si="5"/>
        <v>14431.10159250791</v>
      </c>
      <c r="X53" s="4">
        <f t="shared" si="6"/>
        <v>13034.543373878112</v>
      </c>
      <c r="Y53" s="4">
        <f t="shared" si="15"/>
        <v>28862</v>
      </c>
      <c r="Z53" s="4">
        <f t="shared" si="16"/>
        <v>23723</v>
      </c>
      <c r="AB53">
        <f t="shared" si="7"/>
        <v>15420</v>
      </c>
    </row>
    <row r="54" spans="1:28">
      <c r="K54">
        <v>53</v>
      </c>
      <c r="L54">
        <f t="shared" si="11"/>
        <v>108093</v>
      </c>
      <c r="M54" s="15">
        <v>2</v>
      </c>
      <c r="O54">
        <f t="shared" si="3"/>
        <v>54046.357945022071</v>
      </c>
      <c r="P54" s="4">
        <f t="shared" si="8"/>
        <v>2.0000052567826336</v>
      </c>
      <c r="Q54" s="4">
        <v>53</v>
      </c>
      <c r="R54" s="4">
        <f>R53*POWER(POWER(R$56/R$51,0.2),1)</f>
        <v>41896.401507769049</v>
      </c>
      <c r="S54" s="4">
        <v>1.29</v>
      </c>
      <c r="U54" s="4">
        <f t="shared" si="20"/>
        <v>170697.57626298908</v>
      </c>
      <c r="V54" s="4">
        <f t="shared" si="20"/>
        <v>9613.6848091852153</v>
      </c>
      <c r="W54" s="4">
        <f t="shared" si="5"/>
        <v>20993.523226717822</v>
      </c>
      <c r="X54" s="4">
        <f t="shared" si="6"/>
        <v>18587.8011723339</v>
      </c>
      <c r="Y54" s="4">
        <f t="shared" si="15"/>
        <v>41987</v>
      </c>
      <c r="Z54" s="4">
        <f t="shared" si="16"/>
        <v>25138</v>
      </c>
      <c r="AB54">
        <f t="shared" si="7"/>
        <v>16340</v>
      </c>
    </row>
    <row r="55" spans="1:28">
      <c r="K55">
        <v>54</v>
      </c>
      <c r="L55">
        <f t="shared" si="11"/>
        <v>115427</v>
      </c>
      <c r="M55" s="15">
        <v>2</v>
      </c>
      <c r="O55">
        <f t="shared" si="3"/>
        <v>57713.545213248646</v>
      </c>
      <c r="P55" s="4">
        <f t="shared" si="8"/>
        <v>1.9999984331841518</v>
      </c>
      <c r="Q55" s="4">
        <v>54</v>
      </c>
      <c r="R55" s="4">
        <f>R54*POWER(POWER(R$56/R$51,0.2),1)</f>
        <v>44395.034779422036</v>
      </c>
      <c r="S55" s="4">
        <v>1.3</v>
      </c>
      <c r="U55" s="4">
        <f t="shared" si="20"/>
        <v>184181.51031364052</v>
      </c>
      <c r="V55" s="4">
        <f t="shared" si="20"/>
        <v>10525.244002619605</v>
      </c>
      <c r="W55" s="4">
        <f t="shared" si="5"/>
        <v>22804.011356862306</v>
      </c>
      <c r="X55" s="4">
        <f t="shared" si="6"/>
        <v>19769.256993781772</v>
      </c>
      <c r="Y55" s="4">
        <f t="shared" si="15"/>
        <v>45608</v>
      </c>
      <c r="Z55" s="4">
        <f t="shared" si="16"/>
        <v>26637</v>
      </c>
      <c r="AB55">
        <f t="shared" si="7"/>
        <v>17314</v>
      </c>
    </row>
    <row r="56" spans="1:28">
      <c r="K56">
        <v>55</v>
      </c>
      <c r="L56">
        <f t="shared" si="11"/>
        <v>123252</v>
      </c>
      <c r="M56" s="15">
        <v>2</v>
      </c>
      <c r="O56">
        <f t="shared" si="3"/>
        <v>61625.914045095436</v>
      </c>
      <c r="P56" s="4">
        <f t="shared" si="8"/>
        <v>2.0000027895701313</v>
      </c>
      <c r="Q56" s="4">
        <v>55</v>
      </c>
      <c r="R56" s="4">
        <f>战斗力成长!AY62</f>
        <v>47042.682477172086</v>
      </c>
      <c r="S56" s="4">
        <v>1.31</v>
      </c>
      <c r="U56" s="4">
        <f>战斗力成长!Y110</f>
        <v>198730.58237891848</v>
      </c>
      <c r="V56" s="4">
        <f>(战斗力成长!AR62+战斗力成长!AS62)*战斗力成长!AX62</f>
        <v>11523.236252642333</v>
      </c>
      <c r="W56" s="4">
        <f t="shared" si="5"/>
        <v>24771.941744570231</v>
      </c>
      <c r="X56" s="4">
        <f t="shared" si="6"/>
        <v>21004.780096778446</v>
      </c>
      <c r="Y56" s="4">
        <f t="shared" si="15"/>
        <v>49544</v>
      </c>
      <c r="Z56" s="4">
        <f t="shared" si="16"/>
        <v>28226</v>
      </c>
      <c r="AB56">
        <f t="shared" si="7"/>
        <v>18347</v>
      </c>
    </row>
    <row r="57" spans="1:28">
      <c r="K57">
        <v>56</v>
      </c>
      <c r="L57">
        <f t="shared" si="11"/>
        <v>133080</v>
      </c>
      <c r="M57" s="15">
        <v>2</v>
      </c>
      <c r="O57">
        <f t="shared" si="3"/>
        <v>66539.781472277245</v>
      </c>
      <c r="P57" s="4">
        <f t="shared" si="8"/>
        <v>2.0000065683330459</v>
      </c>
      <c r="Q57" s="4">
        <v>56</v>
      </c>
      <c r="R57" s="4">
        <f>R56*POWER(POWER(R$61/R$56,0.2),1)</f>
        <v>50408.925357785789</v>
      </c>
      <c r="S57" s="4">
        <v>1.32</v>
      </c>
      <c r="U57" s="4">
        <f t="shared" ref="U57:V60" si="21">U56*POWER(POWER(U$61/U$56,0.2),1)</f>
        <v>212741.20301464139</v>
      </c>
      <c r="V57" s="4">
        <f t="shared" si="21"/>
        <v>12847.610884866277</v>
      </c>
      <c r="W57" s="4">
        <f>V57+U57/(15+A57/4)</f>
        <v>27030.357752509037</v>
      </c>
      <c r="X57" s="4">
        <f t="shared" si="6"/>
        <v>22396.582137793201</v>
      </c>
      <c r="Y57" s="4">
        <f t="shared" si="15"/>
        <v>54061</v>
      </c>
      <c r="Z57" s="4">
        <f t="shared" si="16"/>
        <v>30245</v>
      </c>
      <c r="AB57">
        <f t="shared" si="7"/>
        <v>19659</v>
      </c>
    </row>
    <row r="58" spans="1:28">
      <c r="K58">
        <v>57</v>
      </c>
      <c r="L58">
        <f t="shared" si="11"/>
        <v>143683</v>
      </c>
      <c r="M58" s="15">
        <v>2</v>
      </c>
      <c r="O58">
        <f t="shared" si="3"/>
        <v>71841.342737133615</v>
      </c>
      <c r="P58" s="4">
        <f t="shared" si="8"/>
        <v>2.0000043780603312</v>
      </c>
      <c r="Q58" s="4">
        <v>57</v>
      </c>
      <c r="R58" s="4">
        <f>R57*POWER(POWER(R$61/R$56,0.2),1)</f>
        <v>54016.04717077715</v>
      </c>
      <c r="S58" s="4">
        <v>1.33</v>
      </c>
      <c r="U58" s="4">
        <f t="shared" si="21"/>
        <v>227739.58048299846</v>
      </c>
      <c r="V58" s="4">
        <f t="shared" si="21"/>
        <v>14324.196938259001</v>
      </c>
      <c r="W58" s="4">
        <f t="shared" si="5"/>
        <v>29506.835637125565</v>
      </c>
      <c r="X58" s="4">
        <f t="shared" si="6"/>
        <v>23870.698492955511</v>
      </c>
      <c r="Y58" s="4">
        <f t="shared" si="15"/>
        <v>59014</v>
      </c>
      <c r="Z58" s="4">
        <f t="shared" si="16"/>
        <v>32410</v>
      </c>
      <c r="AB58">
        <f t="shared" si="7"/>
        <v>21067</v>
      </c>
    </row>
    <row r="59" spans="1:28">
      <c r="K59">
        <v>58</v>
      </c>
      <c r="L59">
        <f t="shared" si="11"/>
        <v>155122</v>
      </c>
      <c r="M59" s="15">
        <v>2</v>
      </c>
      <c r="O59">
        <f t="shared" si="3"/>
        <v>77560.921282696247</v>
      </c>
      <c r="P59" s="4">
        <f t="shared" si="8"/>
        <v>2.0000020298186882</v>
      </c>
      <c r="Q59" s="4">
        <v>58</v>
      </c>
      <c r="R59" s="4">
        <f>R58*POWER(POWER(R$61/R$56,0.2),1)</f>
        <v>57881.284539325556</v>
      </c>
      <c r="S59" s="4">
        <v>1.34</v>
      </c>
      <c r="U59" s="4">
        <f t="shared" si="21"/>
        <v>243795.35221018107</v>
      </c>
      <c r="V59" s="4">
        <f t="shared" si="21"/>
        <v>15970.488191522169</v>
      </c>
      <c r="W59" s="4">
        <f t="shared" si="5"/>
        <v>32223.511672200904</v>
      </c>
      <c r="X59" s="4">
        <f t="shared" si="6"/>
        <v>25433.942323208743</v>
      </c>
      <c r="Y59" s="4">
        <f t="shared" si="15"/>
        <v>64447</v>
      </c>
      <c r="Z59" s="4">
        <f t="shared" si="16"/>
        <v>34729</v>
      </c>
      <c r="AB59">
        <f t="shared" si="7"/>
        <v>22574</v>
      </c>
    </row>
    <row r="60" spans="1:28">
      <c r="K60">
        <v>59</v>
      </c>
      <c r="L60">
        <f t="shared" si="11"/>
        <v>167462</v>
      </c>
      <c r="M60" s="15">
        <v>2</v>
      </c>
      <c r="O60">
        <f t="shared" si="3"/>
        <v>83731.195113108173</v>
      </c>
      <c r="P60" s="4">
        <f t="shared" si="8"/>
        <v>1.9999953395360497</v>
      </c>
      <c r="Q60" s="4">
        <v>59</v>
      </c>
      <c r="R60" s="4">
        <f>R59*POWER(POWER(R$61/R$56,0.2),1)</f>
        <v>62023.107491191236</v>
      </c>
      <c r="S60" s="4">
        <v>1.35</v>
      </c>
      <c r="U60" s="4">
        <f t="shared" si="21"/>
        <v>260983.06510107653</v>
      </c>
      <c r="V60" s="4">
        <f t="shared" si="21"/>
        <v>17805.988997142984</v>
      </c>
      <c r="W60" s="4">
        <f t="shared" si="5"/>
        <v>35204.860003881418</v>
      </c>
      <c r="X60" s="4">
        <f t="shared" si="6"/>
        <v>27093.796866366298</v>
      </c>
      <c r="Y60" s="4">
        <f t="shared" si="15"/>
        <v>70410</v>
      </c>
      <c r="Z60" s="4">
        <f t="shared" si="16"/>
        <v>37214</v>
      </c>
      <c r="AB60">
        <f t="shared" si="7"/>
        <v>24189</v>
      </c>
    </row>
    <row r="61" spans="1:28">
      <c r="K61">
        <v>60</v>
      </c>
      <c r="L61">
        <f t="shared" si="11"/>
        <v>180775</v>
      </c>
      <c r="M61" s="15">
        <v>2</v>
      </c>
      <c r="O61">
        <f t="shared" si="3"/>
        <v>90387.378496071862</v>
      </c>
      <c r="P61" s="4">
        <f t="shared" si="8"/>
        <v>2.0000026885153694</v>
      </c>
      <c r="Q61" s="4">
        <v>60</v>
      </c>
      <c r="R61" s="4">
        <f>战斗力成长!AY63</f>
        <v>66461.307717699892</v>
      </c>
      <c r="S61" s="4">
        <v>1.36</v>
      </c>
      <c r="U61" s="4">
        <f>战斗力成长!Y111</f>
        <v>279382.52166034654</v>
      </c>
      <c r="V61" s="4">
        <f>(战斗力成长!AR63+战斗力成长!AS63)*战斗力成长!AX63</f>
        <v>19852.445358225359</v>
      </c>
      <c r="W61" s="4">
        <f>V61+U61/(15+A61/4)</f>
        <v>38477.946802248465</v>
      </c>
      <c r="X61" s="4">
        <f t="shared" si="6"/>
        <v>28858.460101686349</v>
      </c>
      <c r="Y61" s="4">
        <f t="shared" si="15"/>
        <v>76956</v>
      </c>
      <c r="Z61" s="4">
        <f t="shared" si="16"/>
        <v>39877</v>
      </c>
      <c r="AB61">
        <f t="shared" si="7"/>
        <v>25920</v>
      </c>
    </row>
    <row r="62" spans="1:28">
      <c r="K62">
        <v>61</v>
      </c>
      <c r="L62">
        <f t="shared" si="11"/>
        <v>193784</v>
      </c>
      <c r="M62" s="15">
        <v>2</v>
      </c>
      <c r="O62">
        <f t="shared" si="3"/>
        <v>96891.973133266409</v>
      </c>
      <c r="P62" s="4">
        <f t="shared" si="8"/>
        <v>2.0000005545708839</v>
      </c>
      <c r="Q62" s="4">
        <v>61</v>
      </c>
      <c r="R62" s="4">
        <f>R61*POWER(POWER(R$66/R$61,0.2),1)</f>
        <v>70724.067980486419</v>
      </c>
      <c r="S62" s="4">
        <v>1.37</v>
      </c>
      <c r="U62" s="4">
        <f t="shared" ref="U62:V65" si="22">U61*POWER(POWER(U$66/U$61,0.2),1)</f>
        <v>305268.23579148535</v>
      </c>
      <c r="V62" s="4">
        <f t="shared" si="22"/>
        <v>22275.276035212348</v>
      </c>
      <c r="W62" s="4">
        <f t="shared" si="5"/>
        <v>42626.491754644703</v>
      </c>
      <c r="X62" s="4">
        <f t="shared" si="6"/>
        <v>31141.467183770623</v>
      </c>
      <c r="Y62" s="4">
        <f t="shared" si="15"/>
        <v>85253</v>
      </c>
      <c r="Z62" s="4">
        <f t="shared" si="16"/>
        <v>42434</v>
      </c>
      <c r="AB62">
        <f t="shared" si="7"/>
        <v>27582</v>
      </c>
    </row>
    <row r="63" spans="1:28">
      <c r="K63">
        <v>62</v>
      </c>
      <c r="L63">
        <f t="shared" si="11"/>
        <v>207718</v>
      </c>
      <c r="M63" s="15">
        <v>2</v>
      </c>
      <c r="O63">
        <f t="shared" si="3"/>
        <v>103859.12750734792</v>
      </c>
      <c r="P63" s="4">
        <f t="shared" si="8"/>
        <v>1.9999975446096847</v>
      </c>
      <c r="Q63" s="4">
        <v>62</v>
      </c>
      <c r="R63" s="4">
        <f>R62*POWER(POWER(R$66/R$61,0.2),1)</f>
        <v>75260.237324165166</v>
      </c>
      <c r="S63" s="4">
        <v>1.38</v>
      </c>
      <c r="U63" s="4">
        <f t="shared" si="22"/>
        <v>333552.34690213762</v>
      </c>
      <c r="V63" s="4">
        <f t="shared" si="22"/>
        <v>24993.793635569564</v>
      </c>
      <c r="W63" s="4">
        <f t="shared" si="5"/>
        <v>47230.616762378733</v>
      </c>
      <c r="X63" s="4">
        <f t="shared" si="6"/>
        <v>33598.456239126564</v>
      </c>
      <c r="Y63" s="4">
        <f t="shared" si="15"/>
        <v>94461</v>
      </c>
      <c r="Z63" s="4">
        <f t="shared" si="16"/>
        <v>45156</v>
      </c>
      <c r="AB63">
        <f t="shared" si="7"/>
        <v>29351</v>
      </c>
    </row>
    <row r="64" spans="1:28">
      <c r="K64">
        <v>63</v>
      </c>
      <c r="L64">
        <f t="shared" si="11"/>
        <v>222643</v>
      </c>
      <c r="M64" s="15">
        <v>2</v>
      </c>
      <c r="O64">
        <f t="shared" si="3"/>
        <v>111321.41917906803</v>
      </c>
      <c r="P64" s="4">
        <f t="shared" si="8"/>
        <v>2.0000014520284157</v>
      </c>
      <c r="Q64" s="4">
        <v>63</v>
      </c>
      <c r="R64" s="4">
        <f>R63*POWER(POWER(R$66/R$61,0.2),1)</f>
        <v>80087.351927387077</v>
      </c>
      <c r="S64" s="4">
        <v>1.39</v>
      </c>
      <c r="U64" s="4">
        <f t="shared" si="22"/>
        <v>364457.07440035982</v>
      </c>
      <c r="V64" s="4">
        <f t="shared" si="22"/>
        <v>28044.084361061996</v>
      </c>
      <c r="W64" s="4">
        <f t="shared" si="5"/>
        <v>52341.222654419318</v>
      </c>
      <c r="X64" s="4">
        <f t="shared" si="6"/>
        <v>36244.731239935689</v>
      </c>
      <c r="Y64" s="4">
        <f t="shared" si="15"/>
        <v>104682</v>
      </c>
      <c r="Z64" s="4">
        <f t="shared" si="16"/>
        <v>48052</v>
      </c>
      <c r="AB64">
        <f t="shared" si="7"/>
        <v>31234</v>
      </c>
    </row>
    <row r="65" spans="11:28">
      <c r="K65">
        <v>64</v>
      </c>
      <c r="L65">
        <f t="shared" si="11"/>
        <v>238627</v>
      </c>
      <c r="M65" s="15">
        <v>2</v>
      </c>
      <c r="O65">
        <f t="shared" si="3"/>
        <v>119313.70180989816</v>
      </c>
      <c r="P65" s="4">
        <f t="shared" si="8"/>
        <v>1.9999966171546921</v>
      </c>
      <c r="Q65" s="4">
        <v>64</v>
      </c>
      <c r="R65" s="4">
        <f>R64*POWER(POWER(R$66/R$61,0.2),1)</f>
        <v>85224.072721355842</v>
      </c>
      <c r="S65" s="4">
        <v>1.4</v>
      </c>
      <c r="U65" s="4">
        <f t="shared" si="22"/>
        <v>398225.22705691133</v>
      </c>
      <c r="V65" s="4">
        <f t="shared" si="22"/>
        <v>31466.638443037609</v>
      </c>
      <c r="W65" s="4">
        <f t="shared" si="5"/>
        <v>58014.98691349836</v>
      </c>
      <c r="X65" s="4">
        <f t="shared" si="6"/>
        <v>39097.056398227156</v>
      </c>
      <c r="Y65" s="4">
        <f t="shared" si="15"/>
        <v>116030</v>
      </c>
      <c r="Z65" s="4">
        <f t="shared" si="16"/>
        <v>51134</v>
      </c>
      <c r="AB65">
        <f t="shared" si="7"/>
        <v>33237</v>
      </c>
    </row>
    <row r="66" spans="11:28">
      <c r="K66">
        <v>65</v>
      </c>
      <c r="L66">
        <f t="shared" si="11"/>
        <v>255747</v>
      </c>
      <c r="M66" s="15">
        <v>2</v>
      </c>
      <c r="O66">
        <f t="shared" si="3"/>
        <v>127873.26311773089</v>
      </c>
      <c r="P66" s="4">
        <f t="shared" si="8"/>
        <v>2.0000037049538477</v>
      </c>
      <c r="Q66" s="4">
        <v>65</v>
      </c>
      <c r="R66" s="4">
        <f>战斗力成长!AY64</f>
        <v>90690.257530305607</v>
      </c>
      <c r="S66" s="4">
        <v>1.41</v>
      </c>
      <c r="U66" s="4">
        <f>战斗力成长!Y112</f>
        <v>435122.11067776708</v>
      </c>
      <c r="V66" s="4">
        <f>(战斗力成长!AR64+战斗力成长!AS64)*战斗力成长!AX64</f>
        <v>35306.887618681976</v>
      </c>
      <c r="W66" s="4">
        <f t="shared" si="5"/>
        <v>64315.02833053311</v>
      </c>
      <c r="X66" s="4">
        <f t="shared" si="6"/>
        <v>42173.789069202045</v>
      </c>
      <c r="Y66" s="4">
        <f t="shared" si="15"/>
        <v>128630</v>
      </c>
      <c r="Z66" s="4">
        <f t="shared" si="16"/>
        <v>54414</v>
      </c>
      <c r="AB66">
        <f t="shared" si="7"/>
        <v>35369</v>
      </c>
    </row>
    <row r="67" spans="11:28">
      <c r="K67">
        <v>66</v>
      </c>
      <c r="L67">
        <f t="shared" si="11"/>
        <v>273001</v>
      </c>
      <c r="M67" s="15">
        <v>2</v>
      </c>
      <c r="O67">
        <f>R67*S67</f>
        <v>136500.29988178361</v>
      </c>
      <c r="P67" s="4">
        <f t="shared" si="8"/>
        <v>2.0000029321285973</v>
      </c>
      <c r="Q67" s="4">
        <v>66</v>
      </c>
      <c r="R67" s="4">
        <f>R66*POWER(POWER(R$71/R$66,0.2),1)</f>
        <v>96126.971747734933</v>
      </c>
      <c r="S67" s="4">
        <v>1.42</v>
      </c>
      <c r="U67" s="4">
        <f t="shared" ref="U67:V70" si="23">U66*POWER(POWER(U$71/U$66,0.2),1)</f>
        <v>466574.46598099498</v>
      </c>
      <c r="V67" s="4">
        <f t="shared" si="23"/>
        <v>38879.121321565544</v>
      </c>
      <c r="W67" s="4">
        <f t="shared" ref="W67:W76" si="24">V67+U67/(15+A67/4)</f>
        <v>69984.08572029855</v>
      </c>
      <c r="X67" s="4">
        <f t="shared" ref="X67:X101" si="25">W67/(IF(15+K67/4&gt;25,25+(1+15+K67/4-25)*(15+K67/4-25)/2,15+K67/4)/(15+K67/4))</f>
        <v>44648.074940544895</v>
      </c>
      <c r="Y67" s="4">
        <f t="shared" si="15"/>
        <v>139968</v>
      </c>
      <c r="Z67" s="4">
        <f t="shared" si="16"/>
        <v>57676</v>
      </c>
      <c r="AB67">
        <f>ROUND(Z67*0.65,0)</f>
        <v>37489</v>
      </c>
    </row>
    <row r="68" spans="11:28">
      <c r="K68">
        <v>67</v>
      </c>
      <c r="L68">
        <f t="shared" si="11"/>
        <v>291404</v>
      </c>
      <c r="M68" s="15">
        <v>2</v>
      </c>
      <c r="O68">
        <f>R68*S68</f>
        <v>145702.13799262687</v>
      </c>
      <c r="P68" s="4">
        <f>L68/O68</f>
        <v>1.9999981058256417</v>
      </c>
      <c r="Q68" s="4">
        <v>67</v>
      </c>
      <c r="R68" s="4">
        <f>R67*POWER(POWER(R$71/R$66,0.2),1)</f>
        <v>101889.60698785096</v>
      </c>
      <c r="S68" s="4">
        <v>1.43</v>
      </c>
      <c r="U68" s="4">
        <f t="shared" si="23"/>
        <v>500300.32251489948</v>
      </c>
      <c r="V68" s="4">
        <f t="shared" si="23"/>
        <v>42812.78177397843</v>
      </c>
      <c r="W68" s="4">
        <f t="shared" si="24"/>
        <v>76166.136608305067</v>
      </c>
      <c r="X68" s="4">
        <f t="shared" si="25"/>
        <v>47272.324248037839</v>
      </c>
      <c r="Y68" s="4">
        <f t="shared" si="15"/>
        <v>152332</v>
      </c>
      <c r="Z68" s="4">
        <f t="shared" si="16"/>
        <v>61134</v>
      </c>
      <c r="AB68">
        <f>ROUND(Z68*0.65,0)</f>
        <v>39737</v>
      </c>
    </row>
    <row r="69" spans="11:28">
      <c r="K69">
        <v>68</v>
      </c>
      <c r="L69">
        <f t="shared" si="11"/>
        <v>311033</v>
      </c>
      <c r="M69" s="15">
        <v>2</v>
      </c>
      <c r="O69">
        <f>R69*S69</f>
        <v>155516.69032819627</v>
      </c>
      <c r="P69" s="4">
        <f>L69/O69</f>
        <v>1.9999975523116409</v>
      </c>
      <c r="Q69" s="4">
        <v>68</v>
      </c>
      <c r="R69" s="4">
        <f>R68*POWER(POWER(R$71/R$66,0.2),1)</f>
        <v>107997.70161680298</v>
      </c>
      <c r="S69" s="4">
        <v>1.44</v>
      </c>
      <c r="U69" s="4">
        <f t="shared" si="23"/>
        <v>536464.01798316138</v>
      </c>
      <c r="V69" s="4">
        <f t="shared" si="23"/>
        <v>47144.436934833822</v>
      </c>
      <c r="W69" s="4">
        <f t="shared" si="24"/>
        <v>82908.70480037792</v>
      </c>
      <c r="X69" s="4">
        <f t="shared" si="25"/>
        <v>50058.085917209311</v>
      </c>
      <c r="Y69" s="4">
        <f t="shared" si="15"/>
        <v>165817</v>
      </c>
      <c r="Z69" s="4">
        <f t="shared" si="16"/>
        <v>64799</v>
      </c>
      <c r="AB69">
        <f>ROUND(Z69*0.65,0)</f>
        <v>42119</v>
      </c>
    </row>
    <row r="70" spans="11:28">
      <c r="K70">
        <v>69</v>
      </c>
      <c r="L70">
        <f t="shared" si="11"/>
        <v>331969</v>
      </c>
      <c r="M70" s="15">
        <v>2</v>
      </c>
      <c r="O70">
        <f>R70*S70</f>
        <v>165984.34967031487</v>
      </c>
      <c r="P70" s="4">
        <f>L70/O70</f>
        <v>2.0000018113718001</v>
      </c>
      <c r="Q70" s="4">
        <v>69</v>
      </c>
      <c r="R70" s="4">
        <f>R69*POWER(POWER(R$71/R$66,0.2),1)</f>
        <v>114471.96528987233</v>
      </c>
      <c r="S70" s="4">
        <v>1.45</v>
      </c>
      <c r="U70" s="4">
        <f t="shared" si="23"/>
        <v>575241.76907174976</v>
      </c>
      <c r="V70" s="4">
        <f t="shared" si="23"/>
        <v>51914.354587755763</v>
      </c>
      <c r="W70" s="4">
        <f t="shared" si="24"/>
        <v>90263.80585920575</v>
      </c>
      <c r="X70" s="4">
        <f t="shared" si="25"/>
        <v>53017.784659476572</v>
      </c>
      <c r="Y70" s="4">
        <f t="shared" si="15"/>
        <v>180528</v>
      </c>
      <c r="Z70" s="4">
        <f t="shared" si="16"/>
        <v>68683</v>
      </c>
      <c r="AB70">
        <f>ROUND(Z70*0.65,0)</f>
        <v>44644</v>
      </c>
    </row>
    <row r="71" spans="11:28">
      <c r="K71">
        <v>70</v>
      </c>
      <c r="L71">
        <f t="shared" si="11"/>
        <v>354296</v>
      </c>
      <c r="M71" s="15">
        <v>2</v>
      </c>
      <c r="O71">
        <f>R71*S71</f>
        <v>177148.14978542979</v>
      </c>
      <c r="P71" s="4">
        <f>L71/O71</f>
        <v>1.9999983089247053</v>
      </c>
      <c r="Q71" s="4">
        <v>70</v>
      </c>
      <c r="R71" s="4">
        <f>战斗力成长!AY65</f>
        <v>121334.34916810261</v>
      </c>
      <c r="S71" s="4">
        <v>1.46</v>
      </c>
      <c r="U71" s="4">
        <f>战斗力成长!Y113</f>
        <v>616822.53010896745</v>
      </c>
      <c r="V71" s="4">
        <f>(战斗力成长!AR65+战斗力成长!AS65)*战斗力成长!AX65</f>
        <v>57166.876677063388</v>
      </c>
      <c r="W71" s="4">
        <f t="shared" si="24"/>
        <v>98288.378684327879</v>
      </c>
      <c r="X71" s="4">
        <f t="shared" si="25"/>
        <v>56164.787819615929</v>
      </c>
      <c r="Y71" s="4">
        <f t="shared" si="15"/>
        <v>196577</v>
      </c>
      <c r="Z71" s="4">
        <f t="shared" si="16"/>
        <v>72801</v>
      </c>
      <c r="AB71">
        <f>ROUND(Z71*0.65,0)</f>
        <v>47321</v>
      </c>
    </row>
    <row r="72" spans="11:28">
      <c r="K72">
        <v>71</v>
      </c>
      <c r="L72">
        <f t="shared" si="11"/>
        <v>377470</v>
      </c>
      <c r="M72" s="15">
        <v>2</v>
      </c>
      <c r="O72">
        <f t="shared" ref="O72:O101" si="26">R72*S72</f>
        <v>188735.13462780329</v>
      </c>
      <c r="P72" s="4">
        <f t="shared" ref="P72:P101" si="27">L72/O72</f>
        <v>1.9999985733678729</v>
      </c>
      <c r="Q72" s="4">
        <v>71</v>
      </c>
      <c r="R72" s="4">
        <f>R71*POWER(POWER(R$76/R$71,0.2),1)</f>
        <v>128391.24804612469</v>
      </c>
      <c r="S72" s="4">
        <v>1.47</v>
      </c>
      <c r="U72" s="4">
        <f t="shared" ref="U72:V75" si="28">U71*POWER(POWER(U$76/U$71,0.2),1)</f>
        <v>661392.26979657973</v>
      </c>
      <c r="V72" s="4">
        <f t="shared" si="28"/>
        <v>62928.470579837995</v>
      </c>
      <c r="W72" s="4">
        <f t="shared" si="24"/>
        <v>107021.28856627663</v>
      </c>
      <c r="X72" s="4">
        <f t="shared" si="25"/>
        <v>59500.429929685895</v>
      </c>
      <c r="Z72" s="4">
        <f>ROUND(O72*0.33,0)</f>
        <v>62283</v>
      </c>
    </row>
    <row r="73" spans="11:28">
      <c r="K73">
        <v>72</v>
      </c>
      <c r="L73">
        <f t="shared" si="11"/>
        <v>402141</v>
      </c>
      <c r="M73" s="15">
        <v>2</v>
      </c>
      <c r="O73">
        <f t="shared" si="26"/>
        <v>201070.700737554</v>
      </c>
      <c r="P73" s="4">
        <f t="shared" si="27"/>
        <v>1.9999980033137272</v>
      </c>
      <c r="Q73" s="4">
        <v>72</v>
      </c>
      <c r="R73" s="4">
        <f>R72*POWER(POWER(R$76/R$71,0.2),1)</f>
        <v>135858.58157942837</v>
      </c>
      <c r="S73" s="4">
        <v>1.48</v>
      </c>
      <c r="U73" s="4">
        <f t="shared" si="28"/>
        <v>709182.48474061722</v>
      </c>
      <c r="V73" s="4">
        <f t="shared" si="28"/>
        <v>69270.749771543356</v>
      </c>
      <c r="W73" s="4">
        <f t="shared" si="24"/>
        <v>116549.58208758451</v>
      </c>
      <c r="X73" s="4">
        <f t="shared" si="25"/>
        <v>63051.413260496542</v>
      </c>
      <c r="Z73" s="4">
        <f t="shared" ref="Z73:Z101" si="29">ROUND(O73*0.33,0)</f>
        <v>66353</v>
      </c>
    </row>
    <row r="74" spans="11:28">
      <c r="K74">
        <v>73</v>
      </c>
      <c r="L74">
        <f t="shared" si="11"/>
        <v>428405</v>
      </c>
      <c r="M74" s="15">
        <v>2</v>
      </c>
      <c r="O74">
        <f t="shared" si="26"/>
        <v>214202.72923426615</v>
      </c>
      <c r="P74" s="4">
        <f t="shared" si="27"/>
        <v>1.9999978596513035</v>
      </c>
      <c r="Q74" s="4">
        <v>73</v>
      </c>
      <c r="R74" s="4">
        <f>R73*POWER(POWER(R$76/R$71,0.2),1)</f>
        <v>143760.22096259473</v>
      </c>
      <c r="S74" s="4">
        <v>1.49</v>
      </c>
      <c r="U74" s="4">
        <f t="shared" si="28"/>
        <v>760425.8767910332</v>
      </c>
      <c r="V74" s="4">
        <f t="shared" si="28"/>
        <v>76252.238926162172</v>
      </c>
      <c r="W74" s="4">
        <f t="shared" si="24"/>
        <v>126947.29737889773</v>
      </c>
      <c r="X74" s="4">
        <f t="shared" si="25"/>
        <v>66834.203073303899</v>
      </c>
      <c r="Z74" s="4">
        <f t="shared" si="29"/>
        <v>70687</v>
      </c>
    </row>
    <row r="75" spans="11:28">
      <c r="K75">
        <v>74</v>
      </c>
      <c r="L75">
        <f t="shared" si="11"/>
        <v>456364</v>
      </c>
      <c r="M75" s="15">
        <v>2</v>
      </c>
      <c r="O75">
        <f t="shared" si="26"/>
        <v>228182.13863580604</v>
      </c>
      <c r="P75" s="4">
        <f t="shared" si="27"/>
        <v>1.9999987848671517</v>
      </c>
      <c r="Q75" s="4">
        <v>74</v>
      </c>
      <c r="R75" s="4">
        <f>R74*POWER(POWER(R$76/R$71,0.2),1)</f>
        <v>152121.42575720404</v>
      </c>
      <c r="S75" s="4">
        <v>1.5</v>
      </c>
      <c r="U75" s="4">
        <f t="shared" si="28"/>
        <v>815371.96213313856</v>
      </c>
      <c r="V75" s="4">
        <f t="shared" si="28"/>
        <v>83937.361157899548</v>
      </c>
      <c r="W75" s="4">
        <f t="shared" si="24"/>
        <v>138295.49196677544</v>
      </c>
      <c r="X75" s="4">
        <f t="shared" si="25"/>
        <v>70866.5236082138</v>
      </c>
      <c r="Z75" s="4">
        <f t="shared" si="29"/>
        <v>75300</v>
      </c>
    </row>
    <row r="76" spans="11:28">
      <c r="K76">
        <v>75</v>
      </c>
      <c r="L76">
        <f t="shared" si="11"/>
        <v>486126</v>
      </c>
      <c r="M76" s="15">
        <v>2</v>
      </c>
      <c r="O76">
        <f t="shared" si="26"/>
        <v>243063.07620689244</v>
      </c>
      <c r="P76" s="4">
        <f t="shared" si="27"/>
        <v>1.9999993729455445</v>
      </c>
      <c r="Q76" s="4">
        <v>75</v>
      </c>
      <c r="R76" s="4">
        <f>战斗力成长!AY66</f>
        <v>160968.92464032612</v>
      </c>
      <c r="S76" s="4">
        <v>1.51</v>
      </c>
      <c r="U76" s="4">
        <f>战斗力成长!Y114</f>
        <v>874288.28624087095</v>
      </c>
      <c r="V76" s="4">
        <f>(战斗力成长!AR66+战斗力成长!AS66)*战斗力成长!AX66</f>
        <v>92397.032498600616</v>
      </c>
      <c r="W76" s="4">
        <f t="shared" si="24"/>
        <v>150682.918247992</v>
      </c>
      <c r="X76" s="4">
        <f t="shared" si="25"/>
        <v>75167.460373132257</v>
      </c>
      <c r="Z76" s="4">
        <f t="shared" si="29"/>
        <v>80211</v>
      </c>
    </row>
    <row r="77" spans="11:28">
      <c r="K77">
        <v>76</v>
      </c>
      <c r="L77">
        <f t="shared" si="11"/>
        <v>514572</v>
      </c>
      <c r="M77" s="15">
        <v>2</v>
      </c>
      <c r="O77">
        <f t="shared" si="26"/>
        <v>257285.99002630019</v>
      </c>
      <c r="P77" s="4">
        <f t="shared" si="27"/>
        <v>2.0000000775300655</v>
      </c>
      <c r="Q77" s="4">
        <v>76</v>
      </c>
      <c r="R77" s="4">
        <f>R76*POWER(POWER(R$81/R$76,0.2),1)</f>
        <v>169267.09870151329</v>
      </c>
      <c r="S77" s="4">
        <v>1.52</v>
      </c>
      <c r="U77" s="4">
        <f t="shared" ref="U77:V80" si="30">U76*POWER(POWER(U$81/U$76,0.2),1)</f>
        <v>927452.3957659743</v>
      </c>
      <c r="V77" s="4">
        <f t="shared" si="30"/>
        <v>100877.61570633683</v>
      </c>
      <c r="W77" s="4">
        <f>V77+U77/(15+A77/4)</f>
        <v>162707.77542406844</v>
      </c>
      <c r="X77" s="4">
        <f t="shared" si="25"/>
        <v>79029.490920261829</v>
      </c>
      <c r="Z77" s="4">
        <f t="shared" si="29"/>
        <v>84904</v>
      </c>
    </row>
    <row r="78" spans="11:28">
      <c r="K78">
        <v>77</v>
      </c>
      <c r="L78">
        <f t="shared" si="11"/>
        <v>544659</v>
      </c>
      <c r="M78" s="15">
        <v>2</v>
      </c>
      <c r="O78">
        <f t="shared" si="26"/>
        <v>272329.3745875259</v>
      </c>
      <c r="P78" s="4">
        <f t="shared" si="27"/>
        <v>2.0000009210352303</v>
      </c>
      <c r="Q78" s="4">
        <v>77</v>
      </c>
      <c r="R78" s="4">
        <f>R77*POWER(POWER(R$81/R$76,0.2),1)</f>
        <v>177993.05528596463</v>
      </c>
      <c r="S78" s="4">
        <v>1.53</v>
      </c>
      <c r="U78" s="4">
        <f t="shared" si="30"/>
        <v>983849.33202120557</v>
      </c>
      <c r="V78" s="4">
        <f t="shared" si="30"/>
        <v>110136.5820460684</v>
      </c>
      <c r="W78" s="4">
        <f t="shared" ref="W78:W88" si="31">V78+U78/(15+A78/4)</f>
        <v>175726.53751414877</v>
      </c>
      <c r="X78" s="4">
        <f t="shared" si="25"/>
        <v>83123.126938069516</v>
      </c>
      <c r="Z78" s="4">
        <f t="shared" si="29"/>
        <v>89869</v>
      </c>
    </row>
    <row r="79" spans="11:28">
      <c r="K79">
        <v>78</v>
      </c>
      <c r="L79">
        <f t="shared" si="11"/>
        <v>576480</v>
      </c>
      <c r="M79" s="15">
        <v>2</v>
      </c>
      <c r="O79">
        <f t="shared" si="26"/>
        <v>288240.0246623581</v>
      </c>
      <c r="P79" s="4">
        <f t="shared" si="27"/>
        <v>1.9999998288762422</v>
      </c>
      <c r="Q79" s="4">
        <v>78</v>
      </c>
      <c r="R79" s="4">
        <f>R78*POWER(POWER(R$81/R$76,0.2),1)</f>
        <v>187168.84718334943</v>
      </c>
      <c r="S79" s="4">
        <v>1.54</v>
      </c>
      <c r="U79" s="4">
        <f t="shared" si="30"/>
        <v>1043675.6781669033</v>
      </c>
      <c r="V79" s="4">
        <f t="shared" si="30"/>
        <v>120245.37475292828</v>
      </c>
      <c r="W79" s="4">
        <f t="shared" si="31"/>
        <v>189823.7532973885</v>
      </c>
      <c r="X79" s="4">
        <f t="shared" si="25"/>
        <v>87464.701018496198</v>
      </c>
      <c r="Z79" s="4">
        <f t="shared" si="29"/>
        <v>95119</v>
      </c>
    </row>
    <row r="80" spans="11:28">
      <c r="K80">
        <v>79</v>
      </c>
      <c r="L80">
        <f t="shared" si="11"/>
        <v>610135</v>
      </c>
      <c r="M80" s="15">
        <v>2</v>
      </c>
      <c r="O80">
        <f t="shared" si="26"/>
        <v>305067.37925518909</v>
      </c>
      <c r="P80" s="4">
        <f t="shared" si="27"/>
        <v>2.0000007915943763</v>
      </c>
      <c r="Q80" s="4">
        <v>79</v>
      </c>
      <c r="R80" s="4">
        <f>R79*POWER(POWER(R$81/R$76,0.2),1)</f>
        <v>196817.66403560588</v>
      </c>
      <c r="S80" s="4">
        <v>1.55</v>
      </c>
      <c r="U80" s="4">
        <f t="shared" si="30"/>
        <v>1107139.9712793301</v>
      </c>
      <c r="V80" s="4">
        <f t="shared" si="30"/>
        <v>131281.99441875008</v>
      </c>
      <c r="W80" s="4">
        <f t="shared" si="31"/>
        <v>205091.3258373721</v>
      </c>
      <c r="X80" s="4">
        <f t="shared" si="25"/>
        <v>92071.681199498504</v>
      </c>
      <c r="Z80" s="4">
        <f t="shared" si="29"/>
        <v>100672</v>
      </c>
    </row>
    <row r="81" spans="11:26">
      <c r="K81">
        <v>80</v>
      </c>
      <c r="L81">
        <f t="shared" si="11"/>
        <v>209861</v>
      </c>
      <c r="M81" s="15">
        <v>0.65</v>
      </c>
      <c r="O81">
        <f t="shared" si="26"/>
        <v>322863.66987150407</v>
      </c>
      <c r="P81" s="4">
        <f t="shared" si="27"/>
        <v>0.64999880625628215</v>
      </c>
      <c r="Q81" s="4">
        <v>80</v>
      </c>
      <c r="R81" s="4">
        <f>战斗力成长!AY67</f>
        <v>206963.89094327184</v>
      </c>
      <c r="S81" s="4">
        <v>1.56</v>
      </c>
      <c r="U81" s="4">
        <f>战斗力成长!Y115</f>
        <v>1174463.4292496885</v>
      </c>
      <c r="V81" s="4">
        <f>(战斗力成长!AR67+战斗力成长!AS67)*战斗力成长!AX67</f>
        <v>143331.60085348747</v>
      </c>
      <c r="W81" s="4">
        <f t="shared" si="31"/>
        <v>221629.16280346672</v>
      </c>
      <c r="X81" s="4">
        <f t="shared" si="25"/>
        <v>96962.758726516695</v>
      </c>
      <c r="Z81" s="4">
        <f t="shared" si="29"/>
        <v>106545</v>
      </c>
    </row>
    <row r="82" spans="11:26">
      <c r="K82">
        <v>81</v>
      </c>
      <c r="L82">
        <f t="shared" ref="L82:L101" si="32">ROUND(O82*M82,0)</f>
        <v>238072</v>
      </c>
      <c r="M82" s="15">
        <v>0.7</v>
      </c>
      <c r="O82">
        <f t="shared" si="26"/>
        <v>340102.92797664966</v>
      </c>
      <c r="P82" s="4">
        <f t="shared" si="27"/>
        <v>0.69999985420985622</v>
      </c>
      <c r="Q82" s="4">
        <v>81</v>
      </c>
      <c r="R82" s="4">
        <f>R81*POWER(POWER(R$86/R$81,0.2),1)</f>
        <v>216626.06877493608</v>
      </c>
      <c r="S82" s="4">
        <v>1.57</v>
      </c>
      <c r="U82" s="4">
        <f t="shared" ref="U82:V85" si="33">U81*POWER(POWER(U$86/U$81,0.2),1)</f>
        <v>1247960.8479425625</v>
      </c>
      <c r="V82" s="4">
        <f t="shared" si="33"/>
        <v>156414.9982764236</v>
      </c>
      <c r="W82" s="4">
        <f t="shared" si="31"/>
        <v>239612.38813926111</v>
      </c>
      <c r="X82" s="4">
        <f t="shared" si="25"/>
        <v>102186.30390211211</v>
      </c>
      <c r="Z82" s="4">
        <f t="shared" si="29"/>
        <v>112234</v>
      </c>
    </row>
    <row r="83" spans="11:26">
      <c r="K83">
        <v>82</v>
      </c>
      <c r="L83">
        <f t="shared" si="32"/>
        <v>268686</v>
      </c>
      <c r="M83" s="15">
        <v>0.75</v>
      </c>
      <c r="O83">
        <f t="shared" si="26"/>
        <v>358248.13915717514</v>
      </c>
      <c r="P83" s="4">
        <f t="shared" si="27"/>
        <v>0.74999970867153254</v>
      </c>
      <c r="Q83" s="4">
        <v>82</v>
      </c>
      <c r="R83" s="4">
        <f>R82*POWER(POWER(R$86/R$81,0.2),1)</f>
        <v>226739.3285804906</v>
      </c>
      <c r="S83" s="4">
        <v>1.58</v>
      </c>
      <c r="U83" s="4">
        <f t="shared" si="33"/>
        <v>1326057.703637887</v>
      </c>
      <c r="V83" s="4">
        <f t="shared" si="33"/>
        <v>170692.65633070134</v>
      </c>
      <c r="W83" s="4">
        <f t="shared" si="31"/>
        <v>259096.50323989382</v>
      </c>
      <c r="X83" s="4">
        <f t="shared" si="25"/>
        <v>107735.58846285484</v>
      </c>
      <c r="Z83" s="4">
        <f t="shared" si="29"/>
        <v>118222</v>
      </c>
    </row>
    <row r="84" spans="11:26">
      <c r="K84">
        <v>83</v>
      </c>
      <c r="L84">
        <f t="shared" si="32"/>
        <v>301877</v>
      </c>
      <c r="M84" s="15">
        <v>0.8</v>
      </c>
      <c r="O84">
        <f t="shared" si="26"/>
        <v>377346.31954146951</v>
      </c>
      <c r="P84" s="4">
        <f t="shared" si="27"/>
        <v>0.79999985256732942</v>
      </c>
      <c r="Q84" s="4">
        <v>83</v>
      </c>
      <c r="R84" s="4">
        <f>R83*POWER(POWER(R$86/R$81,0.2),1)</f>
        <v>237324.72927136446</v>
      </c>
      <c r="S84" s="4">
        <v>1.59</v>
      </c>
      <c r="U84" s="4">
        <f t="shared" si="33"/>
        <v>1409041.8271345624</v>
      </c>
      <c r="V84" s="4">
        <f t="shared" si="33"/>
        <v>186273.58786745311</v>
      </c>
      <c r="W84" s="4">
        <f t="shared" si="31"/>
        <v>280209.70967642392</v>
      </c>
      <c r="X84" s="4">
        <f t="shared" si="25"/>
        <v>113633.43065219035</v>
      </c>
      <c r="Z84" s="4">
        <f t="shared" si="29"/>
        <v>124524</v>
      </c>
    </row>
    <row r="85" spans="11:26">
      <c r="K85">
        <v>84</v>
      </c>
      <c r="L85">
        <f t="shared" si="32"/>
        <v>337830</v>
      </c>
      <c r="M85" s="15">
        <v>0.85</v>
      </c>
      <c r="O85">
        <f t="shared" si="26"/>
        <v>397446.90064199234</v>
      </c>
      <c r="P85" s="4">
        <f t="shared" si="27"/>
        <v>0.85000033829501831</v>
      </c>
      <c r="Q85" s="4">
        <v>84</v>
      </c>
      <c r="R85" s="4">
        <f>R84*POWER(POWER(R$86/R$81,0.2),1)</f>
        <v>248404.3129012452</v>
      </c>
      <c r="S85" s="4">
        <v>1.6</v>
      </c>
      <c r="U85" s="4">
        <f t="shared" si="33"/>
        <v>1497219.0615596834</v>
      </c>
      <c r="V85" s="4">
        <f t="shared" si="33"/>
        <v>203276.75649847454</v>
      </c>
      <c r="W85" s="4">
        <f t="shared" si="31"/>
        <v>303091.36060245347</v>
      </c>
      <c r="X85" s="4">
        <f t="shared" si="25"/>
        <v>119904.27452404753</v>
      </c>
      <c r="Z85" s="4">
        <f t="shared" si="29"/>
        <v>131157</v>
      </c>
    </row>
    <row r="86" spans="11:26">
      <c r="K86">
        <v>85</v>
      </c>
      <c r="L86">
        <f t="shared" si="32"/>
        <v>376742</v>
      </c>
      <c r="M86" s="15">
        <v>0.9</v>
      </c>
      <c r="O86">
        <f t="shared" si="26"/>
        <v>418601.85240868572</v>
      </c>
      <c r="P86" s="4">
        <f t="shared" si="27"/>
        <v>0.90000079510441944</v>
      </c>
      <c r="Q86" s="4">
        <v>85</v>
      </c>
      <c r="R86" s="4">
        <f>战斗力成长!AY68</f>
        <v>260001.15056440106</v>
      </c>
      <c r="S86" s="4">
        <v>1.61</v>
      </c>
      <c r="U86" s="4">
        <f>战斗力成长!Y116</f>
        <v>1590914.3895723277</v>
      </c>
      <c r="V86" s="4">
        <f>(战斗力成长!AR68+战斗力成长!AS68)*战斗力成长!AX68</f>
        <v>221831.98490782949</v>
      </c>
      <c r="W86" s="4">
        <f t="shared" si="31"/>
        <v>327892.94421265135</v>
      </c>
      <c r="X86" s="4">
        <f t="shared" si="25"/>
        <v>126574.31457127306</v>
      </c>
      <c r="Z86" s="4">
        <f t="shared" si="29"/>
        <v>138139</v>
      </c>
    </row>
    <row r="87" spans="11:26">
      <c r="K87">
        <v>86</v>
      </c>
      <c r="L87">
        <f t="shared" si="32"/>
        <v>418041</v>
      </c>
      <c r="M87" s="15">
        <v>0.95</v>
      </c>
      <c r="O87">
        <f t="shared" si="26"/>
        <v>440042.9429733915</v>
      </c>
      <c r="P87" s="4">
        <f t="shared" si="27"/>
        <v>0.9500004639894386</v>
      </c>
      <c r="Q87" s="4">
        <v>86</v>
      </c>
      <c r="R87" s="4">
        <f>R86*POWER(POWER(R$91/R$86,0.2),1)</f>
        <v>271631.44627987128</v>
      </c>
      <c r="S87" s="4">
        <v>1.62</v>
      </c>
      <c r="U87" s="4">
        <f t="shared" ref="U87:V90" si="34">U86*POWER(POWER(U$91/U$86,0.2),1)</f>
        <v>1679280.5193464267</v>
      </c>
      <c r="V87" s="4">
        <f t="shared" si="34"/>
        <v>237204.90111597796</v>
      </c>
      <c r="W87" s="4">
        <f t="shared" si="31"/>
        <v>349156.93573907309</v>
      </c>
      <c r="X87" s="4">
        <f t="shared" si="25"/>
        <v>131553.32288491528</v>
      </c>
      <c r="Z87" s="4">
        <f t="shared" si="29"/>
        <v>145214</v>
      </c>
    </row>
    <row r="88" spans="11:26">
      <c r="K88">
        <v>87</v>
      </c>
      <c r="L88">
        <f t="shared" si="32"/>
        <v>462565</v>
      </c>
      <c r="M88" s="15">
        <v>1</v>
      </c>
      <c r="O88">
        <f t="shared" si="26"/>
        <v>462564.63554150518</v>
      </c>
      <c r="P88" s="4">
        <f t="shared" si="27"/>
        <v>1.0000007879082551</v>
      </c>
      <c r="Q88" s="4">
        <v>87</v>
      </c>
      <c r="R88" s="4">
        <f>R87*POWER(POWER(R$91/R$86,0.2),1)</f>
        <v>283781.98499478848</v>
      </c>
      <c r="S88" s="4">
        <v>1.63</v>
      </c>
      <c r="U88" s="4">
        <f t="shared" si="34"/>
        <v>1772554.8785905929</v>
      </c>
      <c r="V88" s="4">
        <f t="shared" si="34"/>
        <v>253643.15762138314</v>
      </c>
      <c r="W88" s="4">
        <f t="shared" si="31"/>
        <v>371813.48286075599</v>
      </c>
      <c r="X88" s="4">
        <f t="shared" si="25"/>
        <v>136769.67652306819</v>
      </c>
      <c r="Z88" s="4">
        <f t="shared" si="29"/>
        <v>152646</v>
      </c>
    </row>
    <row r="89" spans="11:26">
      <c r="K89">
        <v>88</v>
      </c>
      <c r="L89">
        <f t="shared" si="32"/>
        <v>510532</v>
      </c>
      <c r="M89" s="15">
        <v>1.05</v>
      </c>
      <c r="O89">
        <f t="shared" si="26"/>
        <v>486220.70243058616</v>
      </c>
      <c r="P89" s="4">
        <f t="shared" si="27"/>
        <v>1.0500005397711023</v>
      </c>
      <c r="Q89" s="4">
        <v>88</v>
      </c>
      <c r="R89" s="4">
        <f>R88*POWER(POWER(R$91/R$86,0.2),1)</f>
        <v>296476.03806743061</v>
      </c>
      <c r="S89" s="4">
        <v>1.64</v>
      </c>
      <c r="U89" s="4">
        <f t="shared" si="34"/>
        <v>1871010.0911777108</v>
      </c>
      <c r="V89" s="4">
        <f t="shared" si="34"/>
        <v>271220.58231288486</v>
      </c>
      <c r="W89" s="4">
        <f>V89+U89/(15+A89/4)</f>
        <v>395954.58839139889</v>
      </c>
      <c r="X89" s="4">
        <f t="shared" si="25"/>
        <v>142236.11427652193</v>
      </c>
      <c r="Z89" s="4">
        <f t="shared" si="29"/>
        <v>160453</v>
      </c>
    </row>
    <row r="90" spans="11:26">
      <c r="K90">
        <v>89</v>
      </c>
      <c r="L90">
        <f t="shared" si="32"/>
        <v>562174</v>
      </c>
      <c r="M90" s="15">
        <v>1.1000000000000001</v>
      </c>
      <c r="O90">
        <f t="shared" si="26"/>
        <v>511067.5644090951</v>
      </c>
      <c r="P90" s="4">
        <f t="shared" si="27"/>
        <v>1.099999372196502</v>
      </c>
      <c r="Q90" s="4">
        <v>89</v>
      </c>
      <c r="R90" s="4">
        <f>R89*POWER(POWER(R$91/R$86,0.2),1)</f>
        <v>309737.91782369401</v>
      </c>
      <c r="S90" s="4">
        <v>1.65</v>
      </c>
      <c r="U90" s="4">
        <f t="shared" si="34"/>
        <v>1974933.9236663363</v>
      </c>
      <c r="V90" s="4">
        <f t="shared" si="34"/>
        <v>290016.11933859199</v>
      </c>
      <c r="W90" s="4">
        <f t="shared" ref="W90:W101" si="35">V90+U90/(15+A90/4)</f>
        <v>421678.38091634773</v>
      </c>
      <c r="X90" s="4">
        <f t="shared" si="25"/>
        <v>147966.03769569812</v>
      </c>
      <c r="Z90" s="4">
        <f t="shared" si="29"/>
        <v>168652</v>
      </c>
    </row>
    <row r="91" spans="11:26">
      <c r="K91">
        <v>90</v>
      </c>
      <c r="L91">
        <f t="shared" si="32"/>
        <v>617739</v>
      </c>
      <c r="M91" s="15">
        <v>1.1499999999999999</v>
      </c>
      <c r="O91">
        <f t="shared" si="26"/>
        <v>537164.42004144692</v>
      </c>
      <c r="P91" s="4">
        <f t="shared" si="27"/>
        <v>1.1499998453961937</v>
      </c>
      <c r="Q91" s="4">
        <v>90</v>
      </c>
      <c r="R91" s="4">
        <f>战斗力成长!AY69</f>
        <v>323593.02412135358</v>
      </c>
      <c r="S91" s="4">
        <v>1.66</v>
      </c>
      <c r="U91" s="4">
        <f>战斗力成长!Y117</f>
        <v>2084630.1263896551</v>
      </c>
      <c r="V91" s="4">
        <f>(战斗力成长!AR69+战斗力成长!AS69)*战斗力成长!AX69</f>
        <v>310114.1836617192</v>
      </c>
      <c r="W91" s="4">
        <f t="shared" si="35"/>
        <v>449089.52542102954</v>
      </c>
      <c r="X91" s="4">
        <f t="shared" si="25"/>
        <v>153973.55157292442</v>
      </c>
      <c r="Z91" s="4">
        <f t="shared" si="29"/>
        <v>177264</v>
      </c>
    </row>
    <row r="92" spans="11:26">
      <c r="K92">
        <v>91</v>
      </c>
      <c r="L92">
        <f t="shared" si="32"/>
        <v>675515</v>
      </c>
      <c r="M92" s="15">
        <v>1.2</v>
      </c>
      <c r="O92">
        <f t="shared" si="26"/>
        <v>562928.78271258972</v>
      </c>
      <c r="P92" s="4">
        <f t="shared" si="27"/>
        <v>1.200000818478121</v>
      </c>
      <c r="Q92" s="4">
        <v>91</v>
      </c>
      <c r="R92" s="4">
        <f>R91*POWER(POWER(R$96/R$91,0.2),1)</f>
        <v>337083.1034207124</v>
      </c>
      <c r="S92" s="4">
        <v>1.67</v>
      </c>
      <c r="U92" s="4">
        <f t="shared" ref="U92:V95" si="36">U91*POWER(POWER(U$96/U$91,0.2),1)</f>
        <v>2193185.9595315806</v>
      </c>
      <c r="V92" s="4">
        <f t="shared" si="36"/>
        <v>331758.60548472323</v>
      </c>
      <c r="W92" s="4">
        <f t="shared" si="35"/>
        <v>477971.00278682861</v>
      </c>
      <c r="X92" s="4">
        <f t="shared" si="25"/>
        <v>160163.37624590541</v>
      </c>
      <c r="Z92" s="4">
        <f t="shared" si="29"/>
        <v>185766</v>
      </c>
    </row>
    <row r="93" spans="11:26">
      <c r="K93">
        <v>92</v>
      </c>
      <c r="L93">
        <f t="shared" si="32"/>
        <v>737385</v>
      </c>
      <c r="M93" s="15">
        <v>1.25</v>
      </c>
      <c r="O93">
        <f t="shared" si="26"/>
        <v>589907.7453416721</v>
      </c>
      <c r="P93" s="4">
        <f t="shared" si="27"/>
        <v>1.250000539614732</v>
      </c>
      <c r="Q93" s="4">
        <v>92</v>
      </c>
      <c r="R93" s="4">
        <f>R92*POWER(POWER(R$96/R$91,0.2),1)</f>
        <v>351135.56270337629</v>
      </c>
      <c r="S93" s="4">
        <v>1.68</v>
      </c>
      <c r="U93" s="4">
        <f t="shared" si="36"/>
        <v>2307394.7709932365</v>
      </c>
      <c r="V93" s="4">
        <f t="shared" si="36"/>
        <v>354913.69989458052</v>
      </c>
      <c r="W93" s="4">
        <f t="shared" si="35"/>
        <v>508740.01796079625</v>
      </c>
      <c r="X93" s="4">
        <f t="shared" si="25"/>
        <v>166656.21278026083</v>
      </c>
      <c r="Z93" s="4">
        <f t="shared" si="29"/>
        <v>194670</v>
      </c>
    </row>
    <row r="94" spans="11:26">
      <c r="K94">
        <v>93</v>
      </c>
      <c r="L94">
        <f t="shared" si="32"/>
        <v>803605</v>
      </c>
      <c r="M94" s="15">
        <v>1.3</v>
      </c>
      <c r="O94">
        <f t="shared" si="26"/>
        <v>618157.8009192337</v>
      </c>
      <c r="P94" s="4">
        <f t="shared" si="27"/>
        <v>1.2999997715874432</v>
      </c>
      <c r="Q94" s="4">
        <v>93</v>
      </c>
      <c r="R94" s="4">
        <f>R93*POWER(POWER(R$96/R$91,0.2),1)</f>
        <v>365773.84669777146</v>
      </c>
      <c r="S94" s="4">
        <v>1.69</v>
      </c>
      <c r="U94" s="4">
        <f t="shared" si="36"/>
        <v>2427550.9361477229</v>
      </c>
      <c r="V94" s="4">
        <f t="shared" si="36"/>
        <v>379684.90429605666</v>
      </c>
      <c r="W94" s="4">
        <f t="shared" si="35"/>
        <v>541521.63337257155</v>
      </c>
      <c r="X94" s="4">
        <f t="shared" si="25"/>
        <v>173468.32746611556</v>
      </c>
      <c r="Z94" s="4">
        <f t="shared" si="29"/>
        <v>203992</v>
      </c>
    </row>
    <row r="95" spans="11:26">
      <c r="K95">
        <v>94</v>
      </c>
      <c r="L95">
        <f t="shared" si="32"/>
        <v>874446</v>
      </c>
      <c r="M95" s="15">
        <v>1.35</v>
      </c>
      <c r="O95">
        <f t="shared" si="26"/>
        <v>647738.04175989609</v>
      </c>
      <c r="P95" s="4">
        <f t="shared" si="27"/>
        <v>1.3499994498148375</v>
      </c>
      <c r="Q95" s="4">
        <v>94</v>
      </c>
      <c r="R95" s="4">
        <f>R94*POWER(POWER(R$96/R$91,0.2),1)</f>
        <v>381022.37750582123</v>
      </c>
      <c r="S95" s="4">
        <v>1.7</v>
      </c>
      <c r="U95" s="4">
        <f t="shared" si="36"/>
        <v>2553964.1597848451</v>
      </c>
      <c r="V95" s="4">
        <f t="shared" si="36"/>
        <v>406185.01509839017</v>
      </c>
      <c r="W95" s="4">
        <f t="shared" si="35"/>
        <v>576449.29241737979</v>
      </c>
      <c r="X95" s="4">
        <f t="shared" si="25"/>
        <v>180616.86883474363</v>
      </c>
      <c r="Z95" s="4">
        <f t="shared" si="29"/>
        <v>213754</v>
      </c>
    </row>
    <row r="96" spans="11:26">
      <c r="K96">
        <v>95</v>
      </c>
      <c r="L96">
        <f t="shared" si="32"/>
        <v>950194</v>
      </c>
      <c r="M96" s="15">
        <v>1.4</v>
      </c>
      <c r="O96">
        <f t="shared" si="26"/>
        <v>678710.27804524219</v>
      </c>
      <c r="P96" s="4">
        <f t="shared" si="27"/>
        <v>1.3999994264661202</v>
      </c>
      <c r="Q96" s="4">
        <v>95</v>
      </c>
      <c r="R96" s="4">
        <f>战斗力成长!AY70</f>
        <v>396906.59534809488</v>
      </c>
      <c r="S96" s="4">
        <v>1.71</v>
      </c>
      <c r="U96" s="4">
        <f>战斗力成长!Y118</f>
        <v>2686960.2743810713</v>
      </c>
      <c r="V96" s="4">
        <f>(战斗力成长!AR70+战斗力成长!AS70)*战斗力成长!AX70</f>
        <v>434534.70133706596</v>
      </c>
      <c r="W96" s="4">
        <f t="shared" si="35"/>
        <v>613665.38629580406</v>
      </c>
      <c r="X96" s="4">
        <f t="shared" si="25"/>
        <v>188119.92064444919</v>
      </c>
      <c r="Z96" s="4">
        <f t="shared" si="29"/>
        <v>223974</v>
      </c>
    </row>
    <row r="97" spans="11:26">
      <c r="K97">
        <v>96</v>
      </c>
      <c r="L97">
        <f t="shared" si="32"/>
        <v>1030973</v>
      </c>
      <c r="M97" s="15">
        <v>1.45</v>
      </c>
      <c r="O97">
        <f t="shared" si="26"/>
        <v>711015.51883955346</v>
      </c>
      <c r="P97" s="4">
        <f t="shared" si="27"/>
        <v>1.4500006999603163</v>
      </c>
      <c r="Q97" s="4">
        <v>96</v>
      </c>
      <c r="R97" s="4">
        <f>R96*POWER(POWER(R$101/R$96,0.2),1)</f>
        <v>413381.11560439155</v>
      </c>
      <c r="S97" s="4">
        <v>1.72</v>
      </c>
      <c r="U97" s="4">
        <f t="shared" ref="U97:V100" si="37">U96*POWER(POWER(U$101/U$96,0.2),1)</f>
        <v>2829501.7421876676</v>
      </c>
      <c r="V97" s="4">
        <f t="shared" si="37"/>
        <v>466451.42231741163</v>
      </c>
      <c r="W97" s="4">
        <f t="shared" si="35"/>
        <v>655084.87179658946</v>
      </c>
      <c r="X97" s="4">
        <f t="shared" si="25"/>
        <v>196525.46153897682</v>
      </c>
      <c r="Z97" s="4">
        <f t="shared" si="29"/>
        <v>234635</v>
      </c>
    </row>
    <row r="98" spans="11:26">
      <c r="K98">
        <v>97</v>
      </c>
      <c r="L98">
        <f t="shared" si="32"/>
        <v>1117250</v>
      </c>
      <c r="M98" s="15">
        <v>1.5</v>
      </c>
      <c r="O98">
        <f t="shared" si="26"/>
        <v>744833.2462151217</v>
      </c>
      <c r="P98" s="4">
        <f t="shared" si="27"/>
        <v>1.5000001754450651</v>
      </c>
      <c r="Q98" s="4">
        <v>97</v>
      </c>
      <c r="R98" s="4">
        <f>R97*POWER(POWER(R$101/R$96,0.2),1)</f>
        <v>430539.44867926108</v>
      </c>
      <c r="S98" s="4">
        <v>1.73</v>
      </c>
      <c r="U98" s="4">
        <f t="shared" si="37"/>
        <v>2979604.9407121246</v>
      </c>
      <c r="V98" s="4">
        <f t="shared" si="37"/>
        <v>500712.43726323987</v>
      </c>
      <c r="W98" s="4">
        <f t="shared" si="35"/>
        <v>699352.76664404816</v>
      </c>
      <c r="X98" s="4">
        <f t="shared" si="25"/>
        <v>205374.57912203053</v>
      </c>
      <c r="Z98" s="4">
        <f t="shared" si="29"/>
        <v>245795</v>
      </c>
    </row>
    <row r="99" spans="11:26">
      <c r="K99">
        <v>98</v>
      </c>
      <c r="L99">
        <f t="shared" si="32"/>
        <v>1209362</v>
      </c>
      <c r="M99" s="15">
        <v>1.55</v>
      </c>
      <c r="O99">
        <f t="shared" si="26"/>
        <v>780233.3613633191</v>
      </c>
      <c r="P99" s="4">
        <f t="shared" si="27"/>
        <v>1.5500003715386572</v>
      </c>
      <c r="Q99" s="4">
        <v>98</v>
      </c>
      <c r="R99" s="4">
        <f>R98*POWER(POWER(R$101/R$96,0.2),1)</f>
        <v>448409.97779501096</v>
      </c>
      <c r="S99" s="4">
        <v>1.74</v>
      </c>
      <c r="U99" s="4">
        <f t="shared" si="37"/>
        <v>3137671.0147744678</v>
      </c>
      <c r="V99" s="4">
        <f t="shared" si="37"/>
        <v>537489.93536027498</v>
      </c>
      <c r="W99" s="4">
        <f t="shared" si="35"/>
        <v>746668.00301190617</v>
      </c>
      <c r="X99" s="4">
        <f t="shared" si="25"/>
        <v>214692.52861852807</v>
      </c>
      <c r="Z99" s="4">
        <f t="shared" si="29"/>
        <v>257477</v>
      </c>
    </row>
    <row r="100" spans="11:26">
      <c r="K100">
        <v>99</v>
      </c>
      <c r="L100">
        <f t="shared" si="32"/>
        <v>1307662</v>
      </c>
      <c r="M100" s="15">
        <v>1.6</v>
      </c>
      <c r="O100">
        <f t="shared" si="26"/>
        <v>817288.96249841736</v>
      </c>
      <c r="P100" s="4">
        <f t="shared" si="27"/>
        <v>1.5999995839935648</v>
      </c>
      <c r="Q100" s="4">
        <v>99</v>
      </c>
      <c r="R100" s="4">
        <f>R99*POWER(POWER(R$101/R$96,0.2),1)</f>
        <v>467022.26428480993</v>
      </c>
      <c r="S100" s="4">
        <v>1.75</v>
      </c>
      <c r="U100" s="4">
        <f t="shared" si="37"/>
        <v>3304122.3896624669</v>
      </c>
      <c r="V100" s="4">
        <f t="shared" si="37"/>
        <v>576968.75314824947</v>
      </c>
      <c r="W100" s="4">
        <f t="shared" si="35"/>
        <v>797243.57912574732</v>
      </c>
      <c r="X100" s="4">
        <f t="shared" si="25"/>
        <v>224506.0510621985</v>
      </c>
      <c r="Z100" s="4">
        <f t="shared" si="29"/>
        <v>269705</v>
      </c>
    </row>
    <row r="101" spans="11:26">
      <c r="K101">
        <v>100</v>
      </c>
      <c r="L101">
        <f t="shared" si="32"/>
        <v>1412526</v>
      </c>
      <c r="M101" s="15">
        <v>1.65</v>
      </c>
      <c r="O101">
        <f t="shared" si="26"/>
        <v>856076.48982748017</v>
      </c>
      <c r="P101" s="4">
        <f t="shared" si="27"/>
        <v>1.6499997567795113</v>
      </c>
      <c r="Q101" s="4">
        <v>100</v>
      </c>
      <c r="R101" s="4">
        <f>战斗力成长!AY71</f>
        <v>486407.09649288649</v>
      </c>
      <c r="S101" s="4">
        <v>1.76</v>
      </c>
      <c r="U101" s="4">
        <f>战斗力成长!Y119</f>
        <v>3479403.9000463951</v>
      </c>
      <c r="V101" s="4">
        <f>(战斗力成长!AR71+战斗力成长!AS71)*战斗力成长!AX71</f>
        <v>619347.30347333907</v>
      </c>
      <c r="W101" s="4">
        <f t="shared" si="35"/>
        <v>851307.56347643211</v>
      </c>
      <c r="X101" s="4">
        <f t="shared" si="25"/>
        <v>234843.46578660197</v>
      </c>
      <c r="Z101" s="4">
        <f t="shared" si="29"/>
        <v>282505</v>
      </c>
    </row>
    <row r="102" spans="11:26">
      <c r="K102">
        <v>101</v>
      </c>
      <c r="L102">
        <f>ROUND(L101*1.05,0)</f>
        <v>1483152</v>
      </c>
      <c r="M102" s="15">
        <v>1.7</v>
      </c>
      <c r="Q102" s="4">
        <v>101</v>
      </c>
      <c r="S102" s="4">
        <v>1.77</v>
      </c>
      <c r="U102" s="4">
        <v>1367898</v>
      </c>
      <c r="Z102" s="4">
        <f>ROUND(Z101*1.05,0)</f>
        <v>296630</v>
      </c>
    </row>
    <row r="103" spans="11:26">
      <c r="K103">
        <v>102</v>
      </c>
      <c r="L103">
        <f>ROUND(L102*1.05,0)</f>
        <v>1557310</v>
      </c>
      <c r="M103" s="15">
        <v>1.75</v>
      </c>
      <c r="Q103" s="4">
        <v>102</v>
      </c>
      <c r="S103" s="4">
        <v>1.78</v>
      </c>
      <c r="U103" s="4">
        <v>9999999</v>
      </c>
      <c r="Z103" s="4">
        <f>ROUND(Z102*1.05,0)</f>
        <v>311462</v>
      </c>
    </row>
  </sheetData>
  <phoneticPr fontId="8" type="noConversion"/>
  <pageMargins left="0.69930555555555596" right="0.69930555555555596" top="0.75" bottom="0.75" header="0.3" footer="0.3"/>
  <pageSetup paperSize="9" orientation="portrait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7"/>
  <dimension ref="B1:BS519"/>
  <sheetViews>
    <sheetView workbookViewId="0">
      <selection activeCell="A19" sqref="A19"/>
    </sheetView>
  </sheetViews>
  <sheetFormatPr defaultRowHeight="13.5"/>
  <cols>
    <col min="2" max="2" width="18" customWidth="1"/>
    <col min="68" max="68" width="12.75" bestFit="1" customWidth="1"/>
  </cols>
  <sheetData>
    <row r="1" spans="2:71">
      <c r="L1" t="s">
        <v>364</v>
      </c>
      <c r="N1" t="s">
        <v>343</v>
      </c>
      <c r="O1" t="s">
        <v>344</v>
      </c>
      <c r="P1" t="s">
        <v>345</v>
      </c>
      <c r="Q1" t="s">
        <v>361</v>
      </c>
      <c r="R1" t="s">
        <v>362</v>
      </c>
      <c r="S1" t="s">
        <v>363</v>
      </c>
      <c r="T1" t="s">
        <v>352</v>
      </c>
      <c r="U1" t="s">
        <v>346</v>
      </c>
      <c r="V1" t="s">
        <v>347</v>
      </c>
      <c r="W1" t="s">
        <v>348</v>
      </c>
      <c r="X1" t="s">
        <v>357</v>
      </c>
      <c r="Y1" t="s">
        <v>358</v>
      </c>
      <c r="Z1" t="s">
        <v>365</v>
      </c>
      <c r="AA1" t="s">
        <v>359</v>
      </c>
      <c r="AB1" t="s">
        <v>349</v>
      </c>
      <c r="AC1" t="s">
        <v>351</v>
      </c>
      <c r="AD1" t="s">
        <v>350</v>
      </c>
      <c r="AE1" t="s">
        <v>360</v>
      </c>
      <c r="AF1" t="s">
        <v>364</v>
      </c>
      <c r="AH1" t="s">
        <v>343</v>
      </c>
      <c r="AI1" t="s">
        <v>344</v>
      </c>
      <c r="AJ1" t="s">
        <v>345</v>
      </c>
      <c r="AK1" t="s">
        <v>361</v>
      </c>
      <c r="AL1" t="s">
        <v>362</v>
      </c>
      <c r="AM1" t="s">
        <v>363</v>
      </c>
      <c r="AN1" t="s">
        <v>352</v>
      </c>
      <c r="AO1" t="s">
        <v>170</v>
      </c>
      <c r="AP1" t="s">
        <v>314</v>
      </c>
      <c r="AQ1" t="s">
        <v>171</v>
      </c>
      <c r="AR1" t="s">
        <v>357</v>
      </c>
      <c r="AS1" t="s">
        <v>252</v>
      </c>
      <c r="AT1" t="s">
        <v>365</v>
      </c>
      <c r="AU1" t="s">
        <v>359</v>
      </c>
      <c r="AV1" t="s">
        <v>328</v>
      </c>
      <c r="AW1" t="s">
        <v>351</v>
      </c>
      <c r="AX1" t="s">
        <v>236</v>
      </c>
      <c r="AY1" t="s">
        <v>360</v>
      </c>
      <c r="AZ1" t="s">
        <v>364</v>
      </c>
      <c r="BB1" t="s">
        <v>343</v>
      </c>
      <c r="BC1" t="s">
        <v>344</v>
      </c>
      <c r="BD1" t="s">
        <v>345</v>
      </c>
      <c r="BE1" t="s">
        <v>361</v>
      </c>
      <c r="BF1" t="s">
        <v>362</v>
      </c>
      <c r="BG1" t="s">
        <v>363</v>
      </c>
      <c r="BH1" t="s">
        <v>352</v>
      </c>
      <c r="BI1" t="s">
        <v>170</v>
      </c>
      <c r="BJ1" t="s">
        <v>314</v>
      </c>
      <c r="BK1" t="s">
        <v>171</v>
      </c>
      <c r="BL1" t="s">
        <v>357</v>
      </c>
      <c r="BM1" t="s">
        <v>252</v>
      </c>
      <c r="BN1" t="s">
        <v>365</v>
      </c>
      <c r="BO1" t="s">
        <v>359</v>
      </c>
      <c r="BP1" t="s">
        <v>328</v>
      </c>
      <c r="BQ1" t="s">
        <v>351</v>
      </c>
      <c r="BR1" t="s">
        <v>236</v>
      </c>
      <c r="BS1" t="s">
        <v>360</v>
      </c>
    </row>
    <row r="2" spans="2:71">
      <c r="B2" t="s">
        <v>229</v>
      </c>
      <c r="H2" t="s">
        <v>230</v>
      </c>
      <c r="I2">
        <v>5735</v>
      </c>
      <c r="L2" t="s">
        <v>353</v>
      </c>
      <c r="M2">
        <v>0.55000000000000004</v>
      </c>
      <c r="N2">
        <v>15</v>
      </c>
      <c r="O2">
        <v>479.99999999999852</v>
      </c>
      <c r="P2">
        <f>VLOOKUP(N2,战斗力成长!$A$3:$B$23,2,0)*0.4</f>
        <v>308</v>
      </c>
      <c r="Q2">
        <v>1</v>
      </c>
      <c r="R2">
        <v>1</v>
      </c>
      <c r="S2">
        <v>1</v>
      </c>
      <c r="T2">
        <f>(O2+P2)</f>
        <v>787.99999999999852</v>
      </c>
      <c r="U2">
        <f>(装备属性设计!I6*2+战斗力成长!E26)*AA2</f>
        <v>82</v>
      </c>
      <c r="V2">
        <f t="shared" ref="V2:V19" si="0">M$2*T2*Q2</f>
        <v>433.39999999999924</v>
      </c>
      <c r="W2">
        <f t="shared" ref="W2:W19" si="1">M$5*T2*10*R2</f>
        <v>1969.9999999999964</v>
      </c>
      <c r="X2">
        <f>V2/(V2+VLOOKUP(N2,[2]battleParameter.xml!$A$6:$K$107,3,0))</f>
        <v>0.35138641154532146</v>
      </c>
      <c r="Y2">
        <f>U2/(VLOOKUP(N2,[2]battleParameter.xml!$A$6:$K$107,2,0)+U2)</f>
        <v>9.7387173396674589E-2</v>
      </c>
      <c r="Z2">
        <f>(T2*M$3)/5/((T2*M$3)/5+(VLOOKUP(N2,[2]battleParameter.xml!$A$6:$K$107,2,0))/4)</f>
        <v>7.6594090202177167E-2</v>
      </c>
      <c r="AA2">
        <v>1</v>
      </c>
      <c r="AB2">
        <f>W2/(1-X2)/(1-Y2)/(1-Z2)</f>
        <v>3644.064310216057</v>
      </c>
      <c r="AC2">
        <f>战斗力成长!H3/2*AA2*S2+M$2*T2*0.75*S2</f>
        <v>329.04999999999944</v>
      </c>
      <c r="AD2">
        <v>1</v>
      </c>
      <c r="AE2">
        <f>AC2*AD2</f>
        <v>329.04999999999944</v>
      </c>
      <c r="AF2" t="s">
        <v>179</v>
      </c>
      <c r="AG2">
        <v>0.1</v>
      </c>
      <c r="AH2">
        <v>15</v>
      </c>
      <c r="AI2">
        <v>479.99999999999852</v>
      </c>
      <c r="AJ2">
        <f>VLOOKUP(AH2,战斗力成长!$A$3:$B$23,2,0)*0.4</f>
        <v>308</v>
      </c>
      <c r="AK2">
        <v>1.3</v>
      </c>
      <c r="AL2">
        <v>1</v>
      </c>
      <c r="AM2">
        <v>1</v>
      </c>
      <c r="AN2">
        <f>(AI2+AJ2)</f>
        <v>787.99999999999852</v>
      </c>
      <c r="AO2">
        <f>(装备属性设计!I6*2)*AA2</f>
        <v>78</v>
      </c>
      <c r="AP2">
        <f t="shared" ref="AP2:AP19" si="2">AG$2*AN2*AK2</f>
        <v>102.43999999999981</v>
      </c>
      <c r="AQ2">
        <f t="shared" ref="AQ2:AQ19" si="3">AG$5*AN2*10*AL2</f>
        <v>3939.9999999999927</v>
      </c>
      <c r="AR2">
        <f>AP2/(AP2+VLOOKUP(AH2,[2]battleParameter.xml!$A$6:$K$107,3,0))</f>
        <v>0.11351447187624643</v>
      </c>
      <c r="AS2">
        <f>AO2/(VLOOKUP(AH2,[2]battleParameter.xml!$A$6:$K$107,2,0)+AO2)</f>
        <v>9.3078758949880672E-2</v>
      </c>
      <c r="AT2">
        <f>(AN2*AG$3)/5/((AN2*AG$3)/5+(VLOOKUP(AH2,[2]battleParameter.xml!$A$6:$K$107,2,0))/4)</f>
        <v>0.17175239755884891</v>
      </c>
      <c r="AU2">
        <v>1</v>
      </c>
      <c r="AV2">
        <f>AQ2/(1-AR2)/(1-AS2)/(1-AT2)</f>
        <v>5916.9079185069113</v>
      </c>
      <c r="AW2">
        <f>战斗力成长!AB3/2*AU2*AM2+AG$2*AN2*0.75*AM2</f>
        <v>59.599999999999895</v>
      </c>
      <c r="AX2">
        <v>1</v>
      </c>
      <c r="AY2">
        <f>AW2*AX2</f>
        <v>59.599999999999895</v>
      </c>
      <c r="AZ2" t="s">
        <v>179</v>
      </c>
      <c r="BA2">
        <v>0.1</v>
      </c>
      <c r="BB2">
        <v>15</v>
      </c>
      <c r="BC2">
        <v>479.99999999999852</v>
      </c>
      <c r="BD2">
        <f>VLOOKUP(BB2,战斗力成长!$A$3:$B$23,2,0)*0.4</f>
        <v>308</v>
      </c>
      <c r="BE2">
        <v>1.3</v>
      </c>
      <c r="BF2">
        <v>1</v>
      </c>
      <c r="BG2">
        <v>1</v>
      </c>
      <c r="BH2">
        <f>(BC2+BD2)</f>
        <v>787.99999999999852</v>
      </c>
      <c r="BI2">
        <f>(装备属性设计!I6*2)*AA2</f>
        <v>78</v>
      </c>
      <c r="BJ2">
        <f t="shared" ref="BJ2:BJ19" si="4">BA$2*BH2*BE2</f>
        <v>102.43999999999981</v>
      </c>
      <c r="BK2">
        <f t="shared" ref="BK2:BK19" si="5">BA$5*BH2*10*BF2</f>
        <v>3939.9999999999927</v>
      </c>
      <c r="BL2">
        <f>BJ2/(BJ2+VLOOKUP(BB2,[2]battleParameter.xml!$A$6:$K$107,3,0))</f>
        <v>0.11351447187624643</v>
      </c>
      <c r="BM2">
        <f>BI2/(VLOOKUP(BB2,[2]battleParameter.xml!$A$6:$K$107,2,0)+BI2)</f>
        <v>9.3078758949880672E-2</v>
      </c>
      <c r="BN2">
        <f>(BH2*BA$3)/5/((BH2*BA$3)/5+(VLOOKUP(BB2,[2]battleParameter.xml!$A$6:$K$107,2,0))/4)</f>
        <v>7.6594090202177167E-2</v>
      </c>
      <c r="BO2">
        <v>1</v>
      </c>
      <c r="BP2">
        <f>BK2/(1-BL2)/(1-BM2)/(1-BN2)</f>
        <v>5307.1620458238112</v>
      </c>
      <c r="BQ2">
        <f>战斗力成长!H3/2*BO2*BG2+BA$4*BH2*0.75*BG2*1.2</f>
        <v>181.29999999999964</v>
      </c>
      <c r="BR2">
        <v>1</v>
      </c>
      <c r="BS2">
        <f>BQ2*BR2</f>
        <v>181.29999999999964</v>
      </c>
    </row>
    <row r="3" spans="2:71">
      <c r="L3" t="s">
        <v>354</v>
      </c>
      <c r="M3">
        <v>0.1</v>
      </c>
      <c r="N3">
        <v>20</v>
      </c>
      <c r="O3">
        <v>899.9999999999975</v>
      </c>
      <c r="P3">
        <f>VLOOKUP(N3,战斗力成长!$A$3:$B$23,2,0)*0.4</f>
        <v>524</v>
      </c>
      <c r="Q3">
        <v>1.3</v>
      </c>
      <c r="R3">
        <v>1.1499999999999999</v>
      </c>
      <c r="S3">
        <v>1.03</v>
      </c>
      <c r="T3">
        <f t="shared" ref="T3:T19" si="6">(O3+P3)</f>
        <v>1423.9999999999975</v>
      </c>
      <c r="U3">
        <f>(装备属性设计!I7*2+战斗力成长!E27)*AA3</f>
        <v>216</v>
      </c>
      <c r="V3">
        <f t="shared" si="0"/>
        <v>1018.1599999999984</v>
      </c>
      <c r="W3">
        <f t="shared" si="1"/>
        <v>4093.9999999999923</v>
      </c>
      <c r="X3">
        <f>V3/(V3+VLOOKUP(N3,[2]battleParameter.xml!$A$6:$K$107,3,0))</f>
        <v>0.49230233637629539</v>
      </c>
      <c r="Y3">
        <f>U3/(VLOOKUP(N3,[2]battleParameter.xml!$A$6:$K$107,2,0)+U3)</f>
        <v>0.14295168762409</v>
      </c>
      <c r="Z3">
        <f>(T3*M$3)/5/((T3*M$3)/5+(VLOOKUP(N3,[2]battleParameter.xml!$A$6:$K$107,2,0))/4)</f>
        <v>8.0856258694602834E-2</v>
      </c>
      <c r="AA3">
        <v>1</v>
      </c>
      <c r="AB3">
        <f t="shared" ref="AB3:AB19" si="7">W3/(1-X3)/(1-Y3)/(1-Z3)</f>
        <v>10236.557614123487</v>
      </c>
      <c r="AC3">
        <f>战斗力成长!H4/2*AA3*S3+M$2*T3*0.75*S3</f>
        <v>621.24449999999888</v>
      </c>
      <c r="AD3">
        <v>1.2</v>
      </c>
      <c r="AE3">
        <f t="shared" ref="AE3:AE19" si="8">AC3*AD3</f>
        <v>745.49339999999859</v>
      </c>
      <c r="AF3" t="s">
        <v>180</v>
      </c>
      <c r="AG3">
        <v>0.25</v>
      </c>
      <c r="AH3">
        <v>20</v>
      </c>
      <c r="AI3">
        <v>899.9999999999975</v>
      </c>
      <c r="AJ3">
        <f>VLOOKUP(AH3,战斗力成长!$A$3:$B$23,2,0)*0.4</f>
        <v>524</v>
      </c>
      <c r="AK3">
        <v>1.8199999999999998</v>
      </c>
      <c r="AL3">
        <v>1.1499999999999999</v>
      </c>
      <c r="AM3">
        <v>1.05</v>
      </c>
      <c r="AN3">
        <f t="shared" ref="AN3:AN19" si="9">(AI3+AJ3)</f>
        <v>1423.9999999999975</v>
      </c>
      <c r="AO3">
        <f>(装备属性设计!I7*2)*AA3</f>
        <v>204</v>
      </c>
      <c r="AP3">
        <f t="shared" si="2"/>
        <v>259.16799999999949</v>
      </c>
      <c r="AQ3">
        <f t="shared" si="3"/>
        <v>8187.9999999999845</v>
      </c>
      <c r="AR3">
        <f>AP3/(AP3+VLOOKUP(AH3,[2]battleParameter.xml!$A$6:$K$107,3,0))</f>
        <v>0.19796389768158068</v>
      </c>
      <c r="AS3">
        <f>AO3/(VLOOKUP(AH3,[2]battleParameter.xml!$A$6:$K$107,2,0)+AO3)</f>
        <v>0.13609072715143428</v>
      </c>
      <c r="AT3">
        <f>(AN3*AG$3)/5/((AN3*AG$3)/5+(VLOOKUP(AH3,[2]battleParameter.xml!$A$6:$K$107,2,0))/4)</f>
        <v>0.1802759843018101</v>
      </c>
      <c r="AU3">
        <v>1</v>
      </c>
      <c r="AV3">
        <f t="shared" ref="AV3:AV19" si="10">AQ3/(1-AR3)/(1-AS3)/(1-AT3)</f>
        <v>14416.111137233826</v>
      </c>
      <c r="AW3">
        <f>战斗力成长!AB4/2*AU3*AM3+AG$2*AN3*0.75*AM3</f>
        <v>112.68249999999981</v>
      </c>
      <c r="AX3">
        <v>1.2</v>
      </c>
      <c r="AY3">
        <f t="shared" ref="AY3:AY19" si="11">AW3*AX3</f>
        <v>135.21899999999977</v>
      </c>
      <c r="AZ3" t="s">
        <v>180</v>
      </c>
      <c r="BA3">
        <v>0.1</v>
      </c>
      <c r="BB3">
        <v>20</v>
      </c>
      <c r="BC3">
        <v>899.9999999999975</v>
      </c>
      <c r="BD3">
        <f>VLOOKUP(BB3,战斗力成长!$A$3:$B$23,2,0)*0.4</f>
        <v>524</v>
      </c>
      <c r="BE3">
        <v>1.8199999999999998</v>
      </c>
      <c r="BF3">
        <v>1.1499999999999999</v>
      </c>
      <c r="BG3">
        <v>1.05</v>
      </c>
      <c r="BH3">
        <f t="shared" ref="BH3:BH19" si="12">(BC3+BD3)</f>
        <v>1423.9999999999975</v>
      </c>
      <c r="BI3">
        <f>(装备属性设计!I7*2)*AA3</f>
        <v>204</v>
      </c>
      <c r="BJ3">
        <f t="shared" si="4"/>
        <v>259.16799999999949</v>
      </c>
      <c r="BK3">
        <f t="shared" si="5"/>
        <v>8187.9999999999845</v>
      </c>
      <c r="BL3">
        <f>BJ3/(BJ3+VLOOKUP(BB3,[2]battleParameter.xml!$A$6:$K$107,3,0))</f>
        <v>0.19796389768158068</v>
      </c>
      <c r="BM3">
        <f>BI3/(VLOOKUP(BB3,[2]battleParameter.xml!$A$6:$K$107,2,0)+BI3)</f>
        <v>0.13609072715143428</v>
      </c>
      <c r="BN3">
        <f>(BH3*BA$3)/5/((BH3*BA$3)/5+(VLOOKUP(BB3,[2]battleParameter.xml!$A$6:$K$107,2,0))/4)</f>
        <v>8.0856258694602834E-2</v>
      </c>
      <c r="BO3">
        <v>1</v>
      </c>
      <c r="BP3">
        <f t="shared" ref="BP3:BP19" si="13">BK3/(1-BL3)/(1-BM3)/(1-BN3)</f>
        <v>12856.783962192356</v>
      </c>
      <c r="BQ3">
        <f>战斗力成长!H4/2*BO3*BG3+BA$4*BH3*0.75*BG3*1.2</f>
        <v>352.95749999999941</v>
      </c>
      <c r="BR3">
        <v>1.2</v>
      </c>
      <c r="BS3">
        <f t="shared" ref="BS3:BS19" si="14">BQ3*BR3</f>
        <v>423.5489999999993</v>
      </c>
    </row>
    <row r="4" spans="2:71">
      <c r="C4" t="s">
        <v>211</v>
      </c>
      <c r="D4" t="s">
        <v>212</v>
      </c>
      <c r="E4" t="s">
        <v>213</v>
      </c>
      <c r="F4" t="s">
        <v>214</v>
      </c>
      <c r="L4" t="s">
        <v>355</v>
      </c>
      <c r="M4">
        <v>0.1</v>
      </c>
      <c r="N4">
        <v>25</v>
      </c>
      <c r="O4">
        <v>1400</v>
      </c>
      <c r="P4">
        <f>VLOOKUP(N4,战斗力成长!$A$3:$B$23,2,0)*0.4</f>
        <v>800</v>
      </c>
      <c r="Q4">
        <v>1.6</v>
      </c>
      <c r="R4">
        <v>1.3</v>
      </c>
      <c r="S4">
        <v>1.06</v>
      </c>
      <c r="T4">
        <f t="shared" si="6"/>
        <v>2200</v>
      </c>
      <c r="U4">
        <f>(装备属性设计!I8*2+战斗力成长!E28)*AA4</f>
        <v>336</v>
      </c>
      <c r="V4">
        <f t="shared" si="0"/>
        <v>1936</v>
      </c>
      <c r="W4">
        <f t="shared" si="1"/>
        <v>7150</v>
      </c>
      <c r="X4">
        <f>V4/(V4+VLOOKUP(N4,[2]battleParameter.xml!$A$6:$K$107,3,0))</f>
        <v>0.59826946847960449</v>
      </c>
      <c r="Y4">
        <f>U4/(VLOOKUP(N4,[2]battleParameter.xml!$A$6:$K$107,2,0)+U4)</f>
        <v>0.14507772020725387</v>
      </c>
      <c r="Z4">
        <f>(T4*M$3)/5/((T4*M$3)/5+(VLOOKUP(N4,[2]battleParameter.xml!$A$6:$K$107,2,0))/4)</f>
        <v>8.1632653061224483E-2</v>
      </c>
      <c r="AA4">
        <v>1</v>
      </c>
      <c r="AB4">
        <f t="shared" si="7"/>
        <v>22668.779259259263</v>
      </c>
      <c r="AC4">
        <f>战斗力成长!H5/2*AA4*S4+M$2*T4*0.75*S4</f>
        <v>1017.918</v>
      </c>
      <c r="AD4">
        <v>1.23</v>
      </c>
      <c r="AE4">
        <f t="shared" si="8"/>
        <v>1252.0391400000001</v>
      </c>
      <c r="AF4" t="s">
        <v>181</v>
      </c>
      <c r="AG4">
        <v>0.1</v>
      </c>
      <c r="AH4">
        <v>25</v>
      </c>
      <c r="AI4">
        <v>1400</v>
      </c>
      <c r="AJ4">
        <f>VLOOKUP(AH4,战斗力成长!$A$3:$B$23,2,0)*0.4</f>
        <v>800</v>
      </c>
      <c r="AK4">
        <v>2.3400000000000003</v>
      </c>
      <c r="AL4">
        <v>1.3</v>
      </c>
      <c r="AM4">
        <v>1.1000000000000001</v>
      </c>
      <c r="AN4">
        <f t="shared" si="9"/>
        <v>2200</v>
      </c>
      <c r="AO4">
        <f>(装备属性设计!I8*2)*AA4</f>
        <v>306</v>
      </c>
      <c r="AP4">
        <f t="shared" si="2"/>
        <v>514.80000000000007</v>
      </c>
      <c r="AQ4">
        <f t="shared" si="3"/>
        <v>14300</v>
      </c>
      <c r="AR4">
        <f>AP4/(AP4+VLOOKUP(AH4,[2]battleParameter.xml!$A$6:$K$107,3,0))</f>
        <v>0.28366762177650429</v>
      </c>
      <c r="AS4">
        <f>AO4/(VLOOKUP(AH4,[2]battleParameter.xml!$A$6:$K$107,2,0)+AO4)</f>
        <v>0.13385826771653545</v>
      </c>
      <c r="AT4">
        <f>(AN4*AG$3)/5/((AN4*AG$3)/5+(VLOOKUP(AH4,[2]battleParameter.xml!$A$6:$K$107,2,0))/4)</f>
        <v>0.18181818181818182</v>
      </c>
      <c r="AU4">
        <v>1</v>
      </c>
      <c r="AV4">
        <f t="shared" si="10"/>
        <v>28169.728888888891</v>
      </c>
      <c r="AW4">
        <f>战斗力成长!AB5/2*AU4*AM4+AG$2*AN4*0.75*AM4</f>
        <v>182.0866666666667</v>
      </c>
      <c r="AX4">
        <v>1.23</v>
      </c>
      <c r="AY4">
        <f t="shared" si="11"/>
        <v>223.96660000000003</v>
      </c>
      <c r="AZ4" t="s">
        <v>181</v>
      </c>
      <c r="BA4">
        <v>0.25</v>
      </c>
      <c r="BB4">
        <v>25</v>
      </c>
      <c r="BC4">
        <v>1400</v>
      </c>
      <c r="BD4">
        <f>VLOOKUP(BB4,战斗力成长!$A$3:$B$23,2,0)*0.4</f>
        <v>800</v>
      </c>
      <c r="BE4">
        <v>2.3400000000000003</v>
      </c>
      <c r="BF4">
        <v>1.3</v>
      </c>
      <c r="BG4">
        <v>1.1000000000000001</v>
      </c>
      <c r="BH4">
        <f t="shared" si="12"/>
        <v>2200</v>
      </c>
      <c r="BI4">
        <f>(装备属性设计!I8*2)*AA4</f>
        <v>306</v>
      </c>
      <c r="BJ4">
        <f t="shared" si="4"/>
        <v>514.80000000000007</v>
      </c>
      <c r="BK4">
        <f t="shared" si="5"/>
        <v>14300</v>
      </c>
      <c r="BL4">
        <f>BJ4/(BJ4+VLOOKUP(BB4,[2]battleParameter.xml!$A$6:$K$107,3,0))</f>
        <v>0.28366762177650429</v>
      </c>
      <c r="BM4">
        <f>BI4/(VLOOKUP(BB4,[2]battleParameter.xml!$A$6:$K$107,2,0)+BI4)</f>
        <v>0.13385826771653545</v>
      </c>
      <c r="BN4">
        <f>(BH4*BA$3)/5/((BH4*BA$3)/5+(VLOOKUP(BB4,[2]battleParameter.xml!$A$6:$K$107,2,0))/4)</f>
        <v>8.1632653061224483E-2</v>
      </c>
      <c r="BO4">
        <v>1</v>
      </c>
      <c r="BP4">
        <f t="shared" si="13"/>
        <v>25096.667555555556</v>
      </c>
      <c r="BQ4">
        <f>战斗力成长!H5/2*BO4*BG4+BA$4*BH4*0.75*BG4*1.2</f>
        <v>602.58000000000004</v>
      </c>
      <c r="BR4">
        <v>1.23</v>
      </c>
      <c r="BS4">
        <f t="shared" si="14"/>
        <v>741.17340000000002</v>
      </c>
    </row>
    <row r="5" spans="2:71">
      <c r="C5" t="s">
        <v>210</v>
      </c>
      <c r="D5" t="s">
        <v>215</v>
      </c>
      <c r="E5" t="s">
        <v>216</v>
      </c>
      <c r="F5" t="s">
        <v>217</v>
      </c>
      <c r="L5" t="s">
        <v>356</v>
      </c>
      <c r="M5">
        <v>0.25</v>
      </c>
      <c r="N5">
        <v>30</v>
      </c>
      <c r="O5">
        <v>1980</v>
      </c>
      <c r="P5">
        <f>VLOOKUP(N5,战斗力成长!$A$3:$B$23,2,0)*0.4</f>
        <v>1136</v>
      </c>
      <c r="Q5">
        <v>1.8</v>
      </c>
      <c r="R5">
        <v>1.45</v>
      </c>
      <c r="S5">
        <v>1.0900000000000001</v>
      </c>
      <c r="T5">
        <f t="shared" si="6"/>
        <v>3116</v>
      </c>
      <c r="U5">
        <f>(装备属性设计!I9*2+战斗力成长!E29)*AA5</f>
        <v>535</v>
      </c>
      <c r="V5">
        <f t="shared" si="0"/>
        <v>3084.8400000000006</v>
      </c>
      <c r="W5">
        <f t="shared" si="1"/>
        <v>11295.5</v>
      </c>
      <c r="X5">
        <f>V5/(V5+VLOOKUP(N5,[2]battleParameter.xml!$A$6:$K$107,3,0))</f>
        <v>0.66557637372595402</v>
      </c>
      <c r="Y5">
        <f>U5/(VLOOKUP(N5,[2]battleParameter.xml!$A$6:$K$107,2,0)+U5)</f>
        <v>0.15970149253731344</v>
      </c>
      <c r="Z5">
        <f>(T5*M$3)/5/((T5*M$3)/5+(VLOOKUP(N5,[2]battleParameter.xml!$A$6:$K$107,2,0))/4)</f>
        <v>8.1350268252248489E-2</v>
      </c>
      <c r="AA5">
        <v>1</v>
      </c>
      <c r="AB5">
        <f t="shared" si="7"/>
        <v>43754.725483308546</v>
      </c>
      <c r="AC5">
        <f>战斗力成长!H6/2*AA5*S5+M$2*T5*0.75*S5</f>
        <v>1503.0555000000004</v>
      </c>
      <c r="AD5">
        <v>1.26</v>
      </c>
      <c r="AE5">
        <f t="shared" si="8"/>
        <v>1893.8499300000005</v>
      </c>
      <c r="AF5" t="s">
        <v>182</v>
      </c>
      <c r="AG5">
        <v>0.5</v>
      </c>
      <c r="AH5">
        <v>30</v>
      </c>
      <c r="AI5">
        <v>1980</v>
      </c>
      <c r="AJ5">
        <f>VLOOKUP(AH5,战斗力成长!$A$3:$B$23,2,0)*0.4</f>
        <v>1136</v>
      </c>
      <c r="AK5">
        <v>2.4699999999999998</v>
      </c>
      <c r="AL5">
        <v>1.45</v>
      </c>
      <c r="AM5">
        <v>1.1499999999999999</v>
      </c>
      <c r="AN5">
        <f t="shared" si="9"/>
        <v>3116</v>
      </c>
      <c r="AO5">
        <f>(装备属性设计!I9*2)*AA5</f>
        <v>432</v>
      </c>
      <c r="AP5">
        <f t="shared" si="2"/>
        <v>769.65199999999993</v>
      </c>
      <c r="AQ5">
        <f t="shared" si="3"/>
        <v>22591</v>
      </c>
      <c r="AR5">
        <f>AP5/(AP5+VLOOKUP(AH5,[2]battleParameter.xml!$A$6:$K$107,3,0))</f>
        <v>0.33179632117231372</v>
      </c>
      <c r="AS5">
        <f>AO5/(VLOOKUP(AH5,[2]battleParameter.xml!$A$6:$K$107,2,0)+AO5)</f>
        <v>0.13304588851247307</v>
      </c>
      <c r="AT5">
        <f>(AN5*AG$3)/5/((AN5*AG$3)/5+(VLOOKUP(AH5,[2]battleParameter.xml!$A$6:$K$107,2,0))/4)</f>
        <v>0.18125763480891166</v>
      </c>
      <c r="AU5">
        <v>1</v>
      </c>
      <c r="AV5">
        <f t="shared" si="10"/>
        <v>47630.289311257686</v>
      </c>
      <c r="AW5">
        <f>战斗力成长!AB6/2*AU5*AM5+AG$2*AN5*0.75*AM5</f>
        <v>269.40666666666664</v>
      </c>
      <c r="AX5">
        <v>1.26</v>
      </c>
      <c r="AY5">
        <f t="shared" si="11"/>
        <v>339.45239999999995</v>
      </c>
      <c r="AZ5" t="s">
        <v>182</v>
      </c>
      <c r="BA5">
        <v>0.5</v>
      </c>
      <c r="BB5">
        <v>30</v>
      </c>
      <c r="BC5">
        <v>1980</v>
      </c>
      <c r="BD5">
        <f>VLOOKUP(BB5,战斗力成长!$A$3:$B$23,2,0)*0.4</f>
        <v>1136</v>
      </c>
      <c r="BE5">
        <v>2.4699999999999998</v>
      </c>
      <c r="BF5">
        <v>1.45</v>
      </c>
      <c r="BG5">
        <v>1.1499999999999999</v>
      </c>
      <c r="BH5">
        <f t="shared" si="12"/>
        <v>3116</v>
      </c>
      <c r="BI5">
        <f>(装备属性设计!I9*2)*AA5</f>
        <v>432</v>
      </c>
      <c r="BJ5">
        <f t="shared" si="4"/>
        <v>769.65199999999993</v>
      </c>
      <c r="BK5">
        <f t="shared" si="5"/>
        <v>22591</v>
      </c>
      <c r="BL5">
        <f>BJ5/(BJ5+VLOOKUP(BB5,[2]battleParameter.xml!$A$6:$K$107,3,0))</f>
        <v>0.33179632117231372</v>
      </c>
      <c r="BM5">
        <f>BI5/(VLOOKUP(BB5,[2]battleParameter.xml!$A$6:$K$107,2,0)+BI5)</f>
        <v>0.13304588851247307</v>
      </c>
      <c r="BN5">
        <f>(BH5*BA$3)/5/((BH5*BA$3)/5+(VLOOKUP(BB5,[2]battleParameter.xml!$A$6:$K$107,2,0))/4)</f>
        <v>8.1350268252248489E-2</v>
      </c>
      <c r="BO5">
        <v>1</v>
      </c>
      <c r="BP5">
        <f t="shared" si="13"/>
        <v>42450.277159764031</v>
      </c>
      <c r="BQ5">
        <f>战斗力成长!H6/2*BO5*BG5+BA$4*BH5*0.75*BG5*1.2</f>
        <v>913.90499999999986</v>
      </c>
      <c r="BR5">
        <v>1.26</v>
      </c>
      <c r="BS5">
        <f t="shared" si="14"/>
        <v>1151.5202999999999</v>
      </c>
    </row>
    <row r="6" spans="2:71">
      <c r="N6">
        <v>35</v>
      </c>
      <c r="O6">
        <v>2640</v>
      </c>
      <c r="P6">
        <f>VLOOKUP(N6,战斗力成长!$A$3:$B$23,2,0)*0.4</f>
        <v>1532</v>
      </c>
      <c r="Q6">
        <v>2</v>
      </c>
      <c r="R6">
        <v>1.6</v>
      </c>
      <c r="S6">
        <v>1.1200000000000001</v>
      </c>
      <c r="T6">
        <f t="shared" si="6"/>
        <v>4172</v>
      </c>
      <c r="U6">
        <f>(装备属性设计!I10*2+战斗力成长!E30)*AA6</f>
        <v>757</v>
      </c>
      <c r="V6">
        <f t="shared" si="0"/>
        <v>4589.2000000000007</v>
      </c>
      <c r="W6">
        <f t="shared" si="1"/>
        <v>16688</v>
      </c>
      <c r="X6">
        <f>V6/(V6+VLOOKUP(N6,[2]battleParameter.xml!$A$6:$K$107,3,0))</f>
        <v>0.71827458836787084</v>
      </c>
      <c r="Y6">
        <f>U6/(VLOOKUP(N6,[2]battleParameter.xml!$A$6:$K$107,2,0)+U6)</f>
        <v>0.16611806012727673</v>
      </c>
      <c r="Z6">
        <f>(T6*M$3)/5/((T6*M$3)/5+(VLOOKUP(N6,[2]battleParameter.xml!$A$6:$K$107,2,0))/4)</f>
        <v>8.0740052639727514E-2</v>
      </c>
      <c r="AA6">
        <v>1</v>
      </c>
      <c r="AB6">
        <f t="shared" si="7"/>
        <v>77274.350391274726</v>
      </c>
      <c r="AC6">
        <f>战斗力成长!H7/2*AA6*S6+M$2*T6*0.75*S6</f>
        <v>2154.6000000000004</v>
      </c>
      <c r="AD6">
        <v>1.29</v>
      </c>
      <c r="AE6">
        <f t="shared" si="8"/>
        <v>2779.4340000000007</v>
      </c>
      <c r="AH6">
        <v>35</v>
      </c>
      <c r="AI6">
        <v>2640</v>
      </c>
      <c r="AJ6">
        <f>VLOOKUP(AH6,战斗力成长!$A$3:$B$23,2,0)*0.4</f>
        <v>1532</v>
      </c>
      <c r="AK6">
        <v>2.6</v>
      </c>
      <c r="AL6">
        <v>1.6</v>
      </c>
      <c r="AM6">
        <v>1.2</v>
      </c>
      <c r="AN6">
        <f t="shared" si="9"/>
        <v>4172</v>
      </c>
      <c r="AO6">
        <f>(装备属性设计!I10*2)*AA6</f>
        <v>586</v>
      </c>
      <c r="AP6">
        <f t="shared" si="2"/>
        <v>1084.7200000000003</v>
      </c>
      <c r="AQ6">
        <f t="shared" si="3"/>
        <v>33376</v>
      </c>
      <c r="AR6">
        <f>AP6/(AP6+VLOOKUP(AH6,[2]battleParameter.xml!$A$6:$K$107,3,0))</f>
        <v>0.37602262957930066</v>
      </c>
      <c r="AS6">
        <f>AO6/(VLOOKUP(AH6,[2]battleParameter.xml!$A$6:$K$107,2,0)+AO6)</f>
        <v>0.13360693114455086</v>
      </c>
      <c r="AT6">
        <f>(AN6*AG$3)/5/((AN6*AG$3)/5+(VLOOKUP(AH6,[2]battleParameter.xml!$A$6:$K$107,2,0))/4)</f>
        <v>0.18004488175384084</v>
      </c>
      <c r="AU6">
        <v>1</v>
      </c>
      <c r="AV6">
        <f t="shared" si="10"/>
        <v>75294.004699489175</v>
      </c>
      <c r="AW6">
        <f>战斗力成长!AB7/2*AU6*AM6+AG$2*AN6*0.75*AM6</f>
        <v>376.16</v>
      </c>
      <c r="AX6">
        <v>1.29</v>
      </c>
      <c r="AY6">
        <f t="shared" si="11"/>
        <v>485.24640000000005</v>
      </c>
      <c r="BB6">
        <v>35</v>
      </c>
      <c r="BC6">
        <v>2640</v>
      </c>
      <c r="BD6">
        <f>VLOOKUP(BB6,战斗力成长!$A$3:$B$23,2,0)*0.4</f>
        <v>1532</v>
      </c>
      <c r="BE6">
        <v>2.6</v>
      </c>
      <c r="BF6">
        <v>1.6</v>
      </c>
      <c r="BG6">
        <v>1.2</v>
      </c>
      <c r="BH6">
        <f t="shared" si="12"/>
        <v>4172</v>
      </c>
      <c r="BI6">
        <f>(装备属性设计!I10*2)*AA6</f>
        <v>586</v>
      </c>
      <c r="BJ6">
        <f t="shared" si="4"/>
        <v>1084.7200000000003</v>
      </c>
      <c r="BK6">
        <f t="shared" si="5"/>
        <v>33376</v>
      </c>
      <c r="BL6">
        <f>BJ6/(BJ6+VLOOKUP(BB6,[2]battleParameter.xml!$A$6:$K$107,3,0))</f>
        <v>0.37602262957930066</v>
      </c>
      <c r="BM6">
        <f>BI6/(VLOOKUP(BB6,[2]battleParameter.xml!$A$6:$K$107,2,0)+BI6)</f>
        <v>0.13360693114455086</v>
      </c>
      <c r="BN6">
        <f>(BH6*BA$3)/5/((BH6*BA$3)/5+(VLOOKUP(BB6,[2]battleParameter.xml!$A$6:$K$107,2,0))/4)</f>
        <v>8.0740052639727514E-2</v>
      </c>
      <c r="BO6">
        <v>1</v>
      </c>
      <c r="BP6">
        <f t="shared" si="13"/>
        <v>67160.224595753578</v>
      </c>
      <c r="BQ6">
        <f>战斗力成长!H7/2*BO6*BG6+BA$4*BH6*0.75*BG6*1.2</f>
        <v>1369.7999999999997</v>
      </c>
      <c r="BR6">
        <v>1.29</v>
      </c>
      <c r="BS6">
        <f t="shared" si="14"/>
        <v>1767.0419999999997</v>
      </c>
    </row>
    <row r="7" spans="2:71">
      <c r="B7" t="s">
        <v>218</v>
      </c>
      <c r="C7">
        <v>500</v>
      </c>
      <c r="D7">
        <v>20</v>
      </c>
      <c r="E7">
        <v>60</v>
      </c>
      <c r="F7">
        <v>200</v>
      </c>
      <c r="H7" t="s">
        <v>224</v>
      </c>
      <c r="I7">
        <v>500</v>
      </c>
      <c r="N7">
        <v>40</v>
      </c>
      <c r="O7">
        <v>3380</v>
      </c>
      <c r="P7">
        <f>VLOOKUP(N7,战斗力成长!$A$3:$B$23,2,0)*0.4</f>
        <v>1988</v>
      </c>
      <c r="Q7">
        <v>2.1</v>
      </c>
      <c r="R7">
        <v>1.75</v>
      </c>
      <c r="S7">
        <v>1.1499999999999999</v>
      </c>
      <c r="T7">
        <f t="shared" si="6"/>
        <v>5368</v>
      </c>
      <c r="U7">
        <f>(装备属性设计!I11*2+战斗力成长!E31)*AA7</f>
        <v>1250</v>
      </c>
      <c r="V7">
        <f t="shared" si="0"/>
        <v>6200.0400000000009</v>
      </c>
      <c r="W7">
        <f t="shared" si="1"/>
        <v>23485</v>
      </c>
      <c r="X7">
        <f>V7/(V7+VLOOKUP(N7,[2]battleParameter.xml!$A$6:$K$107,3,0))</f>
        <v>0.75151635628433322</v>
      </c>
      <c r="Y7">
        <f>U7/(VLOOKUP(N7,[2]battleParameter.xml!$A$6:$K$107,2,0)+U7)</f>
        <v>0.20210185933710589</v>
      </c>
      <c r="Z7">
        <f>(T7*M$3)/5/((T7*M$3)/5+(VLOOKUP(N7,[2]battleParameter.xml!$A$6:$K$107,2,0))/4)</f>
        <v>8.0053090350530529E-2</v>
      </c>
      <c r="AA7">
        <v>1</v>
      </c>
      <c r="AB7">
        <f t="shared" si="7"/>
        <v>128760.46600692799</v>
      </c>
      <c r="AC7">
        <f>战斗力成长!H8/2*AA7*S7+M$2*T7*0.75*S7</f>
        <v>2943.3675000000003</v>
      </c>
      <c r="AD7">
        <v>1.32</v>
      </c>
      <c r="AE7">
        <f t="shared" si="8"/>
        <v>3885.2451000000005</v>
      </c>
      <c r="AH7">
        <v>40</v>
      </c>
      <c r="AI7">
        <v>3380</v>
      </c>
      <c r="AJ7">
        <f>VLOOKUP(AH7,战斗力成长!$A$3:$B$23,2,0)*0.4</f>
        <v>1988</v>
      </c>
      <c r="AK7">
        <v>2.7300000000000004</v>
      </c>
      <c r="AL7">
        <v>1.75</v>
      </c>
      <c r="AM7">
        <v>1.26</v>
      </c>
      <c r="AN7">
        <f t="shared" si="9"/>
        <v>5368</v>
      </c>
      <c r="AO7">
        <f>(装备属性设计!I11*2)*AA7</f>
        <v>994</v>
      </c>
      <c r="AP7">
        <f t="shared" si="2"/>
        <v>1465.4640000000004</v>
      </c>
      <c r="AQ7">
        <f t="shared" si="3"/>
        <v>46970</v>
      </c>
      <c r="AR7">
        <f>AP7/(AP7+VLOOKUP(AH7,[2]battleParameter.xml!$A$6:$K$107,3,0))</f>
        <v>0.41686218376862921</v>
      </c>
      <c r="AS7">
        <f>AO7/(VLOOKUP(AH7,[2]battleParameter.xml!$A$6:$K$107,2,0)+AO7)</f>
        <v>0.16765053128689492</v>
      </c>
      <c r="AT7">
        <f>(AN7*AG$3)/5/((AN7*AG$3)/5+(VLOOKUP(AH7,[2]battleParameter.xml!$A$6:$K$107,2,0))/4)</f>
        <v>0.17867722930466329</v>
      </c>
      <c r="AU7">
        <v>1</v>
      </c>
      <c r="AV7">
        <f t="shared" si="10"/>
        <v>117822.9205948365</v>
      </c>
      <c r="AW7">
        <f>战斗力成长!AB8/2*AU7*AM7+AG$2*AN7*0.75*AM7</f>
        <v>508.03199999999998</v>
      </c>
      <c r="AX7">
        <v>1.32</v>
      </c>
      <c r="AY7">
        <f t="shared" si="11"/>
        <v>670.60224000000005</v>
      </c>
      <c r="BB7">
        <v>40</v>
      </c>
      <c r="BC7">
        <v>3380</v>
      </c>
      <c r="BD7">
        <f>VLOOKUP(BB7,战斗力成长!$A$3:$B$23,2,0)*0.4</f>
        <v>1988</v>
      </c>
      <c r="BE7">
        <v>2.7300000000000004</v>
      </c>
      <c r="BF7">
        <v>1.75</v>
      </c>
      <c r="BG7">
        <v>1.26</v>
      </c>
      <c r="BH7">
        <f t="shared" si="12"/>
        <v>5368</v>
      </c>
      <c r="BI7">
        <f>(装备属性设计!I11*2)*AA7</f>
        <v>994</v>
      </c>
      <c r="BJ7">
        <f t="shared" si="4"/>
        <v>1465.4640000000004</v>
      </c>
      <c r="BK7">
        <f t="shared" si="5"/>
        <v>46970</v>
      </c>
      <c r="BL7">
        <f>BJ7/(BJ7+VLOOKUP(BB7,[2]battleParameter.xml!$A$6:$K$107,3,0))</f>
        <v>0.41686218376862921</v>
      </c>
      <c r="BM7">
        <f>BI7/(VLOOKUP(BB7,[2]battleParameter.xml!$A$6:$K$107,2,0)+BI7)</f>
        <v>0.16765053128689492</v>
      </c>
      <c r="BN7">
        <f>(BH7*BA$3)/5/((BH7*BA$3)/5+(VLOOKUP(BB7,[2]battleParameter.xml!$A$6:$K$107,2,0))/4)</f>
        <v>8.0053090350530529E-2</v>
      </c>
      <c r="BO7">
        <v>1</v>
      </c>
      <c r="BP7">
        <f t="shared" si="13"/>
        <v>105191.55679455526</v>
      </c>
      <c r="BQ7">
        <f>战斗力成长!H8/2*BO7*BG7+BA$4*BH7*0.75*BG7*1.2</f>
        <v>1956.7170000000001</v>
      </c>
      <c r="BR7">
        <v>1.32</v>
      </c>
      <c r="BS7">
        <f t="shared" si="14"/>
        <v>2582.8664400000002</v>
      </c>
    </row>
    <row r="8" spans="2:71">
      <c r="N8">
        <v>45</v>
      </c>
      <c r="O8">
        <v>4200</v>
      </c>
      <c r="P8">
        <f>VLOOKUP(N8,战斗力成长!$A$3:$B$23,2,0)*0.4</f>
        <v>2504</v>
      </c>
      <c r="Q8">
        <v>2.2000000000000002</v>
      </c>
      <c r="R8">
        <v>1.9</v>
      </c>
      <c r="S8">
        <v>1.18</v>
      </c>
      <c r="T8">
        <f t="shared" si="6"/>
        <v>6704</v>
      </c>
      <c r="U8">
        <f>(装备属性设计!I12*2+战斗力成长!E32)*AA8</f>
        <v>1624</v>
      </c>
      <c r="V8">
        <f t="shared" si="0"/>
        <v>8111.8400000000011</v>
      </c>
      <c r="W8">
        <f t="shared" si="1"/>
        <v>31844</v>
      </c>
      <c r="X8">
        <f>V8/(V8+VLOOKUP(N8,[2]battleParameter.xml!$A$6:$K$107,3,0))</f>
        <v>0.77909764268371406</v>
      </c>
      <c r="Y8">
        <f>U8/(VLOOKUP(N8,[2]battleParameter.xml!$A$6:$K$107,2,0)+U8)</f>
        <v>0.20703722590515045</v>
      </c>
      <c r="Z8">
        <f>(T8*M$3)/5/((T8*M$3)/5+(VLOOKUP(N8,[2]battleParameter.xml!$A$6:$K$107,2,0))/4)</f>
        <v>7.938049115494826E-2</v>
      </c>
      <c r="AA8">
        <v>1</v>
      </c>
      <c r="AB8">
        <f t="shared" si="7"/>
        <v>197466.89230332003</v>
      </c>
      <c r="AC8">
        <f>战斗力成长!H9/2*AA8*S8+M$2*T8*0.75*S8</f>
        <v>3895.9470000000001</v>
      </c>
      <c r="AD8">
        <v>1.35</v>
      </c>
      <c r="AE8">
        <f t="shared" si="8"/>
        <v>5259.5284500000007</v>
      </c>
      <c r="AH8">
        <v>45</v>
      </c>
      <c r="AI8">
        <v>4200</v>
      </c>
      <c r="AJ8">
        <f>VLOOKUP(AH8,战斗力成长!$A$3:$B$23,2,0)*0.4</f>
        <v>2504</v>
      </c>
      <c r="AK8">
        <v>2.8600000000000003</v>
      </c>
      <c r="AL8">
        <v>1.9</v>
      </c>
      <c r="AM8">
        <v>1.33</v>
      </c>
      <c r="AN8">
        <f t="shared" si="9"/>
        <v>6704</v>
      </c>
      <c r="AO8">
        <f>(装备属性设计!I12*2)*AA8</f>
        <v>1256</v>
      </c>
      <c r="AP8">
        <f t="shared" si="2"/>
        <v>1917.3440000000005</v>
      </c>
      <c r="AQ8">
        <f t="shared" si="3"/>
        <v>63688</v>
      </c>
      <c r="AR8">
        <f>AP8/(AP8+VLOOKUP(AH8,[2]battleParameter.xml!$A$6:$K$107,3,0))</f>
        <v>0.45463305815223992</v>
      </c>
      <c r="AS8">
        <f>AO8/(VLOOKUP(AH8,[2]battleParameter.xml!$A$6:$K$107,2,0)+AO8)</f>
        <v>0.16800428036383092</v>
      </c>
      <c r="AT8">
        <f>(AN8*AG$3)/5/((AN8*AG$3)/5+(VLOOKUP(AH8,[2]battleParameter.xml!$A$6:$K$107,2,0))/4)</f>
        <v>0.1773357316686065</v>
      </c>
      <c r="AU8">
        <v>1</v>
      </c>
      <c r="AV8">
        <f t="shared" si="10"/>
        <v>170618.08977936557</v>
      </c>
      <c r="AW8">
        <f>战斗力成长!AB9/2*AU8*AM8+AG$2*AN8*0.75*AM8</f>
        <v>669.52200000000016</v>
      </c>
      <c r="AX8">
        <v>1.35</v>
      </c>
      <c r="AY8">
        <f t="shared" si="11"/>
        <v>903.85470000000032</v>
      </c>
      <c r="BB8">
        <v>45</v>
      </c>
      <c r="BC8">
        <v>4200</v>
      </c>
      <c r="BD8">
        <f>VLOOKUP(BB8,战斗力成长!$A$3:$B$23,2,0)*0.4</f>
        <v>2504</v>
      </c>
      <c r="BE8">
        <v>2.8600000000000003</v>
      </c>
      <c r="BF8">
        <v>1.9</v>
      </c>
      <c r="BG8">
        <v>1.33</v>
      </c>
      <c r="BH8">
        <f t="shared" si="12"/>
        <v>6704</v>
      </c>
      <c r="BI8">
        <f>(装备属性设计!I12*2)*AA8</f>
        <v>1256</v>
      </c>
      <c r="BJ8">
        <f t="shared" si="4"/>
        <v>1917.3440000000005</v>
      </c>
      <c r="BK8">
        <f t="shared" si="5"/>
        <v>63688</v>
      </c>
      <c r="BL8">
        <f>BJ8/(BJ8+VLOOKUP(BB8,[2]battleParameter.xml!$A$6:$K$107,3,0))</f>
        <v>0.45463305815223992</v>
      </c>
      <c r="BM8">
        <f>BI8/(VLOOKUP(BB8,[2]battleParameter.xml!$A$6:$K$107,2,0)+BI8)</f>
        <v>0.16800428036383092</v>
      </c>
      <c r="BN8">
        <f>(BH8*BA$3)/5/((BH8*BA$3)/5+(VLOOKUP(BB8,[2]battleParameter.xml!$A$6:$K$107,2,0))/4)</f>
        <v>7.938049115494826E-2</v>
      </c>
      <c r="BO8">
        <v>1</v>
      </c>
      <c r="BP8">
        <f t="shared" si="13"/>
        <v>152464.07950721131</v>
      </c>
      <c r="BQ8">
        <f>战斗力成长!H9/2*BO8*BG8+BA$4*BH8*0.75*BG8*1.2</f>
        <v>2719.3845000000001</v>
      </c>
      <c r="BR8">
        <v>1.35</v>
      </c>
      <c r="BS8">
        <f t="shared" si="14"/>
        <v>3671.1690750000002</v>
      </c>
    </row>
    <row r="9" spans="2:71">
      <c r="B9" t="s">
        <v>219</v>
      </c>
      <c r="C9">
        <v>1</v>
      </c>
      <c r="D9">
        <v>4</v>
      </c>
      <c r="E9">
        <v>12</v>
      </c>
      <c r="F9">
        <v>40</v>
      </c>
      <c r="N9">
        <v>50</v>
      </c>
      <c r="O9">
        <v>5100</v>
      </c>
      <c r="P9">
        <f>VLOOKUP(N9,战斗力成长!$A$3:$B$23,2,0)*0.4</f>
        <v>3080</v>
      </c>
      <c r="Q9">
        <v>2.2999999999999998</v>
      </c>
      <c r="R9">
        <v>2.0499999999999998</v>
      </c>
      <c r="S9">
        <v>1.21</v>
      </c>
      <c r="T9">
        <f t="shared" si="6"/>
        <v>8180</v>
      </c>
      <c r="U9">
        <f>(装备属性设计!I13*2+战斗力成长!E33)*AA9</f>
        <v>2236</v>
      </c>
      <c r="V9">
        <f t="shared" si="0"/>
        <v>10347.699999999999</v>
      </c>
      <c r="W9">
        <f t="shared" si="1"/>
        <v>41922.5</v>
      </c>
      <c r="X9">
        <f>V9/(V9+VLOOKUP(N9,[2]battleParameter.xml!$A$6:$K$107,3,0))</f>
        <v>0.80229033083417967</v>
      </c>
      <c r="Y9">
        <f>U9/(VLOOKUP(N9,[2]battleParameter.xml!$A$6:$K$107,2,0)+U9)</f>
        <v>0.22606409867556365</v>
      </c>
      <c r="Z9">
        <f>(T9*M$3)/5/((T9*M$3)/5+(VLOOKUP(N9,[2]battleParameter.xml!$A$6:$K$107,2,0))/4)</f>
        <v>7.8754182010734836E-2</v>
      </c>
      <c r="AA9">
        <v>1</v>
      </c>
      <c r="AB9">
        <f t="shared" si="7"/>
        <v>297398.47790277033</v>
      </c>
      <c r="AC9">
        <f>战斗力成长!H10/2*AA9*S9+M$2*T9*0.75*S9</f>
        <v>5208.5054999999993</v>
      </c>
      <c r="AD9">
        <v>1.38</v>
      </c>
      <c r="AE9">
        <f t="shared" si="8"/>
        <v>7187.7375899999988</v>
      </c>
      <c r="AH9">
        <v>50</v>
      </c>
      <c r="AI9">
        <v>5100</v>
      </c>
      <c r="AJ9">
        <f>VLOOKUP(AH9,战斗力成长!$A$3:$B$23,2,0)*0.4</f>
        <v>3080</v>
      </c>
      <c r="AK9">
        <v>2.9899999999999998</v>
      </c>
      <c r="AL9">
        <v>2.0499999999999998</v>
      </c>
      <c r="AM9">
        <v>1.4</v>
      </c>
      <c r="AN9">
        <f t="shared" si="9"/>
        <v>8180</v>
      </c>
      <c r="AO9">
        <f>(装备属性设计!I13*2)*AA9</f>
        <v>1560</v>
      </c>
      <c r="AP9">
        <f t="shared" si="2"/>
        <v>2445.8199999999997</v>
      </c>
      <c r="AQ9">
        <f t="shared" si="3"/>
        <v>83845</v>
      </c>
      <c r="AR9">
        <f>AP9/(AP9+VLOOKUP(AH9,[2]battleParameter.xml!$A$6:$K$107,3,0))</f>
        <v>0.48957328326480937</v>
      </c>
      <c r="AS9">
        <f>AO9/(VLOOKUP(AH9,[2]battleParameter.xml!$A$6:$K$107,2,0)+AO9)</f>
        <v>0.16928920238741182</v>
      </c>
      <c r="AT9">
        <f>(AN9*AG$3)/5/((AN9*AG$3)/5+(VLOOKUP(AH9,[2]battleParameter.xml!$A$6:$K$107,2,0))/4)</f>
        <v>0.17608438273598107</v>
      </c>
      <c r="AU9">
        <v>1</v>
      </c>
      <c r="AV9">
        <f t="shared" si="10"/>
        <v>239999.96616951452</v>
      </c>
      <c r="AW9">
        <f>战斗力成长!AB10/2*AU9*AM9+AG$2*AN9*0.75*AM9</f>
        <v>859.78666666666663</v>
      </c>
      <c r="AX9">
        <v>1.38</v>
      </c>
      <c r="AY9">
        <f t="shared" si="11"/>
        <v>1186.5056</v>
      </c>
      <c r="BB9">
        <v>50</v>
      </c>
      <c r="BC9">
        <v>5100</v>
      </c>
      <c r="BD9">
        <f>VLOOKUP(BB9,战斗力成长!$A$3:$B$23,2,0)*0.4</f>
        <v>3080</v>
      </c>
      <c r="BE9">
        <v>2.9899999999999998</v>
      </c>
      <c r="BF9">
        <v>2.0499999999999998</v>
      </c>
      <c r="BG9">
        <v>1.4</v>
      </c>
      <c r="BH9">
        <f t="shared" si="12"/>
        <v>8180</v>
      </c>
      <c r="BI9">
        <f>(装备属性设计!I13*2)*AA9</f>
        <v>1560</v>
      </c>
      <c r="BJ9">
        <f t="shared" si="4"/>
        <v>2445.8199999999997</v>
      </c>
      <c r="BK9">
        <f t="shared" si="5"/>
        <v>83845</v>
      </c>
      <c r="BL9">
        <f>BJ9/(BJ9+VLOOKUP(BB9,[2]battleParameter.xml!$A$6:$K$107,3,0))</f>
        <v>0.48957328326480937</v>
      </c>
      <c r="BM9">
        <f>BI9/(VLOOKUP(BB9,[2]battleParameter.xml!$A$6:$K$107,2,0)+BI9)</f>
        <v>0.16928920238741182</v>
      </c>
      <c r="BN9">
        <f>(BH9*BA$3)/5/((BH9*BA$3)/5+(VLOOKUP(BB9,[2]battleParameter.xml!$A$6:$K$107,2,0))/4)</f>
        <v>7.8754182010734836E-2</v>
      </c>
      <c r="BO9">
        <v>1</v>
      </c>
      <c r="BP9">
        <f t="shared" si="13"/>
        <v>214643.81862974534</v>
      </c>
      <c r="BQ9">
        <f>战斗力成长!H10/2*BO9*BG9+BA$4*BH9*0.75*BG9*1.2</f>
        <v>3879.12</v>
      </c>
      <c r="BR9">
        <v>1.38</v>
      </c>
      <c r="BS9">
        <f t="shared" si="14"/>
        <v>5353.1855999999998</v>
      </c>
    </row>
    <row r="10" spans="2:71">
      <c r="B10" t="s">
        <v>220</v>
      </c>
      <c r="C10">
        <v>40</v>
      </c>
      <c r="D10">
        <v>60</v>
      </c>
      <c r="E10">
        <v>80</v>
      </c>
      <c r="F10">
        <v>100</v>
      </c>
      <c r="K10" t="s">
        <v>228</v>
      </c>
      <c r="N10">
        <v>55</v>
      </c>
      <c r="O10">
        <v>6080</v>
      </c>
      <c r="P10">
        <f>VLOOKUP(N10,战斗力成长!$A$3:$B$23,2,0)*0.4</f>
        <v>3716</v>
      </c>
      <c r="Q10">
        <v>2.4</v>
      </c>
      <c r="R10">
        <v>2.2000000000000002</v>
      </c>
      <c r="S10">
        <v>1.24</v>
      </c>
      <c r="T10">
        <f t="shared" si="6"/>
        <v>9796</v>
      </c>
      <c r="U10">
        <f>(装备属性设计!I14*2+战斗力成长!E34)*AA10</f>
        <v>3186</v>
      </c>
      <c r="V10">
        <f t="shared" si="0"/>
        <v>12930.72</v>
      </c>
      <c r="W10">
        <f t="shared" si="1"/>
        <v>53878.000000000007</v>
      </c>
      <c r="X10">
        <f>V10/(V10+VLOOKUP(N10,[2]battleParameter.xml!$A$6:$K$107,3,0))</f>
        <v>0.82200433292309572</v>
      </c>
      <c r="Y10">
        <f>U10/(VLOOKUP(N10,[2]battleParameter.xml!$A$6:$K$107,2,0)+U10)</f>
        <v>0.2563978754225012</v>
      </c>
      <c r="Z10">
        <f>(T10*M$3)/5/((T10*M$3)/5+(VLOOKUP(N10,[2]battleParameter.xml!$A$6:$K$107,2,0))/4)</f>
        <v>7.8182862980462273E-2</v>
      </c>
      <c r="AA10">
        <v>1</v>
      </c>
      <c r="AB10">
        <f t="shared" si="7"/>
        <v>441587.36231792445</v>
      </c>
      <c r="AC10">
        <f>战斗力成长!H11/2*AA10*S10+M$2*T10*0.75*S10</f>
        <v>6755.3340000000007</v>
      </c>
      <c r="AD10">
        <v>1.41</v>
      </c>
      <c r="AE10">
        <f t="shared" si="8"/>
        <v>9525.0209400000003</v>
      </c>
      <c r="AH10">
        <v>55</v>
      </c>
      <c r="AI10">
        <v>6080</v>
      </c>
      <c r="AJ10">
        <f>VLOOKUP(AH10,战斗力成长!$A$3:$B$23,2,0)*0.4</f>
        <v>3716</v>
      </c>
      <c r="AK10">
        <v>3.05</v>
      </c>
      <c r="AL10">
        <v>2.2000000000000002</v>
      </c>
      <c r="AM10">
        <v>1.47</v>
      </c>
      <c r="AN10">
        <f t="shared" si="9"/>
        <v>9796</v>
      </c>
      <c r="AO10">
        <f>(装备属性设计!I14*2)*AA10</f>
        <v>2306</v>
      </c>
      <c r="AP10">
        <f t="shared" si="2"/>
        <v>2987.7799999999997</v>
      </c>
      <c r="AQ10">
        <f t="shared" si="3"/>
        <v>107756.00000000001</v>
      </c>
      <c r="AR10">
        <f>AP10/(AP10+VLOOKUP(AH10,[2]battleParameter.xml!$A$6:$K$107,3,0))</f>
        <v>0.51622210934071433</v>
      </c>
      <c r="AS10">
        <f>AO10/(VLOOKUP(AH10,[2]battleParameter.xml!$A$6:$K$107,2,0)+AO10)</f>
        <v>0.19972284773947688</v>
      </c>
      <c r="AT10">
        <f>(AN10*AG$3)/5/((AN10*AG$3)/5+(VLOOKUP(AH10,[2]battleParameter.xml!$A$6:$K$107,2,0))/4)</f>
        <v>0.17494106721908706</v>
      </c>
      <c r="AU10">
        <v>1</v>
      </c>
      <c r="AV10">
        <f t="shared" si="10"/>
        <v>337341.72103175812</v>
      </c>
      <c r="AW10">
        <f>战斗力成长!AB11/2*AU10*AM10+AG$2*AN10*0.75*AM10</f>
        <v>1080.94</v>
      </c>
      <c r="AX10">
        <v>1.41</v>
      </c>
      <c r="AY10">
        <f t="shared" si="11"/>
        <v>1524.1253999999999</v>
      </c>
      <c r="BB10">
        <v>55</v>
      </c>
      <c r="BC10">
        <v>6080</v>
      </c>
      <c r="BD10">
        <f>VLOOKUP(BB10,战斗力成长!$A$3:$B$23,2,0)*0.4</f>
        <v>3716</v>
      </c>
      <c r="BE10">
        <v>3.05</v>
      </c>
      <c r="BF10">
        <v>2.2000000000000002</v>
      </c>
      <c r="BG10">
        <v>1.47</v>
      </c>
      <c r="BH10">
        <f t="shared" si="12"/>
        <v>9796</v>
      </c>
      <c r="BI10">
        <f>(装备属性设计!I14*2)*AA10</f>
        <v>2306</v>
      </c>
      <c r="BJ10">
        <f t="shared" si="4"/>
        <v>2987.7799999999997</v>
      </c>
      <c r="BK10">
        <f t="shared" si="5"/>
        <v>107756.00000000001</v>
      </c>
      <c r="BL10">
        <f>BJ10/(BJ10+VLOOKUP(BB10,[2]battleParameter.xml!$A$6:$K$107,3,0))</f>
        <v>0.51622210934071433</v>
      </c>
      <c r="BM10">
        <f>BI10/(VLOOKUP(BB10,[2]battleParameter.xml!$A$6:$K$107,2,0)+BI10)</f>
        <v>0.19972284773947688</v>
      </c>
      <c r="BN10">
        <f>(BH10*BA$3)/5/((BH10*BA$3)/5+(VLOOKUP(BB10,[2]battleParameter.xml!$A$6:$K$107,2,0))/4)</f>
        <v>7.8182862980462273E-2</v>
      </c>
      <c r="BO10">
        <v>1</v>
      </c>
      <c r="BP10">
        <f t="shared" si="13"/>
        <v>301932.76861486654</v>
      </c>
      <c r="BQ10">
        <f>战斗力成长!H11/2*BO10*BG10+BA$4*BH10*0.75*BG10*1.2</f>
        <v>5308.317</v>
      </c>
      <c r="BR10">
        <v>1.41</v>
      </c>
      <c r="BS10">
        <f t="shared" si="14"/>
        <v>7484.7269699999997</v>
      </c>
    </row>
    <row r="11" spans="2:71">
      <c r="B11" t="s">
        <v>225</v>
      </c>
      <c r="C11">
        <v>-30</v>
      </c>
      <c r="D11">
        <v>-30</v>
      </c>
      <c r="E11">
        <v>-30</v>
      </c>
      <c r="F11">
        <v>-30</v>
      </c>
      <c r="N11">
        <v>60</v>
      </c>
      <c r="O11">
        <v>7140.0000000000009</v>
      </c>
      <c r="P11">
        <f>VLOOKUP(N11,战斗力成长!$A$3:$B$23,2,0)*0.4</f>
        <v>4412</v>
      </c>
      <c r="Q11">
        <v>2.5</v>
      </c>
      <c r="R11">
        <v>2.35</v>
      </c>
      <c r="S11">
        <v>1.27</v>
      </c>
      <c r="T11">
        <f t="shared" si="6"/>
        <v>11552</v>
      </c>
      <c r="U11">
        <f>(装备属性设计!I15*2+战斗力成长!E35)*AA11</f>
        <v>4007</v>
      </c>
      <c r="V11">
        <f t="shared" si="0"/>
        <v>15884</v>
      </c>
      <c r="W11">
        <f t="shared" si="1"/>
        <v>67868</v>
      </c>
      <c r="X11">
        <f>V11/(V11+VLOOKUP(N11,[2]battleParameter.xml!$A$6:$K$107,3,0))</f>
        <v>0.83891412274215693</v>
      </c>
      <c r="Y11">
        <f>U11/(VLOOKUP(N11,[2]battleParameter.xml!$A$6:$K$107,2,0)+U11)</f>
        <v>0.26745427846749431</v>
      </c>
      <c r="Z11">
        <f>(T11*M$3)/5/((T11*M$3)/5+(VLOOKUP(N11,[2]battleParameter.xml!$A$6:$K$107,2,0))/4)</f>
        <v>7.7665986506610565E-2</v>
      </c>
      <c r="AA11">
        <v>1</v>
      </c>
      <c r="AB11">
        <f t="shared" si="7"/>
        <v>623569.15381421067</v>
      </c>
      <c r="AC11">
        <f>战斗力成长!H12/2*AA11*S11+M$2*T11*0.75*S11</f>
        <v>8330.3110000000015</v>
      </c>
      <c r="AD11">
        <v>1.44</v>
      </c>
      <c r="AE11">
        <f t="shared" si="8"/>
        <v>11995.647840000001</v>
      </c>
      <c r="AH11">
        <v>60</v>
      </c>
      <c r="AI11">
        <v>7140.0000000000009</v>
      </c>
      <c r="AJ11">
        <f>VLOOKUP(AH11,战斗力成长!$A$3:$B$23,2,0)*0.4</f>
        <v>4412</v>
      </c>
      <c r="AK11">
        <v>3.14</v>
      </c>
      <c r="AL11">
        <v>2.35</v>
      </c>
      <c r="AM11">
        <v>1.54</v>
      </c>
      <c r="AN11">
        <f t="shared" si="9"/>
        <v>11552</v>
      </c>
      <c r="AO11">
        <f>(装备属性设计!I15*2)*AA11</f>
        <v>2754</v>
      </c>
      <c r="AP11">
        <f t="shared" si="2"/>
        <v>3627.3280000000004</v>
      </c>
      <c r="AQ11">
        <f t="shared" si="3"/>
        <v>135736</v>
      </c>
      <c r="AR11">
        <f>AP11/(AP11+VLOOKUP(AH11,[2]battleParameter.xml!$A$6:$K$107,3,0))</f>
        <v>0.54323046583903023</v>
      </c>
      <c r="AS11">
        <f>AO11/(VLOOKUP(AH11,[2]battleParameter.xml!$A$6:$K$107,2,0)+AO11)</f>
        <v>0.20059727583946391</v>
      </c>
      <c r="AT11">
        <f>(AN11*AG$3)/5/((AN11*AG$3)/5+(VLOOKUP(AH11,[2]battleParameter.xml!$A$6:$K$107,2,0))/4)</f>
        <v>0.17390518915501227</v>
      </c>
      <c r="AU11">
        <v>1</v>
      </c>
      <c r="AV11">
        <f t="shared" si="10"/>
        <v>449989.51997363195</v>
      </c>
      <c r="AW11">
        <f>战斗力成长!AB12/2*AU11*AM11+AG$2*AN11*0.75*AM11</f>
        <v>1335.2313333333334</v>
      </c>
      <c r="AX11">
        <v>1.44</v>
      </c>
      <c r="AY11">
        <f t="shared" si="11"/>
        <v>1922.7331200000001</v>
      </c>
      <c r="BB11">
        <v>60</v>
      </c>
      <c r="BC11">
        <v>7140.0000000000009</v>
      </c>
      <c r="BD11">
        <f>VLOOKUP(BB11,战斗力成长!$A$3:$B$23,2,0)*0.4</f>
        <v>4412</v>
      </c>
      <c r="BE11">
        <v>3.14</v>
      </c>
      <c r="BF11">
        <v>2.35</v>
      </c>
      <c r="BG11">
        <v>1.54</v>
      </c>
      <c r="BH11">
        <f t="shared" si="12"/>
        <v>11552</v>
      </c>
      <c r="BI11">
        <f>(装备属性设计!I15*2)*AA11</f>
        <v>2754</v>
      </c>
      <c r="BJ11">
        <f t="shared" si="4"/>
        <v>3627.3280000000004</v>
      </c>
      <c r="BK11">
        <f t="shared" si="5"/>
        <v>135736</v>
      </c>
      <c r="BL11">
        <f>BJ11/(BJ11+VLOOKUP(BB11,[2]battleParameter.xml!$A$6:$K$107,3,0))</f>
        <v>0.54323046583903023</v>
      </c>
      <c r="BM11">
        <f>BI11/(VLOOKUP(BB11,[2]battleParameter.xml!$A$6:$K$107,2,0)+BI11)</f>
        <v>0.20059727583946391</v>
      </c>
      <c r="BN11">
        <f>(BH11*BA$3)/5/((BH11*BA$3)/5+(VLOOKUP(BB11,[2]battleParameter.xml!$A$6:$K$107,2,0))/4)</f>
        <v>7.7665986506610565E-2</v>
      </c>
      <c r="BO11">
        <v>1</v>
      </c>
      <c r="BP11">
        <f t="shared" si="13"/>
        <v>403036.21242035937</v>
      </c>
      <c r="BQ11">
        <f>战斗力成长!H12/2*BO11*BG11+BA$4*BH11*0.75*BG11*1.2</f>
        <v>6765.6819999999989</v>
      </c>
      <c r="BR11">
        <v>1.44</v>
      </c>
      <c r="BS11">
        <f t="shared" si="14"/>
        <v>9742.5820799999983</v>
      </c>
    </row>
    <row r="12" spans="2:71">
      <c r="B12" t="s">
        <v>223</v>
      </c>
      <c r="C12">
        <f>1/($I$7/100*C10)</f>
        <v>5.0000000000000001E-3</v>
      </c>
      <c r="D12">
        <f>1/($I$7/100*D10)</f>
        <v>3.3333333333333335E-3</v>
      </c>
      <c r="E12">
        <f>1/($I$7/100*E10)</f>
        <v>2.5000000000000001E-3</v>
      </c>
      <c r="F12">
        <f>1/($I$7/100*F10)</f>
        <v>2E-3</v>
      </c>
      <c r="N12">
        <v>65</v>
      </c>
      <c r="O12">
        <v>8280</v>
      </c>
      <c r="P12">
        <f>VLOOKUP(N12,战斗力成长!$A$3:$B$23,2,0)*0.4</f>
        <v>5168</v>
      </c>
      <c r="Q12">
        <v>2.6</v>
      </c>
      <c r="R12">
        <v>2.5</v>
      </c>
      <c r="S12">
        <v>1.3</v>
      </c>
      <c r="T12">
        <f t="shared" si="6"/>
        <v>13448</v>
      </c>
      <c r="U12">
        <f>(装备属性设计!I16*2+战斗力成长!E36)*AA12</f>
        <v>4657</v>
      </c>
      <c r="V12">
        <f t="shared" si="0"/>
        <v>19230.640000000003</v>
      </c>
      <c r="W12">
        <f t="shared" si="1"/>
        <v>84050</v>
      </c>
      <c r="X12">
        <f>V12/(V12+VLOOKUP(N12,[2]battleParameter.xml!$A$6:$K$107,3,0))</f>
        <v>0.85353278912627428</v>
      </c>
      <c r="Y12">
        <f>U12/(VLOOKUP(N12,[2]battleParameter.xml!$A$6:$K$107,2,0)+U12)</f>
        <v>0.26585602557515559</v>
      </c>
      <c r="Z12">
        <f>(T12*M$3)/5/((T12*M$3)/5+(VLOOKUP(N12,[2]battleParameter.xml!$A$6:$K$107,2,0))/4)</f>
        <v>7.7199508605150471E-2</v>
      </c>
      <c r="AA12">
        <v>1</v>
      </c>
      <c r="AB12">
        <f t="shared" si="7"/>
        <v>847048.44697208994</v>
      </c>
      <c r="AC12">
        <f>战斗力成长!H13/2*AA12*S12+M$2*T12*0.75*S12</f>
        <v>10420.215</v>
      </c>
      <c r="AD12">
        <v>1.47</v>
      </c>
      <c r="AE12">
        <f t="shared" si="8"/>
        <v>15317.716049999999</v>
      </c>
      <c r="AH12">
        <v>65</v>
      </c>
      <c r="AI12">
        <v>8280</v>
      </c>
      <c r="AJ12">
        <f>VLOOKUP(AH12,战斗力成长!$A$3:$B$23,2,0)*0.4</f>
        <v>5168</v>
      </c>
      <c r="AK12">
        <v>3.23</v>
      </c>
      <c r="AL12">
        <v>2.5</v>
      </c>
      <c r="AM12">
        <v>1.61</v>
      </c>
      <c r="AN12">
        <f t="shared" si="9"/>
        <v>13448</v>
      </c>
      <c r="AO12">
        <f>(装备属性设计!I16*2)*AA12</f>
        <v>3256</v>
      </c>
      <c r="AP12">
        <f t="shared" si="2"/>
        <v>4343.7040000000006</v>
      </c>
      <c r="AQ12">
        <f t="shared" si="3"/>
        <v>168100</v>
      </c>
      <c r="AR12">
        <f>AP12/(AP12+VLOOKUP(AH12,[2]battleParameter.xml!$A$6:$K$107,3,0))</f>
        <v>0.56827213612667371</v>
      </c>
      <c r="AS12">
        <f>AO12/(VLOOKUP(AH12,[2]battleParameter.xml!$A$6:$K$107,2,0)+AO12)</f>
        <v>0.20203524447753785</v>
      </c>
      <c r="AT12">
        <f>(AN12*AG$3)/5/((AN12*AG$3)/5+(VLOOKUP(AH12,[2]battleParameter.xml!$A$6:$K$107,2,0))/4)</f>
        <v>0.17296907959047178</v>
      </c>
      <c r="AU12">
        <v>1</v>
      </c>
      <c r="AV12">
        <f t="shared" si="10"/>
        <v>590000.22539239132</v>
      </c>
      <c r="AW12">
        <f>战斗力成长!AB13/2*AU12*AM12+AG$2*AN12*0.75*AM12</f>
        <v>1624.9193333333335</v>
      </c>
      <c r="AX12">
        <v>1.47</v>
      </c>
      <c r="AY12">
        <f t="shared" si="11"/>
        <v>2388.6314200000002</v>
      </c>
      <c r="BB12">
        <v>65</v>
      </c>
      <c r="BC12">
        <v>8280</v>
      </c>
      <c r="BD12">
        <f>VLOOKUP(BB12,战斗力成长!$A$3:$B$23,2,0)*0.4</f>
        <v>5168</v>
      </c>
      <c r="BE12">
        <v>3.23</v>
      </c>
      <c r="BF12">
        <v>2.5</v>
      </c>
      <c r="BG12">
        <v>1.61</v>
      </c>
      <c r="BH12">
        <f t="shared" si="12"/>
        <v>13448</v>
      </c>
      <c r="BI12">
        <f>(装备属性设计!I16*2)*AA12</f>
        <v>3256</v>
      </c>
      <c r="BJ12">
        <f t="shared" si="4"/>
        <v>4343.7040000000006</v>
      </c>
      <c r="BK12">
        <f t="shared" si="5"/>
        <v>168100</v>
      </c>
      <c r="BL12">
        <f>BJ12/(BJ12+VLOOKUP(BB12,[2]battleParameter.xml!$A$6:$K$107,3,0))</f>
        <v>0.56827213612667371</v>
      </c>
      <c r="BM12">
        <f>BI12/(VLOOKUP(BB12,[2]battleParameter.xml!$A$6:$K$107,2,0)+BI12)</f>
        <v>0.20203524447753785</v>
      </c>
      <c r="BN12">
        <f>(BH12*BA$3)/5/((BH12*BA$3)/5+(VLOOKUP(BB12,[2]battleParameter.xml!$A$6:$K$107,2,0))/4)</f>
        <v>7.7199508605150471E-2</v>
      </c>
      <c r="BO12">
        <v>1</v>
      </c>
      <c r="BP12">
        <f t="shared" si="13"/>
        <v>528769.1478258156</v>
      </c>
      <c r="BQ12">
        <f>战斗力成长!H13/2*BO12*BG12+BA$4*BH12*0.75*BG12*1.2</f>
        <v>8845.4205000000002</v>
      </c>
      <c r="BR12">
        <v>1.47</v>
      </c>
      <c r="BS12">
        <f t="shared" si="14"/>
        <v>13002.768135</v>
      </c>
    </row>
    <row r="13" spans="2:71">
      <c r="B13" t="s">
        <v>222</v>
      </c>
      <c r="C13">
        <v>1</v>
      </c>
      <c r="D13">
        <v>2</v>
      </c>
      <c r="E13">
        <v>3</v>
      </c>
      <c r="F13">
        <v>5</v>
      </c>
      <c r="N13">
        <v>70</v>
      </c>
      <c r="O13">
        <v>9500</v>
      </c>
      <c r="P13">
        <f>VLOOKUP(N13,战斗力成长!$A$3:$B$23,2,0)*0.4</f>
        <v>5984</v>
      </c>
      <c r="Q13">
        <v>2.7</v>
      </c>
      <c r="R13">
        <v>2.65</v>
      </c>
      <c r="S13">
        <v>1.33</v>
      </c>
      <c r="T13">
        <f t="shared" si="6"/>
        <v>15484</v>
      </c>
      <c r="U13">
        <f>(装备属性设计!I17*2+战斗力成长!E37)*AA13</f>
        <v>6235.9000000000005</v>
      </c>
      <c r="V13">
        <f t="shared" si="0"/>
        <v>22993.740000000005</v>
      </c>
      <c r="W13">
        <f t="shared" si="1"/>
        <v>102581.5</v>
      </c>
      <c r="X13">
        <f>V13/(V13+VLOOKUP(N13,[2]battleParameter.xml!$A$6:$K$107,3,0))</f>
        <v>0.86625848505146608</v>
      </c>
      <c r="Y13">
        <f>U13/(VLOOKUP(N13,[2]battleParameter.xml!$A$6:$K$107,2,0)+U13)</f>
        <v>0.2951081118172913</v>
      </c>
      <c r="Z13">
        <f>(T13*M$3)/5/((T13*M$3)/5+(VLOOKUP(N13,[2]battleParameter.xml!$A$6:$K$107,2,0))/4)</f>
        <v>7.677832514757911E-2</v>
      </c>
      <c r="AA13">
        <v>1.1000000000000001</v>
      </c>
      <c r="AB13">
        <f t="shared" si="7"/>
        <v>1178621.3453561435</v>
      </c>
      <c r="AC13">
        <f>战斗力成长!H14/2*AA13*S13+M$2*T13*0.75*S13</f>
        <v>13134.082500000002</v>
      </c>
      <c r="AD13">
        <v>1.5</v>
      </c>
      <c r="AE13">
        <f t="shared" si="8"/>
        <v>19701.123750000002</v>
      </c>
      <c r="AH13">
        <v>70</v>
      </c>
      <c r="AI13">
        <v>9500</v>
      </c>
      <c r="AJ13">
        <f>VLOOKUP(AH13,战斗力成长!$A$3:$B$23,2,0)*0.4</f>
        <v>5984</v>
      </c>
      <c r="AK13">
        <v>3.32</v>
      </c>
      <c r="AL13">
        <v>2.65</v>
      </c>
      <c r="AM13">
        <v>1.68</v>
      </c>
      <c r="AN13">
        <f t="shared" si="9"/>
        <v>15484</v>
      </c>
      <c r="AO13">
        <f>(装备属性设计!I17*2)*AA13</f>
        <v>4056.8</v>
      </c>
      <c r="AP13">
        <f t="shared" si="2"/>
        <v>5140.6880000000001</v>
      </c>
      <c r="AQ13">
        <f t="shared" si="3"/>
        <v>205163</v>
      </c>
      <c r="AR13">
        <f>AP13/(AP13+VLOOKUP(AH13,[2]battleParameter.xml!$A$6:$K$107,3,0))</f>
        <v>0.5915168051137033</v>
      </c>
      <c r="AS13">
        <f>AO13/(VLOOKUP(AH13,[2]battleParameter.xml!$A$6:$K$107,2,0)+AO13)</f>
        <v>0.21405882290864195</v>
      </c>
      <c r="AT13">
        <f>(AN13*AG$3)/5/((AN13*AG$3)/5+(VLOOKUP(AH13,[2]battleParameter.xml!$A$6:$K$107,2,0))/4)</f>
        <v>0.17212285596771865</v>
      </c>
      <c r="AU13">
        <v>1.1000000000000001</v>
      </c>
      <c r="AV13">
        <f t="shared" si="10"/>
        <v>771913.98799478239</v>
      </c>
      <c r="AW13">
        <f>战斗力成长!AB14/2*AU13*AM13+AG$2*AN13*0.75*AM13</f>
        <v>1952.2160000000001</v>
      </c>
      <c r="AX13">
        <v>2.1</v>
      </c>
      <c r="AY13">
        <f t="shared" si="11"/>
        <v>4099.6536000000006</v>
      </c>
      <c r="BB13">
        <v>70</v>
      </c>
      <c r="BC13">
        <v>9500</v>
      </c>
      <c r="BD13">
        <f>VLOOKUP(BB13,战斗力成长!$A$3:$B$23,2,0)*0.4</f>
        <v>5984</v>
      </c>
      <c r="BE13">
        <v>3.32</v>
      </c>
      <c r="BF13">
        <v>2.65</v>
      </c>
      <c r="BG13">
        <v>1.68</v>
      </c>
      <c r="BH13">
        <f t="shared" si="12"/>
        <v>15484</v>
      </c>
      <c r="BI13">
        <f>(装备属性设计!I17*2)*AA13</f>
        <v>4056.8</v>
      </c>
      <c r="BJ13">
        <f t="shared" si="4"/>
        <v>5140.6880000000001</v>
      </c>
      <c r="BK13">
        <f t="shared" si="5"/>
        <v>205163</v>
      </c>
      <c r="BL13">
        <f>BJ13/(BJ13+VLOOKUP(BB13,[2]battleParameter.xml!$A$6:$K$107,3,0))</f>
        <v>0.5915168051137033</v>
      </c>
      <c r="BM13">
        <f>BI13/(VLOOKUP(BB13,[2]battleParameter.xml!$A$6:$K$107,2,0)+BI13)</f>
        <v>0.21405882290864195</v>
      </c>
      <c r="BN13">
        <f>(BH13*BA$3)/5/((BH13*BA$3)/5+(VLOOKUP(BB13,[2]battleParameter.xml!$A$6:$K$107,2,0))/4)</f>
        <v>7.677832514757911E-2</v>
      </c>
      <c r="BO13">
        <v>1.1000000000000001</v>
      </c>
      <c r="BP13">
        <f t="shared" si="13"/>
        <v>692195.56388972641</v>
      </c>
      <c r="BQ13">
        <f>战斗力成长!H14/2*BO13*BG13+BA$4*BH13*0.75*BG13*1.2</f>
        <v>11712.960000000001</v>
      </c>
      <c r="BR13">
        <v>1.5</v>
      </c>
      <c r="BS13">
        <f t="shared" si="14"/>
        <v>17569.440000000002</v>
      </c>
    </row>
    <row r="14" spans="2:71">
      <c r="N14">
        <v>75</v>
      </c>
      <c r="O14">
        <v>12200</v>
      </c>
      <c r="P14">
        <f>VLOOKUP(N14,战斗力成长!$A$3:$B$23,2,0)*0.4</f>
        <v>6860</v>
      </c>
      <c r="Q14">
        <v>2.8</v>
      </c>
      <c r="R14">
        <v>2.8</v>
      </c>
      <c r="S14">
        <v>1.36</v>
      </c>
      <c r="T14">
        <f t="shared" si="6"/>
        <v>19060</v>
      </c>
      <c r="U14">
        <f>(装备属性设计!I18*2+战斗力成长!E38)*AA14</f>
        <v>8286</v>
      </c>
      <c r="V14">
        <f t="shared" si="0"/>
        <v>29352.399999999998</v>
      </c>
      <c r="W14">
        <f t="shared" si="1"/>
        <v>133420</v>
      </c>
      <c r="X14">
        <f>V14/(V14+VLOOKUP(N14,[2]battleParameter.xml!$A$6:$K$107,3,0))</f>
        <v>0.8813899298549055</v>
      </c>
      <c r="Y14">
        <f>U14/(VLOOKUP(N14,[2]battleParameter.xml!$A$6:$K$107,2,0)+U14)</f>
        <v>0.32665773082078375</v>
      </c>
      <c r="Z14">
        <f>(T14*M$3)/5/((T14*M$3)/5+(VLOOKUP(N14,[2]battleParameter.xml!$A$6:$K$107,2,0))/4)</f>
        <v>8.195734434124527E-2</v>
      </c>
      <c r="AA14">
        <v>1.2</v>
      </c>
      <c r="AB14">
        <f t="shared" si="7"/>
        <v>1819703.5181700764</v>
      </c>
      <c r="AC14">
        <f>战斗力成长!H15/2*AA14*S14+M$2*T14*0.75*S14</f>
        <v>18799.334400000003</v>
      </c>
      <c r="AD14">
        <v>1.53</v>
      </c>
      <c r="AE14">
        <f t="shared" si="8"/>
        <v>28762.981632000006</v>
      </c>
      <c r="AH14">
        <v>75</v>
      </c>
      <c r="AI14">
        <v>12200</v>
      </c>
      <c r="AJ14">
        <f>VLOOKUP(AH14,战斗力成长!$A$3:$B$23,2,0)*0.4</f>
        <v>6860</v>
      </c>
      <c r="AK14">
        <v>3.41</v>
      </c>
      <c r="AL14">
        <v>2.8</v>
      </c>
      <c r="AM14">
        <v>1.75</v>
      </c>
      <c r="AN14">
        <f t="shared" si="9"/>
        <v>19060</v>
      </c>
      <c r="AO14">
        <f>(装备属性设计!I18*2)*AA14</f>
        <v>5268</v>
      </c>
      <c r="AP14">
        <f t="shared" si="2"/>
        <v>6499.46</v>
      </c>
      <c r="AQ14">
        <f t="shared" si="3"/>
        <v>266840</v>
      </c>
      <c r="AR14">
        <f>AP14/(AP14+VLOOKUP(AH14,[2]battleParameter.xml!$A$6:$K$107,3,0))</f>
        <v>0.62199003584874246</v>
      </c>
      <c r="AS14">
        <f>AO14/(VLOOKUP(AH14,[2]battleParameter.xml!$A$6:$K$107,2,0)+AO14)</f>
        <v>0.23572579201718274</v>
      </c>
      <c r="AT14">
        <f>(AN14*AG$3)/5/((AN14*AG$3)/5+(VLOOKUP(AH14,[2]battleParameter.xml!$A$6:$K$107,2,0))/4)</f>
        <v>0.18246218648286425</v>
      </c>
      <c r="AU14">
        <v>1.2</v>
      </c>
      <c r="AV14">
        <f t="shared" si="10"/>
        <v>1129771.542867552</v>
      </c>
      <c r="AW14">
        <f>战斗力成长!AB15/2*AU14*AM14+AG$2*AN14*0.75*AM14</f>
        <v>2503.13</v>
      </c>
      <c r="AX14">
        <v>2.1</v>
      </c>
      <c r="AY14">
        <f t="shared" si="11"/>
        <v>5256.5730000000003</v>
      </c>
      <c r="BB14">
        <v>75</v>
      </c>
      <c r="BC14">
        <v>12200</v>
      </c>
      <c r="BD14">
        <f>VLOOKUP(BB14,战斗力成长!$A$3:$B$23,2,0)*0.4</f>
        <v>6860</v>
      </c>
      <c r="BE14">
        <v>3.41</v>
      </c>
      <c r="BF14">
        <v>2.8</v>
      </c>
      <c r="BG14">
        <v>1.75</v>
      </c>
      <c r="BH14">
        <f t="shared" si="12"/>
        <v>19060</v>
      </c>
      <c r="BI14">
        <f>(装备属性设计!I18*2)*AA14</f>
        <v>5268</v>
      </c>
      <c r="BJ14">
        <f t="shared" si="4"/>
        <v>6499.46</v>
      </c>
      <c r="BK14">
        <f t="shared" si="5"/>
        <v>266840</v>
      </c>
      <c r="BL14">
        <f>BJ14/(BJ14+VLOOKUP(BB14,[2]battleParameter.xml!$A$6:$K$107,3,0))</f>
        <v>0.62199003584874246</v>
      </c>
      <c r="BM14">
        <f>BI14/(VLOOKUP(BB14,[2]battleParameter.xml!$A$6:$K$107,2,0)+BI14)</f>
        <v>0.23572579201718274</v>
      </c>
      <c r="BN14">
        <f>(BH14*BA$3)/5/((BH14*BA$3)/5+(VLOOKUP(BB14,[2]battleParameter.xml!$A$6:$K$107,2,0))/4)</f>
        <v>8.195734434124527E-2</v>
      </c>
      <c r="BO14">
        <v>1.2</v>
      </c>
      <c r="BP14">
        <f t="shared" si="13"/>
        <v>1006087.1913049126</v>
      </c>
      <c r="BQ14">
        <f>战斗力成长!H15/2*BO14*BG14+BA$4*BH14*0.75*BG14*1.2</f>
        <v>17936.2575</v>
      </c>
      <c r="BR14">
        <v>2</v>
      </c>
      <c r="BS14">
        <f t="shared" si="14"/>
        <v>35872.514999999999</v>
      </c>
    </row>
    <row r="15" spans="2:71">
      <c r="N15">
        <v>80</v>
      </c>
      <c r="O15">
        <v>15120</v>
      </c>
      <c r="P15">
        <f>VLOOKUP(N15,战斗力成长!$A$3:$B$23,2,0)*0.4</f>
        <v>7796</v>
      </c>
      <c r="Q15">
        <v>2.9</v>
      </c>
      <c r="R15">
        <v>2.95</v>
      </c>
      <c r="S15">
        <v>1.39</v>
      </c>
      <c r="T15">
        <f t="shared" si="6"/>
        <v>22916</v>
      </c>
      <c r="U15">
        <f>(装备属性设计!I19*2+战斗力成长!E39)*AA15</f>
        <v>10574.2</v>
      </c>
      <c r="V15">
        <f t="shared" si="0"/>
        <v>36551.020000000004</v>
      </c>
      <c r="W15">
        <f t="shared" si="1"/>
        <v>169005.5</v>
      </c>
      <c r="X15">
        <f>V15/(V15+VLOOKUP(N15,[2]battleParameter.xml!$A$6:$K$107,3,0))</f>
        <v>0.8882166225770346</v>
      </c>
      <c r="Y15">
        <f>U15/(VLOOKUP(N15,[2]battleParameter.xml!$A$6:$K$107,2,0)+U15)</f>
        <v>0.35260026943032829</v>
      </c>
      <c r="Z15">
        <f>(T15*M$3)/5/((T15*M$3)/5+(VLOOKUP(N15,[2]battleParameter.xml!$A$6:$K$107,2,0))/4)</f>
        <v>8.6278983522430991E-2</v>
      </c>
      <c r="AA15">
        <v>1.3</v>
      </c>
      <c r="AB15">
        <f t="shared" si="7"/>
        <v>2555862.4790303754</v>
      </c>
      <c r="AC15">
        <f>战斗力成长!H16/2*AA15*S15+M$2*T15*0.75*S15</f>
        <v>25920.553200000002</v>
      </c>
      <c r="AD15">
        <v>1.56</v>
      </c>
      <c r="AE15">
        <f t="shared" si="8"/>
        <v>40436.062992000006</v>
      </c>
      <c r="AH15">
        <v>80</v>
      </c>
      <c r="AI15">
        <v>15120</v>
      </c>
      <c r="AJ15">
        <f>VLOOKUP(AH15,战斗力成长!$A$3:$B$23,2,0)*0.4</f>
        <v>7796</v>
      </c>
      <c r="AK15">
        <v>3.5</v>
      </c>
      <c r="AL15">
        <v>2.95</v>
      </c>
      <c r="AM15">
        <v>1.82</v>
      </c>
      <c r="AN15">
        <f t="shared" si="9"/>
        <v>22916</v>
      </c>
      <c r="AO15">
        <f>(装备属性设计!I19*2)*AA15</f>
        <v>6689.8</v>
      </c>
      <c r="AP15">
        <f t="shared" si="2"/>
        <v>8020.5999999999995</v>
      </c>
      <c r="AQ15">
        <f t="shared" si="3"/>
        <v>338011</v>
      </c>
      <c r="AR15">
        <f>AP15/(AP15+VLOOKUP(AH15,[2]battleParameter.xml!$A$6:$K$107,3,0))</f>
        <v>0.63551653645626993</v>
      </c>
      <c r="AS15">
        <f>AO15/(VLOOKUP(AH15,[2]battleParameter.xml!$A$6:$K$107,2,0)+AO15)</f>
        <v>0.25626704667340872</v>
      </c>
      <c r="AT15">
        <f>(AN15*AG$3)/5/((AN15*AG$3)/5+(VLOOKUP(AH15,[2]battleParameter.xml!$A$6:$K$107,2,0))/4)</f>
        <v>0.19098099024093473</v>
      </c>
      <c r="AU15">
        <v>1.3</v>
      </c>
      <c r="AV15">
        <f t="shared" si="10"/>
        <v>1541264.7768926581</v>
      </c>
      <c r="AW15">
        <f>战斗力成长!AB16/2*AU15*AM15+AG$2*AN15*0.75*AM15</f>
        <v>3129.847933333333</v>
      </c>
      <c r="AX15">
        <v>2.1</v>
      </c>
      <c r="AY15">
        <f t="shared" si="11"/>
        <v>6572.68066</v>
      </c>
      <c r="BB15">
        <v>80</v>
      </c>
      <c r="BC15">
        <v>15120</v>
      </c>
      <c r="BD15">
        <f>VLOOKUP(BB15,战斗力成长!$A$3:$B$23,2,0)*0.4</f>
        <v>7796</v>
      </c>
      <c r="BE15">
        <v>3.5</v>
      </c>
      <c r="BF15">
        <v>2.95</v>
      </c>
      <c r="BG15">
        <v>1.82</v>
      </c>
      <c r="BH15">
        <f t="shared" si="12"/>
        <v>22916</v>
      </c>
      <c r="BI15">
        <f>(装备属性设计!I19*2)*AA15</f>
        <v>6689.8</v>
      </c>
      <c r="BJ15">
        <f t="shared" si="4"/>
        <v>8020.5999999999995</v>
      </c>
      <c r="BK15">
        <f t="shared" si="5"/>
        <v>338011</v>
      </c>
      <c r="BL15">
        <f>BJ15/(BJ15+VLOOKUP(BB15,[2]battleParameter.xml!$A$6:$K$107,3,0))</f>
        <v>0.63551653645626993</v>
      </c>
      <c r="BM15">
        <f>BI15/(VLOOKUP(BB15,[2]battleParameter.xml!$A$6:$K$107,2,0)+BI15)</f>
        <v>0.25626704667340872</v>
      </c>
      <c r="BN15">
        <f>(BH15*BA$3)/5/((BH15*BA$3)/5+(VLOOKUP(BB15,[2]battleParameter.xml!$A$6:$K$107,2,0))/4)</f>
        <v>8.6278983522430991E-2</v>
      </c>
      <c r="BO15">
        <v>1.3</v>
      </c>
      <c r="BP15">
        <f t="shared" si="13"/>
        <v>1364653.4129039983</v>
      </c>
      <c r="BQ15">
        <f>战斗力成长!H16/2*BO15*BG15+BA$4*BH15*0.75*BG15*1.2</f>
        <v>26119.0566</v>
      </c>
      <c r="BR15">
        <v>2</v>
      </c>
      <c r="BS15">
        <f t="shared" si="14"/>
        <v>52238.1132</v>
      </c>
    </row>
    <row r="16" spans="2:71">
      <c r="N16">
        <v>85</v>
      </c>
      <c r="O16">
        <v>18260</v>
      </c>
      <c r="P16">
        <f>VLOOKUP(N16,战斗力成长!$A$3:$B$23,2,0)*0.4</f>
        <v>8792</v>
      </c>
      <c r="Q16">
        <v>3</v>
      </c>
      <c r="R16">
        <v>3.1</v>
      </c>
      <c r="S16">
        <v>1.42</v>
      </c>
      <c r="T16">
        <f t="shared" si="6"/>
        <v>27052</v>
      </c>
      <c r="U16">
        <f>(装备属性设计!I20*2+战斗力成长!E40)*AA16</f>
        <v>13300</v>
      </c>
      <c r="V16">
        <f t="shared" si="0"/>
        <v>44635.8</v>
      </c>
      <c r="W16">
        <f t="shared" si="1"/>
        <v>209653</v>
      </c>
      <c r="X16">
        <f>V16/(V16+VLOOKUP(N16,[2]battleParameter.xml!$A$6:$K$107,3,0))</f>
        <v>0.89029795076572027</v>
      </c>
      <c r="Y16">
        <f>U16/(VLOOKUP(N16,[2]battleParameter.xml!$A$6:$K$107,2,0)+U16)</f>
        <v>0.37784090909090912</v>
      </c>
      <c r="Z16">
        <f>(T16*M$3)/5/((T16*M$3)/5+(VLOOKUP(N16,[2]battleParameter.xml!$A$6:$K$107,2,0))/4)</f>
        <v>8.9932912680101881E-2</v>
      </c>
      <c r="AA16">
        <v>1.4</v>
      </c>
      <c r="AB16">
        <f t="shared" si="7"/>
        <v>3375293.019886577</v>
      </c>
      <c r="AC16">
        <f>战斗力成长!H17/2*AA16*S16+M$2*T16*0.75*S16</f>
        <v>34856.555399999997</v>
      </c>
      <c r="AD16">
        <v>1.59</v>
      </c>
      <c r="AE16">
        <f t="shared" si="8"/>
        <v>55421.923085999995</v>
      </c>
      <c r="AH16">
        <v>85</v>
      </c>
      <c r="AI16">
        <v>18260</v>
      </c>
      <c r="AJ16">
        <f>VLOOKUP(AH16,战斗力成长!$A$3:$B$23,2,0)*0.4</f>
        <v>8792</v>
      </c>
      <c r="AK16">
        <v>3.59</v>
      </c>
      <c r="AL16">
        <v>3.1</v>
      </c>
      <c r="AM16">
        <v>1.89</v>
      </c>
      <c r="AN16">
        <f t="shared" si="9"/>
        <v>27052</v>
      </c>
      <c r="AO16">
        <f>(装备属性设计!I20*2)*AA16</f>
        <v>8369.1999999999989</v>
      </c>
      <c r="AP16">
        <f t="shared" si="2"/>
        <v>9711.6680000000015</v>
      </c>
      <c r="AQ16">
        <f t="shared" si="3"/>
        <v>419306</v>
      </c>
      <c r="AR16">
        <f>AP16/(AP16+VLOOKUP(AH16,[2]battleParameter.xml!$A$6:$K$107,3,0))</f>
        <v>0.63843544310854017</v>
      </c>
      <c r="AS16">
        <f>AO16/(VLOOKUP(AH16,[2]battleParameter.xml!$A$6:$K$107,2,0)+AO16)</f>
        <v>0.27649227597690063</v>
      </c>
      <c r="AT16">
        <f>(AN16*AG$3)/5/((AN16*AG$3)/5+(VLOOKUP(AH16,[2]battleParameter.xml!$A$6:$K$107,2,0))/4)</f>
        <v>0.19810768059054423</v>
      </c>
      <c r="AU16">
        <v>1.4</v>
      </c>
      <c r="AV16">
        <f t="shared" si="10"/>
        <v>1998876.6737239277</v>
      </c>
      <c r="AW16">
        <f>战斗力成长!AB17/2*AU16*AM16+AG$2*AN16*0.75*AM16</f>
        <v>3836.7819</v>
      </c>
      <c r="AX16">
        <v>2.1</v>
      </c>
      <c r="AY16">
        <f t="shared" si="11"/>
        <v>8057.2419900000004</v>
      </c>
      <c r="BB16">
        <v>85</v>
      </c>
      <c r="BC16">
        <v>18260</v>
      </c>
      <c r="BD16">
        <f>VLOOKUP(BB16,战斗力成长!$A$3:$B$23,2,0)*0.4</f>
        <v>8792</v>
      </c>
      <c r="BE16">
        <v>3.59</v>
      </c>
      <c r="BF16">
        <v>3.1</v>
      </c>
      <c r="BG16">
        <v>1.89</v>
      </c>
      <c r="BH16">
        <f t="shared" si="12"/>
        <v>27052</v>
      </c>
      <c r="BI16">
        <f>(装备属性设计!I20*2)*AA16</f>
        <v>8369.1999999999989</v>
      </c>
      <c r="BJ16">
        <f t="shared" si="4"/>
        <v>9711.6680000000015</v>
      </c>
      <c r="BK16">
        <f t="shared" si="5"/>
        <v>419306</v>
      </c>
      <c r="BL16">
        <f>BJ16/(BJ16+VLOOKUP(BB16,[2]battleParameter.xml!$A$6:$K$107,3,0))</f>
        <v>0.63843544310854017</v>
      </c>
      <c r="BM16">
        <f>BI16/(VLOOKUP(BB16,[2]battleParameter.xml!$A$6:$K$107,2,0)+BI16)</f>
        <v>0.27649227597690063</v>
      </c>
      <c r="BN16">
        <f>(BH16*BA$3)/5/((BH16*BA$3)/5+(VLOOKUP(BB16,[2]battleParameter.xml!$A$6:$K$107,2,0))/4)</f>
        <v>8.9932912680101881E-2</v>
      </c>
      <c r="BO16">
        <v>1.4</v>
      </c>
      <c r="BP16">
        <f t="shared" si="13"/>
        <v>1761280.980753134</v>
      </c>
      <c r="BQ16">
        <f>战斗力成长!H17/2*BO16*BG16+BA$4*BH16*0.75*BG16*1.2</f>
        <v>36807.031799999997</v>
      </c>
      <c r="BR16">
        <v>2</v>
      </c>
      <c r="BS16">
        <f t="shared" si="14"/>
        <v>73614.063599999994</v>
      </c>
    </row>
    <row r="17" spans="2:71">
      <c r="H17" t="s">
        <v>211</v>
      </c>
      <c r="I17" t="s">
        <v>212</v>
      </c>
      <c r="J17" t="s">
        <v>213</v>
      </c>
      <c r="K17" t="s">
        <v>214</v>
      </c>
      <c r="N17">
        <v>90</v>
      </c>
      <c r="O17">
        <v>21620</v>
      </c>
      <c r="P17">
        <f>VLOOKUP(N17,战斗力成长!$A$3:$B$23,2,0)*0.4</f>
        <v>9848</v>
      </c>
      <c r="Q17">
        <v>3.1</v>
      </c>
      <c r="R17">
        <v>3.25</v>
      </c>
      <c r="S17">
        <v>1.45</v>
      </c>
      <c r="T17">
        <f t="shared" si="6"/>
        <v>31468</v>
      </c>
      <c r="U17">
        <f>(装备属性设计!I21*2+战斗力成长!E41)*AA17</f>
        <v>16258.5</v>
      </c>
      <c r="V17">
        <f t="shared" si="0"/>
        <v>53652.94000000001</v>
      </c>
      <c r="W17">
        <f t="shared" si="1"/>
        <v>255677.5</v>
      </c>
      <c r="X17">
        <f>V17/(V17+VLOOKUP(N17,[2]battleParameter.xml!$A$6:$K$107,3,0))</f>
        <v>0.88972345295270849</v>
      </c>
      <c r="Y17">
        <f>U17/(VLOOKUP(N17,[2]battleParameter.xml!$A$6:$K$107,2,0)+U17)</f>
        <v>0.39855614252270583</v>
      </c>
      <c r="Z17">
        <f>(T17*M$3)/5/((T17*M$3)/5+(VLOOKUP(N17,[2]battleParameter.xml!$A$6:$K$107,2,0))/4)</f>
        <v>9.3057779630968604E-2</v>
      </c>
      <c r="AA17">
        <v>1.5</v>
      </c>
      <c r="AB17">
        <f t="shared" si="7"/>
        <v>4250447.3246527277</v>
      </c>
      <c r="AC17">
        <f>战斗力成长!H18/2*AA17*S17+M$2*T17*0.75*S17</f>
        <v>44931.911249999997</v>
      </c>
      <c r="AD17">
        <v>1.62</v>
      </c>
      <c r="AE17">
        <f t="shared" si="8"/>
        <v>72789.696225000007</v>
      </c>
      <c r="AH17">
        <v>90</v>
      </c>
      <c r="AI17">
        <v>21620</v>
      </c>
      <c r="AJ17">
        <f>VLOOKUP(AH17,战斗力成长!$A$3:$B$23,2,0)*0.4</f>
        <v>9848</v>
      </c>
      <c r="AK17">
        <v>3.68</v>
      </c>
      <c r="AL17">
        <v>3.25</v>
      </c>
      <c r="AM17">
        <v>1.96</v>
      </c>
      <c r="AN17">
        <f t="shared" si="9"/>
        <v>31468</v>
      </c>
      <c r="AO17">
        <f>(装备属性设计!I21*2)*AA17</f>
        <v>10341</v>
      </c>
      <c r="AP17">
        <f t="shared" si="2"/>
        <v>11580.224000000002</v>
      </c>
      <c r="AQ17">
        <f t="shared" si="3"/>
        <v>511355</v>
      </c>
      <c r="AR17">
        <f>AP17/(AP17+VLOOKUP(AH17,[2]battleParameter.xml!$A$6:$K$107,3,0))</f>
        <v>0.63522115800661583</v>
      </c>
      <c r="AS17">
        <f>AO17/(VLOOKUP(AH17,[2]battleParameter.xml!$A$6:$K$107,2,0)+AO17)</f>
        <v>0.2965076270214474</v>
      </c>
      <c r="AT17">
        <f>(AN17*AG$3)/5/((AN17*AG$3)/5+(VLOOKUP(AH17,[2]battleParameter.xml!$A$6:$K$107,2,0))/4)</f>
        <v>0.20414809624828895</v>
      </c>
      <c r="AU17">
        <v>1.5</v>
      </c>
      <c r="AV17">
        <f t="shared" si="10"/>
        <v>2503809.1009213557</v>
      </c>
      <c r="AW17">
        <f>战斗力成长!AB18/2*AU17*AM17+AG$2*AN17*0.75*AM17</f>
        <v>4628.3440000000001</v>
      </c>
      <c r="AX17">
        <v>2.1</v>
      </c>
      <c r="AY17">
        <f t="shared" si="11"/>
        <v>9719.5223999999998</v>
      </c>
      <c r="BB17">
        <v>90</v>
      </c>
      <c r="BC17">
        <v>21620</v>
      </c>
      <c r="BD17">
        <f>VLOOKUP(BB17,战斗力成长!$A$3:$B$23,2,0)*0.4</f>
        <v>9848</v>
      </c>
      <c r="BE17">
        <v>3.68</v>
      </c>
      <c r="BF17">
        <v>3.25</v>
      </c>
      <c r="BG17">
        <v>1.96</v>
      </c>
      <c r="BH17">
        <f t="shared" si="12"/>
        <v>31468</v>
      </c>
      <c r="BI17">
        <f>(装备属性设计!I21*2)*AA17</f>
        <v>10341</v>
      </c>
      <c r="BJ17">
        <f t="shared" si="4"/>
        <v>11580.224000000002</v>
      </c>
      <c r="BK17">
        <f t="shared" si="5"/>
        <v>511355</v>
      </c>
      <c r="BL17">
        <f>BJ17/(BJ17+VLOOKUP(BB17,[2]battleParameter.xml!$A$6:$K$107,3,0))</f>
        <v>0.63522115800661583</v>
      </c>
      <c r="BM17">
        <f>BI17/(VLOOKUP(BB17,[2]battleParameter.xml!$A$6:$K$107,2,0)+BI17)</f>
        <v>0.2965076270214474</v>
      </c>
      <c r="BN17">
        <f>(BH17*BA$3)/5/((BH17*BA$3)/5+(VLOOKUP(BB17,[2]battleParameter.xml!$A$6:$K$107,2,0))/4)</f>
        <v>9.3057779630968604E-2</v>
      </c>
      <c r="BO17">
        <v>1.5</v>
      </c>
      <c r="BP17">
        <f t="shared" si="13"/>
        <v>2197120.384128015</v>
      </c>
      <c r="BQ17">
        <f>战斗力成长!H18/2*BO17*BG17+BA$4*BH17*0.75*BG17*1.2</f>
        <v>49171.058999999994</v>
      </c>
      <c r="BR17">
        <v>2</v>
      </c>
      <c r="BS17">
        <f t="shared" si="14"/>
        <v>98342.117999999988</v>
      </c>
    </row>
    <row r="18" spans="2:71">
      <c r="H18" t="s">
        <v>210</v>
      </c>
      <c r="I18" t="s">
        <v>215</v>
      </c>
      <c r="J18" t="s">
        <v>216</v>
      </c>
      <c r="K18" t="s">
        <v>217</v>
      </c>
      <c r="N18">
        <v>95</v>
      </c>
      <c r="O18">
        <v>25200</v>
      </c>
      <c r="P18">
        <f>VLOOKUP(N18,战斗力成长!$A$3:$B$23,2,0)*0.4</f>
        <v>10964</v>
      </c>
      <c r="Q18">
        <v>3.2</v>
      </c>
      <c r="R18">
        <v>3.4</v>
      </c>
      <c r="S18">
        <v>1.48</v>
      </c>
      <c r="T18">
        <f t="shared" si="6"/>
        <v>36164</v>
      </c>
      <c r="U18">
        <f>(装备属性设计!I22*2+战斗力成长!E42)*AA18</f>
        <v>19139.2</v>
      </c>
      <c r="V18">
        <f t="shared" si="0"/>
        <v>63648.640000000007</v>
      </c>
      <c r="W18">
        <f t="shared" si="1"/>
        <v>307394</v>
      </c>
      <c r="X18">
        <f>V18/(V18+VLOOKUP(N18,[2]battleParameter.xml!$A$6:$K$107,3,0))</f>
        <v>0.88772450913992229</v>
      </c>
      <c r="Y18">
        <f>U18/(VLOOKUP(N18,[2]battleParameter.xml!$A$6:$K$107,2,0)+U18)</f>
        <v>0.4119571581086201</v>
      </c>
      <c r="Z18">
        <f>(T18*M$3)/5/((T18*M$3)/5+(VLOOKUP(N18,[2]battleParameter.xml!$A$6:$K$107,2,0))/4)</f>
        <v>9.5757075072021691E-2</v>
      </c>
      <c r="AA18">
        <v>1.6</v>
      </c>
      <c r="AB18">
        <f t="shared" si="7"/>
        <v>5148922.2826135606</v>
      </c>
      <c r="AC18">
        <f>战斗力成长!H19/2*AA18*S18+M$2*T18*0.75*S18</f>
        <v>56691.474000000002</v>
      </c>
      <c r="AD18">
        <v>1.65</v>
      </c>
      <c r="AE18">
        <f t="shared" si="8"/>
        <v>93540.932100000005</v>
      </c>
      <c r="AH18">
        <v>95</v>
      </c>
      <c r="AI18">
        <v>25200</v>
      </c>
      <c r="AJ18">
        <f>VLOOKUP(AH18,战斗力成长!$A$3:$B$23,2,0)*0.4</f>
        <v>10964</v>
      </c>
      <c r="AK18">
        <v>3.77</v>
      </c>
      <c r="AL18">
        <v>3.4</v>
      </c>
      <c r="AM18">
        <v>2.0299999999999998</v>
      </c>
      <c r="AN18">
        <f t="shared" si="9"/>
        <v>36164</v>
      </c>
      <c r="AO18">
        <f>(装备属性设计!I22*2)*AA18</f>
        <v>12278.400000000001</v>
      </c>
      <c r="AP18">
        <f t="shared" si="2"/>
        <v>13633.828</v>
      </c>
      <c r="AQ18">
        <f t="shared" si="3"/>
        <v>614788</v>
      </c>
      <c r="AR18">
        <f>AP18/(AP18+VLOOKUP(AH18,[2]battleParameter.xml!$A$6:$K$107,3,0))</f>
        <v>0.62875558688253752</v>
      </c>
      <c r="AS18">
        <f>AO18/(VLOOKUP(AH18,[2]battleParameter.xml!$A$6:$K$107,2,0)+AO18)</f>
        <v>0.31007313426805128</v>
      </c>
      <c r="AT18">
        <f>(AN18*AG$3)/5/((AN18*AG$3)/5+(VLOOKUP(AH18,[2]battleParameter.xml!$A$6:$K$107,2,0))/4)</f>
        <v>0.20932601699428122</v>
      </c>
      <c r="AU18">
        <v>1.6</v>
      </c>
      <c r="AV18">
        <f t="shared" si="10"/>
        <v>3035742.634412508</v>
      </c>
      <c r="AW18">
        <f>战斗力成长!AB19/2*AU18*AM18+AG$2*AN18*0.75*AM18</f>
        <v>5508.9463333333333</v>
      </c>
      <c r="AX18">
        <v>2.1</v>
      </c>
      <c r="AY18">
        <f t="shared" si="11"/>
        <v>11568.7873</v>
      </c>
      <c r="BB18">
        <v>95</v>
      </c>
      <c r="BC18">
        <v>25200</v>
      </c>
      <c r="BD18">
        <f>VLOOKUP(BB18,战斗力成长!$A$3:$B$23,2,0)*0.4</f>
        <v>10964</v>
      </c>
      <c r="BE18">
        <v>3.77</v>
      </c>
      <c r="BF18">
        <v>3.4</v>
      </c>
      <c r="BG18">
        <v>2.0299999999999998</v>
      </c>
      <c r="BH18">
        <f t="shared" si="12"/>
        <v>36164</v>
      </c>
      <c r="BI18">
        <f>(装备属性设计!I22*2)*AA18</f>
        <v>12278.400000000001</v>
      </c>
      <c r="BJ18">
        <f t="shared" si="4"/>
        <v>13633.828</v>
      </c>
      <c r="BK18">
        <f t="shared" si="5"/>
        <v>614788</v>
      </c>
      <c r="BL18">
        <f>BJ18/(BJ18+VLOOKUP(BB18,[2]battleParameter.xml!$A$6:$K$107,3,0))</f>
        <v>0.62875558688253752</v>
      </c>
      <c r="BM18">
        <f>BI18/(VLOOKUP(BB18,[2]battleParameter.xml!$A$6:$K$107,2,0)+BI18)</f>
        <v>0.31007313426805128</v>
      </c>
      <c r="BN18">
        <f>(BH18*BA$3)/5/((BH18*BA$3)/5+(VLOOKUP(BB18,[2]battleParameter.xml!$A$6:$K$107,2,0))/4)</f>
        <v>9.5757075072021691E-2</v>
      </c>
      <c r="BO18">
        <v>1.6</v>
      </c>
      <c r="BP18">
        <f t="shared" si="13"/>
        <v>2654466.6858437303</v>
      </c>
      <c r="BQ18">
        <f>战斗力成长!H19/2*BO18*BG18+BA$4*BH18*0.75*BG18*1.2</f>
        <v>63994.328999999998</v>
      </c>
      <c r="BR18">
        <v>2</v>
      </c>
      <c r="BS18">
        <f t="shared" si="14"/>
        <v>127988.658</v>
      </c>
    </row>
    <row r="19" spans="2:71">
      <c r="B19" t="s">
        <v>221</v>
      </c>
      <c r="C19" t="s">
        <v>227</v>
      </c>
      <c r="H19" t="s">
        <v>226</v>
      </c>
      <c r="N19">
        <v>100</v>
      </c>
      <c r="O19">
        <v>29000</v>
      </c>
      <c r="P19">
        <f>VLOOKUP(N19,战斗力成长!$A$3:$B$23,2,0)*0.4</f>
        <v>12140</v>
      </c>
      <c r="Q19">
        <v>3.2</v>
      </c>
      <c r="R19">
        <v>4</v>
      </c>
      <c r="S19">
        <v>1.51</v>
      </c>
      <c r="T19">
        <f t="shared" si="6"/>
        <v>41140</v>
      </c>
      <c r="U19">
        <f>(装备属性设计!I23*2+战斗力成长!E43)*AA19</f>
        <v>22293.8</v>
      </c>
      <c r="V19">
        <f t="shared" si="0"/>
        <v>72406.400000000009</v>
      </c>
      <c r="W19">
        <f t="shared" si="1"/>
        <v>411400</v>
      </c>
      <c r="X19">
        <f>V19/(V19+VLOOKUP(N19,[2]battleParameter.xml!$A$6:$K$107,3,0))</f>
        <v>0.88186061013514172</v>
      </c>
      <c r="Y19">
        <f>U19/(VLOOKUP(N19,[2]battleParameter.xml!$A$6:$K$107,2,0)+U19)</f>
        <v>0.42424945954998017</v>
      </c>
      <c r="Z19">
        <f>(T19*M$3)/5/((T19*M$3)/5+(VLOOKUP(N19,[2]battleParameter.xml!$A$6:$K$107,2,0))/4)</f>
        <v>9.8109472906022149E-2</v>
      </c>
      <c r="AA19">
        <v>1.7</v>
      </c>
      <c r="AB19">
        <f t="shared" si="7"/>
        <v>6706275.3979708906</v>
      </c>
      <c r="AC19">
        <f>战斗力成长!H20/2*AA19*S19+M$2*T19*0.75*S19</f>
        <v>70762.178699999989</v>
      </c>
      <c r="AD19">
        <v>1.68</v>
      </c>
      <c r="AE19">
        <f t="shared" si="8"/>
        <v>118880.46021599998</v>
      </c>
      <c r="AH19">
        <v>100</v>
      </c>
      <c r="AI19">
        <v>29000</v>
      </c>
      <c r="AJ19">
        <f>VLOOKUP(AH19,战斗力成长!$A$3:$B$23,2,0)*0.4</f>
        <v>12140</v>
      </c>
      <c r="AK19">
        <v>3.86</v>
      </c>
      <c r="AL19">
        <v>4</v>
      </c>
      <c r="AM19">
        <v>2.1</v>
      </c>
      <c r="AN19">
        <f t="shared" si="9"/>
        <v>41140</v>
      </c>
      <c r="AO19">
        <f>(装备属性设计!I23*2)*AA19</f>
        <v>14446.6</v>
      </c>
      <c r="AP19">
        <f t="shared" si="2"/>
        <v>15880.039999999999</v>
      </c>
      <c r="AQ19">
        <f t="shared" si="3"/>
        <v>822800</v>
      </c>
      <c r="AR19">
        <f>AP19/(AP19+VLOOKUP(AH19,[2]battleParameter.xml!$A$6:$K$107,3,0))</f>
        <v>0.62079809101158556</v>
      </c>
      <c r="AS19">
        <f>AO19/(VLOOKUP(AH19,[2]battleParameter.xml!$A$6:$K$107,2,0)+AO19)</f>
        <v>0.32317858868586363</v>
      </c>
      <c r="AT19">
        <f>(AN19*AG$3)/5/((AN19*AG$3)/5+(VLOOKUP(AH19,[2]battleParameter.xml!$A$6:$K$107,2,0))/4)</f>
        <v>0.21380869474833042</v>
      </c>
      <c r="AU19">
        <v>1.7</v>
      </c>
      <c r="AV19">
        <f t="shared" si="10"/>
        <v>4077757.9426361499</v>
      </c>
      <c r="AW19">
        <f>战斗力成长!AB20/2*AU19*AM19+AG$2*AN19*0.75*AM19</f>
        <v>6483.0010000000002</v>
      </c>
      <c r="AX19">
        <v>2.1</v>
      </c>
      <c r="AY19">
        <f t="shared" si="11"/>
        <v>13614.302100000001</v>
      </c>
      <c r="BB19">
        <v>100</v>
      </c>
      <c r="BC19">
        <v>29000</v>
      </c>
      <c r="BD19">
        <f>VLOOKUP(BB19,战斗力成长!$A$3:$B$23,2,0)*0.4</f>
        <v>12140</v>
      </c>
      <c r="BE19">
        <v>3.86</v>
      </c>
      <c r="BF19">
        <v>4</v>
      </c>
      <c r="BG19">
        <v>2.1</v>
      </c>
      <c r="BH19">
        <f t="shared" si="12"/>
        <v>41140</v>
      </c>
      <c r="BI19">
        <f>(装备属性设计!I23*2)*AA19</f>
        <v>14446.6</v>
      </c>
      <c r="BJ19">
        <f t="shared" si="4"/>
        <v>15880.039999999999</v>
      </c>
      <c r="BK19">
        <f t="shared" si="5"/>
        <v>822800</v>
      </c>
      <c r="BL19">
        <f>BJ19/(BJ19+VLOOKUP(BB19,[2]battleParameter.xml!$A$6:$K$107,3,0))</f>
        <v>0.62079809101158556</v>
      </c>
      <c r="BM19">
        <f>BI19/(VLOOKUP(BB19,[2]battleParameter.xml!$A$6:$K$107,2,0)+BI19)</f>
        <v>0.32317858868586363</v>
      </c>
      <c r="BN19">
        <f>(BH19*BA$3)/5/((BH19*BA$3)/5+(VLOOKUP(BB19,[2]battleParameter.xml!$A$6:$K$107,2,0))/4)</f>
        <v>9.8109472906022149E-2</v>
      </c>
      <c r="BO19">
        <v>1.7</v>
      </c>
      <c r="BP19">
        <f t="shared" si="13"/>
        <v>3554641.8807073464</v>
      </c>
      <c r="BQ19">
        <f>战斗力成长!H20/2*BO19*BG19+BA$4*BH19*0.75*BG19*1.2</f>
        <v>82212.101999999984</v>
      </c>
      <c r="BR19">
        <v>2</v>
      </c>
      <c r="BS19">
        <f t="shared" si="14"/>
        <v>164424.20399999997</v>
      </c>
    </row>
    <row r="20" spans="2:71">
      <c r="B20">
        <v>1</v>
      </c>
      <c r="C20">
        <f>C$10/(30+C$10)</f>
        <v>0.5714285714285714</v>
      </c>
      <c r="D20">
        <f>D$10/(30+D$10)</f>
        <v>0.66666666666666663</v>
      </c>
      <c r="E20">
        <f>E$10/(30+E$10)</f>
        <v>0.72727272727272729</v>
      </c>
      <c r="F20">
        <f>F$10/(30+F$10)</f>
        <v>0.76923076923076927</v>
      </c>
      <c r="H20">
        <f>C20</f>
        <v>0.5714285714285714</v>
      </c>
      <c r="I20">
        <f>D20</f>
        <v>0.66666666666666663</v>
      </c>
      <c r="J20">
        <f>E20</f>
        <v>0.72727272727272729</v>
      </c>
      <c r="K20">
        <f>F20</f>
        <v>0.76923076923076927</v>
      </c>
    </row>
    <row r="21" spans="2:71">
      <c r="B21">
        <v>2</v>
      </c>
      <c r="C21">
        <f>(C$10-C20)/(ABS(C$11)+C$10-C20)</f>
        <v>0.5679012345679012</v>
      </c>
      <c r="D21">
        <f>(D$10-D20)/(ABS(D$11)+D$10-D20)</f>
        <v>0.66417910447761197</v>
      </c>
      <c r="E21">
        <f>(E$10-E20)/(ABS(E$11)+E$10-E20)</f>
        <v>0.72545757071547423</v>
      </c>
      <c r="F21">
        <f>(F$10-F20)/(ABS(F$11)+F$10-F20)</f>
        <v>0.7678571428571429</v>
      </c>
      <c r="H21">
        <f>H20+C21</f>
        <v>1.1393298059964727</v>
      </c>
      <c r="I21">
        <f t="shared" ref="I21:K36" si="15">I20+D21</f>
        <v>1.3308457711442787</v>
      </c>
      <c r="J21">
        <f t="shared" si="15"/>
        <v>1.4527302979882015</v>
      </c>
      <c r="K21">
        <f t="shared" si="15"/>
        <v>1.5370879120879122</v>
      </c>
      <c r="AB21">
        <f>AB19*AE19</f>
        <v>797245105646.01782</v>
      </c>
      <c r="AV21">
        <f>AV19*AY19</f>
        <v>55515828521.723022</v>
      </c>
      <c r="BP21">
        <f>BP19*BS19</f>
        <v>584469161740.36829</v>
      </c>
    </row>
    <row r="22" spans="2:71">
      <c r="B22">
        <v>3</v>
      </c>
      <c r="C22">
        <f>(C$10-SUM(C$20:C21))/(ABS(C$11)+C$10-SUM(C20:C21))</f>
        <v>0.56433767032066384</v>
      </c>
      <c r="D22">
        <f>(D$10-SUM(D$20:D21))/(ABS(D$11)+D$10-SUM(D20:D21))</f>
        <v>0.66166362743722829</v>
      </c>
      <c r="E22">
        <f>(E$10-SUM(E$20:E21))/(ABS(E$11)+E$10-SUM(E20:E21))</f>
        <v>0.72362271218468077</v>
      </c>
      <c r="F22">
        <f>(F$10-SUM(F$20:F21))/(ABS(F$11)+F$10-SUM(F20:F21))</f>
        <v>0.76646956298585345</v>
      </c>
      <c r="H22">
        <f t="shared" ref="H22:K58" si="16">H21+C22</f>
        <v>1.7036674763171367</v>
      </c>
      <c r="I22">
        <f t="shared" si="15"/>
        <v>1.992509398581507</v>
      </c>
      <c r="J22">
        <f t="shared" si="15"/>
        <v>2.1763530101728823</v>
      </c>
      <c r="K22">
        <f t="shared" si="15"/>
        <v>2.3035574750737657</v>
      </c>
    </row>
    <row r="23" spans="2:71">
      <c r="B23">
        <v>4</v>
      </c>
      <c r="C23">
        <f>(C$10-SUM(C$20:C22))/(ABS(C$11)+C$10-SUM(C21:C22))</f>
        <v>0.55608505220305937</v>
      </c>
      <c r="D23">
        <f>(D$10-SUM(D$20:D22))/(ABS(D$11)+D$10-SUM(D21:D22))</f>
        <v>0.65416455468583357</v>
      </c>
      <c r="E23">
        <f>(E$10-SUM(E$20:E22))/(ABS(E$11)+E$10-SUM(E21:E22))</f>
        <v>0.71693217517315688</v>
      </c>
      <c r="F23">
        <f>(F$10-SUM(F$20:F22))/(ABS(F$11)+F$10-SUM(F21:F22))</f>
        <v>0.76048675120569942</v>
      </c>
      <c r="H23">
        <f t="shared" si="16"/>
        <v>2.2597525285201963</v>
      </c>
      <c r="I23">
        <f t="shared" si="15"/>
        <v>2.6466739532673405</v>
      </c>
      <c r="J23">
        <f t="shared" si="15"/>
        <v>2.8932851853460391</v>
      </c>
      <c r="K23">
        <f t="shared" si="15"/>
        <v>3.0640442262794654</v>
      </c>
    </row>
    <row r="24" spans="2:71">
      <c r="B24">
        <v>5</v>
      </c>
      <c r="C24">
        <f>(C$10-SUM(C$20:C23))/(ABS(C$11)+C$10-SUM(C22:C23))</f>
        <v>0.54791636306718339</v>
      </c>
      <c r="D24">
        <f>(D$10-SUM(D$20:D23))/(ABS(D$11)+D$10-SUM(D22:D23))</f>
        <v>0.64671434452265342</v>
      </c>
      <c r="E24">
        <f>(E$10-SUM(E$20:E23))/(ABS(E$11)+E$10-SUM(E22:E23))</f>
        <v>0.71027182143983325</v>
      </c>
      <c r="F24">
        <f>(F$10-SUM(F$20:F23))/(ABS(F$11)+F$10-SUM(F22:F23))</f>
        <v>0.75452369612091941</v>
      </c>
      <c r="H24">
        <f t="shared" si="16"/>
        <v>2.8076688915873795</v>
      </c>
      <c r="I24">
        <f t="shared" si="15"/>
        <v>3.2933882977899938</v>
      </c>
      <c r="J24">
        <f t="shared" si="15"/>
        <v>3.6035570067858722</v>
      </c>
      <c r="K24">
        <f t="shared" si="15"/>
        <v>3.8185679224003848</v>
      </c>
      <c r="P24">
        <v>0.32</v>
      </c>
      <c r="Q24">
        <v>0.2</v>
      </c>
      <c r="R24">
        <v>0.2</v>
      </c>
      <c r="S24">
        <v>0.28000000000000003</v>
      </c>
      <c r="T24">
        <v>0.23</v>
      </c>
      <c r="U24">
        <v>0.28999999999999998</v>
      </c>
      <c r="V24">
        <v>0.23</v>
      </c>
      <c r="W24">
        <v>0.25</v>
      </c>
      <c r="X24">
        <v>0.23</v>
      </c>
      <c r="Y24">
        <v>0.23</v>
      </c>
      <c r="Z24">
        <v>0.28999999999999998</v>
      </c>
      <c r="AA24">
        <v>0.25</v>
      </c>
    </row>
    <row r="25" spans="2:71">
      <c r="B25">
        <v>6</v>
      </c>
      <c r="C25">
        <f>(C$10-SUM(C$20:C24))/(ABS(C$11)+C$10-SUM(C23:C24))</f>
        <v>0.53983296377760903</v>
      </c>
      <c r="D25">
        <f>(D$10-SUM(D$20:D24))/(ABS(D$11)+D$10-SUM(D23:D24))</f>
        <v>0.63931424571583473</v>
      </c>
      <c r="E25">
        <f>(E$10-SUM(E$20:E24))/(ABS(E$11)+E$10-SUM(E23:E24))</f>
        <v>0.70364258640655142</v>
      </c>
      <c r="F25">
        <f>(F$10-SUM(F$20:F24))/(ABS(F$11)+F$10-SUM(F23:F24))</f>
        <v>0.74858107871168345</v>
      </c>
      <c r="H25">
        <f t="shared" si="16"/>
        <v>3.3475018553649885</v>
      </c>
      <c r="I25">
        <f t="shared" si="15"/>
        <v>3.9327025435058287</v>
      </c>
      <c r="J25">
        <f t="shared" si="15"/>
        <v>4.3071995931924238</v>
      </c>
      <c r="K25">
        <f t="shared" si="15"/>
        <v>4.5671490011120683</v>
      </c>
      <c r="P25" t="s">
        <v>243</v>
      </c>
      <c r="Q25" t="s">
        <v>244</v>
      </c>
      <c r="R25" t="s">
        <v>245</v>
      </c>
      <c r="S25" t="s">
        <v>246</v>
      </c>
      <c r="T25" t="s">
        <v>243</v>
      </c>
      <c r="U25" t="s">
        <v>244</v>
      </c>
      <c r="V25" t="s">
        <v>245</v>
      </c>
      <c r="W25" t="s">
        <v>246</v>
      </c>
      <c r="X25" t="s">
        <v>243</v>
      </c>
      <c r="Y25" t="s">
        <v>244</v>
      </c>
      <c r="Z25" t="s">
        <v>245</v>
      </c>
      <c r="AA25" t="s">
        <v>246</v>
      </c>
    </row>
    <row r="26" spans="2:71">
      <c r="B26">
        <v>7</v>
      </c>
      <c r="C26">
        <f>(C$10-SUM(C$20:C25))/(ABS(C$11)+C$10-SUM(C24:C25))</f>
        <v>0.53187202255916166</v>
      </c>
      <c r="D26">
        <f>(D$10-SUM(D$20:D25))/(ABS(D$11)+D$10-SUM(D24:D25))</f>
        <v>0.63200076115998216</v>
      </c>
      <c r="E26">
        <f>(E$10-SUM(E$20:E25))/(ABS(E$11)+E$10-SUM(E24:E25))</f>
        <v>0.69707642552939686</v>
      </c>
      <c r="F26">
        <f>(F$10-SUM(F$20:F25))/(ABS(F$11)+F$10-SUM(F24:F25))</f>
        <v>0.74268604569518382</v>
      </c>
      <c r="H26">
        <f t="shared" si="16"/>
        <v>3.87937387792415</v>
      </c>
      <c r="I26">
        <f t="shared" si="15"/>
        <v>4.5647033046658105</v>
      </c>
      <c r="J26">
        <f t="shared" si="15"/>
        <v>5.0042760187218205</v>
      </c>
      <c r="K26">
        <f t="shared" si="15"/>
        <v>5.3098350468072519</v>
      </c>
      <c r="N26">
        <v>1</v>
      </c>
      <c r="O26">
        <v>1000</v>
      </c>
      <c r="P26">
        <f>ROUND($O26*P$24/2,0)</f>
        <v>160</v>
      </c>
      <c r="Q26">
        <f t="shared" ref="Q26:AA41" si="17">ROUND($O26*Q$24/2,0)</f>
        <v>100</v>
      </c>
      <c r="R26">
        <f t="shared" si="17"/>
        <v>100</v>
      </c>
      <c r="S26">
        <f t="shared" si="17"/>
        <v>140</v>
      </c>
      <c r="T26">
        <f t="shared" si="17"/>
        <v>115</v>
      </c>
      <c r="U26">
        <f t="shared" si="17"/>
        <v>145</v>
      </c>
      <c r="V26">
        <f t="shared" si="17"/>
        <v>115</v>
      </c>
      <c r="W26">
        <f t="shared" si="17"/>
        <v>125</v>
      </c>
      <c r="X26">
        <f t="shared" si="17"/>
        <v>115</v>
      </c>
      <c r="Y26">
        <f t="shared" si="17"/>
        <v>115</v>
      </c>
      <c r="Z26">
        <f t="shared" si="17"/>
        <v>145</v>
      </c>
      <c r="AA26">
        <f t="shared" si="17"/>
        <v>125</v>
      </c>
    </row>
    <row r="27" spans="2:71">
      <c r="B27">
        <v>8</v>
      </c>
      <c r="C27">
        <f>(C$10-SUM(C$20:C26))/(ABS(C$11)+C$10-SUM(C25:C26))</f>
        <v>0.52403191047908382</v>
      </c>
      <c r="D27">
        <f>(D$10-SUM(D$20:D26))/(ABS(D$11)+D$10-SUM(D25:D26))</f>
        <v>0.62477311254674872</v>
      </c>
      <c r="E27">
        <f>(E$10-SUM(E$20:E26))/(ABS(E$11)+E$10-SUM(E25:E26))</f>
        <v>0.69057293288636801</v>
      </c>
      <c r="F27">
        <f>(F$10-SUM(F$20:F26))/(ABS(F$11)+F$10-SUM(F25:F26))</f>
        <v>0.73683836759063304</v>
      </c>
      <c r="H27">
        <f t="shared" si="16"/>
        <v>4.4034057884032336</v>
      </c>
      <c r="I27">
        <f t="shared" si="15"/>
        <v>5.1894764172125596</v>
      </c>
      <c r="J27">
        <f t="shared" si="15"/>
        <v>5.6948489516081882</v>
      </c>
      <c r="K27">
        <f t="shared" si="15"/>
        <v>6.0466734143978851</v>
      </c>
      <c r="N27">
        <v>2</v>
      </c>
      <c r="O27">
        <v>1000</v>
      </c>
      <c r="P27">
        <f t="shared" ref="P27:AA58" si="18">ROUND($O27*P$24/2,0)</f>
        <v>160</v>
      </c>
      <c r="Q27">
        <f t="shared" si="17"/>
        <v>100</v>
      </c>
      <c r="R27">
        <f t="shared" si="17"/>
        <v>100</v>
      </c>
      <c r="S27">
        <f t="shared" si="17"/>
        <v>140</v>
      </c>
      <c r="T27">
        <f t="shared" si="17"/>
        <v>115</v>
      </c>
      <c r="U27">
        <f t="shared" si="17"/>
        <v>145</v>
      </c>
      <c r="V27">
        <f t="shared" si="17"/>
        <v>115</v>
      </c>
      <c r="W27">
        <f t="shared" si="17"/>
        <v>125</v>
      </c>
      <c r="X27">
        <f t="shared" si="17"/>
        <v>115</v>
      </c>
      <c r="Y27">
        <f t="shared" si="17"/>
        <v>115</v>
      </c>
      <c r="Z27">
        <f t="shared" si="17"/>
        <v>145</v>
      </c>
      <c r="AA27">
        <f t="shared" si="17"/>
        <v>125</v>
      </c>
    </row>
    <row r="28" spans="2:71">
      <c r="B28">
        <v>9</v>
      </c>
      <c r="C28">
        <f>(C$10-SUM(C$20:C27))/(ABS(C$11)+C$10-SUM(C26:C27))</f>
        <v>0.51631098588954849</v>
      </c>
      <c r="D28">
        <f>(D$10-SUM(D$20:D27))/(ABS(D$11)+D$10-SUM(D26:D27))</f>
        <v>0.61763050516988038</v>
      </c>
      <c r="E28">
        <f>(E$10-SUM(E$20:E27))/(ABS(E$11)+E$10-SUM(E26:E27))</f>
        <v>0.68413169045199462</v>
      </c>
      <c r="F28">
        <f>(F$10-SUM(F$20:F27))/(ABS(F$11)+F$10-SUM(F26:F27))</f>
        <v>0.73103780667393159</v>
      </c>
      <c r="H28">
        <f t="shared" si="16"/>
        <v>4.9197167742927821</v>
      </c>
      <c r="I28">
        <f t="shared" si="15"/>
        <v>5.8071069223824399</v>
      </c>
      <c r="J28">
        <f t="shared" si="15"/>
        <v>6.3789806420601831</v>
      </c>
      <c r="K28">
        <f t="shared" si="15"/>
        <v>6.7777112210718169</v>
      </c>
      <c r="N28">
        <v>3</v>
      </c>
      <c r="O28">
        <v>1000</v>
      </c>
      <c r="P28">
        <f t="shared" si="18"/>
        <v>160</v>
      </c>
      <c r="Q28">
        <f t="shared" si="17"/>
        <v>100</v>
      </c>
      <c r="R28">
        <f t="shared" si="17"/>
        <v>100</v>
      </c>
      <c r="S28">
        <f t="shared" si="17"/>
        <v>140</v>
      </c>
      <c r="T28">
        <f t="shared" si="17"/>
        <v>115</v>
      </c>
      <c r="U28">
        <f t="shared" si="17"/>
        <v>145</v>
      </c>
      <c r="V28">
        <f t="shared" si="17"/>
        <v>115</v>
      </c>
      <c r="W28">
        <f t="shared" si="17"/>
        <v>125</v>
      </c>
      <c r="X28">
        <f t="shared" si="17"/>
        <v>115</v>
      </c>
      <c r="Y28">
        <f t="shared" si="17"/>
        <v>115</v>
      </c>
      <c r="Z28">
        <f t="shared" si="17"/>
        <v>145</v>
      </c>
      <c r="AA28">
        <f t="shared" si="17"/>
        <v>125</v>
      </c>
    </row>
    <row r="29" spans="2:71">
      <c r="B29">
        <v>10</v>
      </c>
      <c r="C29">
        <f>(C$10-SUM(C$20:C28))/(ABS(C$11)+C$10-SUM(C27:C28))</f>
        <v>0.50870733265087409</v>
      </c>
      <c r="D29">
        <f>(D$10-SUM(D$20:D28))/(ABS(D$11)+D$10-SUM(D27:D28))</f>
        <v>0.61057188664963491</v>
      </c>
      <c r="E29">
        <f>(E$10-SUM(E$20:E28))/(ABS(E$11)+E$10-SUM(E27:E28))</f>
        <v>0.67775207517417202</v>
      </c>
      <c r="F29">
        <f>(F$10-SUM(F$20:F28))/(ABS(F$11)+F$10-SUM(F27:F28))</f>
        <v>0.72528396796212202</v>
      </c>
      <c r="H29">
        <f t="shared" si="16"/>
        <v>5.4284241069436563</v>
      </c>
      <c r="I29">
        <f t="shared" si="15"/>
        <v>6.4176788090320747</v>
      </c>
      <c r="J29">
        <f t="shared" si="15"/>
        <v>7.0567327172343548</v>
      </c>
      <c r="K29">
        <f t="shared" si="15"/>
        <v>7.502995189033939</v>
      </c>
      <c r="N29">
        <v>4</v>
      </c>
      <c r="O29">
        <v>1000</v>
      </c>
      <c r="P29">
        <f t="shared" si="18"/>
        <v>160</v>
      </c>
      <c r="Q29">
        <f t="shared" si="17"/>
        <v>100</v>
      </c>
      <c r="R29">
        <f t="shared" si="17"/>
        <v>100</v>
      </c>
      <c r="S29">
        <f t="shared" si="17"/>
        <v>140</v>
      </c>
      <c r="T29">
        <f t="shared" si="17"/>
        <v>115</v>
      </c>
      <c r="U29">
        <f t="shared" si="17"/>
        <v>145</v>
      </c>
      <c r="V29">
        <f t="shared" si="17"/>
        <v>115</v>
      </c>
      <c r="W29">
        <f t="shared" si="17"/>
        <v>125</v>
      </c>
      <c r="X29">
        <f t="shared" si="17"/>
        <v>115</v>
      </c>
      <c r="Y29">
        <f t="shared" si="17"/>
        <v>115</v>
      </c>
      <c r="Z29">
        <f t="shared" si="17"/>
        <v>145</v>
      </c>
      <c r="AA29">
        <f t="shared" si="17"/>
        <v>125</v>
      </c>
    </row>
    <row r="30" spans="2:71">
      <c r="B30">
        <v>11</v>
      </c>
      <c r="C30">
        <f>(C$10-SUM(C$20:C29))/(ABS(C$11)+C$10-SUM(C28:C29))</f>
        <v>0.50121906596097221</v>
      </c>
      <c r="D30">
        <f>(D$10-SUM(D$20:D29))/(ABS(D$11)+D$10-SUM(D28:D29))</f>
        <v>0.60359621675646025</v>
      </c>
      <c r="E30">
        <f>(E$10-SUM(E$20:E29))/(ABS(E$11)+E$10-SUM(E28:E29))</f>
        <v>0.67143346931199732</v>
      </c>
      <c r="F30">
        <f>(F$10-SUM(F$20:F29))/(ABS(F$11)+F$10-SUM(F28:F29))</f>
        <v>0.71957645905230339</v>
      </c>
      <c r="H30">
        <f t="shared" si="16"/>
        <v>5.9296431729046288</v>
      </c>
      <c r="I30">
        <f t="shared" si="15"/>
        <v>7.021275025788535</v>
      </c>
      <c r="J30">
        <f t="shared" si="15"/>
        <v>7.7281661865463525</v>
      </c>
      <c r="K30">
        <f t="shared" si="15"/>
        <v>8.2225716480862427</v>
      </c>
      <c r="N30">
        <v>5</v>
      </c>
      <c r="O30">
        <v>1000</v>
      </c>
      <c r="P30">
        <f t="shared" si="18"/>
        <v>160</v>
      </c>
      <c r="Q30">
        <f t="shared" si="17"/>
        <v>100</v>
      </c>
      <c r="R30">
        <f t="shared" si="17"/>
        <v>100</v>
      </c>
      <c r="S30">
        <f t="shared" si="17"/>
        <v>140</v>
      </c>
      <c r="T30">
        <f t="shared" si="17"/>
        <v>115</v>
      </c>
      <c r="U30">
        <f t="shared" si="17"/>
        <v>145</v>
      </c>
      <c r="V30">
        <f t="shared" si="17"/>
        <v>115</v>
      </c>
      <c r="W30">
        <f t="shared" si="17"/>
        <v>125</v>
      </c>
      <c r="X30">
        <f t="shared" si="17"/>
        <v>115</v>
      </c>
      <c r="Y30">
        <f t="shared" si="17"/>
        <v>115</v>
      </c>
      <c r="Z30">
        <f t="shared" si="17"/>
        <v>145</v>
      </c>
      <c r="AA30">
        <f t="shared" si="17"/>
        <v>125</v>
      </c>
    </row>
    <row r="31" spans="2:71">
      <c r="B31">
        <v>12</v>
      </c>
      <c r="C31">
        <f>(C$10-SUM(C$20:C30))/(ABS(C$11)+C$10-SUM(C29:C30))</f>
        <v>0.49384433221433532</v>
      </c>
      <c r="D31">
        <f>(D$10-SUM(D$20:D30))/(ABS(D$11)+D$10-SUM(D29:D30))</f>
        <v>0.59670246752786116</v>
      </c>
      <c r="E31">
        <f>(E$10-SUM(E$20:E30))/(ABS(E$11)+E$10-SUM(E29:E30))</f>
        <v>0.66517526054114173</v>
      </c>
      <c r="F31">
        <f>(F$10-SUM(F$20:F30))/(ABS(F$11)+F$10-SUM(F29:F30))</f>
        <v>0.71391489019237742</v>
      </c>
      <c r="H31">
        <f t="shared" si="16"/>
        <v>6.4234875051189642</v>
      </c>
      <c r="I31">
        <f t="shared" si="15"/>
        <v>7.6179774933163964</v>
      </c>
      <c r="J31">
        <f t="shared" si="15"/>
        <v>8.3933414470874936</v>
      </c>
      <c r="K31">
        <f t="shared" si="15"/>
        <v>8.9364865382786203</v>
      </c>
      <c r="N31">
        <v>6</v>
      </c>
      <c r="O31">
        <v>1000</v>
      </c>
      <c r="P31">
        <f t="shared" si="18"/>
        <v>160</v>
      </c>
      <c r="Q31">
        <f t="shared" si="17"/>
        <v>100</v>
      </c>
      <c r="R31">
        <f t="shared" si="17"/>
        <v>100</v>
      </c>
      <c r="S31">
        <f t="shared" si="17"/>
        <v>140</v>
      </c>
      <c r="T31">
        <f t="shared" si="17"/>
        <v>115</v>
      </c>
      <c r="U31">
        <f t="shared" si="17"/>
        <v>145</v>
      </c>
      <c r="V31">
        <f t="shared" si="17"/>
        <v>115</v>
      </c>
      <c r="W31">
        <f t="shared" si="17"/>
        <v>125</v>
      </c>
      <c r="X31">
        <f t="shared" si="17"/>
        <v>115</v>
      </c>
      <c r="Y31">
        <f t="shared" si="17"/>
        <v>115</v>
      </c>
      <c r="Z31">
        <f t="shared" si="17"/>
        <v>145</v>
      </c>
      <c r="AA31">
        <f t="shared" si="17"/>
        <v>125</v>
      </c>
    </row>
    <row r="32" spans="2:71">
      <c r="B32">
        <v>13</v>
      </c>
      <c r="C32">
        <f>(C$10-SUM(C$20:C31))/(ABS(C$11)+C$10-SUM(C30:C31))</f>
        <v>0.48658131067673749</v>
      </c>
      <c r="D32">
        <f>(D$10-SUM(D$20:D31))/(ABS(D$11)+D$10-SUM(D30:D31))</f>
        <v>0.589889624971217</v>
      </c>
      <c r="E32">
        <f>(E$10-SUM(E$20:E31))/(ABS(E$11)+E$10-SUM(E30:E31))</f>
        <v>0.65897684322120942</v>
      </c>
      <c r="F32">
        <f>(F$10-SUM(F$20:F31))/(ABS(F$11)+F$10-SUM(F30:F31))</f>
        <v>0.70829887516889023</v>
      </c>
      <c r="H32">
        <f t="shared" si="16"/>
        <v>6.910068815795702</v>
      </c>
      <c r="I32">
        <f t="shared" si="15"/>
        <v>8.2078671182876128</v>
      </c>
      <c r="J32">
        <f t="shared" si="15"/>
        <v>9.0523182903087029</v>
      </c>
      <c r="K32">
        <f t="shared" si="15"/>
        <v>9.6447854134475097</v>
      </c>
      <c r="N32">
        <v>7</v>
      </c>
      <c r="O32">
        <v>1000</v>
      </c>
      <c r="P32">
        <f t="shared" si="18"/>
        <v>160</v>
      </c>
      <c r="Q32">
        <f t="shared" si="17"/>
        <v>100</v>
      </c>
      <c r="R32">
        <f t="shared" si="17"/>
        <v>100</v>
      </c>
      <c r="S32">
        <f t="shared" si="17"/>
        <v>140</v>
      </c>
      <c r="T32">
        <f t="shared" si="17"/>
        <v>115</v>
      </c>
      <c r="U32">
        <f t="shared" si="17"/>
        <v>145</v>
      </c>
      <c r="V32">
        <f t="shared" si="17"/>
        <v>115</v>
      </c>
      <c r="W32">
        <f t="shared" si="17"/>
        <v>125</v>
      </c>
      <c r="X32">
        <f t="shared" si="17"/>
        <v>115</v>
      </c>
      <c r="Y32">
        <f t="shared" si="17"/>
        <v>115</v>
      </c>
      <c r="Z32">
        <f t="shared" si="17"/>
        <v>145</v>
      </c>
      <c r="AA32">
        <f t="shared" si="17"/>
        <v>125</v>
      </c>
    </row>
    <row r="33" spans="2:27">
      <c r="B33">
        <v>14</v>
      </c>
      <c r="C33">
        <f>(C$10-SUM(C$20:C32))/(ABS(C$11)+C$10-SUM(C31:C32))</f>
        <v>0.47942821282838116</v>
      </c>
      <c r="D33">
        <f>(D$10-SUM(D$20:D32))/(ABS(D$11)+D$10-SUM(D31:D32))</f>
        <v>0.58315668886001815</v>
      </c>
      <c r="E33">
        <f>(E$10-SUM(E$20:E32))/(ABS(E$11)+E$10-SUM(E31:E32))</f>
        <v>0.65283761832188558</v>
      </c>
      <c r="F33">
        <f>(F$10-SUM(F$20:F32))/(ABS(F$11)+F$10-SUM(F31:F32))</f>
        <v>0.70272803127645456</v>
      </c>
      <c r="H33">
        <f t="shared" si="16"/>
        <v>7.3894970286240831</v>
      </c>
      <c r="I33">
        <f t="shared" si="15"/>
        <v>8.7910238071476314</v>
      </c>
      <c r="J33">
        <f t="shared" si="15"/>
        <v>9.705155908630589</v>
      </c>
      <c r="K33">
        <f t="shared" si="15"/>
        <v>10.347513444723964</v>
      </c>
      <c r="N33">
        <v>8</v>
      </c>
      <c r="O33">
        <v>1000</v>
      </c>
      <c r="P33">
        <f t="shared" si="18"/>
        <v>160</v>
      </c>
      <c r="Q33">
        <f t="shared" si="17"/>
        <v>100</v>
      </c>
      <c r="R33">
        <f t="shared" si="17"/>
        <v>100</v>
      </c>
      <c r="S33">
        <f t="shared" si="17"/>
        <v>140</v>
      </c>
      <c r="T33">
        <f t="shared" si="17"/>
        <v>115</v>
      </c>
      <c r="U33">
        <f t="shared" si="17"/>
        <v>145</v>
      </c>
      <c r="V33">
        <f t="shared" si="17"/>
        <v>115</v>
      </c>
      <c r="W33">
        <f t="shared" si="17"/>
        <v>125</v>
      </c>
      <c r="X33">
        <f t="shared" si="17"/>
        <v>115</v>
      </c>
      <c r="Y33">
        <f t="shared" si="17"/>
        <v>115</v>
      </c>
      <c r="Z33">
        <f t="shared" si="17"/>
        <v>145</v>
      </c>
      <c r="AA33">
        <f t="shared" si="17"/>
        <v>125</v>
      </c>
    </row>
    <row r="34" spans="2:27">
      <c r="B34">
        <v>15</v>
      </c>
      <c r="C34">
        <f>(C$10-SUM(C$20:C33))/(ABS(C$11)+C$10-SUM(C32:C33))</f>
        <v>0.47238328171800154</v>
      </c>
      <c r="D34">
        <f>(D$10-SUM(D$20:D33))/(ABS(D$11)+D$10-SUM(D32:D33))</f>
        <v>0.57650267253087295</v>
      </c>
      <c r="E34">
        <f>(E$10-SUM(E$20:E33))/(ABS(E$11)+E$10-SUM(E32:E33))</f>
        <v>0.64675699334862058</v>
      </c>
      <c r="F34">
        <f>(F$10-SUM(F$20:F33))/(ABS(F$11)+F$10-SUM(F32:F33))</f>
        <v>0.69720197928674299</v>
      </c>
      <c r="H34">
        <f t="shared" si="16"/>
        <v>7.8618803103420847</v>
      </c>
      <c r="I34">
        <f t="shared" si="15"/>
        <v>9.3675264796785047</v>
      </c>
      <c r="J34">
        <f t="shared" si="15"/>
        <v>10.35191290197921</v>
      </c>
      <c r="K34">
        <f t="shared" si="15"/>
        <v>11.044715424010707</v>
      </c>
      <c r="N34">
        <v>9</v>
      </c>
      <c r="O34">
        <v>1000</v>
      </c>
      <c r="P34">
        <f t="shared" si="18"/>
        <v>160</v>
      </c>
      <c r="Q34">
        <f t="shared" si="17"/>
        <v>100</v>
      </c>
      <c r="R34">
        <f t="shared" si="17"/>
        <v>100</v>
      </c>
      <c r="S34">
        <f t="shared" si="17"/>
        <v>140</v>
      </c>
      <c r="T34">
        <f t="shared" si="17"/>
        <v>115</v>
      </c>
      <c r="U34">
        <f t="shared" si="17"/>
        <v>145</v>
      </c>
      <c r="V34">
        <f t="shared" si="17"/>
        <v>115</v>
      </c>
      <c r="W34">
        <f t="shared" si="17"/>
        <v>125</v>
      </c>
      <c r="X34">
        <f t="shared" si="17"/>
        <v>115</v>
      </c>
      <c r="Y34">
        <f t="shared" si="17"/>
        <v>115</v>
      </c>
      <c r="Z34">
        <f t="shared" si="17"/>
        <v>145</v>
      </c>
      <c r="AA34">
        <f t="shared" si="17"/>
        <v>125</v>
      </c>
    </row>
    <row r="35" spans="2:27">
      <c r="B35">
        <v>16</v>
      </c>
      <c r="C35">
        <f>(C$10-SUM(C$20:C34))/(ABS(C$11)+C$10-SUM(C33:C34))</f>
        <v>0.46544479131584388</v>
      </c>
      <c r="D35">
        <f>(D$10-SUM(D$20:D34))/(ABS(D$11)+D$10-SUM(D33:D34))</f>
        <v>0.56992660267127726</v>
      </c>
      <c r="E35">
        <f>(E$10-SUM(E$20:E34))/(ABS(E$11)+E$10-SUM(E33:E34))</f>
        <v>0.64073438226108481</v>
      </c>
      <c r="F35">
        <f>(F$10-SUM(F$20:F34))/(ABS(F$11)+F$10-SUM(F33:F34))</f>
        <v>0.69172034341269073</v>
      </c>
      <c r="H35">
        <f t="shared" si="16"/>
        <v>8.3273251016579284</v>
      </c>
      <c r="I35">
        <f t="shared" si="15"/>
        <v>9.9374530823497818</v>
      </c>
      <c r="J35">
        <f t="shared" si="15"/>
        <v>10.992647284240295</v>
      </c>
      <c r="K35">
        <f t="shared" si="15"/>
        <v>11.736435767423398</v>
      </c>
      <c r="N35">
        <v>10</v>
      </c>
      <c r="O35">
        <v>1000</v>
      </c>
      <c r="P35">
        <f t="shared" si="18"/>
        <v>160</v>
      </c>
      <c r="Q35">
        <f t="shared" si="17"/>
        <v>100</v>
      </c>
      <c r="R35">
        <f t="shared" si="17"/>
        <v>100</v>
      </c>
      <c r="S35">
        <f t="shared" si="17"/>
        <v>140</v>
      </c>
      <c r="T35">
        <f t="shared" si="17"/>
        <v>115</v>
      </c>
      <c r="U35">
        <f t="shared" si="17"/>
        <v>145</v>
      </c>
      <c r="V35">
        <f t="shared" si="17"/>
        <v>115</v>
      </c>
      <c r="W35">
        <f t="shared" si="17"/>
        <v>125</v>
      </c>
      <c r="X35">
        <f t="shared" si="17"/>
        <v>115</v>
      </c>
      <c r="Y35">
        <f t="shared" si="17"/>
        <v>115</v>
      </c>
      <c r="Z35">
        <f t="shared" si="17"/>
        <v>145</v>
      </c>
      <c r="AA35">
        <f t="shared" si="17"/>
        <v>125</v>
      </c>
    </row>
    <row r="36" spans="2:27">
      <c r="B36">
        <v>17</v>
      </c>
      <c r="C36">
        <f>(C$10-SUM(C$20:C35))/(ABS(C$11)+C$10-SUM(C34:C35))</f>
        <v>0.45861104588248686</v>
      </c>
      <c r="D36">
        <f>(D$10-SUM(D$20:D35))/(ABS(D$11)+D$10-SUM(D34:D35))</f>
        <v>0.56342751911126543</v>
      </c>
      <c r="E36">
        <f>(E$10-SUM(E$20:E35))/(ABS(E$11)+E$10-SUM(E34:E35))</f>
        <v>0.63476920539277759</v>
      </c>
      <c r="F36">
        <f>(F$10-SUM(F$20:F35))/(ABS(F$11)+F$10-SUM(F34:F35))</f>
        <v>0.68628275127310312</v>
      </c>
      <c r="H36">
        <f t="shared" si="16"/>
        <v>8.785936147540415</v>
      </c>
      <c r="I36">
        <f t="shared" si="15"/>
        <v>10.500880601461047</v>
      </c>
      <c r="J36">
        <f t="shared" si="15"/>
        <v>11.627416489633072</v>
      </c>
      <c r="K36">
        <f t="shared" si="15"/>
        <v>12.422718518696501</v>
      </c>
      <c r="N36">
        <v>11</v>
      </c>
      <c r="O36">
        <v>1000</v>
      </c>
      <c r="P36">
        <f t="shared" si="18"/>
        <v>160</v>
      </c>
      <c r="Q36">
        <f t="shared" si="17"/>
        <v>100</v>
      </c>
      <c r="R36">
        <f t="shared" si="17"/>
        <v>100</v>
      </c>
      <c r="S36">
        <f t="shared" si="17"/>
        <v>140</v>
      </c>
      <c r="T36">
        <f t="shared" si="17"/>
        <v>115</v>
      </c>
      <c r="U36">
        <f t="shared" si="17"/>
        <v>145</v>
      </c>
      <c r="V36">
        <f t="shared" si="17"/>
        <v>115</v>
      </c>
      <c r="W36">
        <f t="shared" si="17"/>
        <v>125</v>
      </c>
      <c r="X36">
        <f t="shared" si="17"/>
        <v>115</v>
      </c>
      <c r="Y36">
        <f t="shared" si="17"/>
        <v>115</v>
      </c>
      <c r="Z36">
        <f t="shared" si="17"/>
        <v>145</v>
      </c>
      <c r="AA36">
        <f t="shared" si="17"/>
        <v>125</v>
      </c>
    </row>
    <row r="37" spans="2:27">
      <c r="B37">
        <v>18</v>
      </c>
      <c r="C37">
        <f>(C$10-SUM(C$20:C36))/(ABS(C$11)+C$10-SUM(C35:C36))</f>
        <v>0.45188037935308856</v>
      </c>
      <c r="D37">
        <f>(D$10-SUM(D$20:D36))/(ABS(D$11)+D$10-SUM(D35:D36))</f>
        <v>0.55700447461888425</v>
      </c>
      <c r="E37">
        <f>(E$10-SUM(E$20:E36))/(ABS(E$11)+E$10-SUM(E35:E36))</f>
        <v>0.6288608893717802</v>
      </c>
      <c r="F37">
        <f>(F$10-SUM(F$20:F36))/(ABS(F$11)+F$10-SUM(F35:F36))</f>
        <v>0.6808888338576643</v>
      </c>
      <c r="H37">
        <f t="shared" si="16"/>
        <v>9.2378165268935035</v>
      </c>
      <c r="I37">
        <f t="shared" si="16"/>
        <v>11.057885076079931</v>
      </c>
      <c r="J37">
        <f t="shared" si="16"/>
        <v>12.256277379004853</v>
      </c>
      <c r="K37">
        <f t="shared" si="16"/>
        <v>13.103607352554166</v>
      </c>
      <c r="N37">
        <v>12</v>
      </c>
      <c r="O37">
        <v>1000</v>
      </c>
      <c r="P37">
        <f t="shared" si="18"/>
        <v>160</v>
      </c>
      <c r="Q37">
        <f t="shared" si="17"/>
        <v>100</v>
      </c>
      <c r="R37">
        <f t="shared" si="17"/>
        <v>100</v>
      </c>
      <c r="S37">
        <f t="shared" si="17"/>
        <v>140</v>
      </c>
      <c r="T37">
        <f t="shared" si="17"/>
        <v>115</v>
      </c>
      <c r="U37">
        <f t="shared" si="17"/>
        <v>145</v>
      </c>
      <c r="V37">
        <f t="shared" si="17"/>
        <v>115</v>
      </c>
      <c r="W37">
        <f t="shared" si="17"/>
        <v>125</v>
      </c>
      <c r="X37">
        <f t="shared" si="17"/>
        <v>115</v>
      </c>
      <c r="Y37">
        <f t="shared" si="17"/>
        <v>115</v>
      </c>
      <c r="Z37">
        <f t="shared" si="17"/>
        <v>145</v>
      </c>
      <c r="AA37">
        <f t="shared" si="17"/>
        <v>125</v>
      </c>
    </row>
    <row r="38" spans="2:27">
      <c r="B38">
        <v>19</v>
      </c>
      <c r="C38">
        <f>(C$10-SUM(C$20:C37))/(ABS(C$11)+C$10-SUM(C36:C37))</f>
        <v>0.44525115473672172</v>
      </c>
      <c r="D38">
        <f>(D$10-SUM(D$20:D37))/(ABS(D$11)+D$10-SUM(D36:D37))</f>
        <v>0.55065653469948839</v>
      </c>
      <c r="E38">
        <f>(E$10-SUM(E$20:E37))/(ABS(E$11)+E$10-SUM(E36:E37))</f>
        <v>0.62300886704268588</v>
      </c>
      <c r="F38">
        <f>(F$10-SUM(F$20:F37))/(ABS(F$11)+F$10-SUM(F36:F37))</f>
        <v>0.67553822549237441</v>
      </c>
      <c r="H38">
        <f t="shared" si="16"/>
        <v>9.6830676816302255</v>
      </c>
      <c r="I38">
        <f t="shared" si="16"/>
        <v>11.608541610779419</v>
      </c>
      <c r="J38">
        <f t="shared" si="16"/>
        <v>12.879286246047538</v>
      </c>
      <c r="K38">
        <f t="shared" si="16"/>
        <v>13.77914557804654</v>
      </c>
      <c r="N38">
        <v>13</v>
      </c>
      <c r="O38">
        <v>1000</v>
      </c>
      <c r="P38">
        <f t="shared" si="18"/>
        <v>160</v>
      </c>
      <c r="Q38">
        <f t="shared" si="17"/>
        <v>100</v>
      </c>
      <c r="R38">
        <f t="shared" si="17"/>
        <v>100</v>
      </c>
      <c r="S38">
        <f t="shared" si="17"/>
        <v>140</v>
      </c>
      <c r="T38">
        <f t="shared" si="17"/>
        <v>115</v>
      </c>
      <c r="U38">
        <f t="shared" si="17"/>
        <v>145</v>
      </c>
      <c r="V38">
        <f t="shared" si="17"/>
        <v>115</v>
      </c>
      <c r="W38">
        <f t="shared" si="17"/>
        <v>125</v>
      </c>
      <c r="X38">
        <f t="shared" si="17"/>
        <v>115</v>
      </c>
      <c r="Y38">
        <f t="shared" si="17"/>
        <v>115</v>
      </c>
      <c r="Z38">
        <f t="shared" si="17"/>
        <v>145</v>
      </c>
      <c r="AA38">
        <f t="shared" si="17"/>
        <v>125</v>
      </c>
    </row>
    <row r="39" spans="2:27">
      <c r="B39">
        <v>20</v>
      </c>
      <c r="C39">
        <f>(C$10-SUM(C$20:C38))/(ABS(C$11)+C$10-SUM(C37:C38))</f>
        <v>0.4387217635303477</v>
      </c>
      <c r="D39">
        <f>(D$10-SUM(D$20:D38))/(ABS(D$11)+D$10-SUM(D37:D38))</f>
        <v>0.54438277739877383</v>
      </c>
      <c r="E39">
        <f>(E$10-SUM(E$20:E38))/(ABS(E$11)+E$10-SUM(E37:E38))</f>
        <v>0.61721257738968383</v>
      </c>
      <c r="F39">
        <f>(F$10-SUM(F$20:F38))/(ABS(F$11)+F$10-SUM(F37:F38))</f>
        <v>0.67023056380540424</v>
      </c>
      <c r="H39">
        <f t="shared" si="16"/>
        <v>10.121789445160573</v>
      </c>
      <c r="I39">
        <f t="shared" si="16"/>
        <v>12.152924388178192</v>
      </c>
      <c r="J39">
        <f t="shared" si="16"/>
        <v>13.496498823437221</v>
      </c>
      <c r="K39">
        <f t="shared" si="16"/>
        <v>14.449376141851944</v>
      </c>
      <c r="N39">
        <v>14</v>
      </c>
      <c r="O39">
        <v>1000</v>
      </c>
      <c r="P39">
        <f t="shared" si="18"/>
        <v>160</v>
      </c>
      <c r="Q39">
        <f t="shared" si="17"/>
        <v>100</v>
      </c>
      <c r="R39">
        <f t="shared" si="17"/>
        <v>100</v>
      </c>
      <c r="S39">
        <f t="shared" si="17"/>
        <v>140</v>
      </c>
      <c r="T39">
        <f t="shared" si="17"/>
        <v>115</v>
      </c>
      <c r="U39">
        <f t="shared" si="17"/>
        <v>145</v>
      </c>
      <c r="V39">
        <f t="shared" si="17"/>
        <v>115</v>
      </c>
      <c r="W39">
        <f t="shared" si="17"/>
        <v>125</v>
      </c>
      <c r="X39">
        <f t="shared" si="17"/>
        <v>115</v>
      </c>
      <c r="Y39">
        <f t="shared" si="17"/>
        <v>115</v>
      </c>
      <c r="Z39">
        <f t="shared" si="17"/>
        <v>145</v>
      </c>
      <c r="AA39">
        <f t="shared" si="17"/>
        <v>125</v>
      </c>
    </row>
    <row r="40" spans="2:27">
      <c r="B40">
        <v>21</v>
      </c>
      <c r="C40">
        <f>(C$10-SUM(C$20:C39))/(ABS(C$11)+C$10-SUM(C38:C39))</f>
        <v>0.43229062514700162</v>
      </c>
      <c r="D40">
        <f>(D$10-SUM(D$20:D39))/(ABS(D$11)+D$10-SUM(D38:D39))</f>
        <v>0.53818229310946519</v>
      </c>
      <c r="E40">
        <f>(E$10-SUM(E$20:E39))/(ABS(E$11)+E$10-SUM(E38:E39))</f>
        <v>0.61147146546077924</v>
      </c>
      <c r="F40">
        <f>(F$10-SUM(F$20:F39))/(ABS(F$11)+F$10-SUM(F38:F39))</f>
        <v>0.66496548969336544</v>
      </c>
      <c r="H40">
        <f t="shared" si="16"/>
        <v>10.554080070307574</v>
      </c>
      <c r="I40">
        <f t="shared" si="16"/>
        <v>12.691106681287657</v>
      </c>
      <c r="J40">
        <f t="shared" si="16"/>
        <v>14.107970288898001</v>
      </c>
      <c r="K40">
        <f t="shared" si="16"/>
        <v>15.11434163154531</v>
      </c>
      <c r="N40">
        <v>15</v>
      </c>
      <c r="O40">
        <v>1500</v>
      </c>
      <c r="P40">
        <f t="shared" si="18"/>
        <v>240</v>
      </c>
      <c r="Q40">
        <f t="shared" si="17"/>
        <v>150</v>
      </c>
      <c r="R40">
        <f t="shared" si="17"/>
        <v>150</v>
      </c>
      <c r="S40">
        <f t="shared" si="17"/>
        <v>210</v>
      </c>
      <c r="T40">
        <f t="shared" si="17"/>
        <v>173</v>
      </c>
      <c r="U40">
        <f t="shared" si="17"/>
        <v>218</v>
      </c>
      <c r="V40">
        <f t="shared" si="17"/>
        <v>173</v>
      </c>
      <c r="W40">
        <f t="shared" si="17"/>
        <v>188</v>
      </c>
      <c r="X40">
        <f t="shared" si="17"/>
        <v>173</v>
      </c>
      <c r="Y40">
        <f t="shared" si="17"/>
        <v>173</v>
      </c>
      <c r="Z40">
        <f t="shared" si="17"/>
        <v>218</v>
      </c>
      <c r="AA40">
        <f t="shared" si="17"/>
        <v>188</v>
      </c>
    </row>
    <row r="41" spans="2:27">
      <c r="B41">
        <v>22</v>
      </c>
      <c r="C41">
        <f>(C$10-SUM(C$20:C40))/(ABS(C$11)+C$10-SUM(C39:C40))</f>
        <v>0.42595618635776855</v>
      </c>
      <c r="D41">
        <f>(D$10-SUM(D$20:D40))/(ABS(D$11)+D$10-SUM(D39:D40))</f>
        <v>0.53205418438157315</v>
      </c>
      <c r="E41">
        <f>(E$10-SUM(E$20:E40))/(ABS(E$11)+E$10-SUM(E39:E40))</f>
        <v>0.60578498229312738</v>
      </c>
      <c r="F41">
        <f>(F$10-SUM(F$20:F40))/(ABS(F$11)+F$10-SUM(F39:F40))</f>
        <v>0.65974264728798804</v>
      </c>
      <c r="H41">
        <f t="shared" si="16"/>
        <v>10.980036256665343</v>
      </c>
      <c r="I41">
        <f t="shared" si="16"/>
        <v>13.223160865669231</v>
      </c>
      <c r="J41">
        <f t="shared" si="16"/>
        <v>14.713755271191127</v>
      </c>
      <c r="K41">
        <f t="shared" si="16"/>
        <v>15.774084278833298</v>
      </c>
      <c r="N41">
        <v>16</v>
      </c>
      <c r="O41">
        <v>1700</v>
      </c>
      <c r="P41">
        <f t="shared" si="18"/>
        <v>272</v>
      </c>
      <c r="Q41">
        <f t="shared" si="17"/>
        <v>170</v>
      </c>
      <c r="R41">
        <f t="shared" si="17"/>
        <v>170</v>
      </c>
      <c r="S41">
        <f t="shared" si="17"/>
        <v>238</v>
      </c>
      <c r="T41">
        <f t="shared" si="17"/>
        <v>196</v>
      </c>
      <c r="U41">
        <f t="shared" si="17"/>
        <v>247</v>
      </c>
      <c r="V41">
        <f t="shared" si="17"/>
        <v>196</v>
      </c>
      <c r="W41">
        <f t="shared" si="17"/>
        <v>213</v>
      </c>
      <c r="X41">
        <f t="shared" si="17"/>
        <v>196</v>
      </c>
      <c r="Y41">
        <f t="shared" si="17"/>
        <v>196</v>
      </c>
      <c r="Z41">
        <f t="shared" si="17"/>
        <v>247</v>
      </c>
      <c r="AA41">
        <f t="shared" si="17"/>
        <v>213</v>
      </c>
    </row>
    <row r="42" spans="2:27">
      <c r="B42">
        <v>23</v>
      </c>
      <c r="C42">
        <f>(C$10-SUM(C$20:C41))/(ABS(C$11)+C$10-SUM(C40:C41))</f>
        <v>0.41971692074715</v>
      </c>
      <c r="D42">
        <f>(D$10-SUM(D$20:D41))/(ABS(D$11)+D$10-SUM(D40:D41))</f>
        <v>0.52599756573614542</v>
      </c>
      <c r="E42">
        <f>(E$10-SUM(E$20:E41))/(ABS(E$11)+E$10-SUM(E40:E41))</f>
        <v>0.60015258483946254</v>
      </c>
      <c r="F42">
        <f>(F$10-SUM(F$20:F41))/(ABS(F$11)+F$10-SUM(F40:F41))</f>
        <v>0.6545616839231998</v>
      </c>
      <c r="H42">
        <f t="shared" si="16"/>
        <v>11.399753177412494</v>
      </c>
      <c r="I42">
        <f t="shared" si="16"/>
        <v>13.749158431405377</v>
      </c>
      <c r="J42">
        <f t="shared" si="16"/>
        <v>15.313907856030589</v>
      </c>
      <c r="K42">
        <f t="shared" si="16"/>
        <v>16.428645962756498</v>
      </c>
      <c r="N42">
        <v>17</v>
      </c>
      <c r="O42">
        <v>1900</v>
      </c>
      <c r="P42">
        <f t="shared" si="18"/>
        <v>304</v>
      </c>
      <c r="Q42">
        <f t="shared" si="18"/>
        <v>190</v>
      </c>
      <c r="R42">
        <f t="shared" si="18"/>
        <v>190</v>
      </c>
      <c r="S42">
        <f t="shared" si="18"/>
        <v>266</v>
      </c>
      <c r="T42">
        <f t="shared" si="18"/>
        <v>219</v>
      </c>
      <c r="U42">
        <f t="shared" si="18"/>
        <v>276</v>
      </c>
      <c r="V42">
        <f t="shared" si="18"/>
        <v>219</v>
      </c>
      <c r="W42">
        <f t="shared" si="18"/>
        <v>238</v>
      </c>
      <c r="X42">
        <f t="shared" si="18"/>
        <v>219</v>
      </c>
      <c r="Y42">
        <f t="shared" si="18"/>
        <v>219</v>
      </c>
      <c r="Z42">
        <f t="shared" si="18"/>
        <v>276</v>
      </c>
      <c r="AA42">
        <f t="shared" si="18"/>
        <v>238</v>
      </c>
    </row>
    <row r="43" spans="2:27">
      <c r="B43">
        <v>24</v>
      </c>
      <c r="C43">
        <f>(C$10-SUM(C$20:C42))/(ABS(C$11)+C$10-SUM(C41:C42))</f>
        <v>0.4135713281814315</v>
      </c>
      <c r="D43">
        <f>(D$10-SUM(D$20:D42))/(ABS(D$11)+D$10-SUM(D41:D42))</f>
        <v>0.5200115634824295</v>
      </c>
      <c r="E43">
        <f>(E$10-SUM(E$20:E42))/(ABS(E$11)+E$10-SUM(E41:E42))</f>
        <v>0.59457373589560258</v>
      </c>
      <c r="F43">
        <f>(F$10-SUM(F$20:F42))/(ABS(F$11)+F$10-SUM(F41:F42))</f>
        <v>0.64942225010260213</v>
      </c>
      <c r="H43">
        <f t="shared" si="16"/>
        <v>11.813324505593926</v>
      </c>
      <c r="I43">
        <f t="shared" si="16"/>
        <v>14.269169994887806</v>
      </c>
      <c r="J43">
        <f t="shared" si="16"/>
        <v>15.908481591926192</v>
      </c>
      <c r="K43">
        <f t="shared" si="16"/>
        <v>17.078068212859101</v>
      </c>
      <c r="N43">
        <v>18</v>
      </c>
      <c r="O43">
        <v>2100</v>
      </c>
      <c r="P43">
        <f t="shared" si="18"/>
        <v>336</v>
      </c>
      <c r="Q43">
        <f t="shared" si="18"/>
        <v>210</v>
      </c>
      <c r="R43">
        <f t="shared" si="18"/>
        <v>210</v>
      </c>
      <c r="S43">
        <f t="shared" si="18"/>
        <v>294</v>
      </c>
      <c r="T43">
        <f t="shared" si="18"/>
        <v>242</v>
      </c>
      <c r="U43">
        <f t="shared" si="18"/>
        <v>305</v>
      </c>
      <c r="V43">
        <f t="shared" si="18"/>
        <v>242</v>
      </c>
      <c r="W43">
        <f t="shared" si="18"/>
        <v>263</v>
      </c>
      <c r="X43">
        <f t="shared" si="18"/>
        <v>242</v>
      </c>
      <c r="Y43">
        <f t="shared" si="18"/>
        <v>242</v>
      </c>
      <c r="Z43">
        <f t="shared" si="18"/>
        <v>305</v>
      </c>
      <c r="AA43">
        <f t="shared" si="18"/>
        <v>263</v>
      </c>
    </row>
    <row r="44" spans="2:27">
      <c r="B44">
        <v>25</v>
      </c>
      <c r="C44">
        <f>(C$10-SUM(C$20:C43))/(ABS(C$11)+C$10-SUM(C42:C43))</f>
        <v>0.40751793428967586</v>
      </c>
      <c r="D44">
        <f>(D$10-SUM(D$20:D43))/(ABS(D$11)+D$10-SUM(D42:D43))</f>
        <v>0.51409531553837606</v>
      </c>
      <c r="E44">
        <f>(E$10-SUM(E$20:E43))/(ABS(E$11)+E$10-SUM(E42:E43))</f>
        <v>0.58904790402900997</v>
      </c>
      <c r="F44">
        <f>(F$10-SUM(F$20:F43))/(ABS(F$11)+F$10-SUM(F42:F43))</f>
        <v>0.64432399946733498</v>
      </c>
      <c r="H44">
        <f t="shared" si="16"/>
        <v>12.220842439883601</v>
      </c>
      <c r="I44">
        <f t="shared" si="16"/>
        <v>14.783265310426181</v>
      </c>
      <c r="J44">
        <f t="shared" si="16"/>
        <v>16.497529495955202</v>
      </c>
      <c r="K44">
        <f t="shared" si="16"/>
        <v>17.722392212326437</v>
      </c>
      <c r="N44">
        <v>19</v>
      </c>
      <c r="O44">
        <v>2300</v>
      </c>
      <c r="P44">
        <f t="shared" si="18"/>
        <v>368</v>
      </c>
      <c r="Q44">
        <f t="shared" si="18"/>
        <v>230</v>
      </c>
      <c r="R44">
        <f t="shared" si="18"/>
        <v>230</v>
      </c>
      <c r="S44">
        <f t="shared" si="18"/>
        <v>322</v>
      </c>
      <c r="T44">
        <f t="shared" si="18"/>
        <v>265</v>
      </c>
      <c r="U44">
        <f t="shared" si="18"/>
        <v>334</v>
      </c>
      <c r="V44">
        <f t="shared" si="18"/>
        <v>265</v>
      </c>
      <c r="W44">
        <f t="shared" si="18"/>
        <v>288</v>
      </c>
      <c r="X44">
        <f t="shared" si="18"/>
        <v>265</v>
      </c>
      <c r="Y44">
        <f t="shared" si="18"/>
        <v>265</v>
      </c>
      <c r="Z44">
        <f t="shared" si="18"/>
        <v>334</v>
      </c>
      <c r="AA44">
        <f t="shared" si="18"/>
        <v>288</v>
      </c>
    </row>
    <row r="45" spans="2:27">
      <c r="B45">
        <v>26</v>
      </c>
      <c r="C45">
        <f>(C$10-SUM(C$20:C44))/(ABS(C$11)+C$10-SUM(C43:C44))</f>
        <v>0.4015552899569792</v>
      </c>
      <c r="D45">
        <f>(D$10-SUM(D$20:D44))/(ABS(D$11)+D$10-SUM(D43:D44))</f>
        <v>0.50824797125440413</v>
      </c>
      <c r="E45">
        <f>(E$10-SUM(E$20:E44))/(ABS(E$11)+E$10-SUM(E43:E44))</f>
        <v>0.58357456350838988</v>
      </c>
      <c r="F45">
        <f>(F$10-SUM(F$20:F44))/(ABS(F$11)+F$10-SUM(F43:F44))</f>
        <v>0.63926658876432907</v>
      </c>
      <c r="H45">
        <f t="shared" si="16"/>
        <v>12.62239772984058</v>
      </c>
      <c r="I45">
        <f t="shared" si="16"/>
        <v>15.291513281680585</v>
      </c>
      <c r="J45">
        <f t="shared" si="16"/>
        <v>17.081104059463591</v>
      </c>
      <c r="K45">
        <f t="shared" si="16"/>
        <v>18.361658801090766</v>
      </c>
      <c r="N45">
        <v>20</v>
      </c>
      <c r="O45">
        <v>2500</v>
      </c>
      <c r="P45">
        <f t="shared" si="18"/>
        <v>400</v>
      </c>
      <c r="Q45">
        <f t="shared" si="18"/>
        <v>250</v>
      </c>
      <c r="R45">
        <f t="shared" si="18"/>
        <v>250</v>
      </c>
      <c r="S45">
        <f t="shared" si="18"/>
        <v>350</v>
      </c>
      <c r="T45">
        <f t="shared" si="18"/>
        <v>288</v>
      </c>
      <c r="U45">
        <f t="shared" si="18"/>
        <v>363</v>
      </c>
      <c r="V45">
        <f t="shared" si="18"/>
        <v>288</v>
      </c>
      <c r="W45">
        <f t="shared" si="18"/>
        <v>313</v>
      </c>
      <c r="X45">
        <f t="shared" si="18"/>
        <v>288</v>
      </c>
      <c r="Y45">
        <f t="shared" si="18"/>
        <v>288</v>
      </c>
      <c r="Z45">
        <f t="shared" si="18"/>
        <v>363</v>
      </c>
      <c r="AA45">
        <f t="shared" si="18"/>
        <v>313</v>
      </c>
    </row>
    <row r="46" spans="2:27">
      <c r="B46">
        <v>27</v>
      </c>
      <c r="C46">
        <f>(C$10-SUM(C$20:C45))/(ABS(C$11)+C$10-SUM(C44:C45))</f>
        <v>0.39568197082964046</v>
      </c>
      <c r="D46">
        <f>(D$10-SUM(D$20:D45))/(ABS(D$11)+D$10-SUM(D44:D45))</f>
        <v>0.50246869124036164</v>
      </c>
      <c r="E46">
        <f>(E$10-SUM(E$20:E45))/(ABS(E$11)+E$10-SUM(E44:E45))</f>
        <v>0.57815319423430978</v>
      </c>
      <c r="F46">
        <f>(F$10-SUM(F$20:F45))/(ABS(F$11)+F$10-SUM(F44:F45))</f>
        <v>0.63424967781493424</v>
      </c>
      <c r="H46">
        <f t="shared" si="16"/>
        <v>13.018079700670221</v>
      </c>
      <c r="I46">
        <f t="shared" si="16"/>
        <v>15.793981972920946</v>
      </c>
      <c r="J46">
        <f t="shared" si="16"/>
        <v>17.659257253697902</v>
      </c>
      <c r="K46">
        <f t="shared" si="16"/>
        <v>18.995908478905701</v>
      </c>
      <c r="N46">
        <v>21</v>
      </c>
      <c r="O46">
        <v>2700</v>
      </c>
      <c r="P46">
        <f t="shared" si="18"/>
        <v>432</v>
      </c>
      <c r="Q46">
        <f t="shared" si="18"/>
        <v>270</v>
      </c>
      <c r="R46">
        <f t="shared" si="18"/>
        <v>270</v>
      </c>
      <c r="S46">
        <f t="shared" si="18"/>
        <v>378</v>
      </c>
      <c r="T46">
        <f t="shared" si="18"/>
        <v>311</v>
      </c>
      <c r="U46">
        <f t="shared" si="18"/>
        <v>392</v>
      </c>
      <c r="V46">
        <f t="shared" si="18"/>
        <v>311</v>
      </c>
      <c r="W46">
        <f t="shared" si="18"/>
        <v>338</v>
      </c>
      <c r="X46">
        <f t="shared" si="18"/>
        <v>311</v>
      </c>
      <c r="Y46">
        <f t="shared" si="18"/>
        <v>311</v>
      </c>
      <c r="Z46">
        <f t="shared" si="18"/>
        <v>392</v>
      </c>
      <c r="AA46">
        <f t="shared" si="18"/>
        <v>338</v>
      </c>
    </row>
    <row r="47" spans="2:27">
      <c r="B47">
        <v>28</v>
      </c>
      <c r="C47">
        <f>(C$10-SUM(C$20:C46))/(ABS(C$11)+C$10-SUM(C45:C46))</f>
        <v>0.38989657683190465</v>
      </c>
      <c r="D47">
        <f>(D$10-SUM(D$20:D46))/(ABS(D$11)+D$10-SUM(D45:D46))</f>
        <v>0.49675664719560769</v>
      </c>
      <c r="E47">
        <f>(E$10-SUM(E$20:E46))/(ABS(E$11)+E$10-SUM(E45:E46))</f>
        <v>0.5727832816708186</v>
      </c>
      <c r="F47">
        <f>(F$10-SUM(F$20:F46))/(ABS(F$11)+F$10-SUM(F45:F46))</f>
        <v>0.62927292948392355</v>
      </c>
      <c r="H47">
        <f t="shared" si="16"/>
        <v>13.407976277502126</v>
      </c>
      <c r="I47">
        <f t="shared" si="16"/>
        <v>16.290738620116553</v>
      </c>
      <c r="J47">
        <f t="shared" si="16"/>
        <v>18.232040535368721</v>
      </c>
      <c r="K47">
        <f t="shared" si="16"/>
        <v>19.625181408389626</v>
      </c>
      <c r="N47">
        <v>22</v>
      </c>
      <c r="O47">
        <v>2900</v>
      </c>
      <c r="P47">
        <f t="shared" si="18"/>
        <v>464</v>
      </c>
      <c r="Q47">
        <f t="shared" si="18"/>
        <v>290</v>
      </c>
      <c r="R47">
        <f t="shared" si="18"/>
        <v>290</v>
      </c>
      <c r="S47">
        <f t="shared" si="18"/>
        <v>406</v>
      </c>
      <c r="T47">
        <f t="shared" si="18"/>
        <v>334</v>
      </c>
      <c r="U47">
        <f t="shared" si="18"/>
        <v>421</v>
      </c>
      <c r="V47">
        <f t="shared" si="18"/>
        <v>334</v>
      </c>
      <c r="W47">
        <f t="shared" si="18"/>
        <v>363</v>
      </c>
      <c r="X47">
        <f t="shared" si="18"/>
        <v>334</v>
      </c>
      <c r="Y47">
        <f t="shared" si="18"/>
        <v>334</v>
      </c>
      <c r="Z47">
        <f t="shared" si="18"/>
        <v>421</v>
      </c>
      <c r="AA47">
        <f t="shared" si="18"/>
        <v>363</v>
      </c>
    </row>
    <row r="48" spans="2:27">
      <c r="B48">
        <v>29</v>
      </c>
      <c r="C48">
        <f>(C$10-SUM(C$20:C47))/(ABS(C$11)+C$10-SUM(C46:C47))</f>
        <v>0.38419773169395532</v>
      </c>
      <c r="D48">
        <f>(D$10-SUM(D$20:D47))/(ABS(D$11)+D$10-SUM(D46:D47))</f>
        <v>0.4911110217421486</v>
      </c>
      <c r="E48">
        <f>(E$10-SUM(E$20:E47))/(ABS(E$11)+E$10-SUM(E46:E47))</f>
        <v>0.56746431677805198</v>
      </c>
      <c r="F48">
        <f>(F$10-SUM(F$20:F47))/(ABS(F$11)+F$10-SUM(F46:F47))</f>
        <v>0.62433600964886515</v>
      </c>
      <c r="H48">
        <f t="shared" si="16"/>
        <v>13.792174009196081</v>
      </c>
      <c r="I48">
        <f t="shared" si="16"/>
        <v>16.781849641858702</v>
      </c>
      <c r="J48">
        <f t="shared" si="16"/>
        <v>18.799504852146775</v>
      </c>
      <c r="K48">
        <f t="shared" si="16"/>
        <v>20.24951741803849</v>
      </c>
      <c r="N48">
        <v>23</v>
      </c>
      <c r="O48">
        <v>3100</v>
      </c>
      <c r="P48">
        <f t="shared" si="18"/>
        <v>496</v>
      </c>
      <c r="Q48">
        <f t="shared" si="18"/>
        <v>310</v>
      </c>
      <c r="R48">
        <f t="shared" si="18"/>
        <v>310</v>
      </c>
      <c r="S48">
        <f t="shared" si="18"/>
        <v>434</v>
      </c>
      <c r="T48">
        <f t="shared" si="18"/>
        <v>357</v>
      </c>
      <c r="U48">
        <f t="shared" si="18"/>
        <v>450</v>
      </c>
      <c r="V48">
        <f t="shared" si="18"/>
        <v>357</v>
      </c>
      <c r="W48">
        <f t="shared" si="18"/>
        <v>388</v>
      </c>
      <c r="X48">
        <f t="shared" si="18"/>
        <v>357</v>
      </c>
      <c r="Y48">
        <f t="shared" si="18"/>
        <v>357</v>
      </c>
      <c r="Z48">
        <f t="shared" si="18"/>
        <v>450</v>
      </c>
      <c r="AA48">
        <f t="shared" si="18"/>
        <v>388</v>
      </c>
    </row>
    <row r="49" spans="2:27">
      <c r="B49">
        <v>30</v>
      </c>
      <c r="C49">
        <f>(C$10-SUM(C$20:C48))/(ABS(C$11)+C$10-SUM(C47:C48))</f>
        <v>0.37858408249083658</v>
      </c>
      <c r="D49">
        <f>(D$10-SUM(D$20:D48))/(ABS(D$11)+D$10-SUM(D47:D48))</f>
        <v>0.48553100826076512</v>
      </c>
      <c r="E49">
        <f>(E$10-SUM(E$20:E48))/(ABS(E$11)+E$10-SUM(E47:E48))</f>
        <v>0.56219579594580438</v>
      </c>
      <c r="F49">
        <f>(F$10-SUM(F$20:F48))/(ABS(F$11)+F$10-SUM(F47:F48))</f>
        <v>0.61943858716985711</v>
      </c>
      <c r="H49">
        <f t="shared" si="16"/>
        <v>14.170758091686919</v>
      </c>
      <c r="I49">
        <f t="shared" si="16"/>
        <v>17.267380650119467</v>
      </c>
      <c r="J49">
        <f t="shared" si="16"/>
        <v>19.36170064809258</v>
      </c>
      <c r="K49">
        <f t="shared" si="16"/>
        <v>20.868956005208346</v>
      </c>
      <c r="N49">
        <v>24</v>
      </c>
      <c r="O49">
        <v>3300</v>
      </c>
      <c r="P49">
        <f t="shared" si="18"/>
        <v>528</v>
      </c>
      <c r="Q49">
        <f t="shared" si="18"/>
        <v>330</v>
      </c>
      <c r="R49">
        <f t="shared" si="18"/>
        <v>330</v>
      </c>
      <c r="S49">
        <f t="shared" si="18"/>
        <v>462</v>
      </c>
      <c r="T49">
        <f t="shared" si="18"/>
        <v>380</v>
      </c>
      <c r="U49">
        <f t="shared" si="18"/>
        <v>479</v>
      </c>
      <c r="V49">
        <f t="shared" si="18"/>
        <v>380</v>
      </c>
      <c r="W49">
        <f t="shared" si="18"/>
        <v>413</v>
      </c>
      <c r="X49">
        <f t="shared" si="18"/>
        <v>380</v>
      </c>
      <c r="Y49">
        <f t="shared" si="18"/>
        <v>380</v>
      </c>
      <c r="Z49">
        <f t="shared" si="18"/>
        <v>479</v>
      </c>
      <c r="AA49">
        <f t="shared" si="18"/>
        <v>413</v>
      </c>
    </row>
    <row r="50" spans="2:27">
      <c r="B50">
        <v>31</v>
      </c>
      <c r="C50">
        <f>(C$10-SUM(C$20:C49))/(ABS(C$11)+C$10-SUM(C48:C49))</f>
        <v>0.37305429919200273</v>
      </c>
      <c r="D50">
        <f>(D$10-SUM(D$20:D49))/(ABS(D$11)+D$10-SUM(D48:D49))</f>
        <v>0.48001581073006039</v>
      </c>
      <c r="E50">
        <f>(E$10-SUM(E$20:E49))/(ABS(E$11)+E$10-SUM(E48:E49))</f>
        <v>0.55697722092805113</v>
      </c>
      <c r="F50">
        <f>(F$10-SUM(F$20:F49))/(ABS(F$11)+F$10-SUM(F48:F49))</f>
        <v>0.61458033385962019</v>
      </c>
      <c r="H50">
        <f t="shared" si="16"/>
        <v>14.543812390878921</v>
      </c>
      <c r="I50">
        <f t="shared" si="16"/>
        <v>17.747396460849526</v>
      </c>
      <c r="J50">
        <f t="shared" si="16"/>
        <v>19.91867786902063</v>
      </c>
      <c r="K50">
        <f t="shared" si="16"/>
        <v>21.483536339067967</v>
      </c>
      <c r="N50">
        <v>25</v>
      </c>
      <c r="O50">
        <v>3500</v>
      </c>
      <c r="P50">
        <f t="shared" si="18"/>
        <v>560</v>
      </c>
      <c r="Q50">
        <f t="shared" si="18"/>
        <v>350</v>
      </c>
      <c r="R50">
        <f t="shared" si="18"/>
        <v>350</v>
      </c>
      <c r="S50">
        <f t="shared" si="18"/>
        <v>490</v>
      </c>
      <c r="T50">
        <f t="shared" si="18"/>
        <v>403</v>
      </c>
      <c r="U50">
        <f t="shared" si="18"/>
        <v>508</v>
      </c>
      <c r="V50">
        <f t="shared" si="18"/>
        <v>403</v>
      </c>
      <c r="W50">
        <f t="shared" si="18"/>
        <v>438</v>
      </c>
      <c r="X50">
        <f t="shared" si="18"/>
        <v>403</v>
      </c>
      <c r="Y50">
        <f t="shared" si="18"/>
        <v>403</v>
      </c>
      <c r="Z50">
        <f t="shared" si="18"/>
        <v>508</v>
      </c>
      <c r="AA50">
        <f t="shared" si="18"/>
        <v>438</v>
      </c>
    </row>
    <row r="51" spans="2:27">
      <c r="B51">
        <v>32</v>
      </c>
      <c r="C51">
        <f>(C$10-SUM(C$20:C50))/(ABS(C$11)+C$10-SUM(C49:C50))</f>
        <v>0.36760707422119809</v>
      </c>
      <c r="D51">
        <f>(D$10-SUM(D$20:D50))/(ABS(D$11)+D$10-SUM(D49:D50))</f>
        <v>0.47456464356837141</v>
      </c>
      <c r="E51">
        <f>(E$10-SUM(E$20:E50))/(ABS(E$11)+E$10-SUM(E49:E50))</f>
        <v>0.55180809877840575</v>
      </c>
      <c r="F51">
        <f>(F$10-SUM(F$20:F50))/(ABS(F$11)+F$10-SUM(F49:F50))</f>
        <v>0.60976092445394325</v>
      </c>
      <c r="H51">
        <f t="shared" si="16"/>
        <v>14.911419465100119</v>
      </c>
      <c r="I51">
        <f t="shared" si="16"/>
        <v>18.221961104417897</v>
      </c>
      <c r="J51">
        <f t="shared" si="16"/>
        <v>20.470485967799036</v>
      </c>
      <c r="K51">
        <f t="shared" si="16"/>
        <v>22.093297263521912</v>
      </c>
      <c r="N51">
        <v>26</v>
      </c>
      <c r="O51">
        <v>3700</v>
      </c>
      <c r="P51">
        <f t="shared" si="18"/>
        <v>592</v>
      </c>
      <c r="Q51">
        <f t="shared" si="18"/>
        <v>370</v>
      </c>
      <c r="R51">
        <f t="shared" si="18"/>
        <v>370</v>
      </c>
      <c r="S51">
        <f t="shared" si="18"/>
        <v>518</v>
      </c>
      <c r="T51">
        <f t="shared" si="18"/>
        <v>426</v>
      </c>
      <c r="U51">
        <f t="shared" si="18"/>
        <v>537</v>
      </c>
      <c r="V51">
        <f t="shared" si="18"/>
        <v>426</v>
      </c>
      <c r="W51">
        <f t="shared" si="18"/>
        <v>463</v>
      </c>
      <c r="X51">
        <f t="shared" si="18"/>
        <v>426</v>
      </c>
      <c r="Y51">
        <f t="shared" si="18"/>
        <v>426</v>
      </c>
      <c r="Z51">
        <f t="shared" si="18"/>
        <v>537</v>
      </c>
      <c r="AA51">
        <f t="shared" si="18"/>
        <v>463</v>
      </c>
    </row>
    <row r="52" spans="2:27">
      <c r="B52">
        <v>33</v>
      </c>
      <c r="C52">
        <f>(C$10-SUM(C$20:C51))/(ABS(C$11)+C$10-SUM(C50:C51))</f>
        <v>0.3622411220263812</v>
      </c>
      <c r="D52">
        <f>(D$10-SUM(D$20:D51))/(ABS(D$11)+D$10-SUM(D50:D51))</f>
        <v>0.46917673147847866</v>
      </c>
      <c r="E52">
        <f>(E$10-SUM(E$20:E51))/(ABS(E$11)+E$10-SUM(E50:E51))</f>
        <v>0.54668794178649427</v>
      </c>
      <c r="F52">
        <f>(F$10-SUM(F$20:F51))/(ABS(F$11)+F$10-SUM(F50:F51))</f>
        <v>0.60498003658247734</v>
      </c>
      <c r="H52">
        <f t="shared" si="16"/>
        <v>15.2736605871265</v>
      </c>
      <c r="I52">
        <f t="shared" si="16"/>
        <v>18.691137835896374</v>
      </c>
      <c r="J52">
        <f t="shared" si="16"/>
        <v>21.01717390958553</v>
      </c>
      <c r="K52">
        <f t="shared" si="16"/>
        <v>22.69827730010439</v>
      </c>
      <c r="N52">
        <v>27</v>
      </c>
      <c r="O52">
        <v>3900</v>
      </c>
      <c r="P52">
        <f t="shared" si="18"/>
        <v>624</v>
      </c>
      <c r="Q52">
        <f t="shared" si="18"/>
        <v>390</v>
      </c>
      <c r="R52">
        <f t="shared" si="18"/>
        <v>390</v>
      </c>
      <c r="S52">
        <f t="shared" si="18"/>
        <v>546</v>
      </c>
      <c r="T52">
        <f t="shared" si="18"/>
        <v>449</v>
      </c>
      <c r="U52">
        <f t="shared" si="18"/>
        <v>566</v>
      </c>
      <c r="V52">
        <f t="shared" si="18"/>
        <v>449</v>
      </c>
      <c r="W52">
        <f t="shared" si="18"/>
        <v>488</v>
      </c>
      <c r="X52">
        <f t="shared" si="18"/>
        <v>449</v>
      </c>
      <c r="Y52">
        <f t="shared" si="18"/>
        <v>449</v>
      </c>
      <c r="Z52">
        <f t="shared" si="18"/>
        <v>566</v>
      </c>
      <c r="AA52">
        <f t="shared" si="18"/>
        <v>488</v>
      </c>
    </row>
    <row r="53" spans="2:27">
      <c r="B53">
        <v>34</v>
      </c>
      <c r="C53">
        <f>(C$10-SUM(C$20:C52))/(ABS(C$11)+C$10-SUM(C51:C52))</f>
        <v>0.35695517865941867</v>
      </c>
      <c r="D53">
        <f>(D$10-SUM(D$20:D52))/(ABS(D$11)+D$10-SUM(D51:D52))</f>
        <v>0.46385130929505591</v>
      </c>
      <c r="E53">
        <f>(E$10-SUM(E$20:E52))/(ABS(E$11)+E$10-SUM(E51:E52))</f>
        <v>0.54161626741523305</v>
      </c>
      <c r="F53">
        <f>(F$10-SUM(F$20:F52))/(ABS(F$11)+F$10-SUM(F51:F52))</f>
        <v>0.60023735073987161</v>
      </c>
      <c r="H53">
        <f t="shared" si="16"/>
        <v>15.630615765785919</v>
      </c>
      <c r="I53">
        <f t="shared" si="16"/>
        <v>19.154989145191429</v>
      </c>
      <c r="J53">
        <f t="shared" si="16"/>
        <v>21.558790177000763</v>
      </c>
      <c r="K53">
        <f t="shared" si="16"/>
        <v>23.298514650844261</v>
      </c>
      <c r="N53">
        <v>28</v>
      </c>
      <c r="O53">
        <v>4100</v>
      </c>
      <c r="P53">
        <f t="shared" si="18"/>
        <v>656</v>
      </c>
      <c r="Q53">
        <f t="shared" si="18"/>
        <v>410</v>
      </c>
      <c r="R53">
        <f t="shared" si="18"/>
        <v>410</v>
      </c>
      <c r="S53">
        <f t="shared" si="18"/>
        <v>574</v>
      </c>
      <c r="T53">
        <f t="shared" si="18"/>
        <v>472</v>
      </c>
      <c r="U53">
        <f t="shared" si="18"/>
        <v>595</v>
      </c>
      <c r="V53">
        <f t="shared" si="18"/>
        <v>472</v>
      </c>
      <c r="W53">
        <f t="shared" si="18"/>
        <v>513</v>
      </c>
      <c r="X53">
        <f t="shared" si="18"/>
        <v>472</v>
      </c>
      <c r="Y53">
        <f t="shared" si="18"/>
        <v>472</v>
      </c>
      <c r="Z53">
        <f t="shared" si="18"/>
        <v>595</v>
      </c>
      <c r="AA53">
        <f t="shared" si="18"/>
        <v>513</v>
      </c>
    </row>
    <row r="54" spans="2:27">
      <c r="B54">
        <v>35</v>
      </c>
      <c r="C54">
        <f>(C$10-SUM(C$20:C53))/(ABS(C$11)+C$10-SUM(C52:C53))</f>
        <v>0.35174800136528017</v>
      </c>
      <c r="D54">
        <f>(D$10-SUM(D$20:D53))/(ABS(D$11)+D$10-SUM(D52:D53))</f>
        <v>0.45858762183480101</v>
      </c>
      <c r="E54">
        <f>(E$10-SUM(E$20:E53))/(ABS(E$11)+E$10-SUM(E52:E53))</f>
        <v>0.53659259823899297</v>
      </c>
      <c r="F54">
        <f>(F$10-SUM(F$20:F53))/(ABS(F$11)+F$10-SUM(F52:F53))</f>
        <v>0.59553255025724761</v>
      </c>
      <c r="H54">
        <f t="shared" si="16"/>
        <v>15.982363767151199</v>
      </c>
      <c r="I54">
        <f t="shared" si="16"/>
        <v>19.613576767026231</v>
      </c>
      <c r="J54">
        <f t="shared" si="16"/>
        <v>22.095382775239756</v>
      </c>
      <c r="K54">
        <f t="shared" si="16"/>
        <v>23.894047201101507</v>
      </c>
      <c r="N54">
        <v>29</v>
      </c>
      <c r="O54">
        <v>4300</v>
      </c>
      <c r="P54">
        <f t="shared" si="18"/>
        <v>688</v>
      </c>
      <c r="Q54">
        <f t="shared" si="18"/>
        <v>430</v>
      </c>
      <c r="R54">
        <f t="shared" si="18"/>
        <v>430</v>
      </c>
      <c r="S54">
        <f t="shared" si="18"/>
        <v>602</v>
      </c>
      <c r="T54">
        <f t="shared" si="18"/>
        <v>495</v>
      </c>
      <c r="U54">
        <f t="shared" si="18"/>
        <v>624</v>
      </c>
      <c r="V54">
        <f t="shared" si="18"/>
        <v>495</v>
      </c>
      <c r="W54">
        <f t="shared" si="18"/>
        <v>538</v>
      </c>
      <c r="X54">
        <f t="shared" si="18"/>
        <v>495</v>
      </c>
      <c r="Y54">
        <f t="shared" si="18"/>
        <v>495</v>
      </c>
      <c r="Z54">
        <f t="shared" si="18"/>
        <v>624</v>
      </c>
      <c r="AA54">
        <f t="shared" si="18"/>
        <v>538</v>
      </c>
    </row>
    <row r="55" spans="2:27">
      <c r="B55">
        <v>36</v>
      </c>
      <c r="C55">
        <f>(C$10-SUM(C$20:C54))/(ABS(C$11)+C$10-SUM(C53:C54))</f>
        <v>0.34661836818047537</v>
      </c>
      <c r="D55">
        <f>(D$10-SUM(D$20:D54))/(ABS(D$11)+D$10-SUM(D53:D54))</f>
        <v>0.45338492374919298</v>
      </c>
      <c r="E55">
        <f>(E$10-SUM(E$20:E54))/(ABS(E$11)+E$10-SUM(E53:E54))</f>
        <v>0.53161646188263489</v>
      </c>
      <c r="F55">
        <f>(F$10-SUM(F$20:F54))/(ABS(F$11)+F$10-SUM(F53:F54))</f>
        <v>0.59086532127400726</v>
      </c>
      <c r="H55">
        <f t="shared" si="16"/>
        <v>16.328982135331675</v>
      </c>
      <c r="I55">
        <f t="shared" si="16"/>
        <v>20.066961690775425</v>
      </c>
      <c r="J55">
        <f t="shared" si="16"/>
        <v>22.626999237122391</v>
      </c>
      <c r="K55">
        <f t="shared" si="16"/>
        <v>24.484912522375513</v>
      </c>
      <c r="N55">
        <v>30</v>
      </c>
      <c r="O55">
        <v>4500</v>
      </c>
      <c r="P55">
        <f t="shared" si="18"/>
        <v>720</v>
      </c>
      <c r="Q55">
        <f t="shared" si="18"/>
        <v>450</v>
      </c>
      <c r="R55">
        <f t="shared" si="18"/>
        <v>450</v>
      </c>
      <c r="S55">
        <f t="shared" si="18"/>
        <v>630</v>
      </c>
      <c r="T55">
        <f t="shared" si="18"/>
        <v>518</v>
      </c>
      <c r="U55">
        <f t="shared" si="18"/>
        <v>653</v>
      </c>
      <c r="V55">
        <f t="shared" si="18"/>
        <v>518</v>
      </c>
      <c r="W55">
        <f t="shared" si="18"/>
        <v>563</v>
      </c>
      <c r="X55">
        <f t="shared" si="18"/>
        <v>518</v>
      </c>
      <c r="Y55">
        <f t="shared" si="18"/>
        <v>518</v>
      </c>
      <c r="Z55">
        <f t="shared" si="18"/>
        <v>653</v>
      </c>
      <c r="AA55">
        <f t="shared" si="18"/>
        <v>563</v>
      </c>
    </row>
    <row r="56" spans="2:27">
      <c r="B56">
        <v>37</v>
      </c>
      <c r="C56">
        <f>(C$10-SUM(C$20:C55))/(ABS(C$11)+C$10-SUM(C54:C55))</f>
        <v>0.3415650775404841</v>
      </c>
      <c r="D56">
        <f>(D$10-SUM(D$20:D55))/(ABS(D$11)+D$10-SUM(D54:D55))</f>
        <v>0.44824247937981626</v>
      </c>
      <c r="E56">
        <f>(E$10-SUM(E$20:E55))/(ABS(E$11)+E$10-SUM(E54:E55))</f>
        <v>0.52668739096140371</v>
      </c>
      <c r="F56">
        <f>(F$10-SUM(F$20:F55))/(ABS(F$11)+F$10-SUM(F54:F55))</f>
        <v>0.58623535270996907</v>
      </c>
      <c r="H56">
        <f t="shared" si="16"/>
        <v>16.670547212872158</v>
      </c>
      <c r="I56">
        <f t="shared" si="16"/>
        <v>20.51520417015524</v>
      </c>
      <c r="J56">
        <f t="shared" si="16"/>
        <v>23.153686628083793</v>
      </c>
      <c r="K56">
        <f t="shared" si="16"/>
        <v>25.071147875085483</v>
      </c>
      <c r="N56">
        <v>31</v>
      </c>
      <c r="O56">
        <v>4700</v>
      </c>
      <c r="P56">
        <f t="shared" si="18"/>
        <v>752</v>
      </c>
      <c r="Q56">
        <f t="shared" si="18"/>
        <v>470</v>
      </c>
      <c r="R56">
        <f t="shared" si="18"/>
        <v>470</v>
      </c>
      <c r="S56">
        <f t="shared" si="18"/>
        <v>658</v>
      </c>
      <c r="T56">
        <f t="shared" si="18"/>
        <v>541</v>
      </c>
      <c r="U56">
        <f t="shared" si="18"/>
        <v>682</v>
      </c>
      <c r="V56">
        <f t="shared" si="18"/>
        <v>541</v>
      </c>
      <c r="W56">
        <f t="shared" si="18"/>
        <v>588</v>
      </c>
      <c r="X56">
        <f t="shared" si="18"/>
        <v>541</v>
      </c>
      <c r="Y56">
        <f t="shared" si="18"/>
        <v>541</v>
      </c>
      <c r="Z56">
        <f t="shared" si="18"/>
        <v>682</v>
      </c>
      <c r="AA56">
        <f t="shared" si="18"/>
        <v>588</v>
      </c>
    </row>
    <row r="57" spans="2:27">
      <c r="B57">
        <v>38</v>
      </c>
      <c r="C57">
        <f>(C$10-SUM(C$20:C56))/(ABS(C$11)+C$10-SUM(C55:C56))</f>
        <v>0.33658694789593674</v>
      </c>
      <c r="D57">
        <f>(D$10-SUM(D$20:D56))/(ABS(D$11)+D$10-SUM(D55:D56))</f>
        <v>0.44315956261620215</v>
      </c>
      <c r="E57">
        <f>(E$10-SUM(E$20:E56))/(ABS(E$11)+E$10-SUM(E55:E56))</f>
        <v>0.52180492302166381</v>
      </c>
      <c r="F57">
        <f>(F$10-SUM(F$20:F56))/(ABS(F$11)+F$10-SUM(F55:F56))</f>
        <v>0.58164233623782824</v>
      </c>
      <c r="H57">
        <f t="shared" si="16"/>
        <v>17.007134160768096</v>
      </c>
      <c r="I57">
        <f t="shared" si="16"/>
        <v>20.958363732771442</v>
      </c>
      <c r="J57">
        <f t="shared" si="16"/>
        <v>23.675491551105456</v>
      </c>
      <c r="K57">
        <f t="shared" si="16"/>
        <v>25.65279021132331</v>
      </c>
      <c r="N57">
        <v>32</v>
      </c>
      <c r="O57">
        <v>4900</v>
      </c>
      <c r="P57">
        <f t="shared" si="18"/>
        <v>784</v>
      </c>
      <c r="Q57">
        <f t="shared" si="18"/>
        <v>490</v>
      </c>
      <c r="R57">
        <f t="shared" si="18"/>
        <v>490</v>
      </c>
      <c r="S57">
        <f t="shared" si="18"/>
        <v>686</v>
      </c>
      <c r="T57">
        <f t="shared" si="18"/>
        <v>564</v>
      </c>
      <c r="U57">
        <f t="shared" si="18"/>
        <v>711</v>
      </c>
      <c r="V57">
        <f t="shared" si="18"/>
        <v>564</v>
      </c>
      <c r="W57">
        <f t="shared" si="18"/>
        <v>613</v>
      </c>
      <c r="X57">
        <f t="shared" si="18"/>
        <v>564</v>
      </c>
      <c r="Y57">
        <f t="shared" si="18"/>
        <v>564</v>
      </c>
      <c r="Z57">
        <f t="shared" si="18"/>
        <v>711</v>
      </c>
      <c r="AA57">
        <f t="shared" si="18"/>
        <v>613</v>
      </c>
    </row>
    <row r="58" spans="2:27">
      <c r="B58">
        <v>39</v>
      </c>
      <c r="C58">
        <f>(C$10-SUM(C$20:C57))/(ABS(C$11)+C$10-SUM(C56:C57))</f>
        <v>0.33168281733730937</v>
      </c>
      <c r="D58">
        <f>(D$10-SUM(D$20:D57))/(ABS(D$11)+D$10-SUM(D56:D57))</f>
        <v>0.43813545675613141</v>
      </c>
      <c r="E58">
        <f>(E$10-SUM(E$20:E57))/(ABS(E$11)+E$10-SUM(E56:E57))</f>
        <v>0.51696860048246351</v>
      </c>
      <c r="F58">
        <f>(F$10-SUM(F$20:F57))/(ABS(F$11)+F$10-SUM(F56:F57))</f>
        <v>0.57708596625593755</v>
      </c>
      <c r="H58">
        <f t="shared" si="16"/>
        <v>17.338816978105406</v>
      </c>
      <c r="I58">
        <f t="shared" si="16"/>
        <v>21.396499189527574</v>
      </c>
      <c r="J58">
        <f t="shared" si="16"/>
        <v>24.19246015158792</v>
      </c>
      <c r="K58">
        <f t="shared" si="16"/>
        <v>26.229876177579246</v>
      </c>
      <c r="N58">
        <v>33</v>
      </c>
      <c r="O58">
        <v>5100</v>
      </c>
      <c r="P58">
        <f t="shared" si="18"/>
        <v>816</v>
      </c>
      <c r="Q58">
        <f t="shared" si="18"/>
        <v>510</v>
      </c>
      <c r="R58">
        <f t="shared" si="18"/>
        <v>510</v>
      </c>
      <c r="S58">
        <f t="shared" si="18"/>
        <v>714</v>
      </c>
      <c r="T58">
        <f t="shared" si="18"/>
        <v>587</v>
      </c>
      <c r="U58">
        <f t="shared" si="18"/>
        <v>740</v>
      </c>
      <c r="V58">
        <f t="shared" si="18"/>
        <v>587</v>
      </c>
      <c r="W58">
        <f t="shared" si="18"/>
        <v>638</v>
      </c>
      <c r="X58">
        <f t="shared" si="18"/>
        <v>587</v>
      </c>
      <c r="Y58">
        <f t="shared" si="18"/>
        <v>587</v>
      </c>
      <c r="Z58">
        <f t="shared" si="18"/>
        <v>740</v>
      </c>
      <c r="AA58">
        <f t="shared" si="18"/>
        <v>638</v>
      </c>
    </row>
    <row r="59" spans="2:27">
      <c r="B59">
        <v>40</v>
      </c>
      <c r="C59">
        <f>(C$10-SUM(C$20:C58))/(ABS(C$11)+C$10-SUM(C57:C58))</f>
        <v>0.32685154322790905</v>
      </c>
      <c r="D59">
        <f>(D$10-SUM(D$20:D58))/(ABS(D$11)+D$10-SUM(D57:D58))</f>
        <v>0.4331694543683498</v>
      </c>
      <c r="E59">
        <f>(E$10-SUM(E$20:E58))/(ABS(E$11)+E$10-SUM(E57:E58))</f>
        <v>0.51217797057791359</v>
      </c>
      <c r="F59">
        <f>(F$10-SUM(F$20:F58))/(ABS(F$11)+F$10-SUM(F57:F58))</f>
        <v>0.57256593986140081</v>
      </c>
      <c r="H59">
        <f t="shared" ref="H59:H122" si="19">H58+C59</f>
        <v>17.665668521333316</v>
      </c>
      <c r="I59">
        <f t="shared" ref="I59:I122" si="20">I58+D59</f>
        <v>21.829668643895925</v>
      </c>
      <c r="J59">
        <f t="shared" ref="J59:J122" si="21">J58+E59</f>
        <v>24.704638122165832</v>
      </c>
      <c r="K59">
        <f t="shared" ref="K59:K122" si="22">K58+F59</f>
        <v>26.802442117440648</v>
      </c>
      <c r="N59">
        <v>34</v>
      </c>
      <c r="O59">
        <v>5300</v>
      </c>
      <c r="P59">
        <f t="shared" ref="P59:AA80" si="23">ROUND($O59*P$24/2,0)</f>
        <v>848</v>
      </c>
      <c r="Q59">
        <f t="shared" si="23"/>
        <v>530</v>
      </c>
      <c r="R59">
        <f t="shared" si="23"/>
        <v>530</v>
      </c>
      <c r="S59">
        <f t="shared" si="23"/>
        <v>742</v>
      </c>
      <c r="T59">
        <f t="shared" si="23"/>
        <v>610</v>
      </c>
      <c r="U59">
        <f t="shared" si="23"/>
        <v>769</v>
      </c>
      <c r="V59">
        <f t="shared" si="23"/>
        <v>610</v>
      </c>
      <c r="W59">
        <f t="shared" si="23"/>
        <v>663</v>
      </c>
      <c r="X59">
        <f t="shared" si="23"/>
        <v>610</v>
      </c>
      <c r="Y59">
        <f t="shared" si="23"/>
        <v>610</v>
      </c>
      <c r="Z59">
        <f t="shared" si="23"/>
        <v>769</v>
      </c>
      <c r="AA59">
        <f t="shared" si="23"/>
        <v>663</v>
      </c>
    </row>
    <row r="60" spans="2:27">
      <c r="B60">
        <v>41</v>
      </c>
      <c r="C60">
        <f>(C$10-SUM(C$20:C59))/(ABS(C$11)+C$10-SUM(C58:C59))</f>
        <v>0.32209200184492576</v>
      </c>
      <c r="D60">
        <f>(D$10-SUM(D$20:D59))/(ABS(D$11)+D$10-SUM(D58:D59))</f>
        <v>0.42826085715764339</v>
      </c>
      <c r="E60">
        <f>(E$10-SUM(E$20:E59))/(ABS(E$11)+E$10-SUM(E58:E59))</f>
        <v>0.50743258530036672</v>
      </c>
      <c r="F60">
        <f>(F$10-SUM(F$20:F59))/(ABS(F$11)+F$10-SUM(F58:F59))</f>
        <v>0.56808195682347939</v>
      </c>
      <c r="H60">
        <f t="shared" si="19"/>
        <v>17.987760523178242</v>
      </c>
      <c r="I60">
        <f t="shared" si="20"/>
        <v>22.257929501053567</v>
      </c>
      <c r="J60">
        <f t="shared" si="21"/>
        <v>25.2120707074662</v>
      </c>
      <c r="K60">
        <f t="shared" si="22"/>
        <v>27.370524074264129</v>
      </c>
      <c r="N60">
        <v>35</v>
      </c>
      <c r="O60">
        <v>5500</v>
      </c>
      <c r="P60">
        <f t="shared" si="23"/>
        <v>880</v>
      </c>
      <c r="Q60">
        <f t="shared" si="23"/>
        <v>550</v>
      </c>
      <c r="R60">
        <f t="shared" si="23"/>
        <v>550</v>
      </c>
      <c r="S60">
        <f t="shared" si="23"/>
        <v>770</v>
      </c>
      <c r="T60">
        <f t="shared" si="23"/>
        <v>633</v>
      </c>
      <c r="U60">
        <f t="shared" si="23"/>
        <v>798</v>
      </c>
      <c r="V60">
        <f t="shared" si="23"/>
        <v>633</v>
      </c>
      <c r="W60">
        <f t="shared" si="23"/>
        <v>688</v>
      </c>
      <c r="X60">
        <f t="shared" si="23"/>
        <v>633</v>
      </c>
      <c r="Y60">
        <f t="shared" si="23"/>
        <v>633</v>
      </c>
      <c r="Z60">
        <f t="shared" si="23"/>
        <v>798</v>
      </c>
      <c r="AA60">
        <f t="shared" si="23"/>
        <v>688</v>
      </c>
    </row>
    <row r="61" spans="2:27">
      <c r="B61">
        <v>42</v>
      </c>
      <c r="C61">
        <f>(C$10-SUM(C$20:C60))/(ABS(C$11)+C$10-SUM(C59:C60))</f>
        <v>0.31740308802834194</v>
      </c>
      <c r="D61">
        <f>(D$10-SUM(D$20:D60))/(ABS(D$11)+D$10-SUM(D59:D60))</f>
        <v>0.42340897583222764</v>
      </c>
      <c r="E61">
        <f>(E$10-SUM(E$20:E60))/(ABS(E$11)+E$10-SUM(E59:E60))</f>
        <v>0.502732001344385</v>
      </c>
      <c r="F61">
        <f>(F$10-SUM(F$20:F60))/(ABS(F$11)+F$10-SUM(F59:F60))</f>
        <v>0.56363371955730446</v>
      </c>
      <c r="H61">
        <f t="shared" si="19"/>
        <v>18.305163611206584</v>
      </c>
      <c r="I61">
        <f t="shared" si="20"/>
        <v>22.681338476885795</v>
      </c>
      <c r="J61">
        <f t="shared" si="21"/>
        <v>25.714802708810584</v>
      </c>
      <c r="K61">
        <f t="shared" si="22"/>
        <v>27.934157793821434</v>
      </c>
      <c r="N61">
        <v>36</v>
      </c>
      <c r="O61">
        <v>5700</v>
      </c>
      <c r="P61">
        <f t="shared" si="23"/>
        <v>912</v>
      </c>
      <c r="Q61">
        <f t="shared" si="23"/>
        <v>570</v>
      </c>
      <c r="R61">
        <f t="shared" si="23"/>
        <v>570</v>
      </c>
      <c r="S61">
        <f t="shared" si="23"/>
        <v>798</v>
      </c>
      <c r="T61">
        <f t="shared" si="23"/>
        <v>656</v>
      </c>
      <c r="U61">
        <f t="shared" si="23"/>
        <v>827</v>
      </c>
      <c r="V61">
        <f t="shared" si="23"/>
        <v>656</v>
      </c>
      <c r="W61">
        <f t="shared" si="23"/>
        <v>713</v>
      </c>
      <c r="X61">
        <f t="shared" si="23"/>
        <v>656</v>
      </c>
      <c r="Y61">
        <f t="shared" si="23"/>
        <v>656</v>
      </c>
      <c r="Z61">
        <f t="shared" si="23"/>
        <v>827</v>
      </c>
      <c r="AA61">
        <f t="shared" si="23"/>
        <v>713</v>
      </c>
    </row>
    <row r="62" spans="2:27">
      <c r="B62">
        <v>43</v>
      </c>
      <c r="C62">
        <f>(C$10-SUM(C$20:C61))/(ABS(C$11)+C$10-SUM(C60:C61))</f>
        <v>0.31278371483749012</v>
      </c>
      <c r="D62">
        <f>(D$10-SUM(D$20:D61))/(ABS(D$11)+D$10-SUM(D60:D61))</f>
        <v>0.41861312997340017</v>
      </c>
      <c r="E62">
        <f>(E$10-SUM(E$20:E61))/(ABS(E$11)+E$10-SUM(E60:E61))</f>
        <v>0.49807578005148079</v>
      </c>
      <c r="F62">
        <f>(F$10-SUM(F$20:F61))/(ABS(F$11)+F$10-SUM(F60:F61))</f>
        <v>0.55922093309789023</v>
      </c>
      <c r="H62">
        <f t="shared" si="19"/>
        <v>18.617947326044074</v>
      </c>
      <c r="I62">
        <f t="shared" si="20"/>
        <v>23.099951606859197</v>
      </c>
      <c r="J62">
        <f t="shared" si="21"/>
        <v>26.212878488862064</v>
      </c>
      <c r="K62">
        <f t="shared" si="22"/>
        <v>28.493378726919325</v>
      </c>
      <c r="N62">
        <v>37</v>
      </c>
      <c r="O62">
        <v>5900</v>
      </c>
      <c r="P62">
        <f t="shared" si="23"/>
        <v>944</v>
      </c>
      <c r="Q62">
        <f t="shared" si="23"/>
        <v>590</v>
      </c>
      <c r="R62">
        <f t="shared" si="23"/>
        <v>590</v>
      </c>
      <c r="S62">
        <f t="shared" si="23"/>
        <v>826</v>
      </c>
      <c r="T62">
        <f t="shared" si="23"/>
        <v>679</v>
      </c>
      <c r="U62">
        <f t="shared" si="23"/>
        <v>856</v>
      </c>
      <c r="V62">
        <f t="shared" si="23"/>
        <v>679</v>
      </c>
      <c r="W62">
        <f t="shared" si="23"/>
        <v>738</v>
      </c>
      <c r="X62">
        <f t="shared" si="23"/>
        <v>679</v>
      </c>
      <c r="Y62">
        <f t="shared" si="23"/>
        <v>679</v>
      </c>
      <c r="Z62">
        <f t="shared" si="23"/>
        <v>856</v>
      </c>
      <c r="AA62">
        <f t="shared" si="23"/>
        <v>738</v>
      </c>
    </row>
    <row r="63" spans="2:27">
      <c r="B63">
        <v>44</v>
      </c>
      <c r="C63">
        <f>(C$10-SUM(C$20:C62))/(ABS(C$11)+C$10-SUM(C61:C62))</f>
        <v>0.30823281321506096</v>
      </c>
      <c r="D63">
        <f>(D$10-SUM(D$20:D62))/(ABS(D$11)+D$10-SUM(D61:D62))</f>
        <v>0.41387264790741285</v>
      </c>
      <c r="E63">
        <f>(E$10-SUM(E$20:E62))/(ABS(E$11)+E$10-SUM(E61:E62))</f>
        <v>0.49346348735561985</v>
      </c>
      <c r="F63">
        <f>(F$10-SUM(F$20:F62))/(ABS(F$11)+F$10-SUM(F61:F62))</f>
        <v>0.5548433050744469</v>
      </c>
      <c r="H63">
        <f t="shared" si="19"/>
        <v>18.926180139259134</v>
      </c>
      <c r="I63">
        <f t="shared" si="20"/>
        <v>23.513824254766611</v>
      </c>
      <c r="J63">
        <f t="shared" si="21"/>
        <v>26.706341976217683</v>
      </c>
      <c r="K63">
        <f t="shared" si="22"/>
        <v>29.04822203199377</v>
      </c>
      <c r="N63">
        <v>38</v>
      </c>
      <c r="O63">
        <v>6100</v>
      </c>
      <c r="P63">
        <f t="shared" si="23"/>
        <v>976</v>
      </c>
      <c r="Q63">
        <f t="shared" si="23"/>
        <v>610</v>
      </c>
      <c r="R63">
        <f t="shared" si="23"/>
        <v>610</v>
      </c>
      <c r="S63">
        <f t="shared" si="23"/>
        <v>854</v>
      </c>
      <c r="T63">
        <f t="shared" si="23"/>
        <v>702</v>
      </c>
      <c r="U63">
        <f t="shared" si="23"/>
        <v>885</v>
      </c>
      <c r="V63">
        <f t="shared" si="23"/>
        <v>702</v>
      </c>
      <c r="W63">
        <f t="shared" si="23"/>
        <v>763</v>
      </c>
      <c r="X63">
        <f t="shared" si="23"/>
        <v>702</v>
      </c>
      <c r="Y63">
        <f t="shared" si="23"/>
        <v>702</v>
      </c>
      <c r="Z63">
        <f t="shared" si="23"/>
        <v>885</v>
      </c>
      <c r="AA63">
        <f t="shared" si="23"/>
        <v>763</v>
      </c>
    </row>
    <row r="64" spans="2:27">
      <c r="B64">
        <v>45</v>
      </c>
      <c r="C64">
        <f>(C$10-SUM(C$20:C63))/(ABS(C$11)+C$10-SUM(C62:C63))</f>
        <v>0.3037493316583661</v>
      </c>
      <c r="D64">
        <f>(D$10-SUM(D$20:D63))/(ABS(D$11)+D$10-SUM(D62:D63))</f>
        <v>0.40918686657951614</v>
      </c>
      <c r="E64">
        <f>(E$10-SUM(E$20:E63))/(ABS(E$11)+E$10-SUM(E62:E63))</f>
        <v>0.48889469372947325</v>
      </c>
      <c r="F64">
        <f>(F$10-SUM(F$20:F63))/(ABS(F$11)+F$10-SUM(F62:F63))</f>
        <v>0.55050054568498641</v>
      </c>
      <c r="H64">
        <f t="shared" si="19"/>
        <v>19.229929470917501</v>
      </c>
      <c r="I64">
        <f t="shared" si="20"/>
        <v>23.923011121346129</v>
      </c>
      <c r="J64">
        <f t="shared" si="21"/>
        <v>27.195236669947157</v>
      </c>
      <c r="K64">
        <f t="shared" si="22"/>
        <v>29.598722577678757</v>
      </c>
      <c r="N64">
        <v>39</v>
      </c>
      <c r="O64">
        <v>6300</v>
      </c>
      <c r="P64">
        <f t="shared" si="23"/>
        <v>1008</v>
      </c>
      <c r="Q64">
        <f t="shared" si="23"/>
        <v>630</v>
      </c>
      <c r="R64">
        <f t="shared" si="23"/>
        <v>630</v>
      </c>
      <c r="S64">
        <f t="shared" si="23"/>
        <v>882</v>
      </c>
      <c r="T64">
        <f t="shared" si="23"/>
        <v>725</v>
      </c>
      <c r="U64">
        <f t="shared" si="23"/>
        <v>914</v>
      </c>
      <c r="V64">
        <f t="shared" si="23"/>
        <v>725</v>
      </c>
      <c r="W64">
        <f t="shared" si="23"/>
        <v>788</v>
      </c>
      <c r="X64">
        <f t="shared" si="23"/>
        <v>725</v>
      </c>
      <c r="Y64">
        <f t="shared" si="23"/>
        <v>725</v>
      </c>
      <c r="Z64">
        <f t="shared" si="23"/>
        <v>914</v>
      </c>
      <c r="AA64">
        <f t="shared" si="23"/>
        <v>788</v>
      </c>
    </row>
    <row r="65" spans="2:27">
      <c r="B65">
        <v>46</v>
      </c>
      <c r="C65">
        <f>(C$10-SUM(C$20:C64))/(ABS(C$11)+C$10-SUM(C63:C64))</f>
        <v>0.29933223589767016</v>
      </c>
      <c r="D65">
        <f>(D$10-SUM(D$20:D64))/(ABS(D$11)+D$10-SUM(D63:D64))</f>
        <v>0.40455513143013277</v>
      </c>
      <c r="E65">
        <f>(E$10-SUM(E$20:E64))/(ABS(E$11)+E$10-SUM(E63:E64))</f>
        <v>0.48436897413140567</v>
      </c>
      <c r="F65">
        <f>(F$10-SUM(F$20:F64))/(ABS(F$11)+F$10-SUM(F63:F64))</f>
        <v>0.54619236767121815</v>
      </c>
      <c r="H65">
        <f t="shared" si="19"/>
        <v>19.52926170681517</v>
      </c>
      <c r="I65">
        <f t="shared" si="20"/>
        <v>24.327566252776261</v>
      </c>
      <c r="J65">
        <f t="shared" si="21"/>
        <v>27.679605644078563</v>
      </c>
      <c r="K65">
        <f t="shared" si="22"/>
        <v>30.144914945349974</v>
      </c>
      <c r="N65">
        <v>40</v>
      </c>
      <c r="O65">
        <v>6500</v>
      </c>
      <c r="P65">
        <f t="shared" si="23"/>
        <v>1040</v>
      </c>
      <c r="Q65">
        <f t="shared" si="23"/>
        <v>650</v>
      </c>
      <c r="R65">
        <f t="shared" si="23"/>
        <v>650</v>
      </c>
      <c r="S65">
        <f t="shared" si="23"/>
        <v>910</v>
      </c>
      <c r="T65">
        <f t="shared" si="23"/>
        <v>748</v>
      </c>
      <c r="U65">
        <f t="shared" si="23"/>
        <v>943</v>
      </c>
      <c r="V65">
        <f t="shared" si="23"/>
        <v>748</v>
      </c>
      <c r="W65">
        <f t="shared" si="23"/>
        <v>813</v>
      </c>
      <c r="X65">
        <f t="shared" si="23"/>
        <v>748</v>
      </c>
      <c r="Y65">
        <f t="shared" si="23"/>
        <v>748</v>
      </c>
      <c r="Z65">
        <f t="shared" si="23"/>
        <v>943</v>
      </c>
      <c r="AA65">
        <f t="shared" si="23"/>
        <v>813</v>
      </c>
    </row>
    <row r="66" spans="2:27">
      <c r="B66">
        <v>47</v>
      </c>
      <c r="C66">
        <f>(C$10-SUM(C$20:C65))/(ABS(C$11)+C$10-SUM(C64:C65))</f>
        <v>0.29498050858140829</v>
      </c>
      <c r="D66">
        <f>(D$10-SUM(D$20:D65))/(ABS(D$11)+D$10-SUM(D64:D65))</f>
        <v>0.39997679627311689</v>
      </c>
      <c r="E66">
        <f>(E$10-SUM(E$20:E65))/(ABS(E$11)+E$10-SUM(E64:E65))</f>
        <v>0.4798859079531882</v>
      </c>
      <c r="F66">
        <f>(F$10-SUM(F$20:F65))/(ABS(F$11)+F$10-SUM(F64:F65))</f>
        <v>0.54191848629373152</v>
      </c>
      <c r="H66">
        <f t="shared" si="19"/>
        <v>19.824242215396577</v>
      </c>
      <c r="I66">
        <f t="shared" si="20"/>
        <v>24.727543049049377</v>
      </c>
      <c r="J66">
        <f t="shared" si="21"/>
        <v>28.159491552031753</v>
      </c>
      <c r="K66">
        <f t="shared" si="22"/>
        <v>30.686833431643706</v>
      </c>
      <c r="N66">
        <v>41</v>
      </c>
      <c r="O66">
        <v>6700</v>
      </c>
      <c r="P66">
        <f t="shared" si="23"/>
        <v>1072</v>
      </c>
      <c r="Q66">
        <f t="shared" si="23"/>
        <v>670</v>
      </c>
      <c r="R66">
        <f t="shared" si="23"/>
        <v>670</v>
      </c>
      <c r="S66">
        <f t="shared" si="23"/>
        <v>938</v>
      </c>
      <c r="T66">
        <f t="shared" si="23"/>
        <v>771</v>
      </c>
      <c r="U66">
        <f t="shared" si="23"/>
        <v>972</v>
      </c>
      <c r="V66">
        <f t="shared" si="23"/>
        <v>771</v>
      </c>
      <c r="W66">
        <f t="shared" si="23"/>
        <v>838</v>
      </c>
      <c r="X66">
        <f t="shared" si="23"/>
        <v>771</v>
      </c>
      <c r="Y66">
        <f t="shared" si="23"/>
        <v>771</v>
      </c>
      <c r="Z66">
        <f t="shared" si="23"/>
        <v>972</v>
      </c>
      <c r="AA66">
        <f t="shared" si="23"/>
        <v>838</v>
      </c>
    </row>
    <row r="67" spans="2:27">
      <c r="B67">
        <v>48</v>
      </c>
      <c r="C67">
        <f>(C$10-SUM(C$20:C66))/(ABS(C$11)+C$10-SUM(C65:C66))</f>
        <v>0.29069314896811327</v>
      </c>
      <c r="D67">
        <f>(D$10-SUM(D$20:D66))/(ABS(D$11)+D$10-SUM(D65:D66))</f>
        <v>0.3954512231760563</v>
      </c>
      <c r="E67">
        <f>(E$10-SUM(E$20:E66))/(ABS(E$11)+E$10-SUM(E65:E66))</f>
        <v>0.47544507896842403</v>
      </c>
      <c r="F67">
        <f>(F$10-SUM(F$20:F66))/(ABS(F$11)+F$10-SUM(F65:F66))</f>
        <v>0.53767861930745875</v>
      </c>
      <c r="H67">
        <f t="shared" si="19"/>
        <v>20.11493536436469</v>
      </c>
      <c r="I67">
        <f t="shared" si="20"/>
        <v>25.122994272225434</v>
      </c>
      <c r="J67">
        <f t="shared" si="21"/>
        <v>28.634936631000176</v>
      </c>
      <c r="K67">
        <f t="shared" si="22"/>
        <v>31.224512050951166</v>
      </c>
      <c r="N67">
        <v>42</v>
      </c>
      <c r="O67">
        <v>6900</v>
      </c>
      <c r="P67">
        <f t="shared" si="23"/>
        <v>1104</v>
      </c>
      <c r="Q67">
        <f t="shared" si="23"/>
        <v>690</v>
      </c>
      <c r="R67">
        <f t="shared" si="23"/>
        <v>690</v>
      </c>
      <c r="S67">
        <f t="shared" si="23"/>
        <v>966</v>
      </c>
      <c r="T67">
        <f t="shared" si="23"/>
        <v>794</v>
      </c>
      <c r="U67">
        <f t="shared" si="23"/>
        <v>1001</v>
      </c>
      <c r="V67">
        <f t="shared" si="23"/>
        <v>794</v>
      </c>
      <c r="W67">
        <f t="shared" si="23"/>
        <v>863</v>
      </c>
      <c r="X67">
        <f t="shared" si="23"/>
        <v>794</v>
      </c>
      <c r="Y67">
        <f t="shared" si="23"/>
        <v>794</v>
      </c>
      <c r="Z67">
        <f t="shared" si="23"/>
        <v>1001</v>
      </c>
      <c r="AA67">
        <f t="shared" si="23"/>
        <v>863</v>
      </c>
    </row>
    <row r="68" spans="2:27">
      <c r="B68">
        <v>49</v>
      </c>
      <c r="C68">
        <f>(C$10-SUM(C$20:C67))/(ABS(C$11)+C$10-SUM(C66:C67))</f>
        <v>0.28646917262488153</v>
      </c>
      <c r="D68">
        <f>(D$10-SUM(D$20:D67))/(ABS(D$11)+D$10-SUM(D66:D67))</f>
        <v>0.39097778234257724</v>
      </c>
      <c r="E68">
        <f>(E$10-SUM(E$20:E67))/(ABS(E$11)+E$10-SUM(E66:E67))</f>
        <v>0.47104607528167475</v>
      </c>
      <c r="F68">
        <f>(F$10-SUM(F$20:F67))/(ABS(F$11)+F$10-SUM(F66:F67))</f>
        <v>0.533472486937418</v>
      </c>
      <c r="H68">
        <f t="shared" si="19"/>
        <v>20.40140453698957</v>
      </c>
      <c r="I68">
        <f t="shared" si="20"/>
        <v>25.513972054568011</v>
      </c>
      <c r="J68">
        <f t="shared" si="21"/>
        <v>29.10598270628185</v>
      </c>
      <c r="K68">
        <f t="shared" si="22"/>
        <v>31.757984537888582</v>
      </c>
      <c r="N68">
        <v>43</v>
      </c>
      <c r="O68">
        <v>7100</v>
      </c>
      <c r="P68">
        <f t="shared" si="23"/>
        <v>1136</v>
      </c>
      <c r="Q68">
        <f t="shared" si="23"/>
        <v>710</v>
      </c>
      <c r="R68">
        <f t="shared" si="23"/>
        <v>710</v>
      </c>
      <c r="S68">
        <f t="shared" si="23"/>
        <v>994</v>
      </c>
      <c r="T68">
        <f t="shared" si="23"/>
        <v>817</v>
      </c>
      <c r="U68">
        <f t="shared" si="23"/>
        <v>1030</v>
      </c>
      <c r="V68">
        <f t="shared" si="23"/>
        <v>817</v>
      </c>
      <c r="W68">
        <f t="shared" si="23"/>
        <v>888</v>
      </c>
      <c r="X68">
        <f t="shared" si="23"/>
        <v>817</v>
      </c>
      <c r="Y68">
        <f t="shared" si="23"/>
        <v>817</v>
      </c>
      <c r="Z68">
        <f t="shared" si="23"/>
        <v>1030</v>
      </c>
      <c r="AA68">
        <f t="shared" si="23"/>
        <v>888</v>
      </c>
    </row>
    <row r="69" spans="2:27">
      <c r="B69">
        <v>50</v>
      </c>
      <c r="C69">
        <f>(C$10-SUM(C$20:C68))/(ABS(C$11)+C$10-SUM(C67:C68))</f>
        <v>0.28230761113221242</v>
      </c>
      <c r="D69">
        <f>(D$10-SUM(D$20:D68))/(ABS(D$11)+D$10-SUM(D67:D68))</f>
        <v>0.38655585199661208</v>
      </c>
      <c r="E69">
        <f>(E$10-SUM(E$20:E68))/(ABS(E$11)+E$10-SUM(E67:E68))</f>
        <v>0.46668848927827616</v>
      </c>
      <c r="F69">
        <f>(F$10-SUM(F$20:F68))/(ABS(F$11)+F$10-SUM(F67:F68))</f>
        <v>0.52929981185472941</v>
      </c>
      <c r="H69">
        <f t="shared" si="19"/>
        <v>20.683712148121781</v>
      </c>
      <c r="I69">
        <f t="shared" si="20"/>
        <v>25.900527906564623</v>
      </c>
      <c r="J69">
        <f t="shared" si="21"/>
        <v>29.572671195560126</v>
      </c>
      <c r="K69">
        <f t="shared" si="22"/>
        <v>32.28728434974331</v>
      </c>
      <c r="N69">
        <v>44</v>
      </c>
      <c r="O69">
        <v>7300</v>
      </c>
      <c r="P69">
        <f t="shared" si="23"/>
        <v>1168</v>
      </c>
      <c r="Q69">
        <f t="shared" si="23"/>
        <v>730</v>
      </c>
      <c r="R69">
        <f t="shared" si="23"/>
        <v>730</v>
      </c>
      <c r="S69">
        <f t="shared" si="23"/>
        <v>1022</v>
      </c>
      <c r="T69">
        <f t="shared" si="23"/>
        <v>840</v>
      </c>
      <c r="U69">
        <f t="shared" si="23"/>
        <v>1059</v>
      </c>
      <c r="V69">
        <f t="shared" si="23"/>
        <v>840</v>
      </c>
      <c r="W69">
        <f t="shared" si="23"/>
        <v>913</v>
      </c>
      <c r="X69">
        <f t="shared" si="23"/>
        <v>840</v>
      </c>
      <c r="Y69">
        <f t="shared" si="23"/>
        <v>840</v>
      </c>
      <c r="Z69">
        <f t="shared" si="23"/>
        <v>1059</v>
      </c>
      <c r="AA69">
        <f t="shared" si="23"/>
        <v>913</v>
      </c>
    </row>
    <row r="70" spans="2:27">
      <c r="B70">
        <v>51</v>
      </c>
      <c r="C70">
        <f>(C$10-SUM(C$20:C69))/(ABS(C$11)+C$10-SUM(C68:C69))</f>
        <v>0.2782075117950582</v>
      </c>
      <c r="D70">
        <f>(D$10-SUM(D$20:D69))/(ABS(D$11)+D$10-SUM(D68:D69))</f>
        <v>0.38218481826858913</v>
      </c>
      <c r="E70">
        <f>(E$10-SUM(E$20:E69))/(ABS(E$11)+E$10-SUM(E68:E69))</f>
        <v>0.46237191757483326</v>
      </c>
      <c r="F70">
        <f>(F$10-SUM(F$20:F69))/(ABS(F$11)+F$10-SUM(F68:F69))</f>
        <v>0.52516031915290173</v>
      </c>
      <c r="H70">
        <f t="shared" si="19"/>
        <v>20.961919659916841</v>
      </c>
      <c r="I70">
        <f t="shared" si="20"/>
        <v>26.28271272483321</v>
      </c>
      <c r="J70">
        <f t="shared" si="21"/>
        <v>30.035043113134961</v>
      </c>
      <c r="K70">
        <f t="shared" si="22"/>
        <v>32.812444668896212</v>
      </c>
      <c r="N70">
        <v>45</v>
      </c>
      <c r="O70">
        <v>7500</v>
      </c>
      <c r="P70">
        <f t="shared" si="23"/>
        <v>1200</v>
      </c>
      <c r="Q70">
        <f t="shared" si="23"/>
        <v>750</v>
      </c>
      <c r="R70">
        <f t="shared" si="23"/>
        <v>750</v>
      </c>
      <c r="S70">
        <f t="shared" si="23"/>
        <v>1050</v>
      </c>
      <c r="T70">
        <f t="shared" si="23"/>
        <v>863</v>
      </c>
      <c r="U70">
        <f t="shared" si="23"/>
        <v>1088</v>
      </c>
      <c r="V70">
        <f t="shared" si="23"/>
        <v>863</v>
      </c>
      <c r="W70">
        <f t="shared" si="23"/>
        <v>938</v>
      </c>
      <c r="X70">
        <f t="shared" si="23"/>
        <v>863</v>
      </c>
      <c r="Y70">
        <f t="shared" si="23"/>
        <v>863</v>
      </c>
      <c r="Z70">
        <f t="shared" si="23"/>
        <v>1088</v>
      </c>
      <c r="AA70">
        <f t="shared" si="23"/>
        <v>938</v>
      </c>
    </row>
    <row r="71" spans="2:27">
      <c r="B71">
        <v>52</v>
      </c>
      <c r="C71">
        <f>(C$10-SUM(C$20:C70))/(ABS(C$11)+C$10-SUM(C69:C70))</f>
        <v>0.27416793735993111</v>
      </c>
      <c r="D71">
        <f>(D$10-SUM(D$20:D70))/(ABS(D$11)+D$10-SUM(D69:D70))</f>
        <v>0.37786407508350695</v>
      </c>
      <c r="E71">
        <f>(E$10-SUM(E$20:E70))/(ABS(E$11)+E$10-SUM(E69:E70))</f>
        <v>0.45809596097038136</v>
      </c>
      <c r="F71">
        <f>(F$10-SUM(F$20:F70))/(ABS(F$11)+F$10-SUM(F69:F70))</f>
        <v>0.52105373632438789</v>
      </c>
      <c r="H71">
        <f t="shared" si="19"/>
        <v>21.236087597276772</v>
      </c>
      <c r="I71">
        <f t="shared" si="20"/>
        <v>26.660576799916718</v>
      </c>
      <c r="J71">
        <f t="shared" si="21"/>
        <v>30.493139074105343</v>
      </c>
      <c r="K71">
        <f t="shared" si="22"/>
        <v>33.333498405220602</v>
      </c>
      <c r="N71">
        <v>46</v>
      </c>
      <c r="O71">
        <v>7700</v>
      </c>
      <c r="P71">
        <f t="shared" si="23"/>
        <v>1232</v>
      </c>
      <c r="Q71">
        <f t="shared" si="23"/>
        <v>770</v>
      </c>
      <c r="R71">
        <f t="shared" si="23"/>
        <v>770</v>
      </c>
      <c r="S71">
        <f t="shared" si="23"/>
        <v>1078</v>
      </c>
      <c r="T71">
        <f t="shared" si="23"/>
        <v>886</v>
      </c>
      <c r="U71">
        <f t="shared" si="23"/>
        <v>1117</v>
      </c>
      <c r="V71">
        <f t="shared" si="23"/>
        <v>886</v>
      </c>
      <c r="W71">
        <f t="shared" si="23"/>
        <v>963</v>
      </c>
      <c r="X71">
        <f t="shared" si="23"/>
        <v>886</v>
      </c>
      <c r="Y71">
        <f t="shared" si="23"/>
        <v>886</v>
      </c>
      <c r="Z71">
        <f t="shared" si="23"/>
        <v>1117</v>
      </c>
      <c r="AA71">
        <f t="shared" si="23"/>
        <v>963</v>
      </c>
    </row>
    <row r="72" spans="2:27">
      <c r="B72">
        <v>53</v>
      </c>
      <c r="C72">
        <f>(C$10-SUM(C$20:C71))/(ABS(C$11)+C$10-SUM(C70:C71))</f>
        <v>0.27018796573791404</v>
      </c>
      <c r="D72">
        <f>(D$10-SUM(D$20:D71))/(ABS(D$11)+D$10-SUM(D70:D71))</f>
        <v>0.37359302405085776</v>
      </c>
      <c r="E72">
        <f>(E$10-SUM(E$20:E71))/(ABS(E$11)+E$10-SUM(E70:E71))</f>
        <v>0.45386022439820478</v>
      </c>
      <c r="F72">
        <f>(F$10-SUM(F$20:F71))/(ABS(F$11)+F$10-SUM(F70:F71))</f>
        <v>0.51697979323740084</v>
      </c>
      <c r="H72">
        <f t="shared" si="19"/>
        <v>21.506275563014686</v>
      </c>
      <c r="I72">
        <f t="shared" si="20"/>
        <v>27.034169823967577</v>
      </c>
      <c r="J72">
        <f t="shared" si="21"/>
        <v>30.946999298503549</v>
      </c>
      <c r="K72">
        <f t="shared" si="22"/>
        <v>33.850478198458006</v>
      </c>
      <c r="N72">
        <v>47</v>
      </c>
      <c r="O72">
        <v>7900</v>
      </c>
      <c r="P72">
        <f t="shared" si="23"/>
        <v>1264</v>
      </c>
      <c r="Q72">
        <f t="shared" si="23"/>
        <v>790</v>
      </c>
      <c r="R72">
        <f t="shared" si="23"/>
        <v>790</v>
      </c>
      <c r="S72">
        <f t="shared" si="23"/>
        <v>1106</v>
      </c>
      <c r="T72">
        <f t="shared" si="23"/>
        <v>909</v>
      </c>
      <c r="U72">
        <f t="shared" si="23"/>
        <v>1146</v>
      </c>
      <c r="V72">
        <f t="shared" si="23"/>
        <v>909</v>
      </c>
      <c r="W72">
        <f t="shared" si="23"/>
        <v>988</v>
      </c>
      <c r="X72">
        <f t="shared" si="23"/>
        <v>909</v>
      </c>
      <c r="Y72">
        <f t="shared" si="23"/>
        <v>909</v>
      </c>
      <c r="Z72">
        <f t="shared" si="23"/>
        <v>1146</v>
      </c>
      <c r="AA72">
        <f t="shared" si="23"/>
        <v>988</v>
      </c>
    </row>
    <row r="73" spans="2:27">
      <c r="B73">
        <v>54</v>
      </c>
      <c r="C73">
        <f>(C$10-SUM(C$20:C72))/(ABS(C$11)+C$10-SUM(C71:C72))</f>
        <v>0.26626668973342899</v>
      </c>
      <c r="D73">
        <f>(D$10-SUM(D$20:D72))/(ABS(D$11)+D$10-SUM(D71:D72))</f>
        <v>0.36937107435636002</v>
      </c>
      <c r="E73">
        <f>(E$10-SUM(E$20:E72))/(ABS(E$11)+E$10-SUM(E71:E72))</f>
        <v>0.44966431687830144</v>
      </c>
      <c r="F73">
        <f>(F$10-SUM(F$20:F72))/(ABS(F$11)+F$10-SUM(F71:F72))</f>
        <v>0.51293822211299311</v>
      </c>
      <c r="H73">
        <f t="shared" si="19"/>
        <v>21.772542252748114</v>
      </c>
      <c r="I73">
        <f t="shared" si="20"/>
        <v>27.403540898323936</v>
      </c>
      <c r="J73">
        <f t="shared" si="21"/>
        <v>31.396663615381851</v>
      </c>
      <c r="K73">
        <f t="shared" si="22"/>
        <v>34.363416420570999</v>
      </c>
      <c r="N73">
        <v>48</v>
      </c>
      <c r="O73">
        <v>8100</v>
      </c>
      <c r="P73">
        <f t="shared" si="23"/>
        <v>1296</v>
      </c>
      <c r="Q73">
        <f t="shared" si="23"/>
        <v>810</v>
      </c>
      <c r="R73">
        <f t="shared" si="23"/>
        <v>810</v>
      </c>
      <c r="S73">
        <f t="shared" si="23"/>
        <v>1134</v>
      </c>
      <c r="T73">
        <f t="shared" si="23"/>
        <v>932</v>
      </c>
      <c r="U73">
        <f t="shared" si="23"/>
        <v>1175</v>
      </c>
      <c r="V73">
        <f t="shared" si="23"/>
        <v>932</v>
      </c>
      <c r="W73">
        <f t="shared" si="23"/>
        <v>1013</v>
      </c>
      <c r="X73">
        <f t="shared" si="23"/>
        <v>932</v>
      </c>
      <c r="Y73">
        <f t="shared" si="23"/>
        <v>932</v>
      </c>
      <c r="Z73">
        <f t="shared" si="23"/>
        <v>1175</v>
      </c>
      <c r="AA73">
        <f t="shared" si="23"/>
        <v>1013</v>
      </c>
    </row>
    <row r="74" spans="2:27">
      <c r="B74">
        <v>55</v>
      </c>
      <c r="C74">
        <f>(C$10-SUM(C$20:C73))/(ABS(C$11)+C$10-SUM(C72:C73))</f>
        <v>0.2624032167786205</v>
      </c>
      <c r="D74">
        <f>(D$10-SUM(D$20:D73))/(ABS(D$11)+D$10-SUM(D72:D73))</f>
        <v>0.36519764265546689</v>
      </c>
      <c r="E74">
        <f>(E$10-SUM(E$20:E73))/(ABS(E$11)+E$10-SUM(E72:E73))</f>
        <v>0.44550785147048272</v>
      </c>
      <c r="F74">
        <f>(F$10-SUM(F$20:F73))/(ABS(F$11)+F$10-SUM(F72:F73))</f>
        <v>0.50892875750238931</v>
      </c>
      <c r="H74">
        <f t="shared" si="19"/>
        <v>22.034945469526733</v>
      </c>
      <c r="I74">
        <f t="shared" si="20"/>
        <v>27.768738540979403</v>
      </c>
      <c r="J74">
        <f t="shared" si="21"/>
        <v>31.842171466852335</v>
      </c>
      <c r="K74">
        <f t="shared" si="22"/>
        <v>34.872345178073388</v>
      </c>
      <c r="N74">
        <v>49</v>
      </c>
      <c r="O74">
        <v>8300</v>
      </c>
      <c r="P74">
        <f t="shared" si="23"/>
        <v>1328</v>
      </c>
      <c r="Q74">
        <f t="shared" si="23"/>
        <v>830</v>
      </c>
      <c r="R74">
        <f t="shared" si="23"/>
        <v>830</v>
      </c>
      <c r="S74">
        <f t="shared" si="23"/>
        <v>1162</v>
      </c>
      <c r="T74">
        <f t="shared" si="23"/>
        <v>955</v>
      </c>
      <c r="U74">
        <f t="shared" si="23"/>
        <v>1204</v>
      </c>
      <c r="V74">
        <f t="shared" si="23"/>
        <v>955</v>
      </c>
      <c r="W74">
        <f t="shared" si="23"/>
        <v>1038</v>
      </c>
      <c r="X74">
        <f t="shared" si="23"/>
        <v>955</v>
      </c>
      <c r="Y74">
        <f t="shared" si="23"/>
        <v>955</v>
      </c>
      <c r="Z74">
        <f t="shared" si="23"/>
        <v>1204</v>
      </c>
      <c r="AA74">
        <f t="shared" si="23"/>
        <v>1038</v>
      </c>
    </row>
    <row r="75" spans="2:27">
      <c r="B75">
        <v>56</v>
      </c>
      <c r="C75">
        <f>(C$10-SUM(C$20:C74))/(ABS(C$11)+C$10-SUM(C73:C74))</f>
        <v>0.25859666867321518</v>
      </c>
      <c r="D75">
        <f>(D$10-SUM(D$20:D74))/(ABS(D$11)+D$10-SUM(D73:D74))</f>
        <v>0.36107215296861617</v>
      </c>
      <c r="E75">
        <f>(E$10-SUM(E$20:E74))/(ABS(E$11)+E$10-SUM(E73:E74))</f>
        <v>0.44139044522809939</v>
      </c>
      <c r="F75">
        <f>(F$10-SUM(F$20:F74))/(ABS(F$11)+F$10-SUM(F73:F74))</f>
        <v>0.50495113626457422</v>
      </c>
      <c r="H75">
        <f t="shared" si="19"/>
        <v>22.293542138199946</v>
      </c>
      <c r="I75">
        <f t="shared" si="20"/>
        <v>28.12981069394802</v>
      </c>
      <c r="J75">
        <f t="shared" si="21"/>
        <v>32.283561912080437</v>
      </c>
      <c r="K75">
        <f t="shared" si="22"/>
        <v>35.377296314337961</v>
      </c>
      <c r="N75">
        <v>50</v>
      </c>
      <c r="O75">
        <v>8500</v>
      </c>
      <c r="P75">
        <f t="shared" si="23"/>
        <v>1360</v>
      </c>
      <c r="Q75">
        <f t="shared" si="23"/>
        <v>850</v>
      </c>
      <c r="R75">
        <f t="shared" si="23"/>
        <v>850</v>
      </c>
      <c r="S75">
        <f t="shared" si="23"/>
        <v>1190</v>
      </c>
      <c r="T75">
        <f t="shared" si="23"/>
        <v>978</v>
      </c>
      <c r="U75">
        <f t="shared" si="23"/>
        <v>1233</v>
      </c>
      <c r="V75">
        <f t="shared" si="23"/>
        <v>978</v>
      </c>
      <c r="W75">
        <f t="shared" si="23"/>
        <v>1063</v>
      </c>
      <c r="X75">
        <f t="shared" si="23"/>
        <v>978</v>
      </c>
      <c r="Y75">
        <f t="shared" si="23"/>
        <v>978</v>
      </c>
      <c r="Z75">
        <f t="shared" si="23"/>
        <v>1233</v>
      </c>
      <c r="AA75">
        <f t="shared" si="23"/>
        <v>1063</v>
      </c>
    </row>
    <row r="76" spans="2:27">
      <c r="B76">
        <v>57</v>
      </c>
      <c r="C76">
        <f>(C$10-SUM(C$20:C75))/(ABS(C$11)+C$10-SUM(C74:C75))</f>
        <v>0.25484618132972392</v>
      </c>
      <c r="D76">
        <f>(D$10-SUM(D$20:D75))/(ABS(D$11)+D$10-SUM(D74:D75))</f>
        <v>0.35699403657818479</v>
      </c>
      <c r="E76">
        <f>(E$10-SUM(E$20:E75))/(ABS(E$11)+E$10-SUM(E74:E75))</f>
        <v>0.43731171915238309</v>
      </c>
      <c r="F76">
        <f>(F$10-SUM(F$20:F75))/(ABS(F$11)+F$10-SUM(F74:F75))</f>
        <v>0.50100509754412903</v>
      </c>
      <c r="H76">
        <f t="shared" si="19"/>
        <v>22.548388319529671</v>
      </c>
      <c r="I76">
        <f t="shared" si="20"/>
        <v>28.486804730526206</v>
      </c>
      <c r="J76">
        <f t="shared" si="21"/>
        <v>32.72087363123282</v>
      </c>
      <c r="K76">
        <f t="shared" si="22"/>
        <v>35.878301411882092</v>
      </c>
      <c r="N76">
        <v>51</v>
      </c>
      <c r="O76">
        <v>8700</v>
      </c>
      <c r="P76">
        <f t="shared" si="23"/>
        <v>1392</v>
      </c>
      <c r="Q76">
        <f t="shared" si="23"/>
        <v>870</v>
      </c>
      <c r="R76">
        <f t="shared" si="23"/>
        <v>870</v>
      </c>
      <c r="S76">
        <f t="shared" si="23"/>
        <v>1218</v>
      </c>
      <c r="T76">
        <f t="shared" si="23"/>
        <v>1001</v>
      </c>
      <c r="U76">
        <f t="shared" si="23"/>
        <v>1262</v>
      </c>
      <c r="V76">
        <f t="shared" si="23"/>
        <v>1001</v>
      </c>
      <c r="W76">
        <f t="shared" si="23"/>
        <v>1088</v>
      </c>
      <c r="X76">
        <f t="shared" si="23"/>
        <v>1001</v>
      </c>
      <c r="Y76">
        <f t="shared" si="23"/>
        <v>1001</v>
      </c>
      <c r="Z76">
        <f t="shared" si="23"/>
        <v>1262</v>
      </c>
      <c r="AA76">
        <f t="shared" si="23"/>
        <v>1088</v>
      </c>
    </row>
    <row r="77" spans="2:27">
      <c r="B77">
        <v>58</v>
      </c>
      <c r="C77">
        <f>(C$10-SUM(C$20:C76))/(ABS(C$11)+C$10-SUM(C75:C76))</f>
        <v>0.25115090452385536</v>
      </c>
      <c r="D77">
        <f>(D$10-SUM(D$20:D76))/(ABS(D$11)+D$10-SUM(D75:D76))</f>
        <v>0.35296273192711924</v>
      </c>
      <c r="E77">
        <f>(E$10-SUM(E$20:E76))/(ABS(E$11)+E$10-SUM(E75:E76))</f>
        <v>0.43327129814739307</v>
      </c>
      <c r="F77">
        <f>(F$10-SUM(F$20:F76))/(ABS(F$11)+F$10-SUM(F75:F76))</f>
        <v>0.49709038274931494</v>
      </c>
      <c r="H77">
        <f t="shared" si="19"/>
        <v>22.799539224053525</v>
      </c>
      <c r="I77">
        <f t="shared" si="20"/>
        <v>28.839767462453324</v>
      </c>
      <c r="J77">
        <f t="shared" si="21"/>
        <v>33.154144929380216</v>
      </c>
      <c r="K77">
        <f t="shared" si="22"/>
        <v>36.375391794631405</v>
      </c>
      <c r="N77">
        <v>52</v>
      </c>
      <c r="O77">
        <v>8900</v>
      </c>
      <c r="P77">
        <f t="shared" si="23"/>
        <v>1424</v>
      </c>
      <c r="Q77">
        <f t="shared" si="23"/>
        <v>890</v>
      </c>
      <c r="R77">
        <f t="shared" si="23"/>
        <v>890</v>
      </c>
      <c r="S77">
        <f t="shared" si="23"/>
        <v>1246</v>
      </c>
      <c r="T77">
        <f t="shared" si="23"/>
        <v>1024</v>
      </c>
      <c r="U77">
        <f t="shared" si="23"/>
        <v>1291</v>
      </c>
      <c r="V77">
        <f t="shared" si="23"/>
        <v>1024</v>
      </c>
      <c r="W77">
        <f t="shared" si="23"/>
        <v>1113</v>
      </c>
      <c r="X77">
        <f t="shared" si="23"/>
        <v>1024</v>
      </c>
      <c r="Y77">
        <f t="shared" si="23"/>
        <v>1024</v>
      </c>
      <c r="Z77">
        <f t="shared" si="23"/>
        <v>1291</v>
      </c>
      <c r="AA77">
        <f t="shared" si="23"/>
        <v>1113</v>
      </c>
    </row>
    <row r="78" spans="2:27">
      <c r="B78">
        <v>59</v>
      </c>
      <c r="C78">
        <f>(C$10-SUM(C$20:C77))/(ABS(C$11)+C$10-SUM(C76:C77))</f>
        <v>0.24751000165001424</v>
      </c>
      <c r="D78">
        <f>(D$10-SUM(D$20:D77))/(ABS(D$11)+D$10-SUM(D76:D77))</f>
        <v>0.34897768451920441</v>
      </c>
      <c r="E78">
        <f>(E$10-SUM(E$20:E77))/(ABS(E$11)+E$10-SUM(E76:E77))</f>
        <v>0.4292688109755598</v>
      </c>
      <c r="F78">
        <f>(F$10-SUM(F$20:F77))/(ABS(F$11)+F$10-SUM(F76:F77))</f>
        <v>0.49320673553039823</v>
      </c>
      <c r="H78">
        <f t="shared" si="19"/>
        <v>23.047049225703539</v>
      </c>
      <c r="I78">
        <f t="shared" si="20"/>
        <v>29.188745146972529</v>
      </c>
      <c r="J78">
        <f t="shared" si="21"/>
        <v>33.583413740355773</v>
      </c>
      <c r="K78">
        <f t="shared" si="22"/>
        <v>36.868598530161805</v>
      </c>
      <c r="N78">
        <v>53</v>
      </c>
      <c r="O78">
        <v>9100</v>
      </c>
      <c r="P78">
        <f t="shared" si="23"/>
        <v>1456</v>
      </c>
      <c r="Q78">
        <f t="shared" si="23"/>
        <v>910</v>
      </c>
      <c r="R78">
        <f t="shared" si="23"/>
        <v>910</v>
      </c>
      <c r="S78">
        <f t="shared" si="23"/>
        <v>1274</v>
      </c>
      <c r="T78">
        <f t="shared" si="23"/>
        <v>1047</v>
      </c>
      <c r="U78">
        <f t="shared" si="23"/>
        <v>1320</v>
      </c>
      <c r="V78">
        <f t="shared" si="23"/>
        <v>1047</v>
      </c>
      <c r="W78">
        <f t="shared" si="23"/>
        <v>1138</v>
      </c>
      <c r="X78">
        <f t="shared" si="23"/>
        <v>1047</v>
      </c>
      <c r="Y78">
        <f t="shared" si="23"/>
        <v>1047</v>
      </c>
      <c r="Z78">
        <f t="shared" si="23"/>
        <v>1320</v>
      </c>
      <c r="AA78">
        <f t="shared" si="23"/>
        <v>1138</v>
      </c>
    </row>
    <row r="79" spans="2:27">
      <c r="B79">
        <v>60</v>
      </c>
      <c r="C79">
        <f>(C$10-SUM(C$20:C78))/(ABS(C$11)+C$10-SUM(C77:C78))</f>
        <v>0.2439226494817624</v>
      </c>
      <c r="D79">
        <f>(D$10-SUM(D$20:D78))/(ABS(D$11)+D$10-SUM(D77:D78))</f>
        <v>0.34503834682094348</v>
      </c>
      <c r="E79">
        <f>(E$10-SUM(E$20:E78))/(ABS(E$11)+E$10-SUM(E77:E78))</f>
        <v>0.42530389021381515</v>
      </c>
      <c r="F79">
        <f>(F$10-SUM(F$20:F78))/(ABS(F$11)+F$10-SUM(F77:F78))</f>
        <v>0.48935390175821769</v>
      </c>
      <c r="H79">
        <f t="shared" si="19"/>
        <v>23.290971875185303</v>
      </c>
      <c r="I79">
        <f t="shared" si="20"/>
        <v>29.533783493793472</v>
      </c>
      <c r="J79">
        <f t="shared" si="21"/>
        <v>34.008717630569592</v>
      </c>
      <c r="K79">
        <f t="shared" si="22"/>
        <v>37.357952431920019</v>
      </c>
      <c r="N79">
        <v>54</v>
      </c>
      <c r="O79">
        <v>9300</v>
      </c>
      <c r="P79">
        <f t="shared" si="23"/>
        <v>1488</v>
      </c>
      <c r="Q79">
        <f t="shared" si="23"/>
        <v>930</v>
      </c>
      <c r="R79">
        <f t="shared" si="23"/>
        <v>930</v>
      </c>
      <c r="S79">
        <f t="shared" si="23"/>
        <v>1302</v>
      </c>
      <c r="T79">
        <f t="shared" si="23"/>
        <v>1070</v>
      </c>
      <c r="U79">
        <f t="shared" si="23"/>
        <v>1349</v>
      </c>
      <c r="V79">
        <f t="shared" si="23"/>
        <v>1070</v>
      </c>
      <c r="W79">
        <f t="shared" si="23"/>
        <v>1163</v>
      </c>
      <c r="X79">
        <f t="shared" si="23"/>
        <v>1070</v>
      </c>
      <c r="Y79">
        <f t="shared" si="23"/>
        <v>1070</v>
      </c>
      <c r="Z79">
        <f t="shared" si="23"/>
        <v>1349</v>
      </c>
      <c r="AA79">
        <f t="shared" si="23"/>
        <v>1163</v>
      </c>
    </row>
    <row r="80" spans="2:27">
      <c r="B80">
        <v>61</v>
      </c>
      <c r="C80">
        <f>(C$10-SUM(C$20:C79))/(ABS(C$11)+C$10-SUM(C78:C79))</f>
        <v>0.24038803793712146</v>
      </c>
      <c r="D80">
        <f>(D$10-SUM(D$20:D79))/(ABS(D$11)+D$10-SUM(D78:D79))</f>
        <v>0.34114417816501569</v>
      </c>
      <c r="E80">
        <f>(E$10-SUM(E$20:E79))/(ABS(E$11)+E$10-SUM(E78:E79))</f>
        <v>0.42137617221029999</v>
      </c>
      <c r="F80">
        <f>(F$10-SUM(F$20:F79))/(ABS(F$11)+F$10-SUM(F78:F79))</f>
        <v>0.48553162950298634</v>
      </c>
      <c r="H80">
        <f t="shared" si="19"/>
        <v>23.531359913122426</v>
      </c>
      <c r="I80">
        <f t="shared" si="20"/>
        <v>29.874927671958488</v>
      </c>
      <c r="J80">
        <f t="shared" si="21"/>
        <v>34.430093802779894</v>
      </c>
      <c r="K80">
        <f t="shared" si="22"/>
        <v>37.843484061423005</v>
      </c>
      <c r="N80">
        <v>55</v>
      </c>
      <c r="O80">
        <v>9500</v>
      </c>
      <c r="P80">
        <f t="shared" si="23"/>
        <v>1520</v>
      </c>
      <c r="Q80">
        <f t="shared" si="23"/>
        <v>950</v>
      </c>
      <c r="R80">
        <f t="shared" si="23"/>
        <v>950</v>
      </c>
      <c r="S80">
        <f t="shared" ref="Q80:AA97" si="24">ROUND($O80*S$24/2,0)</f>
        <v>1330</v>
      </c>
      <c r="T80">
        <f t="shared" si="24"/>
        <v>1093</v>
      </c>
      <c r="U80">
        <f t="shared" si="24"/>
        <v>1378</v>
      </c>
      <c r="V80">
        <f t="shared" si="24"/>
        <v>1093</v>
      </c>
      <c r="W80">
        <f t="shared" si="24"/>
        <v>1188</v>
      </c>
      <c r="X80">
        <f t="shared" si="24"/>
        <v>1093</v>
      </c>
      <c r="Y80">
        <f t="shared" si="24"/>
        <v>1093</v>
      </c>
      <c r="Z80">
        <f t="shared" si="24"/>
        <v>1378</v>
      </c>
      <c r="AA80">
        <f t="shared" si="24"/>
        <v>1188</v>
      </c>
    </row>
    <row r="81" spans="2:27">
      <c r="B81">
        <v>62</v>
      </c>
      <c r="C81">
        <f>(C$10-SUM(C$20:C80))/(ABS(C$11)+C$10-SUM(C79:C80))</f>
        <v>0.2369053698486025</v>
      </c>
      <c r="D81">
        <f>(D$10-SUM(D$20:D80))/(ABS(D$11)+D$10-SUM(D79:D80))</f>
        <v>0.33729464465528125</v>
      </c>
      <c r="E81">
        <f>(E$10-SUM(E$20:E80))/(ABS(E$11)+E$10-SUM(E79:E80))</f>
        <v>0.41748529704164067</v>
      </c>
      <c r="F81">
        <f>(F$10-SUM(F$20:F80))/(ABS(F$11)+F$10-SUM(F79:F80))</f>
        <v>0.4817396690133281</v>
      </c>
      <c r="H81">
        <f t="shared" si="19"/>
        <v>23.768265282971029</v>
      </c>
      <c r="I81">
        <f t="shared" si="20"/>
        <v>30.212222316613769</v>
      </c>
      <c r="J81">
        <f t="shared" si="21"/>
        <v>34.847579099821537</v>
      </c>
      <c r="K81">
        <f t="shared" si="22"/>
        <v>38.325223730436335</v>
      </c>
      <c r="N81">
        <v>56</v>
      </c>
      <c r="O81">
        <v>9700</v>
      </c>
      <c r="P81">
        <f t="shared" ref="P81:P98" si="25">ROUND($O81*P$24/2,0)</f>
        <v>1552</v>
      </c>
      <c r="Q81">
        <f t="shared" si="24"/>
        <v>970</v>
      </c>
      <c r="R81">
        <f t="shared" si="24"/>
        <v>970</v>
      </c>
      <c r="S81">
        <f t="shared" si="24"/>
        <v>1358</v>
      </c>
      <c r="T81">
        <f t="shared" si="24"/>
        <v>1116</v>
      </c>
      <c r="U81">
        <f t="shared" si="24"/>
        <v>1407</v>
      </c>
      <c r="V81">
        <f t="shared" si="24"/>
        <v>1116</v>
      </c>
      <c r="W81">
        <f t="shared" si="24"/>
        <v>1213</v>
      </c>
      <c r="X81">
        <f t="shared" si="24"/>
        <v>1116</v>
      </c>
      <c r="Y81">
        <f t="shared" si="24"/>
        <v>1116</v>
      </c>
      <c r="Z81">
        <f t="shared" si="24"/>
        <v>1407</v>
      </c>
      <c r="AA81">
        <f t="shared" si="24"/>
        <v>1213</v>
      </c>
    </row>
    <row r="82" spans="2:27">
      <c r="B82">
        <v>63</v>
      </c>
      <c r="C82">
        <f>(C$10-SUM(C$20:C81))/(ABS(C$11)+C$10-SUM(C80:C81))</f>
        <v>0.23347386073784898</v>
      </c>
      <c r="D82">
        <f>(D$10-SUM(D$20:D81))/(ABS(D$11)+D$10-SUM(D80:D81))</f>
        <v>0.33348921907330653</v>
      </c>
      <c r="E82">
        <f>(E$10-SUM(E$20:E81))/(ABS(E$11)+E$10-SUM(E80:E81))</f>
        <v>0.41363090847078438</v>
      </c>
      <c r="F82">
        <f>(F$10-SUM(F$20:F81))/(ABS(F$11)+F$10-SUM(F80:F81))</f>
        <v>0.47797777269554481</v>
      </c>
      <c r="H82">
        <f t="shared" si="19"/>
        <v>24.001739143708878</v>
      </c>
      <c r="I82">
        <f t="shared" si="20"/>
        <v>30.545711535687076</v>
      </c>
      <c r="J82">
        <f t="shared" si="21"/>
        <v>35.261210008292323</v>
      </c>
      <c r="K82">
        <f t="shared" si="22"/>
        <v>38.803201503131881</v>
      </c>
      <c r="N82">
        <v>57</v>
      </c>
      <c r="O82">
        <v>9900</v>
      </c>
      <c r="P82">
        <f t="shared" si="25"/>
        <v>1584</v>
      </c>
      <c r="Q82">
        <f t="shared" si="24"/>
        <v>990</v>
      </c>
      <c r="R82">
        <f t="shared" si="24"/>
        <v>990</v>
      </c>
      <c r="S82">
        <f t="shared" si="24"/>
        <v>1386</v>
      </c>
      <c r="T82">
        <f t="shared" si="24"/>
        <v>1139</v>
      </c>
      <c r="U82">
        <f t="shared" si="24"/>
        <v>1436</v>
      </c>
      <c r="V82">
        <f t="shared" si="24"/>
        <v>1139</v>
      </c>
      <c r="W82">
        <f t="shared" si="24"/>
        <v>1238</v>
      </c>
      <c r="X82">
        <f t="shared" si="24"/>
        <v>1139</v>
      </c>
      <c r="Y82">
        <f t="shared" si="24"/>
        <v>1139</v>
      </c>
      <c r="Z82">
        <f t="shared" si="24"/>
        <v>1436</v>
      </c>
      <c r="AA82">
        <f t="shared" si="24"/>
        <v>1238</v>
      </c>
    </row>
    <row r="83" spans="2:27">
      <c r="B83">
        <v>64</v>
      </c>
      <c r="C83">
        <f>(C$10-SUM(C$20:C82))/(ABS(C$11)+C$10-SUM(C81:C82))</f>
        <v>0.23009273859478377</v>
      </c>
      <c r="D83">
        <f>(D$10-SUM(D$20:D82))/(ABS(D$11)+D$10-SUM(D81:D82))</f>
        <v>0.32972738078637687</v>
      </c>
      <c r="E83">
        <f>(E$10-SUM(E$20:E82))/(ABS(E$11)+E$10-SUM(E81:E82))</f>
        <v>0.40981265390538635</v>
      </c>
      <c r="F83">
        <f>(F$10-SUM(F$20:F82))/(ABS(F$11)+F$10-SUM(F81:F82))</f>
        <v>0.47424569509311021</v>
      </c>
      <c r="H83">
        <f t="shared" si="19"/>
        <v>24.231831882303663</v>
      </c>
      <c r="I83">
        <f t="shared" si="20"/>
        <v>30.875438916473453</v>
      </c>
      <c r="J83">
        <f t="shared" si="21"/>
        <v>35.671022662197707</v>
      </c>
      <c r="K83">
        <f t="shared" si="22"/>
        <v>39.277447198224991</v>
      </c>
      <c r="N83">
        <v>58</v>
      </c>
      <c r="O83">
        <v>10100</v>
      </c>
      <c r="P83">
        <f t="shared" si="25"/>
        <v>1616</v>
      </c>
      <c r="Q83">
        <f t="shared" si="24"/>
        <v>1010</v>
      </c>
      <c r="R83">
        <f t="shared" si="24"/>
        <v>1010</v>
      </c>
      <c r="S83">
        <f t="shared" si="24"/>
        <v>1414</v>
      </c>
      <c r="T83">
        <f t="shared" si="24"/>
        <v>1162</v>
      </c>
      <c r="U83">
        <f t="shared" si="24"/>
        <v>1465</v>
      </c>
      <c r="V83">
        <f t="shared" si="24"/>
        <v>1162</v>
      </c>
      <c r="W83">
        <f t="shared" si="24"/>
        <v>1263</v>
      </c>
      <c r="X83">
        <f t="shared" si="24"/>
        <v>1162</v>
      </c>
      <c r="Y83">
        <f t="shared" si="24"/>
        <v>1162</v>
      </c>
      <c r="Z83">
        <f t="shared" si="24"/>
        <v>1465</v>
      </c>
      <c r="AA83">
        <f t="shared" si="24"/>
        <v>1263</v>
      </c>
    </row>
    <row r="84" spans="2:27">
      <c r="B84">
        <v>65</v>
      </c>
      <c r="C84">
        <f>(C$10-SUM(C$20:C83))/(ABS(C$11)+C$10-SUM(C82:C83))</f>
        <v>0.22676124366115397</v>
      </c>
      <c r="D84">
        <f>(D$10-SUM(D$20:D83))/(ABS(D$11)+D$10-SUM(D82:D83))</f>
        <v>0.32600861565697253</v>
      </c>
      <c r="E84">
        <f>(E$10-SUM(E$20:E83))/(ABS(E$11)+E$10-SUM(E82:E83))</f>
        <v>0.40603018435673871</v>
      </c>
      <c r="F84">
        <f>(F$10-SUM(F$20:F83))/(ABS(F$11)+F$10-SUM(F82:F83))</f>
        <v>0.47054319286638913</v>
      </c>
      <c r="H84">
        <f t="shared" si="19"/>
        <v>24.458593125964818</v>
      </c>
      <c r="I84">
        <f t="shared" si="20"/>
        <v>31.201447532130427</v>
      </c>
      <c r="J84">
        <f t="shared" si="21"/>
        <v>36.077052846554444</v>
      </c>
      <c r="K84">
        <f t="shared" si="22"/>
        <v>39.747990391091378</v>
      </c>
      <c r="N84">
        <v>59</v>
      </c>
      <c r="O84">
        <v>10300</v>
      </c>
      <c r="P84">
        <f t="shared" si="25"/>
        <v>1648</v>
      </c>
      <c r="Q84">
        <f t="shared" si="24"/>
        <v>1030</v>
      </c>
      <c r="R84">
        <f t="shared" si="24"/>
        <v>1030</v>
      </c>
      <c r="S84">
        <f t="shared" si="24"/>
        <v>1442</v>
      </c>
      <c r="T84">
        <f t="shared" si="24"/>
        <v>1185</v>
      </c>
      <c r="U84">
        <f t="shared" si="24"/>
        <v>1494</v>
      </c>
      <c r="V84">
        <f t="shared" si="24"/>
        <v>1185</v>
      </c>
      <c r="W84">
        <f t="shared" si="24"/>
        <v>1288</v>
      </c>
      <c r="X84">
        <f t="shared" si="24"/>
        <v>1185</v>
      </c>
      <c r="Y84">
        <f t="shared" si="24"/>
        <v>1185</v>
      </c>
      <c r="Z84">
        <f t="shared" si="24"/>
        <v>1494</v>
      </c>
      <c r="AA84">
        <f t="shared" si="24"/>
        <v>1288</v>
      </c>
    </row>
    <row r="85" spans="2:27">
      <c r="B85">
        <v>66</v>
      </c>
      <c r="C85">
        <f>(C$10-SUM(C$20:C84))/(ABS(C$11)+C$10-SUM(C83:C84))</f>
        <v>0.22347862821836911</v>
      </c>
      <c r="D85">
        <f>(D$10-SUM(D$20:D84))/(ABS(D$11)+D$10-SUM(D83:D84))</f>
        <v>0.32233241595367723</v>
      </c>
      <c r="E85">
        <f>(E$10-SUM(E$20:E84))/(ABS(E$11)+E$10-SUM(E83:E84))</f>
        <v>0.40228315439923334</v>
      </c>
      <c r="F85">
        <f>(F$10-SUM(F$20:F84))/(ABS(F$11)+F$10-SUM(F83:F84))</f>
        <v>0.46687002477257794</v>
      </c>
      <c r="H85">
        <f t="shared" si="19"/>
        <v>24.682071754183188</v>
      </c>
      <c r="I85">
        <f t="shared" si="20"/>
        <v>31.523779948084105</v>
      </c>
      <c r="J85">
        <f t="shared" si="21"/>
        <v>36.47933600095368</v>
      </c>
      <c r="K85">
        <f t="shared" si="22"/>
        <v>40.214860415863953</v>
      </c>
      <c r="N85">
        <v>60</v>
      </c>
      <c r="O85">
        <v>10500</v>
      </c>
      <c r="P85">
        <f t="shared" si="25"/>
        <v>1680</v>
      </c>
      <c r="Q85">
        <f t="shared" si="24"/>
        <v>1050</v>
      </c>
      <c r="R85">
        <f t="shared" si="24"/>
        <v>1050</v>
      </c>
      <c r="S85">
        <f t="shared" si="24"/>
        <v>1470</v>
      </c>
      <c r="T85">
        <f t="shared" si="24"/>
        <v>1208</v>
      </c>
      <c r="U85">
        <f t="shared" si="24"/>
        <v>1523</v>
      </c>
      <c r="V85">
        <f t="shared" si="24"/>
        <v>1208</v>
      </c>
      <c r="W85">
        <f t="shared" si="24"/>
        <v>1313</v>
      </c>
      <c r="X85">
        <f t="shared" si="24"/>
        <v>1208</v>
      </c>
      <c r="Y85">
        <f t="shared" si="24"/>
        <v>1208</v>
      </c>
      <c r="Z85">
        <f t="shared" si="24"/>
        <v>1523</v>
      </c>
      <c r="AA85">
        <f t="shared" si="24"/>
        <v>1313</v>
      </c>
    </row>
    <row r="86" spans="2:27">
      <c r="B86">
        <v>67</v>
      </c>
      <c r="C86">
        <f>(C$10-SUM(C$20:C85))/(ABS(C$11)+C$10-SUM(C84:C85))</f>
        <v>0.22024415637953351</v>
      </c>
      <c r="D86">
        <f>(D$10-SUM(D$20:D85))/(ABS(D$11)+D$10-SUM(D84:D85))</f>
        <v>0.31869828026349412</v>
      </c>
      <c r="E86">
        <f>(E$10-SUM(E$20:E85))/(ABS(E$11)+E$10-SUM(E84:E85))</f>
        <v>0.39857122213035046</v>
      </c>
      <c r="F86">
        <f>(F$10-SUM(F$20:F85))/(ABS(F$11)+F$10-SUM(F84:F85))</f>
        <v>0.46322595164586367</v>
      </c>
      <c r="H86">
        <f t="shared" si="19"/>
        <v>24.90231591056272</v>
      </c>
      <c r="I86">
        <f t="shared" si="20"/>
        <v>31.842478228347598</v>
      </c>
      <c r="J86">
        <f t="shared" si="21"/>
        <v>36.87790722308403</v>
      </c>
      <c r="K86">
        <f t="shared" si="22"/>
        <v>40.678086367509813</v>
      </c>
      <c r="N86">
        <v>61</v>
      </c>
      <c r="O86">
        <v>10700</v>
      </c>
      <c r="P86">
        <f t="shared" si="25"/>
        <v>1712</v>
      </c>
      <c r="Q86">
        <f t="shared" si="24"/>
        <v>1070</v>
      </c>
      <c r="R86">
        <f t="shared" si="24"/>
        <v>1070</v>
      </c>
      <c r="S86">
        <f t="shared" si="24"/>
        <v>1498</v>
      </c>
      <c r="T86">
        <f t="shared" si="24"/>
        <v>1231</v>
      </c>
      <c r="U86">
        <f t="shared" si="24"/>
        <v>1552</v>
      </c>
      <c r="V86">
        <f t="shared" si="24"/>
        <v>1231</v>
      </c>
      <c r="W86">
        <f t="shared" si="24"/>
        <v>1338</v>
      </c>
      <c r="X86">
        <f t="shared" si="24"/>
        <v>1231</v>
      </c>
      <c r="Y86">
        <f t="shared" si="24"/>
        <v>1231</v>
      </c>
      <c r="Z86">
        <f t="shared" si="24"/>
        <v>1552</v>
      </c>
      <c r="AA86">
        <f t="shared" si="24"/>
        <v>1338</v>
      </c>
    </row>
    <row r="87" spans="2:27">
      <c r="B87">
        <v>68</v>
      </c>
      <c r="C87">
        <f>(C$10-SUM(C$20:C86))/(ABS(C$11)+C$10-SUM(C85:C86))</f>
        <v>0.21705710388557348</v>
      </c>
      <c r="D87">
        <f>(D$10-SUM(D$20:D86))/(ABS(D$11)+D$10-SUM(D85:D86))</f>
        <v>0.31510571340554183</v>
      </c>
      <c r="E87">
        <f>(E$10-SUM(E$20:E86))/(ABS(E$11)+E$10-SUM(E85:E86))</f>
        <v>0.39489404913116505</v>
      </c>
      <c r="F87">
        <f>(F$10-SUM(F$20:F86))/(ABS(F$11)+F$10-SUM(F85:F86))</f>
        <v>0.4596107363777992</v>
      </c>
      <c r="H87">
        <f t="shared" si="19"/>
        <v>25.119373014448293</v>
      </c>
      <c r="I87">
        <f t="shared" si="20"/>
        <v>32.157583941753138</v>
      </c>
      <c r="J87">
        <f t="shared" si="21"/>
        <v>37.272801272215197</v>
      </c>
      <c r="K87">
        <f t="shared" si="22"/>
        <v>41.137697103887611</v>
      </c>
      <c r="N87">
        <v>62</v>
      </c>
      <c r="O87">
        <v>10900</v>
      </c>
      <c r="P87">
        <f t="shared" si="25"/>
        <v>1744</v>
      </c>
      <c r="Q87">
        <f t="shared" si="24"/>
        <v>1090</v>
      </c>
      <c r="R87">
        <f t="shared" si="24"/>
        <v>1090</v>
      </c>
      <c r="S87">
        <f t="shared" si="24"/>
        <v>1526</v>
      </c>
      <c r="T87">
        <f t="shared" si="24"/>
        <v>1254</v>
      </c>
      <c r="U87">
        <f t="shared" si="24"/>
        <v>1581</v>
      </c>
      <c r="V87">
        <f t="shared" si="24"/>
        <v>1254</v>
      </c>
      <c r="W87">
        <f t="shared" si="24"/>
        <v>1363</v>
      </c>
      <c r="X87">
        <f t="shared" si="24"/>
        <v>1254</v>
      </c>
      <c r="Y87">
        <f t="shared" si="24"/>
        <v>1254</v>
      </c>
      <c r="Z87">
        <f t="shared" si="24"/>
        <v>1581</v>
      </c>
      <c r="AA87">
        <f t="shared" si="24"/>
        <v>1363</v>
      </c>
    </row>
    <row r="88" spans="2:27">
      <c r="B88">
        <v>69</v>
      </c>
      <c r="C88">
        <f>(C$10-SUM(C$20:C87))/(ABS(C$11)+C$10-SUM(C86:C87))</f>
        <v>0.21391675790536496</v>
      </c>
      <c r="D88">
        <f>(D$10-SUM(D$20:D87))/(ABS(D$11)+D$10-SUM(D86:D87))</f>
        <v>0.31155422634610541</v>
      </c>
      <c r="E88">
        <f>(E$10-SUM(E$20:E87))/(ABS(E$11)+E$10-SUM(E86:E87))</f>
        <v>0.391251300427362</v>
      </c>
      <c r="F88">
        <f>(F$10-SUM(F$20:F87))/(ABS(F$11)+F$10-SUM(F86:F87))</f>
        <v>0.45602414389789192</v>
      </c>
      <c r="H88">
        <f t="shared" si="19"/>
        <v>25.333289772353659</v>
      </c>
      <c r="I88">
        <f t="shared" si="20"/>
        <v>32.469138168099242</v>
      </c>
      <c r="J88">
        <f t="shared" si="21"/>
        <v>37.664052572642561</v>
      </c>
      <c r="K88">
        <f t="shared" si="22"/>
        <v>41.593721247785503</v>
      </c>
      <c r="N88">
        <v>63</v>
      </c>
      <c r="O88">
        <v>11100</v>
      </c>
      <c r="P88">
        <f t="shared" si="25"/>
        <v>1776</v>
      </c>
      <c r="Q88">
        <f t="shared" si="24"/>
        <v>1110</v>
      </c>
      <c r="R88">
        <f t="shared" si="24"/>
        <v>1110</v>
      </c>
      <c r="S88">
        <f t="shared" si="24"/>
        <v>1554</v>
      </c>
      <c r="T88">
        <f t="shared" si="24"/>
        <v>1277</v>
      </c>
      <c r="U88">
        <f t="shared" si="24"/>
        <v>1610</v>
      </c>
      <c r="V88">
        <f t="shared" si="24"/>
        <v>1277</v>
      </c>
      <c r="W88">
        <f t="shared" si="24"/>
        <v>1388</v>
      </c>
      <c r="X88">
        <f t="shared" si="24"/>
        <v>1277</v>
      </c>
      <c r="Y88">
        <f t="shared" si="24"/>
        <v>1277</v>
      </c>
      <c r="Z88">
        <f t="shared" si="24"/>
        <v>1610</v>
      </c>
      <c r="AA88">
        <f t="shared" si="24"/>
        <v>1388</v>
      </c>
    </row>
    <row r="89" spans="2:27">
      <c r="B89">
        <v>70</v>
      </c>
      <c r="C89">
        <f>(C$10-SUM(C$20:C88))/(ABS(C$11)+C$10-SUM(C87:C88))</f>
        <v>0.21082241683976963</v>
      </c>
      <c r="D89">
        <f>(D$10-SUM(D$20:D88))/(ABS(D$11)+D$10-SUM(D87:D88))</f>
        <v>0.30804333611501655</v>
      </c>
      <c r="E89">
        <f>(E$10-SUM(E$20:E88))/(ABS(E$11)+E$10-SUM(E87:E88))</f>
        <v>0.38764264445075425</v>
      </c>
      <c r="F89">
        <f>(F$10-SUM(F$20:F88))/(ABS(F$11)+F$10-SUM(F87:F88))</f>
        <v>0.45246594115440181</v>
      </c>
      <c r="H89">
        <f t="shared" si="19"/>
        <v>25.544112189193427</v>
      </c>
      <c r="I89">
        <f t="shared" si="20"/>
        <v>32.777181504214262</v>
      </c>
      <c r="J89">
        <f t="shared" si="21"/>
        <v>38.051695217093318</v>
      </c>
      <c r="K89">
        <f t="shared" si="22"/>
        <v>42.046187188939903</v>
      </c>
      <c r="N89">
        <v>64</v>
      </c>
      <c r="O89">
        <v>11300</v>
      </c>
      <c r="P89">
        <f t="shared" si="25"/>
        <v>1808</v>
      </c>
      <c r="Q89">
        <f t="shared" si="24"/>
        <v>1130</v>
      </c>
      <c r="R89">
        <f t="shared" si="24"/>
        <v>1130</v>
      </c>
      <c r="S89">
        <f t="shared" si="24"/>
        <v>1582</v>
      </c>
      <c r="T89">
        <f t="shared" si="24"/>
        <v>1300</v>
      </c>
      <c r="U89">
        <f t="shared" si="24"/>
        <v>1639</v>
      </c>
      <c r="V89">
        <f t="shared" si="24"/>
        <v>1300</v>
      </c>
      <c r="W89">
        <f t="shared" si="24"/>
        <v>1413</v>
      </c>
      <c r="X89">
        <f t="shared" si="24"/>
        <v>1300</v>
      </c>
      <c r="Y89">
        <f t="shared" si="24"/>
        <v>1300</v>
      </c>
      <c r="Z89">
        <f t="shared" si="24"/>
        <v>1639</v>
      </c>
      <c r="AA89">
        <f t="shared" si="24"/>
        <v>1413</v>
      </c>
    </row>
    <row r="90" spans="2:27">
      <c r="B90">
        <v>71</v>
      </c>
      <c r="C90">
        <f>(C$10-SUM(C$20:C89))/(ABS(C$11)+C$10-SUM(C88:C89))</f>
        <v>0.20777339012948812</v>
      </c>
      <c r="D90">
        <f>(D$10-SUM(D$20:D89))/(ABS(D$11)+D$10-SUM(D88:D89))</f>
        <v>0.3045725657233383</v>
      </c>
      <c r="E90">
        <f>(E$10-SUM(E$20:E89))/(ABS(E$11)+E$10-SUM(E88:E89))</f>
        <v>0.38406775300129398</v>
      </c>
      <c r="F90">
        <f>(F$10-SUM(F$20:F89))/(ABS(F$11)+F$10-SUM(F88:F89))</f>
        <v>0.44893589709534831</v>
      </c>
      <c r="H90">
        <f t="shared" si="19"/>
        <v>25.751885579322916</v>
      </c>
      <c r="I90">
        <f t="shared" si="20"/>
        <v>33.081754069937602</v>
      </c>
      <c r="J90">
        <f t="shared" si="21"/>
        <v>38.435762970094615</v>
      </c>
      <c r="K90">
        <f t="shared" si="22"/>
        <v>42.49512308603525</v>
      </c>
      <c r="N90">
        <v>65</v>
      </c>
      <c r="O90">
        <v>11500</v>
      </c>
      <c r="P90">
        <f t="shared" si="25"/>
        <v>1840</v>
      </c>
      <c r="Q90">
        <f t="shared" si="24"/>
        <v>1150</v>
      </c>
      <c r="R90">
        <f t="shared" si="24"/>
        <v>1150</v>
      </c>
      <c r="S90">
        <f t="shared" si="24"/>
        <v>1610</v>
      </c>
      <c r="T90">
        <f t="shared" si="24"/>
        <v>1323</v>
      </c>
      <c r="U90">
        <f t="shared" si="24"/>
        <v>1668</v>
      </c>
      <c r="V90">
        <f t="shared" si="24"/>
        <v>1323</v>
      </c>
      <c r="W90">
        <f t="shared" si="24"/>
        <v>1438</v>
      </c>
      <c r="X90">
        <f t="shared" si="24"/>
        <v>1323</v>
      </c>
      <c r="Y90">
        <f t="shared" si="24"/>
        <v>1323</v>
      </c>
      <c r="Z90">
        <f t="shared" si="24"/>
        <v>1668</v>
      </c>
      <c r="AA90">
        <f t="shared" si="24"/>
        <v>1438</v>
      </c>
    </row>
    <row r="91" spans="2:27">
      <c r="B91">
        <v>72</v>
      </c>
      <c r="C91">
        <f>(C$10-SUM(C$20:C90))/(ABS(C$11)+C$10-SUM(C89:C90))</f>
        <v>0.20476899806664398</v>
      </c>
      <c r="D91">
        <f>(D$10-SUM(D$20:D90))/(ABS(D$11)+D$10-SUM(D89:D90))</f>
        <v>0.30114144408233112</v>
      </c>
      <c r="E91">
        <f>(E$10-SUM(E$20:E90))/(ABS(E$11)+E$10-SUM(E89:E90))</f>
        <v>0.38052630120957076</v>
      </c>
      <c r="F91">
        <f>(F$10-SUM(F$20:F90))/(ABS(F$11)+F$10-SUM(F89:F90))</f>
        <v>0.44543378264972111</v>
      </c>
      <c r="H91">
        <f t="shared" si="19"/>
        <v>25.956654577389561</v>
      </c>
      <c r="I91">
        <f t="shared" si="20"/>
        <v>33.382895514019935</v>
      </c>
      <c r="J91">
        <f t="shared" si="21"/>
        <v>38.816289271304186</v>
      </c>
      <c r="K91">
        <f t="shared" si="22"/>
        <v>42.940556868684972</v>
      </c>
      <c r="N91">
        <v>66</v>
      </c>
      <c r="O91">
        <v>11700</v>
      </c>
      <c r="P91">
        <f t="shared" si="25"/>
        <v>1872</v>
      </c>
      <c r="Q91">
        <f t="shared" si="24"/>
        <v>1170</v>
      </c>
      <c r="R91">
        <f t="shared" si="24"/>
        <v>1170</v>
      </c>
      <c r="S91">
        <f t="shared" si="24"/>
        <v>1638</v>
      </c>
      <c r="T91">
        <f t="shared" si="24"/>
        <v>1346</v>
      </c>
      <c r="U91">
        <f t="shared" si="24"/>
        <v>1697</v>
      </c>
      <c r="V91">
        <f t="shared" si="24"/>
        <v>1346</v>
      </c>
      <c r="W91">
        <f t="shared" si="24"/>
        <v>1463</v>
      </c>
      <c r="X91">
        <f t="shared" si="24"/>
        <v>1346</v>
      </c>
      <c r="Y91">
        <f t="shared" si="24"/>
        <v>1346</v>
      </c>
      <c r="Z91">
        <f t="shared" si="24"/>
        <v>1697</v>
      </c>
      <c r="AA91">
        <f t="shared" si="24"/>
        <v>1463</v>
      </c>
    </row>
    <row r="92" spans="2:27">
      <c r="B92">
        <v>73</v>
      </c>
      <c r="C92">
        <f>(C$10-SUM(C$20:C91))/(ABS(C$11)+C$10-SUM(C90:C91))</f>
        <v>0.20180857161001262</v>
      </c>
      <c r="D92">
        <f>(D$10-SUM(D$20:D91))/(ABS(D$11)+D$10-SUM(D90:D91))</f>
        <v>0.297749505923675</v>
      </c>
      <c r="E92">
        <f>(E$10-SUM(E$20:E91))/(ABS(E$11)+E$10-SUM(E90:E91))</f>
        <v>0.37701796749978922</v>
      </c>
      <c r="F92">
        <f>(F$10-SUM(F$20:F91))/(ABS(F$11)+F$10-SUM(F90:F91))</f>
        <v>0.44195937070889441</v>
      </c>
      <c r="H92">
        <f t="shared" si="19"/>
        <v>26.158463148999573</v>
      </c>
      <c r="I92">
        <f t="shared" si="20"/>
        <v>33.680645019943611</v>
      </c>
      <c r="J92">
        <f t="shared" si="21"/>
        <v>39.193307238803975</v>
      </c>
      <c r="K92">
        <f t="shared" si="22"/>
        <v>43.382516239393865</v>
      </c>
      <c r="N92">
        <v>67</v>
      </c>
      <c r="O92">
        <v>11900</v>
      </c>
      <c r="P92">
        <f t="shared" si="25"/>
        <v>1904</v>
      </c>
      <c r="Q92">
        <f t="shared" si="24"/>
        <v>1190</v>
      </c>
      <c r="R92">
        <f t="shared" si="24"/>
        <v>1190</v>
      </c>
      <c r="S92">
        <f t="shared" si="24"/>
        <v>1666</v>
      </c>
      <c r="T92">
        <f t="shared" si="24"/>
        <v>1369</v>
      </c>
      <c r="U92">
        <f t="shared" si="24"/>
        <v>1726</v>
      </c>
      <c r="V92">
        <f t="shared" si="24"/>
        <v>1369</v>
      </c>
      <c r="W92">
        <f t="shared" si="24"/>
        <v>1488</v>
      </c>
      <c r="X92">
        <f t="shared" si="24"/>
        <v>1369</v>
      </c>
      <c r="Y92">
        <f t="shared" si="24"/>
        <v>1369</v>
      </c>
      <c r="Z92">
        <f t="shared" si="24"/>
        <v>1726</v>
      </c>
      <c r="AA92">
        <f t="shared" si="24"/>
        <v>1488</v>
      </c>
    </row>
    <row r="93" spans="2:27">
      <c r="B93">
        <v>74</v>
      </c>
      <c r="C93">
        <f>(C$10-SUM(C$20:C92))/(ABS(C$11)+C$10-SUM(C91:C92))</f>
        <v>0.19889145220381307</v>
      </c>
      <c r="D93">
        <f>(D$10-SUM(D$20:D92))/(ABS(D$11)+D$10-SUM(D91:D92))</f>
        <v>0.29439629172092646</v>
      </c>
      <c r="E93">
        <f>(E$10-SUM(E$20:E92))/(ABS(E$11)+E$10-SUM(E91:E92))</f>
        <v>0.37354243355321831</v>
      </c>
      <c r="F93">
        <f>(F$10-SUM(F$20:F92))/(ABS(F$11)+F$10-SUM(F91:F92))</f>
        <v>0.43851243610823992</v>
      </c>
      <c r="H93">
        <f t="shared" si="19"/>
        <v>26.357354601203387</v>
      </c>
      <c r="I93">
        <f t="shared" si="20"/>
        <v>33.97504131166454</v>
      </c>
      <c r="J93">
        <f t="shared" si="21"/>
        <v>39.566849672357193</v>
      </c>
      <c r="K93">
        <f t="shared" si="22"/>
        <v>43.821028675502106</v>
      </c>
      <c r="N93">
        <v>68</v>
      </c>
      <c r="O93">
        <v>12100</v>
      </c>
      <c r="P93">
        <f t="shared" si="25"/>
        <v>1936</v>
      </c>
      <c r="Q93">
        <f t="shared" si="24"/>
        <v>1210</v>
      </c>
      <c r="R93">
        <f t="shared" si="24"/>
        <v>1210</v>
      </c>
      <c r="S93">
        <f t="shared" si="24"/>
        <v>1694</v>
      </c>
      <c r="T93">
        <f t="shared" si="24"/>
        <v>1392</v>
      </c>
      <c r="U93">
        <f t="shared" si="24"/>
        <v>1755</v>
      </c>
      <c r="V93">
        <f t="shared" si="24"/>
        <v>1392</v>
      </c>
      <c r="W93">
        <f t="shared" si="24"/>
        <v>1513</v>
      </c>
      <c r="X93">
        <f t="shared" si="24"/>
        <v>1392</v>
      </c>
      <c r="Y93">
        <f t="shared" si="24"/>
        <v>1392</v>
      </c>
      <c r="Z93">
        <f t="shared" si="24"/>
        <v>1755</v>
      </c>
      <c r="AA93">
        <f t="shared" si="24"/>
        <v>1513</v>
      </c>
    </row>
    <row r="94" spans="2:27">
      <c r="B94">
        <v>75</v>
      </c>
      <c r="C94">
        <f>(C$10-SUM(C$20:C93))/(ABS(C$11)+C$10-SUM(C92:C93))</f>
        <v>0.19601699159998057</v>
      </c>
      <c r="D94">
        <f>(D$10-SUM(D$20:D93))/(ABS(D$11)+D$10-SUM(D92:D93))</f>
        <v>0.29108134761218607</v>
      </c>
      <c r="E94">
        <f>(E$10-SUM(E$20:E93))/(ABS(E$11)+E$10-SUM(E92:E93))</f>
        <v>0.37009938427210498</v>
      </c>
      <c r="F94">
        <f>(F$10-SUM(F$20:F93))/(ABS(F$11)+F$10-SUM(F92:F93))</f>
        <v>0.43509275560893801</v>
      </c>
      <c r="H94">
        <f t="shared" si="19"/>
        <v>26.553371592803366</v>
      </c>
      <c r="I94">
        <f t="shared" si="20"/>
        <v>34.266122659276725</v>
      </c>
      <c r="J94">
        <f t="shared" si="21"/>
        <v>39.936949056629295</v>
      </c>
      <c r="K94">
        <f t="shared" si="22"/>
        <v>44.25612143111104</v>
      </c>
      <c r="N94">
        <v>69</v>
      </c>
      <c r="O94">
        <v>12300</v>
      </c>
      <c r="P94">
        <f t="shared" si="25"/>
        <v>1968</v>
      </c>
      <c r="Q94">
        <f t="shared" si="24"/>
        <v>1230</v>
      </c>
      <c r="R94">
        <f t="shared" si="24"/>
        <v>1230</v>
      </c>
      <c r="S94">
        <f t="shared" si="24"/>
        <v>1722</v>
      </c>
      <c r="T94">
        <f t="shared" si="24"/>
        <v>1415</v>
      </c>
      <c r="U94">
        <f t="shared" si="24"/>
        <v>1784</v>
      </c>
      <c r="V94">
        <f t="shared" si="24"/>
        <v>1415</v>
      </c>
      <c r="W94">
        <f t="shared" si="24"/>
        <v>1538</v>
      </c>
      <c r="X94">
        <f t="shared" si="24"/>
        <v>1415</v>
      </c>
      <c r="Y94">
        <f t="shared" si="24"/>
        <v>1415</v>
      </c>
      <c r="Z94">
        <f t="shared" si="24"/>
        <v>1784</v>
      </c>
      <c r="AA94">
        <f t="shared" si="24"/>
        <v>1538</v>
      </c>
    </row>
    <row r="95" spans="2:27">
      <c r="B95">
        <v>76</v>
      </c>
      <c r="C95">
        <f>(C$10-SUM(C$20:C94))/(ABS(C$11)+C$10-SUM(C93:C94))</f>
        <v>0.19318455168384335</v>
      </c>
      <c r="D95">
        <f>(D$10-SUM(D$20:D94))/(ABS(D$11)+D$10-SUM(D93:D94))</f>
        <v>0.287804225323956</v>
      </c>
      <c r="E95">
        <f>(E$10-SUM(E$20:E94))/(ABS(E$11)+E$10-SUM(E93:E94))</f>
        <v>0.36668850774404677</v>
      </c>
      <c r="F95">
        <f>(F$10-SUM(F$20:F94))/(ABS(F$11)+F$10-SUM(F93:F94))</f>
        <v>0.43170010787998297</v>
      </c>
      <c r="H95">
        <f t="shared" si="19"/>
        <v>26.746556144487208</v>
      </c>
      <c r="I95">
        <f t="shared" si="20"/>
        <v>34.553926884600678</v>
      </c>
      <c r="J95">
        <f t="shared" si="21"/>
        <v>40.303637564373339</v>
      </c>
      <c r="K95">
        <f t="shared" si="22"/>
        <v>44.687821538991024</v>
      </c>
      <c r="N95">
        <v>70</v>
      </c>
      <c r="O95">
        <v>12500</v>
      </c>
      <c r="P95">
        <f t="shared" si="25"/>
        <v>2000</v>
      </c>
      <c r="Q95">
        <f t="shared" si="24"/>
        <v>1250</v>
      </c>
      <c r="R95">
        <f t="shared" si="24"/>
        <v>1250</v>
      </c>
      <c r="S95">
        <f t="shared" si="24"/>
        <v>1750</v>
      </c>
      <c r="T95">
        <f t="shared" si="24"/>
        <v>1438</v>
      </c>
      <c r="U95">
        <f t="shared" si="24"/>
        <v>1813</v>
      </c>
      <c r="V95">
        <f t="shared" si="24"/>
        <v>1438</v>
      </c>
      <c r="W95">
        <f t="shared" si="24"/>
        <v>1563</v>
      </c>
      <c r="X95">
        <f t="shared" si="24"/>
        <v>1438</v>
      </c>
      <c r="Y95">
        <f t="shared" si="24"/>
        <v>1438</v>
      </c>
      <c r="Z95">
        <f t="shared" si="24"/>
        <v>1813</v>
      </c>
      <c r="AA95">
        <f t="shared" si="24"/>
        <v>1563</v>
      </c>
    </row>
    <row r="96" spans="2:27">
      <c r="B96">
        <v>77</v>
      </c>
      <c r="C96">
        <f>(C$10-SUM(C$20:C95))/(ABS(C$11)+C$10-SUM(C94:C95))</f>
        <v>0.19039350430312546</v>
      </c>
      <c r="D96">
        <f>(D$10-SUM(D$20:D95))/(ABS(D$11)+D$10-SUM(D94:D95))</f>
        <v>0.28456448209616486</v>
      </c>
      <c r="E96">
        <f>(E$10-SUM(E$20:E95))/(ABS(E$11)+E$10-SUM(E94:E95))</f>
        <v>0.36330949520681399</v>
      </c>
      <c r="F96">
        <f>(F$10-SUM(F$20:F95))/(ABS(F$11)+F$10-SUM(F94:F95))</f>
        <v>0.42833427348038061</v>
      </c>
      <c r="H96">
        <f t="shared" si="19"/>
        <v>26.936949648790332</v>
      </c>
      <c r="I96">
        <f t="shared" si="20"/>
        <v>34.838491366696843</v>
      </c>
      <c r="J96">
        <f t="shared" si="21"/>
        <v>40.666947059580153</v>
      </c>
      <c r="K96">
        <f t="shared" si="22"/>
        <v>45.116155812471405</v>
      </c>
      <c r="N96">
        <v>71</v>
      </c>
      <c r="O96">
        <v>13050</v>
      </c>
      <c r="P96">
        <f t="shared" si="25"/>
        <v>2088</v>
      </c>
      <c r="Q96">
        <f t="shared" si="24"/>
        <v>1305</v>
      </c>
      <c r="R96">
        <f t="shared" si="24"/>
        <v>1305</v>
      </c>
      <c r="S96">
        <f t="shared" si="24"/>
        <v>1827</v>
      </c>
      <c r="T96">
        <f t="shared" si="24"/>
        <v>1501</v>
      </c>
      <c r="U96">
        <f t="shared" si="24"/>
        <v>1892</v>
      </c>
      <c r="V96">
        <f t="shared" si="24"/>
        <v>1501</v>
      </c>
      <c r="W96">
        <f t="shared" si="24"/>
        <v>1631</v>
      </c>
      <c r="X96">
        <f t="shared" si="24"/>
        <v>1501</v>
      </c>
      <c r="Y96">
        <f t="shared" si="24"/>
        <v>1501</v>
      </c>
      <c r="Z96">
        <f t="shared" si="24"/>
        <v>1892</v>
      </c>
      <c r="AA96">
        <f t="shared" si="24"/>
        <v>1631</v>
      </c>
    </row>
    <row r="97" spans="2:27">
      <c r="B97">
        <v>78</v>
      </c>
      <c r="C97">
        <f>(C$10-SUM(C$20:C96))/(ABS(C$11)+C$10-SUM(C95:C96))</f>
        <v>0.18764323110020284</v>
      </c>
      <c r="D97">
        <f>(D$10-SUM(D$20:D96))/(ABS(D$11)+D$10-SUM(D95:D96))</f>
        <v>0.28136168060833894</v>
      </c>
      <c r="E97">
        <f>(E$10-SUM(E$20:E96))/(ABS(E$11)+E$10-SUM(E95:E96))</f>
        <v>0.35996204101361734</v>
      </c>
      <c r="F97">
        <f>(F$10-SUM(F$20:F96))/(ABS(F$11)+F$10-SUM(F95:F96))</f>
        <v>0.42499503484153661</v>
      </c>
      <c r="H97">
        <f t="shared" si="19"/>
        <v>27.124592879890535</v>
      </c>
      <c r="I97">
        <f t="shared" si="20"/>
        <v>35.119853047305185</v>
      </c>
      <c r="J97">
        <f t="shared" si="21"/>
        <v>41.02690910059377</v>
      </c>
      <c r="K97">
        <f t="shared" si="22"/>
        <v>45.541150847312942</v>
      </c>
      <c r="N97">
        <v>72</v>
      </c>
      <c r="O97">
        <v>13600</v>
      </c>
      <c r="P97">
        <f t="shared" si="25"/>
        <v>2176</v>
      </c>
      <c r="Q97">
        <f t="shared" si="24"/>
        <v>1360</v>
      </c>
      <c r="R97">
        <f t="shared" si="24"/>
        <v>1360</v>
      </c>
      <c r="S97">
        <f t="shared" si="24"/>
        <v>1904</v>
      </c>
      <c r="T97">
        <f t="shared" si="24"/>
        <v>1564</v>
      </c>
      <c r="U97">
        <f t="shared" si="24"/>
        <v>1972</v>
      </c>
      <c r="V97">
        <f t="shared" si="24"/>
        <v>1564</v>
      </c>
      <c r="W97">
        <f t="shared" si="24"/>
        <v>1700</v>
      </c>
      <c r="X97">
        <f t="shared" si="24"/>
        <v>1564</v>
      </c>
      <c r="Y97">
        <f t="shared" si="24"/>
        <v>1564</v>
      </c>
      <c r="Z97">
        <f t="shared" si="24"/>
        <v>1972</v>
      </c>
      <c r="AA97">
        <f t="shared" si="24"/>
        <v>1700</v>
      </c>
    </row>
    <row r="98" spans="2:27">
      <c r="B98">
        <v>79</v>
      </c>
      <c r="C98">
        <f>(C$10-SUM(C$20:C97))/(ABS(C$11)+C$10-SUM(C96:C97))</f>
        <v>0.1849331233475387</v>
      </c>
      <c r="D98">
        <f>(D$10-SUM(D$20:D97))/(ABS(D$11)+D$10-SUM(D96:D97))</f>
        <v>0.27819538890689982</v>
      </c>
      <c r="E98">
        <f>(E$10-SUM(E$20:E97))/(ABS(E$11)+E$10-SUM(E96:E97))</f>
        <v>0.35664584259881188</v>
      </c>
      <c r="F98">
        <f>(F$10-SUM(F$20:F97))/(ABS(F$11)+F$10-SUM(F96:F97))</f>
        <v>0.42168217624983084</v>
      </c>
      <c r="H98">
        <f t="shared" si="19"/>
        <v>27.309526003238073</v>
      </c>
      <c r="I98">
        <f t="shared" si="20"/>
        <v>35.398048436212086</v>
      </c>
      <c r="J98">
        <f t="shared" si="21"/>
        <v>41.383554943192578</v>
      </c>
      <c r="K98">
        <f t="shared" si="22"/>
        <v>45.962833023562773</v>
      </c>
      <c r="N98">
        <v>73</v>
      </c>
      <c r="O98">
        <v>14150</v>
      </c>
      <c r="P98">
        <f t="shared" si="25"/>
        <v>2264</v>
      </c>
      <c r="Q98">
        <f t="shared" ref="Q98:AA98" si="26">ROUND($O98*Q$24/2,0)</f>
        <v>1415</v>
      </c>
      <c r="R98">
        <f t="shared" si="26"/>
        <v>1415</v>
      </c>
      <c r="S98">
        <f t="shared" si="26"/>
        <v>1981</v>
      </c>
      <c r="T98">
        <f t="shared" si="26"/>
        <v>1627</v>
      </c>
      <c r="U98">
        <f t="shared" si="26"/>
        <v>2052</v>
      </c>
      <c r="V98">
        <f t="shared" si="26"/>
        <v>1627</v>
      </c>
      <c r="W98">
        <f t="shared" si="26"/>
        <v>1769</v>
      </c>
      <c r="X98">
        <f t="shared" si="26"/>
        <v>1627</v>
      </c>
      <c r="Y98">
        <f t="shared" si="26"/>
        <v>1627</v>
      </c>
      <c r="Z98">
        <f t="shared" si="26"/>
        <v>2052</v>
      </c>
      <c r="AA98">
        <f t="shared" si="26"/>
        <v>1769</v>
      </c>
    </row>
    <row r="99" spans="2:27">
      <c r="B99">
        <v>80</v>
      </c>
      <c r="C99">
        <f>(C$10-SUM(C$20:C98))/(ABS(C$11)+C$10-SUM(C97:C98))</f>
        <v>0.18226258178622964</v>
      </c>
      <c r="D99">
        <f>(D$10-SUM(D$20:D98))/(ABS(D$11)+D$10-SUM(D97:D98))</f>
        <v>0.27506518033356714</v>
      </c>
      <c r="E99">
        <f>(E$10-SUM(E$20:E98))/(ABS(E$11)+E$10-SUM(E97:E98))</f>
        <v>0.35336060044403306</v>
      </c>
      <c r="F99">
        <f>(F$10-SUM(F$20:F98))/(ABS(F$11)+F$10-SUM(F97:F98))</f>
        <v>0.41839548382937775</v>
      </c>
      <c r="H99">
        <f t="shared" si="19"/>
        <v>27.491788585024302</v>
      </c>
      <c r="I99">
        <f t="shared" si="20"/>
        <v>35.673113616545656</v>
      </c>
      <c r="J99">
        <f t="shared" si="21"/>
        <v>41.736915543636613</v>
      </c>
      <c r="K99">
        <f t="shared" si="22"/>
        <v>46.381228507392152</v>
      </c>
      <c r="N99">
        <v>74</v>
      </c>
      <c r="O99">
        <v>14700</v>
      </c>
      <c r="P99">
        <f t="shared" ref="P99:AA120" si="27">ROUND($O99*P$24/2,0)</f>
        <v>2352</v>
      </c>
      <c r="Q99">
        <f t="shared" si="27"/>
        <v>1470</v>
      </c>
      <c r="R99">
        <f t="shared" si="27"/>
        <v>1470</v>
      </c>
      <c r="S99">
        <f t="shared" si="27"/>
        <v>2058</v>
      </c>
      <c r="T99">
        <f t="shared" si="27"/>
        <v>1691</v>
      </c>
      <c r="U99">
        <f t="shared" si="27"/>
        <v>2132</v>
      </c>
      <c r="V99">
        <f t="shared" si="27"/>
        <v>1691</v>
      </c>
      <c r="W99">
        <f t="shared" si="27"/>
        <v>1838</v>
      </c>
      <c r="X99">
        <f t="shared" si="27"/>
        <v>1691</v>
      </c>
      <c r="Y99">
        <f t="shared" si="27"/>
        <v>1691</v>
      </c>
      <c r="Z99">
        <f t="shared" si="27"/>
        <v>2132</v>
      </c>
      <c r="AA99">
        <f t="shared" si="27"/>
        <v>1838</v>
      </c>
    </row>
    <row r="100" spans="2:27">
      <c r="B100">
        <v>81</v>
      </c>
      <c r="C100">
        <f>(C$10-SUM(C$20:C99))/(ABS(C$11)+C$10-SUM(C98:C99))</f>
        <v>0.17963101646759158</v>
      </c>
      <c r="D100">
        <f>(D$10-SUM(D$20:D99))/(ABS(D$11)+D$10-SUM(D98:D99))</f>
        <v>0.27197063345484734</v>
      </c>
      <c r="E100">
        <f>(E$10-SUM(E$20:E99))/(ABS(E$11)+E$10-SUM(E98:E99))</f>
        <v>0.35010601804475672</v>
      </c>
      <c r="F100">
        <f>(F$10-SUM(F$20:F99))/(ABS(F$11)+F$10-SUM(F98:F99))</f>
        <v>0.41513474552496954</v>
      </c>
      <c r="H100">
        <f t="shared" si="19"/>
        <v>27.671419601491895</v>
      </c>
      <c r="I100">
        <f t="shared" si="20"/>
        <v>35.945084250000505</v>
      </c>
      <c r="J100">
        <f t="shared" si="21"/>
        <v>42.087021561681368</v>
      </c>
      <c r="K100">
        <f t="shared" si="22"/>
        <v>46.796363252917118</v>
      </c>
      <c r="N100">
        <v>75</v>
      </c>
      <c r="O100">
        <v>15250</v>
      </c>
      <c r="P100">
        <f t="shared" si="27"/>
        <v>2440</v>
      </c>
      <c r="Q100">
        <f t="shared" si="27"/>
        <v>1525</v>
      </c>
      <c r="R100">
        <f t="shared" si="27"/>
        <v>1525</v>
      </c>
      <c r="S100">
        <f t="shared" si="27"/>
        <v>2135</v>
      </c>
      <c r="T100">
        <f t="shared" si="27"/>
        <v>1754</v>
      </c>
      <c r="U100">
        <f t="shared" si="27"/>
        <v>2211</v>
      </c>
      <c r="V100">
        <f t="shared" si="27"/>
        <v>1754</v>
      </c>
      <c r="W100">
        <f t="shared" si="27"/>
        <v>1906</v>
      </c>
      <c r="X100">
        <f t="shared" si="27"/>
        <v>1754</v>
      </c>
      <c r="Y100">
        <f t="shared" si="27"/>
        <v>1754</v>
      </c>
      <c r="Z100">
        <f t="shared" si="27"/>
        <v>2211</v>
      </c>
      <c r="AA100">
        <f t="shared" si="27"/>
        <v>1906</v>
      </c>
    </row>
    <row r="101" spans="2:27">
      <c r="B101">
        <v>82</v>
      </c>
      <c r="C101">
        <f>(C$10-SUM(C$20:C100))/(ABS(C$11)+C$10-SUM(C99:C100))</f>
        <v>0.17703784659772087</v>
      </c>
      <c r="D101">
        <f>(D$10-SUM(D$20:D100))/(ABS(D$11)+D$10-SUM(D99:D100))</f>
        <v>0.26891133199258876</v>
      </c>
      <c r="E101">
        <f>(E$10-SUM(E$20:E100))/(ABS(E$11)+E$10-SUM(E99:E100))</f>
        <v>0.34688180187727763</v>
      </c>
      <c r="F101">
        <f>(F$10-SUM(F$20:F100))/(ABS(F$11)+F$10-SUM(F99:F100))</f>
        <v>0.41189975108519944</v>
      </c>
      <c r="H101">
        <f t="shared" si="19"/>
        <v>27.848457448089615</v>
      </c>
      <c r="I101">
        <f t="shared" si="20"/>
        <v>36.213995581993096</v>
      </c>
      <c r="J101">
        <f t="shared" si="21"/>
        <v>42.433903363558649</v>
      </c>
      <c r="K101">
        <f t="shared" si="22"/>
        <v>47.208263004002319</v>
      </c>
      <c r="N101">
        <v>76</v>
      </c>
      <c r="O101">
        <v>15800</v>
      </c>
      <c r="P101">
        <f t="shared" si="27"/>
        <v>2528</v>
      </c>
      <c r="Q101">
        <f t="shared" si="27"/>
        <v>1580</v>
      </c>
      <c r="R101">
        <f t="shared" si="27"/>
        <v>1580</v>
      </c>
      <c r="S101">
        <f t="shared" si="27"/>
        <v>2212</v>
      </c>
      <c r="T101">
        <f t="shared" si="27"/>
        <v>1817</v>
      </c>
      <c r="U101">
        <f t="shared" si="27"/>
        <v>2291</v>
      </c>
      <c r="V101">
        <f t="shared" si="27"/>
        <v>1817</v>
      </c>
      <c r="W101">
        <f t="shared" si="27"/>
        <v>1975</v>
      </c>
      <c r="X101">
        <f t="shared" si="27"/>
        <v>1817</v>
      </c>
      <c r="Y101">
        <f t="shared" si="27"/>
        <v>1817</v>
      </c>
      <c r="Z101">
        <f t="shared" si="27"/>
        <v>2291</v>
      </c>
      <c r="AA101">
        <f t="shared" si="27"/>
        <v>1975</v>
      </c>
    </row>
    <row r="102" spans="2:27">
      <c r="B102">
        <v>83</v>
      </c>
      <c r="C102">
        <f>(C$10-SUM(C$20:C101))/(ABS(C$11)+C$10-SUM(C100:C101))</f>
        <v>0.17448250038496405</v>
      </c>
      <c r="D102">
        <f>(D$10-SUM(D$20:D101))/(ABS(D$11)+D$10-SUM(D100:D101))</f>
        <v>0.26588686475558404</v>
      </c>
      <c r="E102">
        <f>(E$10-SUM(E$20:E101))/(ABS(E$11)+E$10-SUM(E100:E101))</f>
        <v>0.34368766136610007</v>
      </c>
      <c r="F102">
        <f>(F$10-SUM(F$20:F101))/(ABS(F$11)+F$10-SUM(F100:F101))</f>
        <v>0.40869029204576318</v>
      </c>
      <c r="H102">
        <f t="shared" si="19"/>
        <v>28.02293994847458</v>
      </c>
      <c r="I102">
        <f t="shared" si="20"/>
        <v>36.479882446748682</v>
      </c>
      <c r="J102">
        <f t="shared" si="21"/>
        <v>42.777591024924746</v>
      </c>
      <c r="K102">
        <f t="shared" si="22"/>
        <v>47.616953296048081</v>
      </c>
      <c r="N102">
        <v>77</v>
      </c>
      <c r="O102">
        <v>16350</v>
      </c>
      <c r="P102">
        <f t="shared" si="27"/>
        <v>2616</v>
      </c>
      <c r="Q102">
        <f t="shared" si="27"/>
        <v>1635</v>
      </c>
      <c r="R102">
        <f t="shared" si="27"/>
        <v>1635</v>
      </c>
      <c r="S102">
        <f t="shared" si="27"/>
        <v>2289</v>
      </c>
      <c r="T102">
        <f t="shared" si="27"/>
        <v>1880</v>
      </c>
      <c r="U102">
        <f t="shared" si="27"/>
        <v>2371</v>
      </c>
      <c r="V102">
        <f t="shared" si="27"/>
        <v>1880</v>
      </c>
      <c r="W102">
        <f t="shared" si="27"/>
        <v>2044</v>
      </c>
      <c r="X102">
        <f t="shared" si="27"/>
        <v>1880</v>
      </c>
      <c r="Y102">
        <f t="shared" si="27"/>
        <v>1880</v>
      </c>
      <c r="Z102">
        <f t="shared" si="27"/>
        <v>2371</v>
      </c>
      <c r="AA102">
        <f t="shared" si="27"/>
        <v>2044</v>
      </c>
    </row>
    <row r="103" spans="2:27">
      <c r="B103">
        <v>84</v>
      </c>
      <c r="C103">
        <f>(C$10-SUM(C$20:C102))/(ABS(C$11)+C$10-SUM(C101:C102))</f>
        <v>0.17196441489023298</v>
      </c>
      <c r="D103">
        <f>(D$10-SUM(D$20:D102))/(ABS(D$11)+D$10-SUM(D101:D102))</f>
        <v>0.26289682557220168</v>
      </c>
      <c r="E103">
        <f>(E$10-SUM(E$20:E102))/(ABS(E$11)+E$10-SUM(E101:E102))</f>
        <v>0.34052330885173504</v>
      </c>
      <c r="F103">
        <f>(F$10-SUM(F$20:F102))/(ABS(F$11)+F$10-SUM(F101:F102))</f>
        <v>0.40550616171293696</v>
      </c>
      <c r="H103">
        <f t="shared" si="19"/>
        <v>28.194904363364813</v>
      </c>
      <c r="I103">
        <f t="shared" si="20"/>
        <v>36.742779272320881</v>
      </c>
      <c r="J103">
        <f t="shared" si="21"/>
        <v>43.118114333776482</v>
      </c>
      <c r="K103">
        <f t="shared" si="22"/>
        <v>48.022459457761016</v>
      </c>
      <c r="N103">
        <v>78</v>
      </c>
      <c r="O103">
        <v>16900</v>
      </c>
      <c r="P103">
        <f t="shared" si="27"/>
        <v>2704</v>
      </c>
      <c r="Q103">
        <f t="shared" si="27"/>
        <v>1690</v>
      </c>
      <c r="R103">
        <f t="shared" si="27"/>
        <v>1690</v>
      </c>
      <c r="S103">
        <f t="shared" si="27"/>
        <v>2366</v>
      </c>
      <c r="T103">
        <f t="shared" si="27"/>
        <v>1944</v>
      </c>
      <c r="U103">
        <f t="shared" si="27"/>
        <v>2451</v>
      </c>
      <c r="V103">
        <f t="shared" si="27"/>
        <v>1944</v>
      </c>
      <c r="W103">
        <f t="shared" si="27"/>
        <v>2113</v>
      </c>
      <c r="X103">
        <f t="shared" si="27"/>
        <v>1944</v>
      </c>
      <c r="Y103">
        <f t="shared" si="27"/>
        <v>1944</v>
      </c>
      <c r="Z103">
        <f t="shared" si="27"/>
        <v>2451</v>
      </c>
      <c r="AA103">
        <f t="shared" si="27"/>
        <v>2113</v>
      </c>
    </row>
    <row r="104" spans="2:27">
      <c r="B104">
        <v>85</v>
      </c>
      <c r="C104">
        <f>(C$10-SUM(C$20:C103))/(ABS(C$11)+C$10-SUM(C102:C103))</f>
        <v>0.16948303588010463</v>
      </c>
      <c r="D104">
        <f>(D$10-SUM(D$20:D103))/(ABS(D$11)+D$10-SUM(D102:D103))</f>
        <v>0.25994081322402807</v>
      </c>
      <c r="E104">
        <f>(E$10-SUM(E$20:E103))/(ABS(E$11)+E$10-SUM(E102:E103))</f>
        <v>0.33738845955889646</v>
      </c>
      <c r="F104">
        <f>(F$10-SUM(F$20:F103))/(ABS(F$11)+F$10-SUM(F102:F103))</f>
        <v>0.40234715514722896</v>
      </c>
      <c r="H104">
        <f t="shared" si="19"/>
        <v>28.364387399244919</v>
      </c>
      <c r="I104">
        <f t="shared" si="20"/>
        <v>37.002720085544908</v>
      </c>
      <c r="J104">
        <f t="shared" si="21"/>
        <v>43.455502793335377</v>
      </c>
      <c r="K104">
        <f t="shared" si="22"/>
        <v>48.424806612908242</v>
      </c>
      <c r="N104">
        <v>79</v>
      </c>
      <c r="O104">
        <v>17450</v>
      </c>
      <c r="P104">
        <f t="shared" si="27"/>
        <v>2792</v>
      </c>
      <c r="Q104">
        <f t="shared" si="27"/>
        <v>1745</v>
      </c>
      <c r="R104">
        <f t="shared" si="27"/>
        <v>1745</v>
      </c>
      <c r="S104">
        <f t="shared" si="27"/>
        <v>2443</v>
      </c>
      <c r="T104">
        <f t="shared" si="27"/>
        <v>2007</v>
      </c>
      <c r="U104">
        <f t="shared" si="27"/>
        <v>2530</v>
      </c>
      <c r="V104">
        <f t="shared" si="27"/>
        <v>2007</v>
      </c>
      <c r="W104">
        <f t="shared" si="27"/>
        <v>2181</v>
      </c>
      <c r="X104">
        <f t="shared" si="27"/>
        <v>2007</v>
      </c>
      <c r="Y104">
        <f t="shared" si="27"/>
        <v>2007</v>
      </c>
      <c r="Z104">
        <f t="shared" si="27"/>
        <v>2530</v>
      </c>
      <c r="AA104">
        <f t="shared" si="27"/>
        <v>2181</v>
      </c>
    </row>
    <row r="105" spans="2:27">
      <c r="B105">
        <v>86</v>
      </c>
      <c r="C105">
        <f>(C$10-SUM(C$20:C104))/(ABS(C$11)+C$10-SUM(C103:C104))</f>
        <v>0.1670378176826437</v>
      </c>
      <c r="D105">
        <f>(D$10-SUM(D$20:D104))/(ABS(D$11)+D$10-SUM(D103:D104))</f>
        <v>0.25701843138050207</v>
      </c>
      <c r="E105">
        <f>(E$10-SUM(E$20:E104))/(ABS(E$11)+E$10-SUM(E103:E104))</f>
        <v>0.33428283156509303</v>
      </c>
      <c r="F105">
        <f>(F$10-SUM(F$20:F104))/(ABS(F$11)+F$10-SUM(F103:F104))</f>
        <v>0.39921306914720195</v>
      </c>
      <c r="H105">
        <f t="shared" si="19"/>
        <v>28.531425216927563</v>
      </c>
      <c r="I105">
        <f t="shared" si="20"/>
        <v>37.25973851692541</v>
      </c>
      <c r="J105">
        <f t="shared" si="21"/>
        <v>43.789785624900468</v>
      </c>
      <c r="K105">
        <f t="shared" si="22"/>
        <v>48.824019682055443</v>
      </c>
      <c r="N105">
        <v>80</v>
      </c>
      <c r="O105">
        <v>18000</v>
      </c>
      <c r="P105">
        <f t="shared" si="27"/>
        <v>2880</v>
      </c>
      <c r="Q105">
        <f t="shared" si="27"/>
        <v>1800</v>
      </c>
      <c r="R105">
        <f t="shared" si="27"/>
        <v>1800</v>
      </c>
      <c r="S105">
        <f t="shared" si="27"/>
        <v>2520</v>
      </c>
      <c r="T105">
        <f t="shared" si="27"/>
        <v>2070</v>
      </c>
      <c r="U105">
        <f t="shared" si="27"/>
        <v>2610</v>
      </c>
      <c r="V105">
        <f t="shared" si="27"/>
        <v>2070</v>
      </c>
      <c r="W105">
        <f t="shared" si="27"/>
        <v>2250</v>
      </c>
      <c r="X105">
        <f t="shared" si="27"/>
        <v>2070</v>
      </c>
      <c r="Y105">
        <f t="shared" si="27"/>
        <v>2070</v>
      </c>
      <c r="Z105">
        <f t="shared" si="27"/>
        <v>2610</v>
      </c>
      <c r="AA105">
        <f t="shared" si="27"/>
        <v>2250</v>
      </c>
    </row>
    <row r="106" spans="2:27">
      <c r="B106">
        <v>87</v>
      </c>
      <c r="C106">
        <f>(C$10-SUM(C$20:C105))/(ABS(C$11)+C$10-SUM(C104:C105))</f>
        <v>0.16462822304589084</v>
      </c>
      <c r="D106">
        <f>(D$10-SUM(D$20:D105))/(ABS(D$11)+D$10-SUM(D104:D105))</f>
        <v>0.25412928853452543</v>
      </c>
      <c r="E106">
        <f>(E$10-SUM(E$20:E105))/(ABS(E$11)+E$10-SUM(E104:E105))</f>
        <v>0.33120614576960733</v>
      </c>
      <c r="F106">
        <f>(F$10-SUM(F$20:F105))/(ABS(F$11)+F$10-SUM(F104:F105))</f>
        <v>0.39610370223346669</v>
      </c>
      <c r="H106">
        <f t="shared" si="19"/>
        <v>28.696053439973454</v>
      </c>
      <c r="I106">
        <f t="shared" si="20"/>
        <v>37.513867805459938</v>
      </c>
      <c r="J106">
        <f t="shared" si="21"/>
        <v>44.120991770670074</v>
      </c>
      <c r="K106">
        <f t="shared" si="22"/>
        <v>49.220123384288911</v>
      </c>
      <c r="N106">
        <v>81</v>
      </c>
      <c r="O106">
        <v>18550</v>
      </c>
      <c r="P106">
        <f t="shared" si="27"/>
        <v>2968</v>
      </c>
      <c r="Q106">
        <f t="shared" si="27"/>
        <v>1855</v>
      </c>
      <c r="R106">
        <f t="shared" si="27"/>
        <v>1855</v>
      </c>
      <c r="S106">
        <f t="shared" si="27"/>
        <v>2597</v>
      </c>
      <c r="T106">
        <f t="shared" si="27"/>
        <v>2133</v>
      </c>
      <c r="U106">
        <f t="shared" si="27"/>
        <v>2690</v>
      </c>
      <c r="V106">
        <f t="shared" si="27"/>
        <v>2133</v>
      </c>
      <c r="W106">
        <f t="shared" si="27"/>
        <v>2319</v>
      </c>
      <c r="X106">
        <f t="shared" si="27"/>
        <v>2133</v>
      </c>
      <c r="Y106">
        <f t="shared" si="27"/>
        <v>2133</v>
      </c>
      <c r="Z106">
        <f t="shared" si="27"/>
        <v>2690</v>
      </c>
      <c r="AA106">
        <f t="shared" si="27"/>
        <v>2319</v>
      </c>
    </row>
    <row r="107" spans="2:27">
      <c r="B107">
        <v>88</v>
      </c>
      <c r="C107">
        <f>(C$10-SUM(C$20:C106))/(ABS(C$11)+C$10-SUM(C105:C106))</f>
        <v>0.16225372299895821</v>
      </c>
      <c r="D107">
        <f>(D$10-SUM(D$20:D106))/(ABS(D$11)+D$10-SUM(D105:D106))</f>
        <v>0.25127299793903124</v>
      </c>
      <c r="E107">
        <f>(E$10-SUM(E$20:E106))/(ABS(E$11)+E$10-SUM(E105:E106))</f>
        <v>0.32815812586285886</v>
      </c>
      <c r="F107">
        <f>(F$10-SUM(F$20:F106))/(ABS(F$11)+F$10-SUM(F105:F106))</f>
        <v>0.39301885463284159</v>
      </c>
      <c r="H107">
        <f t="shared" si="19"/>
        <v>28.858307162972412</v>
      </c>
      <c r="I107">
        <f t="shared" si="20"/>
        <v>37.765140803398971</v>
      </c>
      <c r="J107">
        <f t="shared" si="21"/>
        <v>44.44914989653293</v>
      </c>
      <c r="K107">
        <f t="shared" si="22"/>
        <v>49.613142238921753</v>
      </c>
      <c r="N107">
        <v>82</v>
      </c>
      <c r="O107">
        <v>19100</v>
      </c>
      <c r="P107">
        <f t="shared" si="27"/>
        <v>3056</v>
      </c>
      <c r="Q107">
        <f t="shared" si="27"/>
        <v>1910</v>
      </c>
      <c r="R107">
        <f t="shared" si="27"/>
        <v>1910</v>
      </c>
      <c r="S107">
        <f t="shared" si="27"/>
        <v>2674</v>
      </c>
      <c r="T107">
        <f t="shared" si="27"/>
        <v>2197</v>
      </c>
      <c r="U107">
        <f t="shared" si="27"/>
        <v>2770</v>
      </c>
      <c r="V107">
        <f t="shared" si="27"/>
        <v>2197</v>
      </c>
      <c r="W107">
        <f t="shared" si="27"/>
        <v>2388</v>
      </c>
      <c r="X107">
        <f t="shared" si="27"/>
        <v>2197</v>
      </c>
      <c r="Y107">
        <f t="shared" si="27"/>
        <v>2197</v>
      </c>
      <c r="Z107">
        <f t="shared" si="27"/>
        <v>2770</v>
      </c>
      <c r="AA107">
        <f t="shared" si="27"/>
        <v>2388</v>
      </c>
    </row>
    <row r="108" spans="2:27">
      <c r="B108">
        <v>89</v>
      </c>
      <c r="C108">
        <f>(C$10-SUM(C$20:C107))/(ABS(C$11)+C$10-SUM(C106:C107))</f>
        <v>0.15991379671567754</v>
      </c>
      <c r="D108">
        <f>(D$10-SUM(D$20:D107))/(ABS(D$11)+D$10-SUM(D106:D107))</f>
        <v>0.24844917754449433</v>
      </c>
      <c r="E108">
        <f>(E$10-SUM(E$20:E107))/(ABS(E$11)+E$10-SUM(E106:E107))</f>
        <v>0.3251384982961435</v>
      </c>
      <c r="F108">
        <f>(F$10-SUM(F$20:F107))/(ABS(F$11)+F$10-SUM(F106:F107))</f>
        <v>0.38995832826267851</v>
      </c>
      <c r="H108">
        <f t="shared" si="19"/>
        <v>29.01822095968809</v>
      </c>
      <c r="I108">
        <f t="shared" si="20"/>
        <v>38.013589980943465</v>
      </c>
      <c r="J108">
        <f t="shared" si="21"/>
        <v>44.774288394829071</v>
      </c>
      <c r="K108">
        <f t="shared" si="22"/>
        <v>50.003100567184433</v>
      </c>
      <c r="N108">
        <v>83</v>
      </c>
      <c r="O108">
        <v>19650</v>
      </c>
      <c r="P108">
        <f t="shared" si="27"/>
        <v>3144</v>
      </c>
      <c r="Q108">
        <f t="shared" si="27"/>
        <v>1965</v>
      </c>
      <c r="R108">
        <f t="shared" si="27"/>
        <v>1965</v>
      </c>
      <c r="S108">
        <f t="shared" si="27"/>
        <v>2751</v>
      </c>
      <c r="T108">
        <f t="shared" si="27"/>
        <v>2260</v>
      </c>
      <c r="U108">
        <f t="shared" si="27"/>
        <v>2849</v>
      </c>
      <c r="V108">
        <f t="shared" si="27"/>
        <v>2260</v>
      </c>
      <c r="W108">
        <f t="shared" si="27"/>
        <v>2456</v>
      </c>
      <c r="X108">
        <f t="shared" si="27"/>
        <v>2260</v>
      </c>
      <c r="Y108">
        <f t="shared" si="27"/>
        <v>2260</v>
      </c>
      <c r="Z108">
        <f t="shared" si="27"/>
        <v>2849</v>
      </c>
      <c r="AA108">
        <f t="shared" si="27"/>
        <v>2456</v>
      </c>
    </row>
    <row r="109" spans="2:27">
      <c r="B109">
        <v>90</v>
      </c>
      <c r="C109">
        <f>(C$10-SUM(C$20:C108))/(ABS(C$11)+C$10-SUM(C107:C108))</f>
        <v>0.15760793138074572</v>
      </c>
      <c r="D109">
        <f>(D$10-SUM(D$20:D108))/(ABS(D$11)+D$10-SUM(D107:D108))</f>
        <v>0.24565744993736635</v>
      </c>
      <c r="E109">
        <f>(E$10-SUM(E$20:E108))/(ABS(E$11)+E$10-SUM(E107:E108))</f>
        <v>0.32214699225174515</v>
      </c>
      <c r="F109">
        <f>(F$10-SUM(F$20:F108))/(ABS(F$11)+F$10-SUM(F107:F108))</f>
        <v>0.38692192671535119</v>
      </c>
      <c r="H109">
        <f t="shared" si="19"/>
        <v>29.175828891068836</v>
      </c>
      <c r="I109">
        <f t="shared" si="20"/>
        <v>38.259247430880833</v>
      </c>
      <c r="J109">
        <f t="shared" si="21"/>
        <v>45.096435387080817</v>
      </c>
      <c r="K109">
        <f t="shared" si="22"/>
        <v>50.390022493899785</v>
      </c>
      <c r="N109">
        <v>84</v>
      </c>
      <c r="O109">
        <v>20200</v>
      </c>
      <c r="P109">
        <f t="shared" si="27"/>
        <v>3232</v>
      </c>
      <c r="Q109">
        <f t="shared" si="27"/>
        <v>2020</v>
      </c>
      <c r="R109">
        <f t="shared" si="27"/>
        <v>2020</v>
      </c>
      <c r="S109">
        <f t="shared" si="27"/>
        <v>2828</v>
      </c>
      <c r="T109">
        <f t="shared" si="27"/>
        <v>2323</v>
      </c>
      <c r="U109">
        <f t="shared" si="27"/>
        <v>2929</v>
      </c>
      <c r="V109">
        <f t="shared" si="27"/>
        <v>2323</v>
      </c>
      <c r="W109">
        <f t="shared" si="27"/>
        <v>2525</v>
      </c>
      <c r="X109">
        <f t="shared" si="27"/>
        <v>2323</v>
      </c>
      <c r="Y109">
        <f t="shared" si="27"/>
        <v>2323</v>
      </c>
      <c r="Z109">
        <f t="shared" si="27"/>
        <v>2929</v>
      </c>
      <c r="AA109">
        <f t="shared" si="27"/>
        <v>2525</v>
      </c>
    </row>
    <row r="110" spans="2:27">
      <c r="B110">
        <v>91</v>
      </c>
      <c r="C110">
        <f>(C$10-SUM(C$20:C109))/(ABS(C$11)+C$10-SUM(C108:C109))</f>
        <v>0.15533562205831505</v>
      </c>
      <c r="D110">
        <f>(D$10-SUM(D$20:D109))/(ABS(D$11)+D$10-SUM(D108:D109))</f>
        <v>0.24289744227942023</v>
      </c>
      <c r="E110">
        <f>(E$10-SUM(E$20:E109))/(ABS(E$11)+E$10-SUM(E108:E109))</f>
        <v>0.31918333961341422</v>
      </c>
      <c r="F110">
        <f>(F$10-SUM(F$20:F109))/(ABS(F$11)+F$10-SUM(F108:F109))</f>
        <v>0.38390945524290621</v>
      </c>
      <c r="H110">
        <f t="shared" si="19"/>
        <v>29.331164513127149</v>
      </c>
      <c r="I110">
        <f t="shared" si="20"/>
        <v>38.502144873160255</v>
      </c>
      <c r="J110">
        <f t="shared" si="21"/>
        <v>45.415618726694234</v>
      </c>
      <c r="K110">
        <f t="shared" si="22"/>
        <v>50.773931949142693</v>
      </c>
      <c r="N110">
        <v>85</v>
      </c>
      <c r="O110">
        <v>20750</v>
      </c>
      <c r="P110">
        <f t="shared" si="27"/>
        <v>3320</v>
      </c>
      <c r="Q110">
        <f t="shared" si="27"/>
        <v>2075</v>
      </c>
      <c r="R110">
        <f t="shared" si="27"/>
        <v>2075</v>
      </c>
      <c r="S110">
        <f t="shared" si="27"/>
        <v>2905</v>
      </c>
      <c r="T110">
        <f t="shared" si="27"/>
        <v>2386</v>
      </c>
      <c r="U110">
        <f t="shared" si="27"/>
        <v>3009</v>
      </c>
      <c r="V110">
        <f t="shared" si="27"/>
        <v>2386</v>
      </c>
      <c r="W110">
        <f t="shared" si="27"/>
        <v>2594</v>
      </c>
      <c r="X110">
        <f t="shared" si="27"/>
        <v>2386</v>
      </c>
      <c r="Y110">
        <f t="shared" si="27"/>
        <v>2386</v>
      </c>
      <c r="Z110">
        <f t="shared" si="27"/>
        <v>3009</v>
      </c>
      <c r="AA110">
        <f t="shared" si="27"/>
        <v>2594</v>
      </c>
    </row>
    <row r="111" spans="2:27">
      <c r="B111">
        <v>92</v>
      </c>
      <c r="C111">
        <f>(C$10-SUM(C$20:C110))/(ABS(C$11)+C$10-SUM(C109:C110))</f>
        <v>0.15309637156297706</v>
      </c>
      <c r="D111">
        <f>(D$10-SUM(D$20:D110))/(ABS(D$11)+D$10-SUM(D109:D110))</f>
        <v>0.24016878624798851</v>
      </c>
      <c r="E111">
        <f>(E$10-SUM(E$20:E110))/(ABS(E$11)+E$10-SUM(E109:E110))</f>
        <v>0.31624727493720634</v>
      </c>
      <c r="F111">
        <f>(F$10-SUM(F$20:F110))/(ABS(F$11)+F$10-SUM(F109:F110))</f>
        <v>0.38092072074187155</v>
      </c>
      <c r="H111">
        <f t="shared" si="19"/>
        <v>29.484260884690126</v>
      </c>
      <c r="I111">
        <f t="shared" si="20"/>
        <v>38.742313659408246</v>
      </c>
      <c r="J111">
        <f t="shared" si="21"/>
        <v>45.731866001631438</v>
      </c>
      <c r="K111">
        <f t="shared" si="22"/>
        <v>51.154852669884562</v>
      </c>
      <c r="N111">
        <v>86</v>
      </c>
      <c r="O111">
        <v>21300</v>
      </c>
      <c r="P111">
        <f t="shared" si="27"/>
        <v>3408</v>
      </c>
      <c r="Q111">
        <f t="shared" si="27"/>
        <v>2130</v>
      </c>
      <c r="R111">
        <f t="shared" si="27"/>
        <v>2130</v>
      </c>
      <c r="S111">
        <f t="shared" si="27"/>
        <v>2982</v>
      </c>
      <c r="T111">
        <f t="shared" si="27"/>
        <v>2450</v>
      </c>
      <c r="U111">
        <f t="shared" si="27"/>
        <v>3089</v>
      </c>
      <c r="V111">
        <f t="shared" si="27"/>
        <v>2450</v>
      </c>
      <c r="W111">
        <f t="shared" si="27"/>
        <v>2663</v>
      </c>
      <c r="X111">
        <f t="shared" si="27"/>
        <v>2450</v>
      </c>
      <c r="Y111">
        <f t="shared" si="27"/>
        <v>2450</v>
      </c>
      <c r="Z111">
        <f t="shared" si="27"/>
        <v>3089</v>
      </c>
      <c r="AA111">
        <f t="shared" si="27"/>
        <v>2663</v>
      </c>
    </row>
    <row r="112" spans="2:27">
      <c r="B112">
        <v>93</v>
      </c>
      <c r="C112">
        <f>(C$10-SUM(C$20:C111))/(ABS(C$11)+C$10-SUM(C110:C111))</f>
        <v>0.15088969033308869</v>
      </c>
      <c r="D112">
        <f>(D$10-SUM(D$20:D111))/(ABS(D$11)+D$10-SUM(D110:D111))</f>
        <v>0.2374711179770792</v>
      </c>
      <c r="E112">
        <f>(E$10-SUM(E$20:E111))/(ABS(E$11)+E$10-SUM(E110:E111))</f>
        <v>0.31333853542267803</v>
      </c>
      <c r="F112">
        <f>(F$10-SUM(F$20:F111))/(ABS(F$11)+F$10-SUM(F110:F111))</f>
        <v>0.3779555317382246</v>
      </c>
      <c r="H112">
        <f t="shared" si="19"/>
        <v>29.635150575023214</v>
      </c>
      <c r="I112">
        <f t="shared" si="20"/>
        <v>38.979784777385326</v>
      </c>
      <c r="J112">
        <f t="shared" si="21"/>
        <v>46.045204537054119</v>
      </c>
      <c r="K112">
        <f t="shared" si="22"/>
        <v>51.532808201622785</v>
      </c>
      <c r="N112">
        <v>87</v>
      </c>
      <c r="O112">
        <v>21850</v>
      </c>
      <c r="P112">
        <f t="shared" si="27"/>
        <v>3496</v>
      </c>
      <c r="Q112">
        <f t="shared" si="27"/>
        <v>2185</v>
      </c>
      <c r="R112">
        <f t="shared" si="27"/>
        <v>2185</v>
      </c>
      <c r="S112">
        <f t="shared" si="27"/>
        <v>3059</v>
      </c>
      <c r="T112">
        <f t="shared" si="27"/>
        <v>2513</v>
      </c>
      <c r="U112">
        <f t="shared" si="27"/>
        <v>3168</v>
      </c>
      <c r="V112">
        <f t="shared" si="27"/>
        <v>2513</v>
      </c>
      <c r="W112">
        <f t="shared" si="27"/>
        <v>2731</v>
      </c>
      <c r="X112">
        <f t="shared" si="27"/>
        <v>2513</v>
      </c>
      <c r="Y112">
        <f t="shared" si="27"/>
        <v>2513</v>
      </c>
      <c r="Z112">
        <f t="shared" si="27"/>
        <v>3168</v>
      </c>
      <c r="AA112">
        <f t="shared" si="27"/>
        <v>2731</v>
      </c>
    </row>
    <row r="113" spans="2:27">
      <c r="B113">
        <v>94</v>
      </c>
      <c r="C113">
        <f>(C$10-SUM(C$20:C112))/(ABS(C$11)+C$10-SUM(C111:C112))</f>
        <v>0.14871509630639229</v>
      </c>
      <c r="D113">
        <f>(D$10-SUM(D$20:D112))/(ABS(D$11)+D$10-SUM(D111:D112))</f>
        <v>0.2348040779993549</v>
      </c>
      <c r="E113">
        <f>(E$10-SUM(E$20:E112))/(ABS(E$11)+E$10-SUM(E111:E112))</f>
        <v>0.31045686088443264</v>
      </c>
      <c r="F113">
        <f>(F$10-SUM(F$20:F112))/(ABS(F$11)+F$10-SUM(F111:F112))</f>
        <v>0.37501369837251419</v>
      </c>
      <c r="H113">
        <f t="shared" si="19"/>
        <v>29.783865671329607</v>
      </c>
      <c r="I113">
        <f t="shared" si="20"/>
        <v>39.214588855384683</v>
      </c>
      <c r="J113">
        <f t="shared" si="21"/>
        <v>46.355661397938555</v>
      </c>
      <c r="K113">
        <f t="shared" si="22"/>
        <v>51.907821899995298</v>
      </c>
      <c r="N113">
        <v>88</v>
      </c>
      <c r="O113">
        <v>22400</v>
      </c>
      <c r="P113">
        <f t="shared" si="27"/>
        <v>3584</v>
      </c>
      <c r="Q113">
        <f t="shared" si="27"/>
        <v>2240</v>
      </c>
      <c r="R113">
        <f t="shared" si="27"/>
        <v>2240</v>
      </c>
      <c r="S113">
        <f t="shared" si="27"/>
        <v>3136</v>
      </c>
      <c r="T113">
        <f t="shared" si="27"/>
        <v>2576</v>
      </c>
      <c r="U113">
        <f t="shared" si="27"/>
        <v>3248</v>
      </c>
      <c r="V113">
        <f t="shared" si="27"/>
        <v>2576</v>
      </c>
      <c r="W113">
        <f t="shared" si="27"/>
        <v>2800</v>
      </c>
      <c r="X113">
        <f t="shared" si="27"/>
        <v>2576</v>
      </c>
      <c r="Y113">
        <f t="shared" si="27"/>
        <v>2576</v>
      </c>
      <c r="Z113">
        <f t="shared" si="27"/>
        <v>3248</v>
      </c>
      <c r="AA113">
        <f t="shared" si="27"/>
        <v>2800</v>
      </c>
    </row>
    <row r="114" spans="2:27">
      <c r="B114">
        <v>95</v>
      </c>
      <c r="C114">
        <f>(C$10-SUM(C$20:C113))/(ABS(C$11)+C$10-SUM(C112:C113))</f>
        <v>0.14657211479788154</v>
      </c>
      <c r="D114">
        <f>(D$10-SUM(D$20:D113))/(ABS(D$11)+D$10-SUM(D112:D113))</f>
        <v>0.23216731118896006</v>
      </c>
      <c r="E114">
        <f>(E$10-SUM(E$20:E113))/(ABS(E$11)+E$10-SUM(E112:E113))</f>
        <v>0.30760199372401248</v>
      </c>
      <c r="F114">
        <f>(F$10-SUM(F$20:F113))/(ABS(F$11)+F$10-SUM(F112:F113))</f>
        <v>0.37209503238513669</v>
      </c>
      <c r="H114">
        <f t="shared" si="19"/>
        <v>29.930437786127488</v>
      </c>
      <c r="I114">
        <f t="shared" si="20"/>
        <v>39.446756166573643</v>
      </c>
      <c r="J114">
        <f t="shared" si="21"/>
        <v>46.663263391662568</v>
      </c>
      <c r="K114">
        <f t="shared" si="22"/>
        <v>52.279916932380438</v>
      </c>
      <c r="N114">
        <v>89</v>
      </c>
      <c r="O114">
        <v>22950</v>
      </c>
      <c r="P114">
        <f t="shared" si="27"/>
        <v>3672</v>
      </c>
      <c r="Q114">
        <f t="shared" si="27"/>
        <v>2295</v>
      </c>
      <c r="R114">
        <f t="shared" si="27"/>
        <v>2295</v>
      </c>
      <c r="S114">
        <f t="shared" si="27"/>
        <v>3213</v>
      </c>
      <c r="T114">
        <f t="shared" si="27"/>
        <v>2639</v>
      </c>
      <c r="U114">
        <f t="shared" si="27"/>
        <v>3328</v>
      </c>
      <c r="V114">
        <f t="shared" si="27"/>
        <v>2639</v>
      </c>
      <c r="W114">
        <f t="shared" si="27"/>
        <v>2869</v>
      </c>
      <c r="X114">
        <f t="shared" si="27"/>
        <v>2639</v>
      </c>
      <c r="Y114">
        <f t="shared" si="27"/>
        <v>2639</v>
      </c>
      <c r="Z114">
        <f t="shared" si="27"/>
        <v>3328</v>
      </c>
      <c r="AA114">
        <f t="shared" si="27"/>
        <v>2869</v>
      </c>
    </row>
    <row r="115" spans="2:27">
      <c r="B115">
        <v>96</v>
      </c>
      <c r="C115">
        <f>(C$10-SUM(C$20:C114))/(ABS(C$11)+C$10-SUM(C113:C114))</f>
        <v>0.14446027837986644</v>
      </c>
      <c r="D115">
        <f>(D$10-SUM(D$20:D114))/(ABS(D$11)+D$10-SUM(D113:D114))</f>
        <v>0.22956046670518215</v>
      </c>
      <c r="E115">
        <f>(E$10-SUM(E$20:E114))/(ABS(E$11)+E$10-SUM(E113:E114))</f>
        <v>0.30477367890213169</v>
      </c>
      <c r="F115">
        <f>(F$10-SUM(F$20:F114))/(ABS(F$11)+F$10-SUM(F113:F114))</f>
        <v>0.36919934710176394</v>
      </c>
      <c r="H115">
        <f t="shared" si="19"/>
        <v>30.074898064507355</v>
      </c>
      <c r="I115">
        <f t="shared" si="20"/>
        <v>39.676316633278823</v>
      </c>
      <c r="J115">
        <f t="shared" si="21"/>
        <v>46.968037070564698</v>
      </c>
      <c r="K115">
        <f t="shared" si="22"/>
        <v>52.6491162794822</v>
      </c>
      <c r="N115">
        <v>90</v>
      </c>
      <c r="O115">
        <v>23500</v>
      </c>
      <c r="P115">
        <f t="shared" si="27"/>
        <v>3760</v>
      </c>
      <c r="Q115">
        <f t="shared" si="27"/>
        <v>2350</v>
      </c>
      <c r="R115">
        <f t="shared" si="27"/>
        <v>2350</v>
      </c>
      <c r="S115">
        <f t="shared" si="27"/>
        <v>3290</v>
      </c>
      <c r="T115">
        <f t="shared" si="27"/>
        <v>2703</v>
      </c>
      <c r="U115">
        <f t="shared" si="27"/>
        <v>3408</v>
      </c>
      <c r="V115">
        <f t="shared" si="27"/>
        <v>2703</v>
      </c>
      <c r="W115">
        <f t="shared" si="27"/>
        <v>2938</v>
      </c>
      <c r="X115">
        <f t="shared" si="27"/>
        <v>2703</v>
      </c>
      <c r="Y115">
        <f t="shared" si="27"/>
        <v>2703</v>
      </c>
      <c r="Z115">
        <f t="shared" si="27"/>
        <v>3408</v>
      </c>
      <c r="AA115">
        <f t="shared" si="27"/>
        <v>2938</v>
      </c>
    </row>
    <row r="116" spans="2:27">
      <c r="B116">
        <v>97</v>
      </c>
      <c r="C116">
        <f>(C$10-SUM(C$20:C115))/(ABS(C$11)+C$10-SUM(C114:C115))</f>
        <v>0.14237912676419121</v>
      </c>
      <c r="D116">
        <f>(D$10-SUM(D$20:D115))/(ABS(D$11)+D$10-SUM(D114:D115))</f>
        <v>0.22698319793693225</v>
      </c>
      <c r="E116">
        <f>(E$10-SUM(E$20:E115))/(ABS(E$11)+E$10-SUM(E114:E115))</f>
        <v>0.30197166391124536</v>
      </c>
      <c r="F116">
        <f>(F$10-SUM(F$20:F115))/(ABS(F$11)+F$10-SUM(F114:F115))</f>
        <v>0.3663264574189215</v>
      </c>
      <c r="H116">
        <f t="shared" si="19"/>
        <v>30.217277191271545</v>
      </c>
      <c r="I116">
        <f t="shared" si="20"/>
        <v>39.903299831215755</v>
      </c>
      <c r="J116">
        <f t="shared" si="21"/>
        <v>47.270008734475944</v>
      </c>
      <c r="K116">
        <f t="shared" si="22"/>
        <v>53.015442736901122</v>
      </c>
      <c r="N116">
        <v>91</v>
      </c>
      <c r="O116">
        <v>24050</v>
      </c>
      <c r="P116">
        <f t="shared" si="27"/>
        <v>3848</v>
      </c>
      <c r="Q116">
        <f t="shared" si="27"/>
        <v>2405</v>
      </c>
      <c r="R116">
        <f t="shared" si="27"/>
        <v>2405</v>
      </c>
      <c r="S116">
        <f t="shared" si="27"/>
        <v>3367</v>
      </c>
      <c r="T116">
        <f t="shared" si="27"/>
        <v>2766</v>
      </c>
      <c r="U116">
        <f t="shared" si="27"/>
        <v>3487</v>
      </c>
      <c r="V116">
        <f t="shared" si="27"/>
        <v>2766</v>
      </c>
      <c r="W116">
        <f t="shared" si="27"/>
        <v>3006</v>
      </c>
      <c r="X116">
        <f t="shared" si="27"/>
        <v>2766</v>
      </c>
      <c r="Y116">
        <f t="shared" si="27"/>
        <v>2766</v>
      </c>
      <c r="Z116">
        <f t="shared" si="27"/>
        <v>3487</v>
      </c>
      <c r="AA116">
        <f t="shared" si="27"/>
        <v>3006</v>
      </c>
    </row>
    <row r="117" spans="2:27">
      <c r="B117">
        <v>98</v>
      </c>
      <c r="C117">
        <f>(C$10-SUM(C$20:C116))/(ABS(C$11)+C$10-SUM(C115:C116))</f>
        <v>0.14032820668656232</v>
      </c>
      <c r="D117">
        <f>(D$10-SUM(D$20:D116))/(ABS(D$11)+D$10-SUM(D115:D116))</f>
        <v>0.2244351624480313</v>
      </c>
      <c r="E117">
        <f>(E$10-SUM(E$20:E116))/(ABS(E$11)+E$10-SUM(E115:E116))</f>
        <v>0.29919569874844976</v>
      </c>
      <c r="F117">
        <f>(F$10-SUM(F$20:F116))/(ABS(F$11)+F$10-SUM(F115:F116))</f>
        <v>0.36347617978971392</v>
      </c>
      <c r="H117">
        <f t="shared" si="19"/>
        <v>30.357605397958107</v>
      </c>
      <c r="I117">
        <f t="shared" si="20"/>
        <v>40.127734993663786</v>
      </c>
      <c r="J117">
        <f t="shared" si="21"/>
        <v>47.569204433224392</v>
      </c>
      <c r="K117">
        <f t="shared" si="22"/>
        <v>53.378918916690836</v>
      </c>
      <c r="N117">
        <v>92</v>
      </c>
      <c r="O117">
        <v>24600</v>
      </c>
      <c r="P117">
        <f t="shared" si="27"/>
        <v>3936</v>
      </c>
      <c r="Q117">
        <f t="shared" si="27"/>
        <v>2460</v>
      </c>
      <c r="R117">
        <f t="shared" si="27"/>
        <v>2460</v>
      </c>
      <c r="S117">
        <f t="shared" si="27"/>
        <v>3444</v>
      </c>
      <c r="T117">
        <f t="shared" si="27"/>
        <v>2829</v>
      </c>
      <c r="U117">
        <f t="shared" si="27"/>
        <v>3567</v>
      </c>
      <c r="V117">
        <f t="shared" si="27"/>
        <v>2829</v>
      </c>
      <c r="W117">
        <f t="shared" si="27"/>
        <v>3075</v>
      </c>
      <c r="X117">
        <f t="shared" si="27"/>
        <v>2829</v>
      </c>
      <c r="Y117">
        <f t="shared" si="27"/>
        <v>2829</v>
      </c>
      <c r="Z117">
        <f t="shared" si="27"/>
        <v>3567</v>
      </c>
      <c r="AA117">
        <f t="shared" si="27"/>
        <v>3075</v>
      </c>
    </row>
    <row r="118" spans="2:27">
      <c r="B118">
        <v>99</v>
      </c>
      <c r="C118">
        <f>(C$10-SUM(C$20:C117))/(ABS(C$11)+C$10-SUM(C116:C117))</f>
        <v>0.13830707179294083</v>
      </c>
      <c r="D118">
        <f>(D$10-SUM(D$20:D117))/(ABS(D$11)+D$10-SUM(D116:D117))</f>
        <v>0.22191602192328866</v>
      </c>
      <c r="E118">
        <f>(E$10-SUM(E$20:E117))/(ABS(E$11)+E$10-SUM(E116:E117))</f>
        <v>0.29644553588870964</v>
      </c>
      <c r="F118">
        <f>(F$10-SUM(F$20:F117))/(ABS(F$11)+F$10-SUM(F116:F117))</f>
        <v>0.36064833220969772</v>
      </c>
      <c r="H118">
        <f t="shared" si="19"/>
        <v>30.495912469751048</v>
      </c>
      <c r="I118">
        <f t="shared" si="20"/>
        <v>40.349651015587078</v>
      </c>
      <c r="J118">
        <f t="shared" si="21"/>
        <v>47.8656499691131</v>
      </c>
      <c r="K118">
        <f t="shared" si="22"/>
        <v>53.739567248900535</v>
      </c>
      <c r="N118">
        <v>93</v>
      </c>
      <c r="O118">
        <v>25150</v>
      </c>
      <c r="P118">
        <f t="shared" si="27"/>
        <v>4024</v>
      </c>
      <c r="Q118">
        <f t="shared" si="27"/>
        <v>2515</v>
      </c>
      <c r="R118">
        <f t="shared" si="27"/>
        <v>2515</v>
      </c>
      <c r="S118">
        <f t="shared" si="27"/>
        <v>3521</v>
      </c>
      <c r="T118">
        <f t="shared" si="27"/>
        <v>2892</v>
      </c>
      <c r="U118">
        <f t="shared" si="27"/>
        <v>3647</v>
      </c>
      <c r="V118">
        <f t="shared" si="27"/>
        <v>2892</v>
      </c>
      <c r="W118">
        <f t="shared" si="27"/>
        <v>3144</v>
      </c>
      <c r="X118">
        <f t="shared" si="27"/>
        <v>2892</v>
      </c>
      <c r="Y118">
        <f t="shared" si="27"/>
        <v>2892</v>
      </c>
      <c r="Z118">
        <f t="shared" si="27"/>
        <v>3647</v>
      </c>
      <c r="AA118">
        <f t="shared" si="27"/>
        <v>3144</v>
      </c>
    </row>
    <row r="119" spans="2:27">
      <c r="B119">
        <v>100</v>
      </c>
      <c r="C119">
        <f>(C$10-SUM(C$20:C118))/(ABS(C$11)+C$10-SUM(C117:C118))</f>
        <v>0.13631528252795916</v>
      </c>
      <c r="D119">
        <f>(D$10-SUM(D$20:D118))/(ABS(D$11)+D$10-SUM(D117:D118))</f>
        <v>0.21942544211535905</v>
      </c>
      <c r="E119">
        <f>(E$10-SUM(E$20:E118))/(ABS(E$11)+E$10-SUM(E117:E118))</f>
        <v>0.29372093025840718</v>
      </c>
      <c r="F119">
        <f>(F$10-SUM(F$20:F118))/(ABS(F$11)+F$10-SUM(F117:F118))</f>
        <v>0.35784273420289747</v>
      </c>
      <c r="H119">
        <f t="shared" si="19"/>
        <v>30.632227752279007</v>
      </c>
      <c r="I119">
        <f t="shared" si="20"/>
        <v>40.569076457702437</v>
      </c>
      <c r="J119">
        <f t="shared" si="21"/>
        <v>48.15937089937151</v>
      </c>
      <c r="K119">
        <f t="shared" si="22"/>
        <v>54.097409983103432</v>
      </c>
      <c r="N119">
        <v>94</v>
      </c>
      <c r="O119">
        <v>25700</v>
      </c>
      <c r="P119">
        <f t="shared" si="27"/>
        <v>4112</v>
      </c>
      <c r="Q119">
        <f t="shared" si="27"/>
        <v>2570</v>
      </c>
      <c r="R119">
        <f t="shared" si="27"/>
        <v>2570</v>
      </c>
      <c r="S119">
        <f t="shared" si="27"/>
        <v>3598</v>
      </c>
      <c r="T119">
        <f t="shared" si="27"/>
        <v>2956</v>
      </c>
      <c r="U119">
        <f t="shared" si="27"/>
        <v>3727</v>
      </c>
      <c r="V119">
        <f t="shared" si="27"/>
        <v>2956</v>
      </c>
      <c r="W119">
        <f t="shared" si="27"/>
        <v>3213</v>
      </c>
      <c r="X119">
        <f t="shared" si="27"/>
        <v>2956</v>
      </c>
      <c r="Y119">
        <f t="shared" si="27"/>
        <v>2956</v>
      </c>
      <c r="Z119">
        <f t="shared" si="27"/>
        <v>3727</v>
      </c>
      <c r="AA119">
        <f t="shared" si="27"/>
        <v>3213</v>
      </c>
    </row>
    <row r="120" spans="2:27">
      <c r="B120">
        <v>101</v>
      </c>
      <c r="C120">
        <f>(C$10-SUM(C$20:C119))/(ABS(C$11)+C$10-SUM(C118:C119))</f>
        <v>0.13435240602531917</v>
      </c>
      <c r="D120">
        <f>(D$10-SUM(D$20:D119))/(ABS(D$11)+D$10-SUM(D118:D119))</f>
        <v>0.21696309279236553</v>
      </c>
      <c r="E120">
        <f>(E$10-SUM(E$20:E119))/(ABS(E$11)+E$10-SUM(E118:E119))</f>
        <v>0.29102163920920843</v>
      </c>
      <c r="F120">
        <f>(F$10-SUM(F$20:F119))/(ABS(F$11)+F$10-SUM(F118:F119))</f>
        <v>0.35505920680796638</v>
      </c>
      <c r="H120">
        <f t="shared" si="19"/>
        <v>30.766580158304325</v>
      </c>
      <c r="I120">
        <f t="shared" si="20"/>
        <v>40.786039550494799</v>
      </c>
      <c r="J120">
        <f t="shared" si="21"/>
        <v>48.450392538580715</v>
      </c>
      <c r="K120">
        <f t="shared" si="22"/>
        <v>54.452469189911398</v>
      </c>
      <c r="N120">
        <v>95</v>
      </c>
      <c r="O120">
        <v>26250</v>
      </c>
      <c r="P120">
        <f t="shared" si="27"/>
        <v>4200</v>
      </c>
      <c r="Q120">
        <f t="shared" si="27"/>
        <v>2625</v>
      </c>
      <c r="R120">
        <f t="shared" si="27"/>
        <v>2625</v>
      </c>
      <c r="S120">
        <f t="shared" ref="Q120:AA125" si="28">ROUND($O120*S$24/2,0)</f>
        <v>3675</v>
      </c>
      <c r="T120">
        <f t="shared" si="28"/>
        <v>3019</v>
      </c>
      <c r="U120">
        <f t="shared" si="28"/>
        <v>3806</v>
      </c>
      <c r="V120">
        <f t="shared" si="28"/>
        <v>3019</v>
      </c>
      <c r="W120">
        <f t="shared" si="28"/>
        <v>3281</v>
      </c>
      <c r="X120">
        <f t="shared" si="28"/>
        <v>3019</v>
      </c>
      <c r="Y120">
        <f t="shared" si="28"/>
        <v>3019</v>
      </c>
      <c r="Z120">
        <f t="shared" si="28"/>
        <v>3806</v>
      </c>
      <c r="AA120">
        <f t="shared" si="28"/>
        <v>3281</v>
      </c>
    </row>
    <row r="121" spans="2:27">
      <c r="B121">
        <v>102</v>
      </c>
      <c r="C121">
        <f>(C$10-SUM(C$20:C120))/(ABS(C$11)+C$10-SUM(C119:C120))</f>
        <v>0.13241801600013201</v>
      </c>
      <c r="D121">
        <f>(D$10-SUM(D$20:D120))/(ABS(D$11)+D$10-SUM(D119:D120))</f>
        <v>0.214528647686275</v>
      </c>
      <c r="E121">
        <f>(E$10-SUM(E$20:E120))/(ABS(E$11)+E$10-SUM(E119:E120))</f>
        <v>0.28834742249224332</v>
      </c>
      <c r="F121">
        <f>(F$10-SUM(F$20:F120))/(ABS(F$11)+F$10-SUM(F119:F120))</f>
        <v>0.35229757256448646</v>
      </c>
      <c r="H121">
        <f t="shared" si="19"/>
        <v>30.898998174304456</v>
      </c>
      <c r="I121">
        <f t="shared" si="20"/>
        <v>41.000568198181071</v>
      </c>
      <c r="J121">
        <f t="shared" si="21"/>
        <v>48.738739961072959</v>
      </c>
      <c r="K121">
        <f t="shared" si="22"/>
        <v>54.804766762475886</v>
      </c>
      <c r="L121">
        <f>K115/25</f>
        <v>2.105964651179288</v>
      </c>
      <c r="N121">
        <v>96</v>
      </c>
      <c r="O121">
        <v>26800</v>
      </c>
      <c r="P121">
        <f>ROUND($O121*P$24/2,0)</f>
        <v>4288</v>
      </c>
      <c r="Q121">
        <f t="shared" si="28"/>
        <v>2680</v>
      </c>
      <c r="R121">
        <f t="shared" si="28"/>
        <v>2680</v>
      </c>
      <c r="S121">
        <f t="shared" si="28"/>
        <v>3752</v>
      </c>
      <c r="T121">
        <f t="shared" si="28"/>
        <v>3082</v>
      </c>
      <c r="U121">
        <f t="shared" si="28"/>
        <v>3886</v>
      </c>
      <c r="V121">
        <f t="shared" si="28"/>
        <v>3082</v>
      </c>
      <c r="W121">
        <f t="shared" si="28"/>
        <v>3350</v>
      </c>
      <c r="X121">
        <f t="shared" si="28"/>
        <v>3082</v>
      </c>
      <c r="Y121">
        <f t="shared" si="28"/>
        <v>3082</v>
      </c>
      <c r="Z121">
        <f t="shared" si="28"/>
        <v>3886</v>
      </c>
      <c r="AA121">
        <f t="shared" si="28"/>
        <v>3350</v>
      </c>
    </row>
    <row r="122" spans="2:27">
      <c r="B122">
        <v>103</v>
      </c>
      <c r="C122">
        <f>(C$10-SUM(C$20:C121))/(ABS(C$11)+C$10-SUM(C120:C121))</f>
        <v>0.1305116926431602</v>
      </c>
      <c r="D122">
        <f>(D$10-SUM(D$20:D121))/(ABS(D$11)+D$10-SUM(D120:D121))</f>
        <v>0.21212178444201385</v>
      </c>
      <c r="E122">
        <f>(E$10-SUM(E$20:E121))/(ABS(E$11)+E$10-SUM(E120:E121))</f>
        <v>0.28569804223259349</v>
      </c>
      <c r="F122">
        <f>(F$10-SUM(F$20:F121))/(ABS(F$11)+F$10-SUM(F120:F121))</f>
        <v>0.34955765549940893</v>
      </c>
      <c r="H122">
        <f t="shared" si="19"/>
        <v>31.029509866947617</v>
      </c>
      <c r="I122">
        <f t="shared" si="20"/>
        <v>41.212689982623083</v>
      </c>
      <c r="J122">
        <f t="shared" si="21"/>
        <v>49.024438003305555</v>
      </c>
      <c r="K122">
        <f t="shared" si="22"/>
        <v>55.154324417975296</v>
      </c>
      <c r="N122">
        <v>97</v>
      </c>
      <c r="O122">
        <v>27350</v>
      </c>
      <c r="P122">
        <f>ROUND($O122*P$24/2,0)</f>
        <v>4376</v>
      </c>
      <c r="Q122">
        <f t="shared" si="28"/>
        <v>2735</v>
      </c>
      <c r="R122">
        <f t="shared" si="28"/>
        <v>2735</v>
      </c>
      <c r="S122">
        <f t="shared" si="28"/>
        <v>3829</v>
      </c>
      <c r="T122">
        <f t="shared" si="28"/>
        <v>3145</v>
      </c>
      <c r="U122">
        <f t="shared" si="28"/>
        <v>3966</v>
      </c>
      <c r="V122">
        <f t="shared" si="28"/>
        <v>3145</v>
      </c>
      <c r="W122">
        <f t="shared" si="28"/>
        <v>3419</v>
      </c>
      <c r="X122">
        <f t="shared" si="28"/>
        <v>3145</v>
      </c>
      <c r="Y122">
        <f t="shared" si="28"/>
        <v>3145</v>
      </c>
      <c r="Z122">
        <f t="shared" si="28"/>
        <v>3966</v>
      </c>
      <c r="AA122">
        <f t="shared" si="28"/>
        <v>3419</v>
      </c>
    </row>
    <row r="123" spans="2:27">
      <c r="B123">
        <v>104</v>
      </c>
      <c r="C123">
        <f>(C$10-SUM(C$20:C122))/(ABS(C$11)+C$10-SUM(C121:C122))</f>
        <v>0.1286330225169238</v>
      </c>
      <c r="D123">
        <f>(D$10-SUM(D$20:D122))/(ABS(D$11)+D$10-SUM(D121:D122))</f>
        <v>0.20974218456731214</v>
      </c>
      <c r="E123">
        <f>(E$10-SUM(E$20:E122))/(ABS(E$11)+E$10-SUM(E121:E122))</f>
        <v>0.28307326290408541</v>
      </c>
      <c r="F123">
        <f>(F$10-SUM(F$20:F122))/(ABS(F$11)+F$10-SUM(F121:F122))</f>
        <v>0.34683928111363255</v>
      </c>
      <c r="H123">
        <f t="shared" ref="H123:H186" si="29">H122+C123</f>
        <v>31.158142889464539</v>
      </c>
      <c r="I123">
        <f t="shared" ref="I123:I186" si="30">I122+D123</f>
        <v>41.422432167190394</v>
      </c>
      <c r="J123">
        <f t="shared" ref="J123:J186" si="31">J122+E123</f>
        <v>49.307511266209637</v>
      </c>
      <c r="K123">
        <f t="shared" ref="K123:K186" si="32">K122+F123</f>
        <v>55.501163699088927</v>
      </c>
      <c r="N123">
        <v>98</v>
      </c>
      <c r="O123">
        <v>27900</v>
      </c>
      <c r="P123">
        <f>ROUND($O123*P$24/2,0)</f>
        <v>4464</v>
      </c>
      <c r="Q123">
        <f t="shared" si="28"/>
        <v>2790</v>
      </c>
      <c r="R123">
        <f t="shared" si="28"/>
        <v>2790</v>
      </c>
      <c r="S123">
        <f t="shared" si="28"/>
        <v>3906</v>
      </c>
      <c r="T123">
        <f t="shared" si="28"/>
        <v>3209</v>
      </c>
      <c r="U123">
        <f t="shared" si="28"/>
        <v>4046</v>
      </c>
      <c r="V123">
        <f t="shared" si="28"/>
        <v>3209</v>
      </c>
      <c r="W123">
        <f t="shared" si="28"/>
        <v>3488</v>
      </c>
      <c r="X123">
        <f t="shared" si="28"/>
        <v>3209</v>
      </c>
      <c r="Y123">
        <f t="shared" si="28"/>
        <v>3209</v>
      </c>
      <c r="Z123">
        <f t="shared" si="28"/>
        <v>4046</v>
      </c>
      <c r="AA123">
        <f t="shared" si="28"/>
        <v>3488</v>
      </c>
    </row>
    <row r="124" spans="2:27">
      <c r="B124">
        <v>105</v>
      </c>
      <c r="C124">
        <f>(C$10-SUM(C$20:C123))/(ABS(C$11)+C$10-SUM(C122:C123))</f>
        <v>0.1267815984536324</v>
      </c>
      <c r="D124">
        <f>(D$10-SUM(D$20:D123))/(ABS(D$11)+D$10-SUM(D122:D123))</f>
        <v>0.20738953338326291</v>
      </c>
      <c r="E124">
        <f>(E$10-SUM(E$20:E123))/(ABS(E$11)+E$10-SUM(E122:E123))</f>
        <v>0.28047285130438332</v>
      </c>
      <c r="F124">
        <f>(F$10-SUM(F$20:F123))/(ABS(F$11)+F$10-SUM(F122:F123))</f>
        <v>0.34414227636871758</v>
      </c>
      <c r="H124">
        <f t="shared" si="29"/>
        <v>31.284924487918172</v>
      </c>
      <c r="I124">
        <f t="shared" si="30"/>
        <v>41.629821700573657</v>
      </c>
      <c r="J124">
        <f t="shared" si="31"/>
        <v>49.587984117514019</v>
      </c>
      <c r="K124">
        <f t="shared" si="32"/>
        <v>55.845305975457642</v>
      </c>
      <c r="N124">
        <v>99</v>
      </c>
      <c r="O124">
        <v>28450</v>
      </c>
      <c r="P124">
        <f>ROUND($O124*P$24/2,0)</f>
        <v>4552</v>
      </c>
      <c r="Q124">
        <f t="shared" si="28"/>
        <v>2845</v>
      </c>
      <c r="R124">
        <f t="shared" si="28"/>
        <v>2845</v>
      </c>
      <c r="S124">
        <f t="shared" si="28"/>
        <v>3983</v>
      </c>
      <c r="T124">
        <f t="shared" si="28"/>
        <v>3272</v>
      </c>
      <c r="U124">
        <f t="shared" si="28"/>
        <v>4125</v>
      </c>
      <c r="V124">
        <f t="shared" si="28"/>
        <v>3272</v>
      </c>
      <c r="W124">
        <f t="shared" si="28"/>
        <v>3556</v>
      </c>
      <c r="X124">
        <f t="shared" si="28"/>
        <v>3272</v>
      </c>
      <c r="Y124">
        <f t="shared" si="28"/>
        <v>3272</v>
      </c>
      <c r="Z124">
        <f t="shared" si="28"/>
        <v>4125</v>
      </c>
      <c r="AA124">
        <f t="shared" si="28"/>
        <v>3556</v>
      </c>
    </row>
    <row r="125" spans="2:27">
      <c r="B125">
        <v>106</v>
      </c>
      <c r="C125">
        <f>(C$10-SUM(C$20:C124))/(ABS(C$11)+C$10-SUM(C123:C124))</f>
        <v>0.12495701945490734</v>
      </c>
      <c r="D125">
        <f>(D$10-SUM(D$20:D124))/(ABS(D$11)+D$10-SUM(D123:D124))</f>
        <v>0.20506351997558614</v>
      </c>
      <c r="E125">
        <f>(E$10-SUM(E$20:E124))/(ABS(E$11)+E$10-SUM(E123:E124))</f>
        <v>0.27789657653037736</v>
      </c>
      <c r="F125">
        <f>(F$10-SUM(F$20:F124))/(ABS(F$11)+F$10-SUM(F123:F124))</f>
        <v>0.34146646967373478</v>
      </c>
      <c r="H125">
        <f t="shared" si="29"/>
        <v>31.409881507373079</v>
      </c>
      <c r="I125">
        <f t="shared" si="30"/>
        <v>41.834885220549246</v>
      </c>
      <c r="J125">
        <f t="shared" si="31"/>
        <v>49.865880694044392</v>
      </c>
      <c r="K125">
        <f t="shared" si="32"/>
        <v>56.186772445131375</v>
      </c>
      <c r="N125">
        <v>100</v>
      </c>
      <c r="O125">
        <v>29000</v>
      </c>
      <c r="P125">
        <f>ROUND($O125*P$24/2,0)</f>
        <v>4640</v>
      </c>
      <c r="Q125">
        <f t="shared" si="28"/>
        <v>2900</v>
      </c>
      <c r="R125">
        <f t="shared" si="28"/>
        <v>2900</v>
      </c>
      <c r="S125">
        <f t="shared" si="28"/>
        <v>4060</v>
      </c>
      <c r="T125">
        <f t="shared" si="28"/>
        <v>3335</v>
      </c>
      <c r="U125">
        <f t="shared" si="28"/>
        <v>4205</v>
      </c>
      <c r="V125">
        <f t="shared" si="28"/>
        <v>3335</v>
      </c>
      <c r="W125">
        <f t="shared" si="28"/>
        <v>3625</v>
      </c>
      <c r="X125">
        <f t="shared" si="28"/>
        <v>3335</v>
      </c>
      <c r="Y125">
        <f t="shared" si="28"/>
        <v>3335</v>
      </c>
      <c r="Z125">
        <f t="shared" si="28"/>
        <v>4205</v>
      </c>
      <c r="AA125">
        <f t="shared" si="28"/>
        <v>3625</v>
      </c>
    </row>
    <row r="126" spans="2:27">
      <c r="B126">
        <v>107</v>
      </c>
      <c r="C126">
        <f>(C$10-SUM(C$20:C125))/(ABS(C$11)+C$10-SUM(C124:C125))</f>
        <v>0.12315889059325738</v>
      </c>
      <c r="D126">
        <f>(D$10-SUM(D$20:D125))/(ABS(D$11)+D$10-SUM(D124:D125))</f>
        <v>0.20276383714658464</v>
      </c>
      <c r="E126">
        <f>(E$10-SUM(E$20:E125))/(ABS(E$11)+E$10-SUM(E124:E125))</f>
        <v>0.2753442099538651</v>
      </c>
      <c r="F126">
        <f>(F$10-SUM(F$20:F125))/(ABS(F$11)+F$10-SUM(F124:F125))</f>
        <v>0.33881169087224666</v>
      </c>
      <c r="H126">
        <f t="shared" si="29"/>
        <v>31.533040397966335</v>
      </c>
      <c r="I126">
        <f t="shared" si="30"/>
        <v>42.03764905769583</v>
      </c>
      <c r="J126">
        <f t="shared" si="31"/>
        <v>50.141224903998257</v>
      </c>
      <c r="K126">
        <f t="shared" si="32"/>
        <v>56.525584136003623</v>
      </c>
    </row>
    <row r="127" spans="2:27">
      <c r="B127">
        <v>108</v>
      </c>
      <c r="C127">
        <f>(C$10-SUM(C$20:C126))/(ABS(C$11)+C$10-SUM(C125:C126))</f>
        <v>0.12138682291527349</v>
      </c>
      <c r="D127">
        <f>(D$10-SUM(D$20:D126))/(ABS(D$11)+D$10-SUM(D125:D126))</f>
        <v>0.20049018136778152</v>
      </c>
      <c r="E127">
        <f>(E$10-SUM(E$20:E126))/(ABS(E$11)+E$10-SUM(E125:E126))</f>
        <v>0.27281552519751934</v>
      </c>
      <c r="F127">
        <f>(F$10-SUM(F$20:F126))/(ABS(F$11)+F$10-SUM(F125:F126))</f>
        <v>0.33617777122942133</v>
      </c>
      <c r="H127">
        <f t="shared" si="29"/>
        <v>31.654427220881608</v>
      </c>
      <c r="I127">
        <f t="shared" si="30"/>
        <v>42.238139239063614</v>
      </c>
      <c r="J127">
        <f t="shared" si="31"/>
        <v>50.414040429195779</v>
      </c>
      <c r="K127">
        <f t="shared" si="32"/>
        <v>56.861761907233046</v>
      </c>
    </row>
    <row r="128" spans="2:27">
      <c r="B128">
        <v>109</v>
      </c>
      <c r="C128">
        <f>(C$10-SUM(C$20:C127))/(ABS(C$11)+C$10-SUM(C126:C127))</f>
        <v>0.11964043334650833</v>
      </c>
      <c r="D128">
        <f>(D$10-SUM(D$20:D127))/(ABS(D$11)+D$10-SUM(D126:D127))</f>
        <v>0.19824225273322665</v>
      </c>
      <c r="E128">
        <f>(E$10-SUM(E$20:E127))/(ABS(E$11)+E$10-SUM(E126:E127))</f>
        <v>0.27031029811114105</v>
      </c>
      <c r="F128">
        <f>(F$10-SUM(F$20:F127))/(ABS(F$11)+F$10-SUM(F126:F127))</f>
        <v>0.33356454341927477</v>
      </c>
      <c r="H128">
        <f t="shared" si="29"/>
        <v>31.774067654228116</v>
      </c>
      <c r="I128">
        <f t="shared" si="30"/>
        <v>42.436381491796837</v>
      </c>
      <c r="J128">
        <f t="shared" si="31"/>
        <v>50.684350727306921</v>
      </c>
      <c r="K128">
        <f t="shared" si="32"/>
        <v>57.195326450652317</v>
      </c>
    </row>
    <row r="129" spans="2:11">
      <c r="B129">
        <v>110</v>
      </c>
      <c r="C129">
        <f>(C$10-SUM(C$20:C128))/(ABS(C$11)+C$10-SUM(C127:C128))</f>
        <v>0.11791934459800757</v>
      </c>
      <c r="D129">
        <f>(D$10-SUM(D$20:D128))/(ABS(D$11)+D$10-SUM(D127:D128))</f>
        <v>0.19601975491346324</v>
      </c>
      <c r="E129">
        <f>(E$10-SUM(E$20:E128))/(ABS(E$11)+E$10-SUM(E127:E128))</f>
        <v>0.26782830674819141</v>
      </c>
      <c r="F129">
        <f>(F$10-SUM(F$20:F128))/(ABS(F$11)+F$10-SUM(F127:F128))</f>
        <v>0.33097184151204229</v>
      </c>
      <c r="H129">
        <f t="shared" si="29"/>
        <v>31.891986998826123</v>
      </c>
      <c r="I129">
        <f t="shared" si="30"/>
        <v>42.632401246710302</v>
      </c>
      <c r="J129">
        <f t="shared" si="31"/>
        <v>50.952179034055114</v>
      </c>
      <c r="K129">
        <f t="shared" si="32"/>
        <v>57.526298292164363</v>
      </c>
    </row>
    <row r="130" spans="2:11">
      <c r="B130">
        <v>111</v>
      </c>
      <c r="C130">
        <f>(C$10-SUM(C$20:C129))/(ABS(C$11)+C$10-SUM(C128:C129))</f>
        <v>0.11622318507445956</v>
      </c>
      <c r="D130">
        <f>(D$10-SUM(D$20:D129))/(ABS(D$11)+D$10-SUM(D128:D129))</f>
        <v>0.19382239511014124</v>
      </c>
      <c r="E130">
        <f>(E$10-SUM(E$20:E129))/(ABS(E$11)+E$10-SUM(E128:E129))</f>
        <v>0.26536933134260043</v>
      </c>
      <c r="F130">
        <f>(F$10-SUM(F$20:F129))/(ABS(F$11)+F$10-SUM(F128:F129))</f>
        <v>0.32839950096167664</v>
      </c>
      <c r="H130">
        <f t="shared" si="29"/>
        <v>32.00821018390058</v>
      </c>
      <c r="I130">
        <f t="shared" si="30"/>
        <v>42.826223641820441</v>
      </c>
      <c r="J130">
        <f t="shared" si="31"/>
        <v>51.217548365397711</v>
      </c>
      <c r="K130">
        <f t="shared" si="32"/>
        <v>57.854697793126036</v>
      </c>
    </row>
    <row r="131" spans="2:11">
      <c r="B131">
        <v>112</v>
      </c>
      <c r="C131">
        <f>(C$10-SUM(C$20:C130))/(ABS(C$11)+C$10-SUM(C129:C130))</f>
        <v>0.11455158878393272</v>
      </c>
      <c r="D131">
        <f>(D$10-SUM(D$20:D130))/(ABS(D$11)+D$10-SUM(D129:D130))</f>
        <v>0.19164988401126987</v>
      </c>
      <c r="E131">
        <f>(E$10-SUM(E$20:E130))/(ABS(E$11)+E$10-SUM(E129:E130))</f>
        <v>0.26293315428584785</v>
      </c>
      <c r="F131">
        <f>(F$10-SUM(F$20:F130))/(ABS(F$11)+F$10-SUM(F129:F130))</f>
        <v>0.32584735859347119</v>
      </c>
      <c r="H131">
        <f t="shared" si="29"/>
        <v>32.122761772684512</v>
      </c>
      <c r="I131">
        <f t="shared" si="30"/>
        <v>43.01787352583171</v>
      </c>
      <c r="J131">
        <f t="shared" si="31"/>
        <v>51.480481519683558</v>
      </c>
      <c r="K131">
        <f t="shared" si="32"/>
        <v>58.180545151719507</v>
      </c>
    </row>
    <row r="132" spans="2:11">
      <c r="B132">
        <v>113</v>
      </c>
      <c r="C132">
        <f>(C$10-SUM(C$20:C131))/(ABS(C$11)+C$10-SUM(C130:C131))</f>
        <v>0.11290419524916825</v>
      </c>
      <c r="D132">
        <f>(D$10-SUM(D$20:D131))/(ABS(D$11)+D$10-SUM(D130:D131))</f>
        <v>0.18950193574709603</v>
      </c>
      <c r="E132">
        <f>(E$10-SUM(E$20:E131))/(ABS(E$11)+E$10-SUM(E130:E131))</f>
        <v>0.26051956010431254</v>
      </c>
      <c r="F132">
        <f>(F$10-SUM(F$20:F131))/(ABS(F$11)+F$10-SUM(F130:F131))</f>
        <v>0.32331525259180738</v>
      </c>
      <c r="H132">
        <f t="shared" si="29"/>
        <v>32.235665967933677</v>
      </c>
      <c r="I132">
        <f t="shared" si="30"/>
        <v>43.207375461578806</v>
      </c>
      <c r="J132">
        <f t="shared" si="31"/>
        <v>51.741001079787871</v>
      </c>
      <c r="K132">
        <f t="shared" si="32"/>
        <v>58.503860404311311</v>
      </c>
    </row>
    <row r="133" spans="2:11">
      <c r="B133">
        <v>114</v>
      </c>
      <c r="C133">
        <f>(C$10-SUM(C$20:C132))/(ABS(C$11)+C$10-SUM(C131:C132))</f>
        <v>0.11128064942039931</v>
      </c>
      <c r="D133">
        <f>(D$10-SUM(D$20:D132))/(ABS(D$11)+D$10-SUM(D131:D132))</f>
        <v>0.18737826784660108</v>
      </c>
      <c r="E133">
        <f>(E$10-SUM(E$20:E132))/(ABS(E$11)+E$10-SUM(E131:E132))</f>
        <v>0.25812833543688712</v>
      </c>
      <c r="F133">
        <f>(F$10-SUM(F$20:F132))/(ABS(F$11)+F$10-SUM(F131:F132))</f>
        <v>0.32080302248802423</v>
      </c>
      <c r="H133">
        <f t="shared" si="29"/>
        <v>32.346946617354078</v>
      </c>
      <c r="I133">
        <f t="shared" si="30"/>
        <v>43.39475372942541</v>
      </c>
      <c r="J133">
        <f t="shared" si="31"/>
        <v>51.999129415224758</v>
      </c>
      <c r="K133">
        <f t="shared" si="32"/>
        <v>58.824663426799333</v>
      </c>
    </row>
    <row r="134" spans="2:11">
      <c r="B134">
        <v>115</v>
      </c>
      <c r="C134">
        <f>(C$10-SUM(C$20:C133))/(ABS(C$11)+C$10-SUM(C132:C133))</f>
        <v>0.10968060158966522</v>
      </c>
      <c r="D134">
        <f>(D$10-SUM(D$20:D133))/(ABS(D$11)+D$10-SUM(D132:D133))</f>
        <v>0.1852786011946041</v>
      </c>
      <c r="E134">
        <f>(E$10-SUM(E$20:E133))/(ABS(E$11)+E$10-SUM(E132:E133))</f>
        <v>0.25575926901285373</v>
      </c>
      <c r="F134">
        <f>(F$10-SUM(F$20:F133))/(ABS(F$11)+F$10-SUM(F132:F133))</f>
        <v>0.31831050914840858</v>
      </c>
      <c r="H134">
        <f t="shared" si="29"/>
        <v>32.456627218943744</v>
      </c>
      <c r="I134">
        <f t="shared" si="30"/>
        <v>43.580032330620014</v>
      </c>
      <c r="J134">
        <f t="shared" si="31"/>
        <v>52.254888684237613</v>
      </c>
      <c r="K134">
        <f t="shared" si="32"/>
        <v>59.142973935947744</v>
      </c>
    </row>
    <row r="135" spans="2:11">
      <c r="B135">
        <v>116</v>
      </c>
      <c r="C135">
        <f>(C$10-SUM(C$20:C134))/(ABS(C$11)+C$10-SUM(C133:C134))</f>
        <v>0.10810370730659352</v>
      </c>
      <c r="D135">
        <f>(D$10-SUM(D$20:D134))/(ABS(D$11)+D$10-SUM(D133:D134))</f>
        <v>0.18320265998946311</v>
      </c>
      <c r="E135">
        <f>(E$10-SUM(E$20:E134))/(ABS(E$11)+E$10-SUM(E133:E134))</f>
        <v>0.25341215163001807</v>
      </c>
      <c r="F135">
        <f>(F$10-SUM(F$20:F134))/(ABS(F$11)+F$10-SUM(F133:F134))</f>
        <v>0.31583755476230624</v>
      </c>
      <c r="H135">
        <f t="shared" si="29"/>
        <v>32.564730926250334</v>
      </c>
      <c r="I135">
        <f t="shared" si="30"/>
        <v>43.763234990609476</v>
      </c>
      <c r="J135">
        <f t="shared" si="31"/>
        <v>52.50830083586763</v>
      </c>
      <c r="K135">
        <f t="shared" si="32"/>
        <v>59.458811490710048</v>
      </c>
    </row>
    <row r="136" spans="2:11">
      <c r="B136">
        <v>117</v>
      </c>
      <c r="C136">
        <f>(C$10-SUM(C$20:C135))/(ABS(C$11)+C$10-SUM(C134:C135))</f>
        <v>0.10654962729561994</v>
      </c>
      <c r="D136">
        <f>(D$10-SUM(D$20:D135))/(ABS(D$11)+D$10-SUM(D134:D135))</f>
        <v>0.18115017170136394</v>
      </c>
      <c r="E136">
        <f>(E$10-SUM(E$20:E135))/(ABS(E$11)+E$10-SUM(E134:E135))</f>
        <v>0.25108677613309727</v>
      </c>
      <c r="F136">
        <f>(F$10-SUM(F$20:F135))/(ABS(F$11)+F$10-SUM(F134:F135))</f>
        <v>0.31338400283034928</v>
      </c>
      <c r="H136">
        <f t="shared" si="29"/>
        <v>32.671280553545955</v>
      </c>
      <c r="I136">
        <f t="shared" si="30"/>
        <v>43.944385162310837</v>
      </c>
      <c r="J136">
        <f t="shared" si="31"/>
        <v>52.759387612000729</v>
      </c>
      <c r="K136">
        <f t="shared" si="32"/>
        <v>59.772195493540394</v>
      </c>
    </row>
    <row r="137" spans="2:11">
      <c r="B137">
        <v>118</v>
      </c>
      <c r="C137">
        <f>(C$10-SUM(C$20:C136))/(ABS(C$11)+C$10-SUM(C135:C136))</f>
        <v>0.10501802737461934</v>
      </c>
      <c r="D137">
        <f>(D$10-SUM(D$20:D136))/(ABS(D$11)+D$10-SUM(D135:D136))</f>
        <v>0.17912086703118768</v>
      </c>
      <c r="E137">
        <f>(E$10-SUM(E$20:E136))/(ABS(E$11)+E$10-SUM(E135:E136))</f>
        <v>0.24878293739235885</v>
      </c>
      <c r="F137">
        <f>(F$10-SUM(F$20:F136))/(ABS(F$11)+F$10-SUM(F135:F136))</f>
        <v>0.3109496981528021</v>
      </c>
      <c r="H137">
        <f t="shared" si="29"/>
        <v>32.776298580920574</v>
      </c>
      <c r="I137">
        <f t="shared" si="30"/>
        <v>44.123506029342025</v>
      </c>
      <c r="J137">
        <f t="shared" si="31"/>
        <v>53.008170549393085</v>
      </c>
      <c r="K137">
        <f t="shared" si="32"/>
        <v>60.083145191693198</v>
      </c>
    </row>
    <row r="138" spans="2:11">
      <c r="B138">
        <v>119</v>
      </c>
      <c r="C138">
        <f>(C$10-SUM(C$20:C137))/(ABS(C$11)+C$10-SUM(C136:C137))</f>
        <v>0.10350857837492082</v>
      </c>
      <c r="D138">
        <f>(D$10-SUM(D$20:D137))/(ABS(D$11)+D$10-SUM(D136:D137))</f>
        <v>0.17711447986994774</v>
      </c>
      <c r="E138">
        <f>(E$10-SUM(E$20:E137))/(ABS(E$11)+E$10-SUM(E136:E137))</f>
        <v>0.24650043228250793</v>
      </c>
      <c r="F138">
        <f>(F$10-SUM(F$20:F137))/(ABS(F$11)+F$10-SUM(F136:F137))</f>
        <v>0.30853448681802181</v>
      </c>
      <c r="H138">
        <f t="shared" si="29"/>
        <v>32.879807159295495</v>
      </c>
      <c r="I138">
        <f t="shared" si="30"/>
        <v>44.300620509211974</v>
      </c>
      <c r="J138">
        <f t="shared" si="31"/>
        <v>53.254670981675595</v>
      </c>
      <c r="K138">
        <f t="shared" si="32"/>
        <v>60.391679678511217</v>
      </c>
    </row>
    <row r="139" spans="2:11">
      <c r="B139">
        <v>120</v>
      </c>
      <c r="C139">
        <f>(C$10-SUM(C$20:C138))/(ABS(C$11)+C$10-SUM(C137:C138))</f>
        <v>0.10202095606267969</v>
      </c>
      <c r="D139">
        <f>(D$10-SUM(D$20:D138))/(ABS(D$11)+D$10-SUM(D137:D138))</f>
        <v>0.17513074725878683</v>
      </c>
      <c r="E139">
        <f>(E$10-SUM(E$20:E138))/(ABS(E$11)+E$10-SUM(E137:E138))</f>
        <v>0.24423905966181755</v>
      </c>
      <c r="F139">
        <f>(F$10-SUM(F$20:F138))/(ABS(F$11)+F$10-SUM(F137:F138))</f>
        <v>0.3061382161910331</v>
      </c>
      <c r="H139">
        <f t="shared" si="29"/>
        <v>32.981828115358176</v>
      </c>
      <c r="I139">
        <f t="shared" si="30"/>
        <v>44.475751256470758</v>
      </c>
      <c r="J139">
        <f t="shared" si="31"/>
        <v>53.49891004133741</v>
      </c>
      <c r="K139">
        <f t="shared" si="32"/>
        <v>60.697817894702247</v>
      </c>
    </row>
    <row r="140" spans="2:11">
      <c r="B140">
        <v>121</v>
      </c>
      <c r="C140">
        <f>(C$10-SUM(C$20:C139))/(ABS(C$11)+C$10-SUM(C138:C139))</f>
        <v>0.10055484106158082</v>
      </c>
      <c r="D140">
        <f>(D$10-SUM(D$20:D139))/(ABS(D$11)+D$10-SUM(D138:D139))</f>
        <v>0.17316940934952571</v>
      </c>
      <c r="E140">
        <f>(E$10-SUM(E$20:E139))/(ABS(E$11)+E$10-SUM(E138:E139))</f>
        <v>0.24199862035150102</v>
      </c>
      <c r="F140">
        <f>(F$10-SUM(F$20:F139))/(ABS(F$11)+F$10-SUM(F138:F139))</f>
        <v>0.30376073490221628</v>
      </c>
      <c r="H140">
        <f t="shared" si="29"/>
        <v>33.082382956419757</v>
      </c>
      <c r="I140">
        <f t="shared" si="30"/>
        <v>44.648920665820285</v>
      </c>
      <c r="J140">
        <f t="shared" si="31"/>
        <v>53.740908661688913</v>
      </c>
      <c r="K140">
        <f t="shared" si="32"/>
        <v>61.001578629604467</v>
      </c>
    </row>
    <row r="141" spans="2:11">
      <c r="B141">
        <v>122</v>
      </c>
      <c r="C141">
        <f>(C$10-SUM(C$20:C140))/(ABS(C$11)+C$10-SUM(C139:C140))</f>
        <v>9.9109918776848341E-2</v>
      </c>
      <c r="D141">
        <f>(D$10-SUM(D$20:D140))/(ABS(D$11)+D$10-SUM(D139:D140))</f>
        <v>0.17123020936575425</v>
      </c>
      <c r="E141">
        <f>(E$10-SUM(E$20:E140))/(ABS(E$11)+E$10-SUM(E139:E140))</f>
        <v>0.23977891711532134</v>
      </c>
      <c r="F141">
        <f>(F$10-SUM(F$20:F140))/(ABS(F$11)+F$10-SUM(F139:F140))</f>
        <v>0.30140189283610608</v>
      </c>
      <c r="H141">
        <f t="shared" si="29"/>
        <v>33.181492875196604</v>
      </c>
      <c r="I141">
        <f t="shared" si="30"/>
        <v>44.820150875186037</v>
      </c>
      <c r="J141">
        <f t="shared" si="31"/>
        <v>53.980687578804236</v>
      </c>
      <c r="K141">
        <f t="shared" si="32"/>
        <v>61.302980522440571</v>
      </c>
    </row>
    <row r="142" spans="2:11">
      <c r="B142">
        <v>123</v>
      </c>
      <c r="C142">
        <f>(C$10-SUM(C$20:C141))/(ABS(C$11)+C$10-SUM(C140:C141))</f>
        <v>9.768587932053624E-2</v>
      </c>
      <c r="D142">
        <f>(D$10-SUM(D$20:D141))/(ABS(D$11)+D$10-SUM(D140:D141))</f>
        <v>0.16931289356445714</v>
      </c>
      <c r="E142">
        <f>(E$10-SUM(E$20:E141))/(ABS(E$11)+E$10-SUM(E140:E141))</f>
        <v>0.23757975463943568</v>
      </c>
      <c r="F142">
        <f>(F$10-SUM(F$20:F141))/(ABS(F$11)+F$10-SUM(F140:F141))</f>
        <v>0.29906154112030198</v>
      </c>
      <c r="H142">
        <f t="shared" si="29"/>
        <v>33.27917875451714</v>
      </c>
      <c r="I142">
        <f t="shared" si="30"/>
        <v>44.989463768750497</v>
      </c>
      <c r="J142">
        <f t="shared" si="31"/>
        <v>54.21826733344367</v>
      </c>
      <c r="K142">
        <f t="shared" si="32"/>
        <v>61.602042063560873</v>
      </c>
    </row>
    <row r="143" spans="2:11">
      <c r="B143">
        <v>124</v>
      </c>
      <c r="C143">
        <f>(C$10-SUM(C$20:C142))/(ABS(C$11)+C$10-SUM(C141:C142))</f>
        <v>9.6282417438076168E-2</v>
      </c>
      <c r="D143">
        <f>(D$10-SUM(D$20:D142))/(ABS(D$11)+D$10-SUM(D141:D142))</f>
        <v>0.16741721119816499</v>
      </c>
      <c r="E143">
        <f>(E$10-SUM(E$20:E142))/(ABS(E$11)+E$10-SUM(E141:E142))</f>
        <v>0.23540093951247112</v>
      </c>
      <c r="F143">
        <f>(F$10-SUM(F$20:F142))/(ABS(F$11)+F$10-SUM(F141:F142))</f>
        <v>0.29673953211448623</v>
      </c>
      <c r="H143">
        <f t="shared" si="29"/>
        <v>33.375461171955216</v>
      </c>
      <c r="I143">
        <f t="shared" si="30"/>
        <v>45.15688097994866</v>
      </c>
      <c r="J143">
        <f t="shared" si="31"/>
        <v>54.453668272956143</v>
      </c>
      <c r="K143">
        <f t="shared" si="32"/>
        <v>61.898781595675359</v>
      </c>
    </row>
    <row r="144" spans="2:11">
      <c r="B144">
        <v>125</v>
      </c>
      <c r="C144">
        <f>(C$10-SUM(C$20:C143))/(ABS(C$11)+C$10-SUM(C142:C143))</f>
        <v>9.4899232436058661E-2</v>
      </c>
      <c r="D144">
        <f>(D$10-SUM(D$20:D143))/(ABS(D$11)+D$10-SUM(D142:D143))</f>
        <v>0.16554291447762334</v>
      </c>
      <c r="E144">
        <f>(E$10-SUM(E$20:E143))/(ABS(E$11)+E$10-SUM(E142:E143))</f>
        <v>0.23324228020582893</v>
      </c>
      <c r="F144">
        <f>(F$10-SUM(F$20:F143))/(ABS(F$11)+F$10-SUM(F142:F143))</f>
        <v>0.29443571939955038</v>
      </c>
      <c r="H144">
        <f t="shared" si="29"/>
        <v>33.470360404391272</v>
      </c>
      <c r="I144">
        <f t="shared" si="30"/>
        <v>45.322423894426286</v>
      </c>
      <c r="J144">
        <f t="shared" si="31"/>
        <v>54.686910553161972</v>
      </c>
      <c r="K144">
        <f t="shared" si="32"/>
        <v>62.193217315074911</v>
      </c>
    </row>
    <row r="145" spans="2:11">
      <c r="B145">
        <v>126</v>
      </c>
      <c r="C145">
        <f>(C$10-SUM(C$20:C144))/(ABS(C$11)+C$10-SUM(C143:C144))</f>
        <v>9.353602811122437E-2</v>
      </c>
      <c r="D145">
        <f>(D$10-SUM(D$20:D144))/(ABS(D$11)+D$10-SUM(D143:D144))</f>
        <v>0.16368975853497061</v>
      </c>
      <c r="E145">
        <f>(E$10-SUM(E$20:E144))/(ABS(E$11)+E$10-SUM(E143:E144))</f>
        <v>0.23110358705421422</v>
      </c>
      <c r="F145">
        <f>(F$10-SUM(F$20:F144))/(ABS(F$11)+F$10-SUM(F143:F144))</f>
        <v>0.29214995776682856</v>
      </c>
      <c r="H145">
        <f t="shared" si="29"/>
        <v>33.563896432502496</v>
      </c>
      <c r="I145">
        <f t="shared" si="30"/>
        <v>45.486113652961258</v>
      </c>
      <c r="J145">
        <f t="shared" si="31"/>
        <v>54.918014140216187</v>
      </c>
      <c r="K145">
        <f t="shared" si="32"/>
        <v>62.485367272841742</v>
      </c>
    </row>
    <row r="146" spans="2:11">
      <c r="B146">
        <v>127</v>
      </c>
      <c r="C146">
        <f>(C$10-SUM(C$20:C145))/(ABS(C$11)+C$10-SUM(C144:C145))</f>
        <v>9.2192512680642713E-2</v>
      </c>
      <c r="D146">
        <f>(D$10-SUM(D$20:D145))/(ABS(D$11)+D$10-SUM(D144:D145))</f>
        <v>0.16185750138741847</v>
      </c>
      <c r="E146">
        <f>(E$10-SUM(E$20:E145))/(ABS(E$11)+E$10-SUM(E144:E145))</f>
        <v>0.22898467223638796</v>
      </c>
      <c r="F146">
        <f>(F$10-SUM(F$20:F145))/(ABS(F$11)+F$10-SUM(F144:F145))</f>
        <v>0.2898821032074354</v>
      </c>
      <c r="H146">
        <f t="shared" si="29"/>
        <v>33.656088945183136</v>
      </c>
      <c r="I146">
        <f t="shared" si="30"/>
        <v>45.647971154348674</v>
      </c>
      <c r="J146">
        <f t="shared" si="31"/>
        <v>55.146998812452573</v>
      </c>
      <c r="K146">
        <f t="shared" si="32"/>
        <v>62.775249376049175</v>
      </c>
    </row>
    <row r="147" spans="2:11">
      <c r="B147">
        <v>128</v>
      </c>
      <c r="C147">
        <f>(C$10-SUM(C$20:C146))/(ABS(C$11)+C$10-SUM(C145:C146))</f>
        <v>9.08683987130562E-2</v>
      </c>
      <c r="D147">
        <f>(D$10-SUM(D$20:D146))/(ABS(D$11)+D$10-SUM(D145:D146))</f>
        <v>0.16004590390142484</v>
      </c>
      <c r="E147">
        <f>(E$10-SUM(E$20:E146))/(ABS(E$11)+E$10-SUM(E145:E146))</f>
        <v>0.2268853497561388</v>
      </c>
      <c r="F147">
        <f>(F$10-SUM(F$20:F146))/(ABS(F$11)+F$10-SUM(F145:F146))</f>
        <v>0.28763201290170909</v>
      </c>
      <c r="H147">
        <f t="shared" si="29"/>
        <v>33.746957343896192</v>
      </c>
      <c r="I147">
        <f t="shared" si="30"/>
        <v>45.808017058250101</v>
      </c>
      <c r="J147">
        <f t="shared" si="31"/>
        <v>55.373884162208711</v>
      </c>
      <c r="K147">
        <f t="shared" si="32"/>
        <v>63.062881388950885</v>
      </c>
    </row>
    <row r="148" spans="2:11">
      <c r="B148">
        <v>129</v>
      </c>
      <c r="C148">
        <f>(C$10-SUM(C$20:C147))/(ABS(C$11)+C$10-SUM(C146:C147))</f>
        <v>8.9563403061367758E-2</v>
      </c>
      <c r="D148">
        <f>(D$10-SUM(D$20:D147))/(ABS(D$11)+D$10-SUM(D146:D147))</f>
        <v>0.15825472975735397</v>
      </c>
      <c r="E148">
        <f>(E$10-SUM(E$20:E147))/(ABS(E$11)+E$10-SUM(E146:E147))</f>
        <v>0.22480543542347114</v>
      </c>
      <c r="F148">
        <f>(F$10-SUM(F$20:F147))/(ABS(F$11)+F$10-SUM(F146:F147))</f>
        <v>0.28539954520875616</v>
      </c>
      <c r="H148">
        <f t="shared" si="29"/>
        <v>33.836520746957561</v>
      </c>
      <c r="I148">
        <f t="shared" si="30"/>
        <v>45.966271788007454</v>
      </c>
      <c r="J148">
        <f t="shared" si="31"/>
        <v>55.59868959763218</v>
      </c>
      <c r="K148">
        <f t="shared" si="32"/>
        <v>63.348280934159639</v>
      </c>
    </row>
    <row r="149" spans="2:11">
      <c r="B149">
        <v>130</v>
      </c>
      <c r="C149">
        <f>(C$10-SUM(C$20:C148))/(ABS(C$11)+C$10-SUM(C147:C148))</f>
        <v>8.8277246796251027E-2</v>
      </c>
      <c r="D149">
        <f>(D$10-SUM(D$20:D148))/(ABS(D$11)+D$10-SUM(D147:D148))</f>
        <v>0.15648374541461463</v>
      </c>
      <c r="E149">
        <f>(E$10-SUM(E$20:E148))/(ABS(E$11)+E$10-SUM(E147:E148))</f>
        <v>0.22274474683600734</v>
      </c>
      <c r="F149">
        <f>(F$10-SUM(F$20:F148))/(ABS(F$11)+F$10-SUM(F147:F148))</f>
        <v>0.2831845596560994</v>
      </c>
      <c r="H149">
        <f t="shared" si="29"/>
        <v>33.924797993753813</v>
      </c>
      <c r="I149">
        <f t="shared" si="30"/>
        <v>46.122755533422065</v>
      </c>
      <c r="J149">
        <f t="shared" si="31"/>
        <v>55.821434344468187</v>
      </c>
      <c r="K149">
        <f t="shared" si="32"/>
        <v>63.631465493815739</v>
      </c>
    </row>
    <row r="150" spans="2:11">
      <c r="B150">
        <v>131</v>
      </c>
      <c r="C150">
        <f>(C$10-SUM(C$20:C149))/(ABS(C$11)+C$10-SUM(C148:C149))</f>
        <v>8.7009655140861772E-2</v>
      </c>
      <c r="D150">
        <f>(D$10-SUM(D$20:D149))/(ABS(D$11)+D$10-SUM(D148:D149))</f>
        <v>0.1547327200772696</v>
      </c>
      <c r="E150">
        <f>(E$10-SUM(E$20:E149))/(ABS(E$11)+E$10-SUM(E148:E149))</f>
        <v>0.22070310336060076</v>
      </c>
      <c r="F150">
        <f>(F$10-SUM(F$20:F149))/(ABS(F$11)+F$10-SUM(F148:F149))</f>
        <v>0.28098691692942551</v>
      </c>
      <c r="H150">
        <f t="shared" si="29"/>
        <v>34.011807648894674</v>
      </c>
      <c r="I150">
        <f t="shared" si="30"/>
        <v>46.277488253499335</v>
      </c>
      <c r="J150">
        <f t="shared" si="31"/>
        <v>56.042137447828786</v>
      </c>
      <c r="K150">
        <f t="shared" si="32"/>
        <v>63.912452410745168</v>
      </c>
    </row>
    <row r="151" spans="2:11">
      <c r="B151">
        <v>132</v>
      </c>
      <c r="C151">
        <f>(C$10-SUM(C$20:C150))/(ABS(C$11)+C$10-SUM(C149:C150))</f>
        <v>8.5760357406630766E-2</v>
      </c>
      <c r="D151">
        <f>(D$10-SUM(D$20:D150))/(ABS(D$11)+D$10-SUM(D149:D150))</f>
        <v>0.15300142566010913</v>
      </c>
      <c r="E151">
        <f>(E$10-SUM(E$20:E150))/(ABS(E$11)+E$10-SUM(E149:E150))</f>
        <v>0.21868032611515703</v>
      </c>
      <c r="F151">
        <f>(F$10-SUM(F$20:F150))/(ABS(F$11)+F$10-SUM(F149:F150))</f>
        <v>0.27880647886243282</v>
      </c>
      <c r="H151">
        <f t="shared" si="29"/>
        <v>34.097568006301302</v>
      </c>
      <c r="I151">
        <f t="shared" si="30"/>
        <v>46.430489679159443</v>
      </c>
      <c r="J151">
        <f t="shared" si="31"/>
        <v>56.260817773943941</v>
      </c>
      <c r="K151">
        <f t="shared" si="32"/>
        <v>64.191258889607596</v>
      </c>
    </row>
    <row r="152" spans="2:11">
      <c r="B152">
        <v>133</v>
      </c>
      <c r="C152">
        <f>(C$10-SUM(C$20:C151))/(ABS(C$11)+C$10-SUM(C150:C151))</f>
        <v>8.452908693011775E-2</v>
      </c>
      <c r="D152">
        <f>(D$10-SUM(D$20:D151))/(ABS(D$11)+D$10-SUM(D150:D151))</f>
        <v>0.15128963675518148</v>
      </c>
      <c r="E152">
        <f>(E$10-SUM(E$20:E151))/(ABS(E$11)+E$10-SUM(E150:E151))</f>
        <v>0.21667623795066113</v>
      </c>
      <c r="F152">
        <f>(F$10-SUM(F$20:F151))/(ABS(F$11)+F$10-SUM(F150:F151))</f>
        <v>0.27664310842677731</v>
      </c>
      <c r="H152">
        <f t="shared" si="29"/>
        <v>34.18209709323142</v>
      </c>
      <c r="I152">
        <f t="shared" si="30"/>
        <v>46.581779315914623</v>
      </c>
      <c r="J152">
        <f t="shared" si="31"/>
        <v>56.477494011894599</v>
      </c>
      <c r="K152">
        <f t="shared" si="32"/>
        <v>64.467901998034378</v>
      </c>
    </row>
    <row r="153" spans="2:11">
      <c r="B153">
        <v>134</v>
      </c>
      <c r="C153">
        <f>(C$10-SUM(C$20:C152))/(ABS(C$11)+C$10-SUM(C151:C152))</f>
        <v>8.3315581010907441E-2</v>
      </c>
      <c r="D153">
        <f>(D$10-SUM(D$20:D152))/(ABS(D$11)+D$10-SUM(D151:D152))</f>
        <v>0.14959713059877283</v>
      </c>
      <c r="E153">
        <f>(E$10-SUM(E$20:E152))/(ABS(E$11)+E$10-SUM(E151:E152))</f>
        <v>0.21469066343340709</v>
      </c>
      <c r="F153">
        <f>(F$10-SUM(F$20:F152))/(ABS(F$11)+F$10-SUM(F151:F152))</f>
        <v>0.27449666972211567</v>
      </c>
      <c r="H153">
        <f t="shared" si="29"/>
        <v>34.265412674242327</v>
      </c>
      <c r="I153">
        <f t="shared" si="30"/>
        <v>46.731376446513394</v>
      </c>
      <c r="J153">
        <f t="shared" si="31"/>
        <v>56.692184675328008</v>
      </c>
      <c r="K153">
        <f t="shared" si="32"/>
        <v>64.74239866775649</v>
      </c>
    </row>
    <row r="154" spans="2:11">
      <c r="B154">
        <v>135</v>
      </c>
      <c r="C154">
        <f>(C$10-SUM(C$20:C153))/(ABS(C$11)+C$10-SUM(C152:C153))</f>
        <v>8.2119580850528368E-2</v>
      </c>
      <c r="D154">
        <f>(D$10-SUM(D$20:D153))/(ABS(D$11)+D$10-SUM(D152:D153))</f>
        <v>0.1479236870388311</v>
      </c>
      <c r="E154">
        <f>(E$10-SUM(E$20:E153))/(ABS(E$11)+E$10-SUM(E152:E153))</f>
        <v>0.21272342882742795</v>
      </c>
      <c r="F154">
        <f>(F$10-SUM(F$20:F153))/(ABS(F$11)+F$10-SUM(F152:F153))</f>
        <v>0.2723670279662454</v>
      </c>
      <c r="H154">
        <f t="shared" si="29"/>
        <v>34.347532255092858</v>
      </c>
      <c r="I154">
        <f t="shared" si="30"/>
        <v>46.879300133552228</v>
      </c>
      <c r="J154">
        <f t="shared" si="31"/>
        <v>56.904908104155439</v>
      </c>
      <c r="K154">
        <f t="shared" si="32"/>
        <v>65.01476569572273</v>
      </c>
    </row>
    <row r="155" spans="2:11">
      <c r="B155">
        <v>136</v>
      </c>
      <c r="C155">
        <f>(C$10-SUM(C$20:C154))/(ABS(C$11)+C$10-SUM(C153:C154))</f>
        <v>8.0940831492375465E-2</v>
      </c>
      <c r="D155">
        <f>(D$10-SUM(D$20:D154))/(ABS(D$11)+D$10-SUM(D153:D154))</f>
        <v>0.14626908850282488</v>
      </c>
      <c r="E155">
        <f>(E$10-SUM(E$20:E154))/(ABS(E$11)+E$10-SUM(E153:E154))</f>
        <v>0.21077436207712374</v>
      </c>
      <c r="F155">
        <f>(F$10-SUM(F$20:F154))/(ABS(F$11)+F$10-SUM(F153:F154))</f>
        <v>0.27025404948533904</v>
      </c>
      <c r="H155">
        <f t="shared" si="29"/>
        <v>34.428473086585235</v>
      </c>
      <c r="I155">
        <f t="shared" si="30"/>
        <v>47.025569222055054</v>
      </c>
      <c r="J155">
        <f t="shared" si="31"/>
        <v>57.115682466232563</v>
      </c>
      <c r="K155">
        <f t="shared" si="32"/>
        <v>65.285019745208075</v>
      </c>
    </row>
    <row r="156" spans="2:11">
      <c r="B156">
        <v>137</v>
      </c>
      <c r="C156">
        <f>(C$10-SUM(C$20:C155))/(ABS(C$11)+C$10-SUM(C154:C155))</f>
        <v>7.9779081762618789E-2</v>
      </c>
      <c r="D156">
        <f>(D$10-SUM(D$20:D155))/(ABS(D$11)+D$10-SUM(D154:D155))</f>
        <v>0.14463311996603337</v>
      </c>
      <c r="E156">
        <f>(E$10-SUM(E$20:E155))/(ABS(E$11)+E$10-SUM(E154:E155))</f>
        <v>0.20884329279008426</v>
      </c>
      <c r="F156">
        <f>(F$10-SUM(F$20:F155))/(ABS(F$11)+F$10-SUM(F154:F155))</f>
        <v>0.26815760170427327</v>
      </c>
      <c r="H156">
        <f t="shared" si="29"/>
        <v>34.508252168347852</v>
      </c>
      <c r="I156">
        <f t="shared" si="30"/>
        <v>47.170202342021085</v>
      </c>
      <c r="J156">
        <f t="shared" si="31"/>
        <v>57.324525759022649</v>
      </c>
      <c r="K156">
        <f t="shared" si="32"/>
        <v>65.553177346912349</v>
      </c>
    </row>
    <row r="157" spans="2:11">
      <c r="B157">
        <v>138</v>
      </c>
      <c r="C157">
        <f>(C$10-SUM(C$20:C156))/(ABS(C$11)+C$10-SUM(C155:C156))</f>
        <v>7.8634084212079999E-2</v>
      </c>
      <c r="D157">
        <f>(D$10-SUM(D$20:D156))/(ABS(D$11)+D$10-SUM(D155:D156))</f>
        <v>0.14301556892025832</v>
      </c>
      <c r="E157">
        <f>(E$10-SUM(E$20:E156))/(ABS(E$11)+E$10-SUM(E155:E156))</f>
        <v>0.20693005222010455</v>
      </c>
      <c r="F157">
        <f>(F$10-SUM(F$20:F156))/(ABS(F$11)+F$10-SUM(F155:F156))</f>
        <v>0.26607755313705128</v>
      </c>
      <c r="H157">
        <f t="shared" si="29"/>
        <v>34.586886252559928</v>
      </c>
      <c r="I157">
        <f t="shared" si="30"/>
        <v>47.31321791094134</v>
      </c>
      <c r="J157">
        <f t="shared" si="31"/>
        <v>57.531455811242751</v>
      </c>
      <c r="K157">
        <f t="shared" si="32"/>
        <v>65.819254900049401</v>
      </c>
    </row>
    <row r="158" spans="2:11">
      <c r="B158">
        <v>139</v>
      </c>
      <c r="C158">
        <f>(C$10-SUM(C$20:C157))/(ABS(C$11)+C$10-SUM(C156:C157))</f>
        <v>7.750559505905899E-2</v>
      </c>
      <c r="D158">
        <f>(D$10-SUM(D$20:D157))/(ABS(D$11)+D$10-SUM(D156:D157))</f>
        <v>0.14141622534295342</v>
      </c>
      <c r="E158">
        <f>(E$10-SUM(E$20:E157))/(ABS(E$11)+E$10-SUM(E156:E157))</f>
        <v>0.20503447325039062</v>
      </c>
      <c r="F158">
        <f>(F$10-SUM(F$20:F157))/(ABS(F$11)+F$10-SUM(F156:F157))</f>
        <v>0.26401377337731596</v>
      </c>
      <c r="H158">
        <f t="shared" si="29"/>
        <v>34.664391847618987</v>
      </c>
      <c r="I158">
        <f t="shared" si="30"/>
        <v>47.454634136284291</v>
      </c>
      <c r="J158">
        <f t="shared" si="31"/>
        <v>57.736490284493144</v>
      </c>
      <c r="K158">
        <f t="shared" si="32"/>
        <v>66.083268673426716</v>
      </c>
    </row>
    <row r="159" spans="2:11">
      <c r="B159">
        <v>140</v>
      </c>
      <c r="C159">
        <f>(C$10-SUM(C$20:C158))/(ABS(C$11)+C$10-SUM(C157:C158))</f>
        <v>7.6393374133094202E-2</v>
      </c>
      <c r="D159">
        <f>(D$10-SUM(D$20:D158))/(ABS(D$11)+D$10-SUM(D157:D158))</f>
        <v>0.13983488166676411</v>
      </c>
      <c r="E159">
        <f>(E$10-SUM(E$20:E158))/(ABS(E$11)+E$10-SUM(E157:E158))</f>
        <v>0.20315639037695268</v>
      </c>
      <c r="F159">
        <f>(F$10-SUM(F$20:F158))/(ABS(F$11)+F$10-SUM(F157:F158))</f>
        <v>0.26196613308895578</v>
      </c>
      <c r="H159">
        <f t="shared" si="29"/>
        <v>34.740785221752084</v>
      </c>
      <c r="I159">
        <f t="shared" si="30"/>
        <v>47.594469017951056</v>
      </c>
      <c r="J159">
        <f t="shared" si="31"/>
        <v>57.939646674870097</v>
      </c>
      <c r="K159">
        <f t="shared" si="32"/>
        <v>66.345234806515677</v>
      </c>
    </row>
    <row r="160" spans="2:11">
      <c r="B160">
        <v>141</v>
      </c>
      <c r="C160">
        <f>(C$10-SUM(C$20:C159))/(ABS(C$11)+C$10-SUM(C158:C159))</f>
        <v>7.5297184819638999E-2</v>
      </c>
      <c r="D160">
        <f>(D$10-SUM(D$20:D159))/(ABS(D$11)+D$10-SUM(D158:D159))</f>
        <v>0.13827133274947159</v>
      </c>
      <c r="E160">
        <f>(E$10-SUM(E$20:E159))/(ABS(E$11)+E$10-SUM(E158:E159))</f>
        <v>0.20129563969218431</v>
      </c>
      <c r="F160">
        <f>(F$10-SUM(F$20:F159))/(ABS(F$11)+F$10-SUM(F158:F159))</f>
        <v>0.25993450399679935</v>
      </c>
      <c r="H160">
        <f t="shared" si="29"/>
        <v>34.816082406571724</v>
      </c>
      <c r="I160">
        <f t="shared" si="30"/>
        <v>47.732740350700524</v>
      </c>
      <c r="J160">
        <f t="shared" si="31"/>
        <v>58.140942314562281</v>
      </c>
      <c r="K160">
        <f t="shared" si="32"/>
        <v>66.60516931051248</v>
      </c>
    </row>
    <row r="161" spans="2:11">
      <c r="B161">
        <v>142</v>
      </c>
      <c r="C161">
        <f>(C$10-SUM(C$20:C160))/(ABS(C$11)+C$10-SUM(C159:C160))</f>
        <v>7.4216794005638173E-2</v>
      </c>
      <c r="D161">
        <f>(D$10-SUM(D$20:D160))/(ABS(D$11)+D$10-SUM(D159:D160))</f>
        <v>0.13672537584433536</v>
      </c>
      <c r="E161">
        <f>(E$10-SUM(E$20:E160))/(ABS(E$11)+E$10-SUM(E159:E160))</f>
        <v>0.19945205886862366</v>
      </c>
      <c r="F161">
        <f>(F$10-SUM(F$20:F160))/(ABS(F$11)+F$10-SUM(F159:F160))</f>
        <v>0.25791875887740001</v>
      </c>
      <c r="H161">
        <f t="shared" si="29"/>
        <v>34.89029920057736</v>
      </c>
      <c r="I161">
        <f t="shared" si="30"/>
        <v>47.86946572654486</v>
      </c>
      <c r="J161">
        <f t="shared" si="31"/>
        <v>58.340394373430904</v>
      </c>
      <c r="K161">
        <f t="shared" si="32"/>
        <v>66.863088069389875</v>
      </c>
    </row>
    <row r="162" spans="2:11">
      <c r="B162">
        <v>143</v>
      </c>
      <c r="C162">
        <f>(C$10-SUM(C$20:C161))/(ABS(C$11)+C$10-SUM(C160:C161))</f>
        <v>7.3151972025988027E-2</v>
      </c>
      <c r="D162">
        <f>(D$10-SUM(D$20:D161))/(ABS(D$11)+D$10-SUM(D160:D161))</f>
        <v>0.13519681057082775</v>
      </c>
      <c r="E162">
        <f>(E$10-SUM(E$20:E161))/(ABS(E$11)+E$10-SUM(E160:E161))</f>
        <v>0.1976254871428961</v>
      </c>
      <c r="F162">
        <f>(F$10-SUM(F$20:F161))/(ABS(F$11)+F$10-SUM(F160:F161))</f>
        <v>0.25591877154990772</v>
      </c>
      <c r="H162">
        <f t="shared" si="29"/>
        <v>34.963451172603349</v>
      </c>
      <c r="I162">
        <f t="shared" si="30"/>
        <v>48.004662537115685</v>
      </c>
      <c r="J162">
        <f t="shared" si="31"/>
        <v>58.538019860573797</v>
      </c>
      <c r="K162">
        <f t="shared" si="32"/>
        <v>67.119006840939775</v>
      </c>
    </row>
    <row r="163" spans="2:11">
      <c r="B163">
        <v>144</v>
      </c>
      <c r="C163">
        <f>(C$10-SUM(C$20:C162))/(ABS(C$11)+C$10-SUM(C161:C162))</f>
        <v>7.2102492610864558E-2</v>
      </c>
      <c r="D163">
        <f>(D$10-SUM(D$20:D162))/(ABS(D$11)+D$10-SUM(D161:D162))</f>
        <v>0.13368543888575557</v>
      </c>
      <c r="E163">
        <f>(E$10-SUM(E$20:E162))/(ABS(E$11)+E$10-SUM(E161:E162))</f>
        <v>0.1958157652998348</v>
      </c>
      <c r="F163">
        <f>(F$10-SUM(F$20:F162))/(ABS(F$11)+F$10-SUM(F161:F162))</f>
        <v>0.25393441686702828</v>
      </c>
      <c r="H163">
        <f t="shared" si="29"/>
        <v>35.035553665214216</v>
      </c>
      <c r="I163">
        <f t="shared" si="30"/>
        <v>48.138347976001441</v>
      </c>
      <c r="J163">
        <f t="shared" si="31"/>
        <v>58.733835625873631</v>
      </c>
      <c r="K163">
        <f t="shared" si="32"/>
        <v>67.372941257806801</v>
      </c>
    </row>
    <row r="164" spans="2:11">
      <c r="B164">
        <v>145</v>
      </c>
      <c r="C164">
        <f>(C$10-SUM(C$20:C163))/(ABS(C$11)+C$10-SUM(C162:C163))</f>
        <v>7.1068132833904465E-2</v>
      </c>
      <c r="D164">
        <f>(D$10-SUM(D$20:D163))/(ABS(D$11)+D$10-SUM(D162:D163))</f>
        <v>0.13219106505476161</v>
      </c>
      <c r="E164">
        <f>(E$10-SUM(E$20:E163))/(ABS(E$11)+E$10-SUM(E162:E163))</f>
        <v>0.19402273565677761</v>
      </c>
      <c r="F164">
        <f>(F$10-SUM(F$20:F163))/(ABS(F$11)+F$10-SUM(F162:F163))</f>
        <v>0.25196557070606912</v>
      </c>
      <c r="H164">
        <f t="shared" si="29"/>
        <v>35.106621798048124</v>
      </c>
      <c r="I164">
        <f t="shared" si="30"/>
        <v>48.270539041056203</v>
      </c>
      <c r="J164">
        <f t="shared" si="31"/>
        <v>58.927858361530411</v>
      </c>
      <c r="K164">
        <f t="shared" si="32"/>
        <v>67.624906828512863</v>
      </c>
    </row>
    <row r="165" spans="2:11">
      <c r="B165">
        <v>146</v>
      </c>
      <c r="C165">
        <f>(C$10-SUM(C$20:C164))/(ABS(C$11)+C$10-SUM(C163:C164))</f>
        <v>7.0048673061223241E-2</v>
      </c>
      <c r="D165">
        <f>(D$10-SUM(D$20:D164))/(ABS(D$11)+D$10-SUM(D163:D164))</f>
        <v>0.13071349562420226</v>
      </c>
      <c r="E165">
        <f>(E$10-SUM(E$20:E164))/(ABS(E$11)+E$10-SUM(E163:E164))</f>
        <v>0.19224624204803761</v>
      </c>
      <c r="F165">
        <f>(F$10-SUM(F$20:F164))/(ABS(F$11)+F$10-SUM(F163:F164))</f>
        <v>0.25001210996006967</v>
      </c>
      <c r="H165">
        <f t="shared" si="29"/>
        <v>35.176670471109347</v>
      </c>
      <c r="I165">
        <f t="shared" si="30"/>
        <v>48.401252536680403</v>
      </c>
      <c r="J165">
        <f t="shared" si="31"/>
        <v>59.120104603578447</v>
      </c>
      <c r="K165">
        <f t="shared" si="32"/>
        <v>67.874918938472931</v>
      </c>
    </row>
    <row r="166" spans="2:11">
      <c r="B166">
        <v>147</v>
      </c>
      <c r="C166">
        <f>(C$10-SUM(C$20:C165))/(ABS(C$11)+C$10-SUM(C164:C165))</f>
        <v>6.9043896901255869E-2</v>
      </c>
      <c r="D166">
        <f>(D$10-SUM(D$20:D165))/(ABS(D$11)+D$10-SUM(D164:D165))</f>
        <v>0.12925253939339398</v>
      </c>
      <c r="E166">
        <f>(E$10-SUM(E$20:E165))/(ABS(E$11)+E$10-SUM(E164:E165))</f>
        <v>0.19048612980954574</v>
      </c>
      <c r="F166">
        <f>(F$10-SUM(F$20:F165))/(ABS(F$11)+F$10-SUM(F164:F165))</f>
        <v>0.24807391252901659</v>
      </c>
      <c r="H166">
        <f t="shared" si="29"/>
        <v>35.245714368010603</v>
      </c>
      <c r="I166">
        <f t="shared" si="30"/>
        <v>48.530505076073794</v>
      </c>
      <c r="J166">
        <f t="shared" si="31"/>
        <v>59.31059073338799</v>
      </c>
      <c r="K166">
        <f t="shared" si="32"/>
        <v>68.122992851001953</v>
      </c>
    </row>
    <row r="167" spans="2:11">
      <c r="B167">
        <v>148</v>
      </c>
      <c r="C167">
        <f>(C$10-SUM(C$20:C166))/(ABS(C$11)+C$10-SUM(C165:C166))</f>
        <v>6.8053591155405407E-2</v>
      </c>
      <c r="D167">
        <f>(D$10-SUM(D$20:D166))/(ABS(D$11)+D$10-SUM(D165:D166))</f>
        <v>0.12780800738722403</v>
      </c>
      <c r="E167">
        <f>(E$10-SUM(E$20:E166))/(ABS(E$11)+E$10-SUM(E165:E166))</f>
        <v>0.18874224576366239</v>
      </c>
      <c r="F167">
        <f>(F$10-SUM(F$20:F166))/(ABS(F$11)+F$10-SUM(F165:F166))</f>
        <v>0.24615085731114175</v>
      </c>
      <c r="H167">
        <f t="shared" si="29"/>
        <v>35.313767959166007</v>
      </c>
      <c r="I167">
        <f t="shared" si="30"/>
        <v>48.658313083461017</v>
      </c>
      <c r="J167">
        <f t="shared" si="31"/>
        <v>59.499332979151653</v>
      </c>
      <c r="K167">
        <f t="shared" si="32"/>
        <v>68.369143708313089</v>
      </c>
    </row>
    <row r="168" spans="2:11">
      <c r="B168">
        <v>149</v>
      </c>
      <c r="C168">
        <f>(C$10-SUM(C$20:C167))/(ABS(C$11)+C$10-SUM(C166:C167))</f>
        <v>6.7077545769485644E-2</v>
      </c>
      <c r="D168">
        <f>(D$10-SUM(D$20:D167))/(ABS(D$11)+D$10-SUM(D166:D167))</f>
        <v>0.12637971282912017</v>
      </c>
      <c r="E168">
        <f>(E$10-SUM(E$20:E167))/(ABS(E$11)+E$10-SUM(E166:E167))</f>
        <v>0.18701443820415678</v>
      </c>
      <c r="F168">
        <f>(F$10-SUM(F$20:F167))/(ABS(F$11)+F$10-SUM(F166:F167))</f>
        <v>0.24424282419430343</v>
      </c>
      <c r="H168">
        <f t="shared" si="29"/>
        <v>35.380845504935493</v>
      </c>
      <c r="I168">
        <f t="shared" si="30"/>
        <v>48.784692796290138</v>
      </c>
      <c r="J168">
        <f t="shared" si="31"/>
        <v>59.686347417355812</v>
      </c>
      <c r="K168">
        <f t="shared" si="32"/>
        <v>68.613386532507391</v>
      </c>
    </row>
    <row r="169" spans="2:11">
      <c r="B169">
        <v>150</v>
      </c>
      <c r="C169">
        <f>(C$10-SUM(C$20:C168))/(ABS(C$11)+C$10-SUM(C167:C168))</f>
        <v>6.6115553785943151E-2</v>
      </c>
      <c r="D169">
        <f>(D$10-SUM(D$20:D168))/(ABS(D$11)+D$10-SUM(D167:D168))</f>
        <v>0.12496747111437365</v>
      </c>
      <c r="E169">
        <f>(E$10-SUM(E$20:E168))/(ABS(E$11)+E$10-SUM(E167:E168))</f>
        <v>0.18530255688135167</v>
      </c>
      <c r="F169">
        <f>(F$10-SUM(F$20:F168))/(ABS(F$11)+F$10-SUM(F167:F168))</f>
        <v>0.24234969404744813</v>
      </c>
      <c r="H169">
        <f t="shared" si="29"/>
        <v>35.446961058721435</v>
      </c>
      <c r="I169">
        <f t="shared" si="30"/>
        <v>48.909660267404512</v>
      </c>
      <c r="J169">
        <f t="shared" si="31"/>
        <v>59.871649974237165</v>
      </c>
      <c r="K169">
        <f t="shared" si="32"/>
        <v>68.855736226554839</v>
      </c>
    </row>
    <row r="170" spans="2:11">
      <c r="B170">
        <v>151</v>
      </c>
      <c r="C170">
        <f>(C$10-SUM(C$20:C169))/(ABS(C$11)+C$10-SUM(C168:C169))</f>
        <v>6.5167411296845654E-2</v>
      </c>
      <c r="D170">
        <f>(D$10-SUM(D$20:D169))/(ABS(D$11)+D$10-SUM(D168:D169))</f>
        <v>0.12357109978381055</v>
      </c>
      <c r="E170">
        <f>(E$10-SUM(E$20:E169))/(ABS(E$11)+E$10-SUM(E168:E169))</f>
        <v>0.18360645298743114</v>
      </c>
      <c r="F170">
        <f>(F$10-SUM(F$20:F169))/(ABS(F$11)+F$10-SUM(F168:F169))</f>
        <v>0.24047134871215387</v>
      </c>
      <c r="H170">
        <f t="shared" si="29"/>
        <v>35.512128470018283</v>
      </c>
      <c r="I170">
        <f t="shared" si="30"/>
        <v>49.033231367188321</v>
      </c>
      <c r="J170">
        <f t="shared" si="31"/>
        <v>60.055256427224599</v>
      </c>
      <c r="K170">
        <f t="shared" si="32"/>
        <v>69.096207575266988</v>
      </c>
    </row>
    <row r="171" spans="2:11">
      <c r="B171">
        <v>152</v>
      </c>
      <c r="C171">
        <f>(C$10-SUM(C$20:C170))/(ABS(C$11)+C$10-SUM(C169:C170))</f>
        <v>6.4232917397622782E-2</v>
      </c>
      <c r="D171">
        <f>(D$10-SUM(D$20:D170))/(ABS(D$11)+D$10-SUM(D169:D170))</f>
        <v>0.12219041849780639</v>
      </c>
      <c r="E171">
        <f>(E$10-SUM(E$20:E170))/(ABS(E$11)+E$10-SUM(E169:E170))</f>
        <v>0.18192597914190958</v>
      </c>
      <c r="F171">
        <f>(F$10-SUM(F$20:F170))/(ABS(F$11)+F$10-SUM(F169:F170))</f>
        <v>0.23860767099425306</v>
      </c>
      <c r="H171">
        <f t="shared" si="29"/>
        <v>35.576361387415908</v>
      </c>
      <c r="I171">
        <f t="shared" si="30"/>
        <v>49.15542178568613</v>
      </c>
      <c r="J171">
        <f t="shared" si="31"/>
        <v>60.237182406366507</v>
      </c>
      <c r="K171">
        <f t="shared" si="32"/>
        <v>69.334815246261243</v>
      </c>
    </row>
    <row r="172" spans="2:11">
      <c r="B172">
        <v>153</v>
      </c>
      <c r="C172">
        <f>(C$10-SUM(C$20:C171))/(ABS(C$11)+C$10-SUM(C170:C171))</f>
        <v>6.3311874141546737E-2</v>
      </c>
      <c r="D172">
        <f>(D$10-SUM(D$20:D171))/(ABS(D$11)+D$10-SUM(D170:D171))</f>
        <v>0.12082524901063865</v>
      </c>
      <c r="E172">
        <f>(E$10-SUM(E$20:E171))/(ABS(E$11)+E$10-SUM(E170:E171))</f>
        <v>0.18026098937726004</v>
      </c>
      <c r="F172">
        <f>(F$10-SUM(F$20:F171))/(ABS(F$11)+F$10-SUM(F170:F171))</f>
        <v>0.2367585446555342</v>
      </c>
      <c r="H172">
        <f t="shared" si="29"/>
        <v>35.639673261557455</v>
      </c>
      <c r="I172">
        <f t="shared" si="30"/>
        <v>49.276247034696766</v>
      </c>
      <c r="J172">
        <f t="shared" si="31"/>
        <v>60.417443395743767</v>
      </c>
      <c r="K172">
        <f t="shared" si="32"/>
        <v>69.571573790916773</v>
      </c>
    </row>
    <row r="173" spans="2:11">
      <c r="B173">
        <v>154</v>
      </c>
      <c r="C173">
        <f>(C$10-SUM(C$20:C172))/(ABS(C$11)+C$10-SUM(C171:C172))</f>
        <v>6.2404086494939059E-2</v>
      </c>
      <c r="D173">
        <f>(D$10-SUM(D$20:D172))/(ABS(D$11)+D$10-SUM(D171:D172))</f>
        <v>0.11947541514517318</v>
      </c>
      <c r="E173">
        <f>(E$10-SUM(E$20:E172))/(ABS(E$11)+E$10-SUM(E171:E172))</f>
        <v>0.17861133912469962</v>
      </c>
      <c r="F173">
        <f>(F$10-SUM(F$20:F172))/(ABS(F$11)+F$10-SUM(F171:F172))</f>
        <v>0.23492385440552185</v>
      </c>
      <c r="H173">
        <f t="shared" si="29"/>
        <v>35.702077348052391</v>
      </c>
      <c r="I173">
        <f t="shared" si="30"/>
        <v>49.395722449841941</v>
      </c>
      <c r="J173">
        <f t="shared" si="31"/>
        <v>60.596054734868467</v>
      </c>
      <c r="K173">
        <f t="shared" si="32"/>
        <v>69.806497645322295</v>
      </c>
    </row>
    <row r="174" spans="2:11">
      <c r="B174">
        <v>155</v>
      </c>
      <c r="C174">
        <f>(C$10-SUM(C$20:C173))/(ABS(C$11)+C$10-SUM(C172:C173))</f>
        <v>6.1509362293091743E-2</v>
      </c>
      <c r="D174">
        <f>(D$10-SUM(D$20:D173))/(ABS(D$11)+D$10-SUM(D172:D173))</f>
        <v>0.11814074276787824</v>
      </c>
      <c r="E174">
        <f>(E$10-SUM(E$20:E173))/(ABS(E$11)+E$10-SUM(E172:E173))</f>
        <v>0.17697688520013025</v>
      </c>
      <c r="F174">
        <f>(F$10-SUM(F$20:F173))/(ABS(F$11)+F$10-SUM(F172:F173))</f>
        <v>0.2331034858933336</v>
      </c>
      <c r="H174">
        <f t="shared" si="29"/>
        <v>35.763586710345486</v>
      </c>
      <c r="I174">
        <f t="shared" si="30"/>
        <v>49.513863192609818</v>
      </c>
      <c r="J174">
        <f t="shared" si="31"/>
        <v>60.7730316200686</v>
      </c>
      <c r="K174">
        <f t="shared" si="32"/>
        <v>70.039601131215633</v>
      </c>
    </row>
    <row r="175" spans="2:11">
      <c r="B175">
        <v>156</v>
      </c>
      <c r="C175">
        <f>(C$10-SUM(C$20:C174))/(ABS(C$11)+C$10-SUM(C173:C174))</f>
        <v>6.0627512196889562E-2</v>
      </c>
      <c r="D175">
        <f>(D$10-SUM(D$20:D174))/(ABS(D$11)+D$10-SUM(D173:D174))</f>
        <v>0.11682105976416303</v>
      </c>
      <c r="E175">
        <f>(E$10-SUM(E$20:E174))/(ABS(E$11)+E$10-SUM(E173:E174))</f>
        <v>0.17535748579023286</v>
      </c>
      <c r="F175">
        <f>(F$10-SUM(F$20:F174))/(ABS(F$11)+F$10-SUM(F173:F174))</f>
        <v>0.23129732569961378</v>
      </c>
      <c r="H175">
        <f t="shared" si="29"/>
        <v>35.824214222542373</v>
      </c>
      <c r="I175">
        <f t="shared" si="30"/>
        <v>49.630684252373982</v>
      </c>
      <c r="J175">
        <f t="shared" si="31"/>
        <v>60.94838910585883</v>
      </c>
      <c r="K175">
        <f t="shared" si="32"/>
        <v>70.270898456915248</v>
      </c>
    </row>
    <row r="176" spans="2:11">
      <c r="B176">
        <v>157</v>
      </c>
      <c r="C176">
        <f>(C$10-SUM(C$20:C175))/(ABS(C$11)+C$10-SUM(C174:C175))</f>
        <v>5.9758349650122458E-2</v>
      </c>
      <c r="D176">
        <f>(D$10-SUM(D$20:D175))/(ABS(D$11)+D$10-SUM(D174:D175))</f>
        <v>0.11551619601403468</v>
      </c>
      <c r="E176">
        <f>(E$10-SUM(E$20:E175))/(ABS(E$11)+E$10-SUM(E174:E175))</f>
        <v>0.17375300043871303</v>
      </c>
      <c r="F176">
        <f>(F$10-SUM(F$20:F175))/(ABS(F$11)+F$10-SUM(F174:F175))</f>
        <v>0.22950526132854293</v>
      </c>
      <c r="H176">
        <f t="shared" si="29"/>
        <v>35.883972572192498</v>
      </c>
      <c r="I176">
        <f t="shared" si="30"/>
        <v>49.746200448388016</v>
      </c>
      <c r="J176">
        <f t="shared" si="31"/>
        <v>61.122142106297545</v>
      </c>
      <c r="K176">
        <f t="shared" si="32"/>
        <v>70.500403718243788</v>
      </c>
    </row>
    <row r="177" spans="2:11">
      <c r="B177">
        <v>158</v>
      </c>
      <c r="C177">
        <f>(C$10-SUM(C$20:C176))/(ABS(C$11)+C$10-SUM(C175:C176))</f>
        <v>5.8901690837474541E-2</v>
      </c>
      <c r="D177">
        <f>(D$10-SUM(D$20:D176))/(ABS(D$11)+D$10-SUM(D175:D176))</f>
        <v>0.11422598336806984</v>
      </c>
      <c r="E177">
        <f>(E$10-SUM(E$20:E176))/(ABS(E$11)+E$10-SUM(E175:E176))</f>
        <v>0.17216329003269587</v>
      </c>
      <c r="F177">
        <f>(F$10-SUM(F$20:F176))/(ABS(F$11)+F$10-SUM(F175:F176))</f>
        <v>0.22772718119992127</v>
      </c>
      <c r="H177">
        <f t="shared" si="29"/>
        <v>35.942874263029971</v>
      </c>
      <c r="I177">
        <f t="shared" si="30"/>
        <v>49.860426431756089</v>
      </c>
      <c r="J177">
        <f t="shared" si="31"/>
        <v>61.294305396330238</v>
      </c>
      <c r="K177">
        <f t="shared" si="32"/>
        <v>70.728130899443713</v>
      </c>
    </row>
    <row r="178" spans="2:11">
      <c r="B178">
        <v>159</v>
      </c>
      <c r="C178">
        <f>(C$10-SUM(C$20:C177))/(ABS(C$11)+C$10-SUM(C176:C177))</f>
        <v>5.8057354643179883E-2</v>
      </c>
      <c r="D178">
        <f>(D$10-SUM(D$20:D177))/(ABS(D$11)+D$10-SUM(D176:D177))</f>
        <v>0.11295025562369627</v>
      </c>
      <c r="E178">
        <f>(E$10-SUM(E$20:E177))/(ABS(E$11)+E$10-SUM(E176:E177))</f>
        <v>0.17058821678926944</v>
      </c>
      <c r="F178">
        <f>(F$10-SUM(F$20:F177))/(ABS(F$11)+F$10-SUM(F176:F177))</f>
        <v>0.22596297464132722</v>
      </c>
      <c r="H178">
        <f t="shared" si="29"/>
        <v>36.000931617673153</v>
      </c>
      <c r="I178">
        <f t="shared" si="30"/>
        <v>49.973376687379783</v>
      </c>
      <c r="J178">
        <f t="shared" si="31"/>
        <v>61.464893613119507</v>
      </c>
      <c r="K178">
        <f t="shared" si="32"/>
        <v>70.954093874085046</v>
      </c>
    </row>
    <row r="179" spans="2:11">
      <c r="B179">
        <v>160</v>
      </c>
      <c r="C179">
        <f>(C$10-SUM(C$20:C178))/(ABS(C$11)+C$10-SUM(C177:C178))</f>
        <v>5.7225162610331809E-2</v>
      </c>
      <c r="D179">
        <f>(D$10-SUM(D$20:D178))/(ABS(D$11)+D$10-SUM(D177:D178))</f>
        <v>0.11168884850177968</v>
      </c>
      <c r="E179">
        <f>(E$10-SUM(E$20:E178))/(ABS(E$11)+E$10-SUM(E177:E178))</f>
        <v>0.16902764424217331</v>
      </c>
      <c r="F179">
        <f>(F$10-SUM(F$20:F178))/(ABS(F$11)+F$10-SUM(F177:F178))</f>
        <v>0.22421253188034856</v>
      </c>
      <c r="H179">
        <f t="shared" si="29"/>
        <v>36.058156780283483</v>
      </c>
      <c r="I179">
        <f t="shared" si="30"/>
        <v>50.085065535881562</v>
      </c>
      <c r="J179">
        <f t="shared" si="31"/>
        <v>61.633921257361678</v>
      </c>
      <c r="K179">
        <f t="shared" si="32"/>
        <v>71.178306405965401</v>
      </c>
    </row>
    <row r="180" spans="2:11">
      <c r="B180">
        <v>161</v>
      </c>
      <c r="C180">
        <f>(C$10-SUM(C$20:C179))/(ABS(C$11)+C$10-SUM(C178:C179))</f>
        <v>5.6404938900836241E-2</v>
      </c>
      <c r="D180">
        <f>(D$10-SUM(D$20:D179))/(ABS(D$11)+D$10-SUM(D178:D179))</f>
        <v>0.11044159962351165</v>
      </c>
      <c r="E180">
        <f>(E$10-SUM(E$20:E179))/(ABS(E$11)+E$10-SUM(E178:E179))</f>
        <v>0.1674814372286319</v>
      </c>
      <c r="F180">
        <f>(F$10-SUM(F$20:F179))/(ABS(F$11)+F$10-SUM(F178:F179))</f>
        <v>0.22247574403688608</v>
      </c>
      <c r="H180">
        <f t="shared" si="29"/>
        <v>36.114561719184316</v>
      </c>
      <c r="I180">
        <f t="shared" si="30"/>
        <v>50.195507135505075</v>
      </c>
      <c r="J180">
        <f t="shared" si="31"/>
        <v>61.801402694590308</v>
      </c>
      <c r="K180">
        <f t="shared" si="32"/>
        <v>71.400782150002286</v>
      </c>
    </row>
    <row r="181" spans="2:11">
      <c r="B181">
        <v>162</v>
      </c>
      <c r="C181">
        <f>(C$10-SUM(C$20:C180))/(ABS(C$11)+C$10-SUM(C179:C180))</f>
        <v>5.5596510255996281E-2</v>
      </c>
      <c r="D181">
        <f>(D$10-SUM(D$20:D180))/(ABS(D$11)+D$10-SUM(D179:D180))</f>
        <v>0.10920834848759441</v>
      </c>
      <c r="E181">
        <f>(E$10-SUM(E$20:E180))/(ABS(E$11)+E$10-SUM(E179:E180))</f>
        <v>0.16594946187632972</v>
      </c>
      <c r="F181">
        <f>(F$10-SUM(F$20:F180))/(ABS(F$11)+F$10-SUM(F179:F180))</f>
        <v>0.22075250311552927</v>
      </c>
      <c r="H181">
        <f t="shared" si="29"/>
        <v>36.170158229440311</v>
      </c>
      <c r="I181">
        <f t="shared" si="30"/>
        <v>50.304715483992666</v>
      </c>
      <c r="J181">
        <f t="shared" si="31"/>
        <v>61.967352156466639</v>
      </c>
      <c r="K181">
        <f t="shared" si="32"/>
        <v>71.62153465311782</v>
      </c>
    </row>
    <row r="182" spans="2:11">
      <c r="B182">
        <v>163</v>
      </c>
      <c r="C182">
        <f>(C$10-SUM(C$20:C181))/(ABS(C$11)+C$10-SUM(C180:C181))</f>
        <v>5.4799705957718887E-2</v>
      </c>
      <c r="D182">
        <f>(D$10-SUM(D$20:D181))/(ABS(D$11)+D$10-SUM(D180:D181))</f>
        <v>0.10798893644771833</v>
      </c>
      <c r="E182">
        <f>(E$10-SUM(E$20:E181))/(ABS(E$11)+E$10-SUM(E180:E181))</f>
        <v>0.16443158559052787</v>
      </c>
      <c r="F182">
        <f>(F$10-SUM(F$20:F181))/(ABS(F$11)+F$10-SUM(F180:F181))</f>
        <v>0.21904270199800216</v>
      </c>
      <c r="H182">
        <f t="shared" si="29"/>
        <v>36.224957935398031</v>
      </c>
      <c r="I182">
        <f t="shared" si="30"/>
        <v>50.412704420440384</v>
      </c>
      <c r="J182">
        <f t="shared" si="31"/>
        <v>62.131783742057166</v>
      </c>
      <c r="K182">
        <f t="shared" si="32"/>
        <v>71.840577355115826</v>
      </c>
    </row>
    <row r="183" spans="2:11">
      <c r="B183">
        <v>164</v>
      </c>
      <c r="C183">
        <f>(C$10-SUM(C$20:C182))/(ABS(C$11)+C$10-SUM(C181:C182))</f>
        <v>5.4014357790331938E-2</v>
      </c>
      <c r="D183">
        <f>(D$10-SUM(D$20:D182))/(ABS(D$11)+D$10-SUM(D181:D182))</f>
        <v>0.10678320669032712</v>
      </c>
      <c r="E183">
        <f>(E$10-SUM(E$20:E182))/(ABS(E$11)+E$10-SUM(E181:E182))</f>
        <v>0.16292767704131897</v>
      </c>
      <c r="F183">
        <f>(F$10-SUM(F$20:F182))/(ABS(F$11)+F$10-SUM(F181:F182))</f>
        <v>0.21734623443568055</v>
      </c>
      <c r="H183">
        <f t="shared" si="29"/>
        <v>36.27897229318836</v>
      </c>
      <c r="I183">
        <f t="shared" si="30"/>
        <v>50.519487627130708</v>
      </c>
      <c r="J183">
        <f t="shared" si="31"/>
        <v>62.294711419098483</v>
      </c>
      <c r="K183">
        <f t="shared" si="32"/>
        <v>72.057923589551507</v>
      </c>
    </row>
    <row r="184" spans="2:11">
      <c r="B184">
        <v>165</v>
      </c>
      <c r="C184">
        <f>(C$10-SUM(C$20:C183))/(ABS(C$11)+C$10-SUM(C182:C183))</f>
        <v>5.3240300003001888E-2</v>
      </c>
      <c r="D184">
        <f>(D$10-SUM(D$20:D183))/(ABS(D$11)+D$10-SUM(D182:D183))</f>
        <v>0.10559100421266829</v>
      </c>
      <c r="E184">
        <f>(E$10-SUM(E$20:E183))/(ABS(E$11)+E$10-SUM(E182:E183))</f>
        <v>0.16143760615101968</v>
      </c>
      <c r="F184">
        <f>(F$10-SUM(F$20:F183))/(ABS(F$11)+F$10-SUM(F182:F183))</f>
        <v>0.21566299504217731</v>
      </c>
      <c r="H184">
        <f t="shared" si="29"/>
        <v>36.332212593191365</v>
      </c>
      <c r="I184">
        <f t="shared" si="30"/>
        <v>50.625078631343378</v>
      </c>
      <c r="J184">
        <f t="shared" si="31"/>
        <v>62.456149025249502</v>
      </c>
      <c r="K184">
        <f t="shared" si="32"/>
        <v>72.273586584593687</v>
      </c>
    </row>
    <row r="185" spans="2:11">
      <c r="B185">
        <v>166</v>
      </c>
      <c r="C185">
        <f>(C$10-SUM(C$20:C184))/(ABS(C$11)+C$10-SUM(C183:C184))</f>
        <v>5.247736927274111E-2</v>
      </c>
      <c r="D185">
        <f>(D$10-SUM(D$20:D184))/(ABS(D$11)+D$10-SUM(D183:D184))</f>
        <v>0.10441217580112278</v>
      </c>
      <c r="E185">
        <f>(E$10-SUM(E$20:E184))/(ABS(E$11)+E$10-SUM(E183:E184))</f>
        <v>0.15996124408169871</v>
      </c>
      <c r="F185">
        <f>(F$10-SUM(F$20:F184))/(ABS(F$11)+F$10-SUM(F183:F184))</f>
        <v>0.21399287928599761</v>
      </c>
      <c r="H185">
        <f t="shared" si="29"/>
        <v>36.384689962464108</v>
      </c>
      <c r="I185">
        <f t="shared" si="30"/>
        <v>50.729490807144501</v>
      </c>
      <c r="J185">
        <f t="shared" si="31"/>
        <v>62.616110269331202</v>
      </c>
      <c r="K185">
        <f t="shared" si="32"/>
        <v>72.487579463879683</v>
      </c>
    </row>
    <row r="186" spans="2:11">
      <c r="B186">
        <v>167</v>
      </c>
      <c r="C186">
        <f>(C$10-SUM(C$20:C185))/(ABS(C$11)+C$10-SUM(C184:C185))</f>
        <v>5.1725404667996244E-2</v>
      </c>
      <c r="D186">
        <f>(D$10-SUM(D$20:D185))/(ABS(D$11)+D$10-SUM(D184:D185))</f>
        <v>0.10324657000981195</v>
      </c>
      <c r="E186">
        <f>(E$10-SUM(E$20:E185))/(ABS(E$11)+E$10-SUM(E184:E185))</f>
        <v>0.15849846322283884</v>
      </c>
      <c r="F186">
        <f>(F$10-SUM(F$20:F185))/(ABS(F$11)+F$10-SUM(F184:F185))</f>
        <v>0.21233578348326135</v>
      </c>
      <c r="H186">
        <f t="shared" si="29"/>
        <v>36.436415367132106</v>
      </c>
      <c r="I186">
        <f t="shared" si="30"/>
        <v>50.832737377154309</v>
      </c>
      <c r="J186">
        <f t="shared" si="31"/>
        <v>62.774608732554043</v>
      </c>
      <c r="K186">
        <f t="shared" si="32"/>
        <v>72.699915247362938</v>
      </c>
    </row>
    <row r="187" spans="2:11">
      <c r="B187">
        <v>168</v>
      </c>
      <c r="C187">
        <f>(C$10-SUM(C$20:C186))/(ABS(C$11)+C$10-SUM(C185:C186))</f>
        <v>5.0984247612806143E-2</v>
      </c>
      <c r="D187">
        <f>(D$10-SUM(D$20:D186))/(ABS(D$11)+D$10-SUM(D185:D186))</f>
        <v>0.1020940371394761</v>
      </c>
      <c r="E187">
        <f>(E$10-SUM(E$20:E186))/(ABS(E$11)+E$10-SUM(E185:E186))</f>
        <v>0.15704913717913141</v>
      </c>
      <c r="F187">
        <f>(F$10-SUM(F$20:F186))/(ABS(F$11)+F$10-SUM(F185:F186))</f>
        <v>0.21069160479049309</v>
      </c>
      <c r="H187">
        <f t="shared" ref="H187:H250" si="33">H186+C187</f>
        <v>36.487399614744909</v>
      </c>
      <c r="I187">
        <f t="shared" ref="I187:I250" si="34">I186+D187</f>
        <v>50.934831414293782</v>
      </c>
      <c r="J187">
        <f t="shared" ref="J187:J250" si="35">J186+E187</f>
        <v>62.931657869733172</v>
      </c>
      <c r="K187">
        <f t="shared" ref="K187:K250" si="36">K186+F187</f>
        <v>72.910606852153435</v>
      </c>
    </row>
    <row r="188" spans="2:11">
      <c r="B188">
        <v>169</v>
      </c>
      <c r="C188">
        <f>(C$10-SUM(C$20:C187))/(ABS(C$11)+C$10-SUM(C186:C187))</f>
        <v>5.0253741851521004E-2</v>
      </c>
      <c r="D188">
        <f>(D$10-SUM(D$20:D187))/(ABS(D$11)+D$10-SUM(D186:D187))</f>
        <v>0.10095442921662187</v>
      </c>
      <c r="E188">
        <f>(E$10-SUM(E$20:E187))/(ABS(E$11)+E$10-SUM(E186:E187))</f>
        <v>0.15561314075840141</v>
      </c>
      <c r="F188">
        <f>(F$10-SUM(F$20:F187))/(ABS(F$11)+F$10-SUM(F186:F187))</f>
        <v>0.2090602411974786</v>
      </c>
      <c r="H188">
        <f t="shared" si="33"/>
        <v>36.537653356596429</v>
      </c>
      <c r="I188">
        <f t="shared" si="34"/>
        <v>51.035785843510403</v>
      </c>
      <c r="J188">
        <f t="shared" si="35"/>
        <v>63.087271010491577</v>
      </c>
      <c r="K188">
        <f t="shared" si="36"/>
        <v>73.119667093350913</v>
      </c>
    </row>
    <row r="189" spans="2:11">
      <c r="B189">
        <v>170</v>
      </c>
      <c r="C189">
        <f>(C$10-SUM(C$20:C188))/(ABS(C$11)+C$10-SUM(C187:C188))</f>
        <v>4.9533733414072474E-2</v>
      </c>
      <c r="D189">
        <f>(D$10-SUM(D$20:D188))/(ABS(D$11)+D$10-SUM(D187:D188))</f>
        <v>9.9827599972934555E-2</v>
      </c>
      <c r="E189">
        <f>(E$10-SUM(E$20:E188))/(ABS(E$11)+E$10-SUM(E187:E188))</f>
        <v>0.1541903499596618</v>
      </c>
      <c r="F189">
        <f>(F$10-SUM(F$20:F188))/(ABS(F$11)+F$10-SUM(F187:F188))</f>
        <v>0.20744159152018746</v>
      </c>
      <c r="H189">
        <f t="shared" si="33"/>
        <v>36.587187090010502</v>
      </c>
      <c r="I189">
        <f t="shared" si="34"/>
        <v>51.135613443483336</v>
      </c>
      <c r="J189">
        <f t="shared" si="35"/>
        <v>63.24146136045124</v>
      </c>
      <c r="K189">
        <f t="shared" si="36"/>
        <v>73.327108684871106</v>
      </c>
    </row>
    <row r="190" spans="2:11">
      <c r="B190">
        <v>171</v>
      </c>
      <c r="C190">
        <f>(C$10-SUM(C$20:C189))/(ABS(C$11)+C$10-SUM(C188:C189))</f>
        <v>4.8824070581786339E-2</v>
      </c>
      <c r="D190">
        <f>(D$10-SUM(D$20:D189))/(ABS(D$11)+D$10-SUM(D188:D189))</f>
        <v>9.8713404824951417E-2</v>
      </c>
      <c r="E190">
        <f>(E$10-SUM(E$20:E189))/(ABS(E$11)+E$10-SUM(E188:E189))</f>
        <v>0.15278064196129562</v>
      </c>
      <c r="F190">
        <f>(F$10-SUM(F$20:F189))/(ABS(F$11)+F$10-SUM(F188:F189))</f>
        <v>0.20583555539376042</v>
      </c>
      <c r="H190">
        <f t="shared" si="33"/>
        <v>36.63601116059229</v>
      </c>
      <c r="I190">
        <f t="shared" si="34"/>
        <v>51.234326848308285</v>
      </c>
      <c r="J190">
        <f t="shared" si="35"/>
        <v>63.394242002412533</v>
      </c>
      <c r="K190">
        <f t="shared" si="36"/>
        <v>73.532944240264868</v>
      </c>
    </row>
    <row r="191" spans="2:11">
      <c r="B191">
        <v>172</v>
      </c>
      <c r="C191">
        <f>(C$10-SUM(C$20:C190))/(ABS(C$11)+C$10-SUM(C189:C190))</f>
        <v>4.8124603853727618E-2</v>
      </c>
      <c r="D191">
        <f>(D$10-SUM(D$20:D190))/(ABS(D$11)+D$10-SUM(D189:D190))</f>
        <v>9.7611700853992192E-2</v>
      </c>
      <c r="E191">
        <f>(E$10-SUM(E$20:E190))/(ABS(E$11)+E$10-SUM(E189:E190))</f>
        <v>0.15138389510936406</v>
      </c>
      <c r="F191">
        <f>(F$10-SUM(F$20:F190))/(ABS(F$11)+F$10-SUM(F189:F190))</f>
        <v>0.20424203326556173</v>
      </c>
      <c r="H191">
        <f t="shared" si="33"/>
        <v>36.684135764446019</v>
      </c>
      <c r="I191">
        <f t="shared" si="34"/>
        <v>51.331938549162274</v>
      </c>
      <c r="J191">
        <f t="shared" si="35"/>
        <v>63.545625897521894</v>
      </c>
      <c r="K191">
        <f t="shared" si="36"/>
        <v>73.737186273530426</v>
      </c>
    </row>
    <row r="192" spans="2:11">
      <c r="B192">
        <v>173</v>
      </c>
      <c r="C192">
        <f>(C$10-SUM(C$20:C191))/(ABS(C$11)+C$10-SUM(C190:C191))</f>
        <v>4.7435185913570051E-2</v>
      </c>
      <c r="D192">
        <f>(D$10-SUM(D$20:D191))/(ABS(D$11)+D$10-SUM(D190:D191))</f>
        <v>9.6522346786343707E-2</v>
      </c>
      <c r="E192">
        <f>(E$10-SUM(E$20:E191))/(ABS(E$11)+E$10-SUM(E190:E191))</f>
        <v>0.14999998890603924</v>
      </c>
      <c r="F192">
        <f>(F$10-SUM(F$20:F191))/(ABS(F$11)+F$10-SUM(F190:F191))</f>
        <v>0.20266092638829503</v>
      </c>
      <c r="H192">
        <f t="shared" si="33"/>
        <v>36.73157095035959</v>
      </c>
      <c r="I192">
        <f t="shared" si="34"/>
        <v>51.428460895948618</v>
      </c>
      <c r="J192">
        <f t="shared" si="35"/>
        <v>63.695625886427933</v>
      </c>
      <c r="K192">
        <f t="shared" si="36"/>
        <v>73.939847199918717</v>
      </c>
    </row>
    <row r="193" spans="2:11">
      <c r="B193">
        <v>174</v>
      </c>
      <c r="C193">
        <f>(C$10-SUM(C$20:C192))/(ABS(C$11)+C$10-SUM(C191:C192))</f>
        <v>4.6755671596980665E-2</v>
      </c>
      <c r="D193">
        <f>(D$10-SUM(D$20:D192))/(ABS(D$11)+D$10-SUM(D191:D192))</f>
        <v>9.5445202973694646E-2</v>
      </c>
      <c r="E193">
        <f>(E$10-SUM(E$20:E192))/(ABS(E$11)+E$10-SUM(E191:E192))</f>
        <v>0.14862880399815998</v>
      </c>
      <c r="F193">
        <f>(F$10-SUM(F$20:F192))/(ABS(F$11)+F$10-SUM(F191:F192))</f>
        <v>0.20109213681318219</v>
      </c>
      <c r="H193">
        <f t="shared" si="33"/>
        <v>36.778326621956573</v>
      </c>
      <c r="I193">
        <f t="shared" si="34"/>
        <v>51.523906098922311</v>
      </c>
      <c r="J193">
        <f t="shared" si="35"/>
        <v>63.844254690426091</v>
      </c>
      <c r="K193">
        <f t="shared" si="36"/>
        <v>74.140939336731904</v>
      </c>
    </row>
    <row r="194" spans="2:11">
      <c r="B194">
        <v>175</v>
      </c>
      <c r="C194">
        <f>(C$10-SUM(C$20:C193))/(ABS(C$11)+C$10-SUM(C192:C193))</f>
        <v>4.6085917859511071E-2</v>
      </c>
      <c r="D194">
        <f>(D$10-SUM(D$20:D193))/(ABS(D$11)+D$10-SUM(D192:D193))</f>
        <v>9.4380131373817233E-2</v>
      </c>
      <c r="E194">
        <f>(E$10-SUM(E$20:E193))/(ABS(E$11)+E$10-SUM(E192:E193))</f>
        <v>0.14727022216590951</v>
      </c>
      <c r="F194">
        <f>(F$10-SUM(F$20:F193))/(ABS(F$11)+F$10-SUM(F192:F193))</f>
        <v>0.19953556738320544</v>
      </c>
      <c r="H194">
        <f t="shared" si="33"/>
        <v>36.824412539816088</v>
      </c>
      <c r="I194">
        <f t="shared" si="34"/>
        <v>51.618286230296128</v>
      </c>
      <c r="J194">
        <f t="shared" si="35"/>
        <v>63.991524912591998</v>
      </c>
      <c r="K194">
        <f t="shared" si="36"/>
        <v>74.340474904115112</v>
      </c>
    </row>
    <row r="195" spans="2:11">
      <c r="B195">
        <v>176</v>
      </c>
      <c r="C195">
        <f>(C$10-SUM(C$20:C194))/(ABS(C$11)+C$10-SUM(C193:C194))</f>
        <v>4.5425783744987201E-2</v>
      </c>
      <c r="D195">
        <f>(D$10-SUM(D$20:D194))/(ABS(D$11)+D$10-SUM(D193:D194))</f>
        <v>9.3326995531492069E-2</v>
      </c>
      <c r="E195">
        <f>(E$10-SUM(E$20:E194))/(ABS(E$11)+E$10-SUM(E193:E194))</f>
        <v>0.14592412631161317</v>
      </c>
      <c r="F195">
        <f>(F$10-SUM(F$20:F194))/(ABS(F$11)+F$10-SUM(F193:F194))</f>
        <v>0.19799112172641081</v>
      </c>
      <c r="H195">
        <f t="shared" si="33"/>
        <v>36.869838323561076</v>
      </c>
      <c r="I195">
        <f t="shared" si="34"/>
        <v>51.71161322582762</v>
      </c>
      <c r="J195">
        <f t="shared" si="35"/>
        <v>64.137449038903611</v>
      </c>
      <c r="K195">
        <f t="shared" si="36"/>
        <v>74.538466025841529</v>
      </c>
    </row>
    <row r="196" spans="2:11">
      <c r="B196">
        <v>177</v>
      </c>
      <c r="C196">
        <f>(C$10-SUM(C$20:C195))/(ABS(C$11)+C$10-SUM(C194:C195))</f>
        <v>4.477513035438882E-2</v>
      </c>
      <c r="D196">
        <f>(D$10-SUM(D$20:D195))/(ABS(D$11)+D$10-SUM(D194:D195))</f>
        <v>9.2285660559673285E-2</v>
      </c>
      <c r="E196">
        <f>(E$10-SUM(E$20:E195))/(ABS(E$11)+E$10-SUM(E194:E195))</f>
        <v>0.14459040044865487</v>
      </c>
      <c r="F196">
        <f>(F$10-SUM(F$20:F195))/(ABS(F$11)+F$10-SUM(F194:F195))</f>
        <v>0.19645870424927267</v>
      </c>
      <c r="H196">
        <f t="shared" si="33"/>
        <v>36.914613453915464</v>
      </c>
      <c r="I196">
        <f t="shared" si="34"/>
        <v>51.803898886387294</v>
      </c>
      <c r="J196">
        <f t="shared" si="35"/>
        <v>64.282039439352261</v>
      </c>
      <c r="K196">
        <f t="shared" si="36"/>
        <v>74.734924730090796</v>
      </c>
    </row>
    <row r="197" spans="2:11">
      <c r="B197">
        <v>178</v>
      </c>
      <c r="C197">
        <f>(C$10-SUM(C$20:C196))/(ABS(C$11)+C$10-SUM(C195:C196))</f>
        <v>4.4133820815210931E-2</v>
      </c>
      <c r="D197">
        <f>(D$10-SUM(D$20:D196))/(ABS(D$11)+D$10-SUM(D195:D196))</f>
        <v>9.1255993120890125E-2</v>
      </c>
      <c r="E197">
        <f>(E$10-SUM(E$20:E196))/(ABS(E$11)+E$10-SUM(E195:E196))</f>
        <v>0.14326892969051117</v>
      </c>
      <c r="F197">
        <f>(F$10-SUM(F$20:F196))/(ABS(F$11)+F$10-SUM(F195:F196))</f>
        <v>0.19493822013011952</v>
      </c>
      <c r="H197">
        <f t="shared" si="33"/>
        <v>36.958747274730676</v>
      </c>
      <c r="I197">
        <f t="shared" si="34"/>
        <v>51.895154879508183</v>
      </c>
      <c r="J197">
        <f t="shared" si="35"/>
        <v>64.425308369042767</v>
      </c>
      <c r="K197">
        <f t="shared" si="36"/>
        <v>74.929862950220922</v>
      </c>
    </row>
    <row r="198" spans="2:11">
      <c r="B198">
        <v>179</v>
      </c>
      <c r="C198">
        <f>(C$10-SUM(C$20:C197))/(ABS(C$11)+C$10-SUM(C196:C197))</f>
        <v>4.3501720251299142E-2</v>
      </c>
      <c r="D198">
        <f>(D$10-SUM(D$20:D197))/(ABS(D$11)+D$10-SUM(D196:D197))</f>
        <v>9.0237861408882222E-2</v>
      </c>
      <c r="E198">
        <f>(E$10-SUM(E$20:E197))/(ABS(E$11)+E$10-SUM(E196:E197))</f>
        <v>0.14195960023990103</v>
      </c>
      <c r="F198">
        <f>(F$10-SUM(F$20:F197))/(ABS(F$11)+F$10-SUM(F196:F197))</f>
        <v>0.19342957531261884</v>
      </c>
      <c r="H198">
        <f t="shared" si="33"/>
        <v>37.002248994981976</v>
      </c>
      <c r="I198">
        <f t="shared" si="34"/>
        <v>51.985392740917064</v>
      </c>
      <c r="J198">
        <f t="shared" si="35"/>
        <v>64.567267969282668</v>
      </c>
      <c r="K198">
        <f t="shared" si="36"/>
        <v>75.123292525533543</v>
      </c>
    </row>
    <row r="199" spans="2:11">
      <c r="B199">
        <v>180</v>
      </c>
      <c r="C199">
        <f>(C$10-SUM(C$20:C198))/(ABS(C$11)+C$10-SUM(C197:C198))</f>
        <v>4.2878695753151112E-2</v>
      </c>
      <c r="D199">
        <f>(D$10-SUM(D$20:D198))/(ABS(D$11)+D$10-SUM(D197:D198))</f>
        <v>8.9231135130464795E-2</v>
      </c>
      <c r="E199">
        <f>(E$10-SUM(E$20:E198))/(ABS(E$11)+E$10-SUM(E197:E198))</f>
        <v>0.14066229937805058</v>
      </c>
      <c r="F199">
        <f>(F$10-SUM(F$20:F198))/(ABS(F$11)+F$10-SUM(F197:F198))</f>
        <v>0.1919326764993225</v>
      </c>
      <c r="H199">
        <f t="shared" si="33"/>
        <v>37.045127690735129</v>
      </c>
      <c r="I199">
        <f t="shared" si="34"/>
        <v>52.074623876047525</v>
      </c>
      <c r="J199">
        <f t="shared" si="35"/>
        <v>64.707930268660718</v>
      </c>
      <c r="K199">
        <f t="shared" si="36"/>
        <v>75.315225202032863</v>
      </c>
    </row>
    <row r="200" spans="2:11">
      <c r="B200">
        <v>181</v>
      </c>
      <c r="C200">
        <f>(C$10-SUM(C$20:C199))/(ABS(C$11)+C$10-SUM(C198:C199))</f>
        <v>4.2264616348676259E-2</v>
      </c>
      <c r="D200">
        <f>(D$10-SUM(D$20:D199))/(ABS(D$11)+D$10-SUM(D198:D199))</f>
        <v>8.8235685487621104E-2</v>
      </c>
      <c r="E200">
        <f>(E$10-SUM(E$20:E199))/(ABS(E$11)+E$10-SUM(E198:E199))</f>
        <v>0.13937691545407094</v>
      </c>
      <c r="F200">
        <f>(F$10-SUM(F$20:F199))/(ABS(F$11)+F$10-SUM(F198:F199))</f>
        <v>0.19044743114526985</v>
      </c>
      <c r="H200">
        <f t="shared" si="33"/>
        <v>37.087392307083803</v>
      </c>
      <c r="I200">
        <f t="shared" si="34"/>
        <v>52.162859561535143</v>
      </c>
      <c r="J200">
        <f t="shared" si="35"/>
        <v>64.847307184114783</v>
      </c>
      <c r="K200">
        <f t="shared" si="36"/>
        <v>75.505672633178136</v>
      </c>
    </row>
    <row r="201" spans="2:11">
      <c r="B201">
        <v>182</v>
      </c>
      <c r="C201">
        <f>(C$10-SUM(C$20:C200))/(ABS(C$11)+C$10-SUM(C199:C200))</f>
        <v>4.1659352974406524E-2</v>
      </c>
      <c r="D201">
        <f>(D$10-SUM(D$20:D200))/(ABS(D$11)+D$10-SUM(D199:D200))</f>
        <v>8.7251385159818812E-2</v>
      </c>
      <c r="E201">
        <f>(E$10-SUM(E$20:E200))/(ABS(E$11)+E$10-SUM(E199:E200))</f>
        <v>0.13810333787444792</v>
      </c>
      <c r="F201">
        <f>(F$10-SUM(F$20:F200))/(ABS(F$11)+F$10-SUM(F199:F200))</f>
        <v>0.18897374745164944</v>
      </c>
      <c r="H201">
        <f t="shared" si="33"/>
        <v>37.129051660058209</v>
      </c>
      <c r="I201">
        <f t="shared" si="34"/>
        <v>52.25011094669496</v>
      </c>
      <c r="J201">
        <f t="shared" si="35"/>
        <v>64.985410521989238</v>
      </c>
      <c r="K201">
        <f t="shared" si="36"/>
        <v>75.694646380629791</v>
      </c>
    </row>
    <row r="202" spans="2:11">
      <c r="B202">
        <v>183</v>
      </c>
      <c r="C202">
        <f>(C$10-SUM(C$20:C201))/(ABS(C$11)+C$10-SUM(C200:C201))</f>
        <v>4.1062778447150138E-2</v>
      </c>
      <c r="D202">
        <f>(D$10-SUM(D$20:D201))/(ABS(D$11)+D$10-SUM(D200:D201))</f>
        <v>8.6278108286547209E-2</v>
      </c>
      <c r="E202">
        <f>(E$10-SUM(E$20:E201))/(ABS(E$11)+E$10-SUM(E200:E201))</f>
        <v>0.13684145709264248</v>
      </c>
      <c r="F202">
        <f>(F$10-SUM(F$20:F201))/(ABS(F$11)+F$10-SUM(F200:F201))</f>
        <v>0.18751153435951856</v>
      </c>
      <c r="H202">
        <f t="shared" si="33"/>
        <v>37.170114438505358</v>
      </c>
      <c r="I202">
        <f t="shared" si="34"/>
        <v>52.33638905498151</v>
      </c>
      <c r="J202">
        <f t="shared" si="35"/>
        <v>65.122251979081881</v>
      </c>
      <c r="K202">
        <f t="shared" si="36"/>
        <v>75.882157914989307</v>
      </c>
    </row>
    <row r="203" spans="2:11">
      <c r="B203">
        <v>184</v>
      </c>
      <c r="C203">
        <f>(C$10-SUM(C$20:C202))/(ABS(C$11)+C$10-SUM(C201:C202))</f>
        <v>4.0474767436082096E-2</v>
      </c>
      <c r="D203">
        <f>(D$10-SUM(D$20:D202))/(ABS(D$11)+D$10-SUM(D201:D202))</f>
        <v>8.5315730450072208E-2</v>
      </c>
      <c r="E203">
        <f>(E$10-SUM(E$20:E202))/(ABS(E$11)+E$10-SUM(E201:E202))</f>
        <v>0.13559116459880077</v>
      </c>
      <c r="F203">
        <f>(F$10-SUM(F$20:F202))/(ABS(F$11)+F$10-SUM(F201:F202))</f>
        <v>0.18606070154357932</v>
      </c>
      <c r="H203">
        <f t="shared" si="33"/>
        <v>37.210589205941439</v>
      </c>
      <c r="I203">
        <f t="shared" si="34"/>
        <v>52.421704785431579</v>
      </c>
      <c r="J203">
        <f t="shared" si="35"/>
        <v>65.257843143680688</v>
      </c>
      <c r="K203">
        <f t="shared" si="36"/>
        <v>76.068218616532889</v>
      </c>
    </row>
    <row r="204" spans="2:11">
      <c r="B204">
        <v>185</v>
      </c>
      <c r="C204">
        <f>(C$10-SUM(C$20:C203))/(ABS(C$11)+C$10-SUM(C202:C203))</f>
        <v>3.9895196435263174E-2</v>
      </c>
      <c r="D204">
        <f>(D$10-SUM(D$20:D203))/(ABS(D$11)+D$10-SUM(D202:D203))</f>
        <v>8.436412865840652E-2</v>
      </c>
      <c r="E204">
        <f>(E$10-SUM(E$20:E203))/(ABS(E$11)+E$10-SUM(E202:E203))</f>
        <v>0.13435235290957162</v>
      </c>
      <c r="F204">
        <f>(F$10-SUM(F$20:F203))/(ABS(F$11)+F$10-SUM(F202:F203))</f>
        <v>0.18462115940601107</v>
      </c>
      <c r="H204">
        <f t="shared" si="33"/>
        <v>37.250484402376699</v>
      </c>
      <c r="I204">
        <f t="shared" si="34"/>
        <v>52.506068914089987</v>
      </c>
      <c r="J204">
        <f t="shared" si="35"/>
        <v>65.392195496590261</v>
      </c>
      <c r="K204">
        <f t="shared" si="36"/>
        <v>76.252839775938895</v>
      </c>
    </row>
    <row r="205" spans="2:11">
      <c r="B205">
        <v>186</v>
      </c>
      <c r="C205">
        <f>(C$10-SUM(C$20:C204))/(ABS(C$11)+C$10-SUM(C203:C204))</f>
        <v>3.9323943736581268E-2</v>
      </c>
      <c r="D205">
        <f>(D$10-SUM(D$20:D204))/(ABS(D$11)+D$10-SUM(D203:D204))</f>
        <v>8.3423181328491261E-2</v>
      </c>
      <c r="E205">
        <f>(E$10-SUM(E$20:E204))/(ABS(E$11)+E$10-SUM(E203:E204))</f>
        <v>0.1331249155580316</v>
      </c>
      <c r="F205">
        <f>(F$10-SUM(F$20:F204))/(ABS(F$11)+F$10-SUM(F203:F204))</f>
        <v>0.18319281907035928</v>
      </c>
      <c r="H205">
        <f t="shared" si="33"/>
        <v>37.289808346113283</v>
      </c>
      <c r="I205">
        <f t="shared" si="34"/>
        <v>52.589492095418478</v>
      </c>
      <c r="J205">
        <f t="shared" si="35"/>
        <v>65.52532041214829</v>
      </c>
      <c r="K205">
        <f t="shared" si="36"/>
        <v>76.436032595009252</v>
      </c>
    </row>
    <row r="206" spans="2:11">
      <c r="B206">
        <v>187</v>
      </c>
      <c r="C206">
        <f>(C$10-SUM(C$20:C205))/(ABS(C$11)+C$10-SUM(C204:C205))</f>
        <v>3.8760889403107533E-2</v>
      </c>
      <c r="D206">
        <f>(D$10-SUM(D$20:D205))/(ABS(D$11)+D$10-SUM(D204:D205))</f>
        <v>8.2492768269587194E-2</v>
      </c>
      <c r="E206">
        <f>(E$10-SUM(E$20:E205))/(ABS(E$11)+E$10-SUM(E204:E205))</f>
        <v>0.13190874708371497</v>
      </c>
      <c r="F206">
        <f>(F$10-SUM(F$20:F205))/(ABS(F$11)+F$10-SUM(F204:F205))</f>
        <v>0.18177559237547899</v>
      </c>
      <c r="H206">
        <f t="shared" si="33"/>
        <v>37.32856923551639</v>
      </c>
      <c r="I206">
        <f t="shared" si="34"/>
        <v>52.671984863688067</v>
      </c>
      <c r="J206">
        <f t="shared" si="35"/>
        <v>65.657229159232003</v>
      </c>
      <c r="K206">
        <f t="shared" si="36"/>
        <v>76.617808187384725</v>
      </c>
    </row>
    <row r="207" spans="2:11">
      <c r="B207">
        <v>188</v>
      </c>
      <c r="C207">
        <f>(C$10-SUM(C$20:C206))/(ABS(C$11)+C$10-SUM(C205:C206))</f>
        <v>3.8205915242861391E-2</v>
      </c>
      <c r="D207">
        <f>(D$10-SUM(D$20:D206))/(ABS(D$11)+D$10-SUM(D205:D206))</f>
        <v>8.1572770666871922E-2</v>
      </c>
      <c r="E207">
        <f>(E$10-SUM(E$20:E206))/(ABS(E$11)+E$10-SUM(E205:E206))</f>
        <v>0.1307037430227482</v>
      </c>
      <c r="F207">
        <f>(F$10-SUM(F$20:F206))/(ABS(F$11)+F$10-SUM(F205:F206))</f>
        <v>0.18036939186953346</v>
      </c>
      <c r="H207">
        <f t="shared" si="33"/>
        <v>37.366775150759253</v>
      </c>
      <c r="I207">
        <f t="shared" si="34"/>
        <v>52.753557634354941</v>
      </c>
      <c r="J207">
        <f t="shared" si="35"/>
        <v>65.787932902254752</v>
      </c>
      <c r="K207">
        <f t="shared" si="36"/>
        <v>76.798177579254258</v>
      </c>
    </row>
    <row r="208" spans="2:11">
      <c r="B208">
        <v>189</v>
      </c>
      <c r="C208">
        <f>(C$10-SUM(C$20:C207))/(ABS(C$11)+C$10-SUM(C206:C207))</f>
        <v>3.7658904782976566E-2</v>
      </c>
      <c r="D208">
        <f>(D$10-SUM(D$20:D207))/(ABS(D$11)+D$10-SUM(D206:D207))</f>
        <v>8.0663071065240524E-2</v>
      </c>
      <c r="E208">
        <f>(E$10-SUM(E$20:E207))/(ABS(E$11)+E$10-SUM(E206:E207))</f>
        <v>0.12950979989808795</v>
      </c>
      <c r="F208">
        <f>(F$10-SUM(F$20:F207))/(ABS(F$11)+F$10-SUM(F206:F207))</f>
        <v>0.17897413080404645</v>
      </c>
      <c r="H208">
        <f t="shared" si="33"/>
        <v>37.404434055542232</v>
      </c>
      <c r="I208">
        <f t="shared" si="34"/>
        <v>52.834220705420179</v>
      </c>
      <c r="J208">
        <f t="shared" si="35"/>
        <v>65.91744270215284</v>
      </c>
      <c r="K208">
        <f t="shared" si="36"/>
        <v>76.977151710058308</v>
      </c>
    </row>
    <row r="209" spans="2:11">
      <c r="B209" s="14">
        <v>190</v>
      </c>
      <c r="C209">
        <f>(C$10-SUM(C$20:C208))/(ABS(C$11)+C$10-SUM(C207:C208))</f>
        <v>3.7119743244262843E-2</v>
      </c>
      <c r="D209">
        <f>(D$10-SUM(D$20:D208))/(ABS(D$11)+D$10-SUM(D207:D208))</f>
        <v>7.9763553353307093E-2</v>
      </c>
      <c r="E209">
        <f>(E$10-SUM(E$20:E208))/(ABS(E$11)+E$10-SUM(E207:E208))</f>
        <v>0.12832681520986058</v>
      </c>
      <c r="F209">
        <f>(F$10-SUM(F$20:F208))/(ABS(F$11)+F$10-SUM(F207:F208))</f>
        <v>0.17758972312800875</v>
      </c>
      <c r="G209" s="14"/>
      <c r="H209" s="14">
        <f t="shared" si="33"/>
        <v>37.441553798786494</v>
      </c>
      <c r="I209" s="14">
        <f t="shared" si="34"/>
        <v>52.913984258773489</v>
      </c>
      <c r="J209" s="14">
        <f t="shared" si="35"/>
        <v>66.0457695173627</v>
      </c>
      <c r="K209" s="14">
        <f t="shared" si="36"/>
        <v>77.154741433186317</v>
      </c>
    </row>
    <row r="210" spans="2:11">
      <c r="B210">
        <v>191</v>
      </c>
      <c r="C210">
        <f>(C$10-SUM(C$20:C209))/(ABS(C$11)+C$10-SUM(C208:C209))</f>
        <v>3.6588317516156509E-2</v>
      </c>
      <c r="D210">
        <f>(D$10-SUM(D$20:D209))/(ABS(D$11)+D$10-SUM(D208:D209))</f>
        <v>7.8874102747603897E-2</v>
      </c>
      <c r="E210">
        <f>(E$10-SUM(E$20:E209))/(ABS(E$11)+E$10-SUM(E208:E209))</f>
        <v>0.12715468742580252</v>
      </c>
      <c r="F210">
        <f>(F$10-SUM(F$20:F209))/(ABS(F$11)+F$10-SUM(F208:F209))</f>
        <v>0.17621608348203729</v>
      </c>
      <c r="H210">
        <f t="shared" si="33"/>
        <v>37.478142116302649</v>
      </c>
      <c r="I210">
        <f t="shared" si="34"/>
        <v>52.992858361521094</v>
      </c>
      <c r="J210">
        <f t="shared" si="35"/>
        <v>66.172924204788501</v>
      </c>
      <c r="K210">
        <f t="shared" si="36"/>
        <v>77.330957516668349</v>
      </c>
    </row>
    <row r="211" spans="2:11">
      <c r="B211">
        <v>192</v>
      </c>
      <c r="C211">
        <f>(C$10-SUM(C$20:C210))/(ABS(C$11)+C$10-SUM(C209:C210))</f>
        <v>3.6064516132052964E-2</v>
      </c>
      <c r="D211">
        <f>(D$10-SUM(D$20:D210))/(ABS(D$11)+D$10-SUM(D209:D210))</f>
        <v>7.7994605776976436E-2</v>
      </c>
      <c r="E211">
        <f>(E$10-SUM(E$20:E210))/(ABS(E$11)+E$10-SUM(E209:E210))</f>
        <v>0.12599331597180022</v>
      </c>
      <c r="F211">
        <f>(F$10-SUM(F$20:F210))/(ABS(F$11)+F$10-SUM(F209:F210))</f>
        <v>0.17485312719258703</v>
      </c>
      <c r="H211">
        <f t="shared" si="33"/>
        <v>37.5142066324347</v>
      </c>
      <c r="I211">
        <f t="shared" si="34"/>
        <v>53.070852967298073</v>
      </c>
      <c r="J211">
        <f t="shared" si="35"/>
        <v>66.298917520760298</v>
      </c>
      <c r="K211">
        <f t="shared" si="36"/>
        <v>77.50581064386094</v>
      </c>
    </row>
    <row r="212" spans="2:11">
      <c r="B212">
        <v>193</v>
      </c>
      <c r="C212">
        <f>(C$10-SUM(C$20:C211))/(ABS(C$11)+C$10-SUM(C210:C211))</f>
        <v>3.5548229245016091E-2</v>
      </c>
      <c r="D212">
        <f>(D$10-SUM(D$20:D211))/(ABS(D$11)+D$10-SUM(D210:D211))</f>
        <v>7.7124950267170672E-2</v>
      </c>
      <c r="E212">
        <f>(E$10-SUM(E$20:E211))/(ABS(E$11)+E$10-SUM(E210:E211))</f>
        <v>0.12484260122252862</v>
      </c>
      <c r="F212">
        <f>(F$10-SUM(F$20:F211))/(ABS(F$11)+F$10-SUM(F210:F211))</f>
        <v>0.17350077026621433</v>
      </c>
      <c r="H212">
        <f t="shared" si="33"/>
        <v>37.549754861679716</v>
      </c>
      <c r="I212">
        <f t="shared" si="34"/>
        <v>53.147977917565242</v>
      </c>
      <c r="J212">
        <f t="shared" si="35"/>
        <v>66.423760121982824</v>
      </c>
      <c r="K212">
        <f t="shared" si="36"/>
        <v>77.679311414127156</v>
      </c>
    </row>
    <row r="213" spans="2:11">
      <c r="B213">
        <v>194</v>
      </c>
      <c r="C213">
        <f>(C$10-SUM(C$20:C212))/(ABS(C$11)+C$10-SUM(C211:C212))</f>
        <v>3.5039348603857573E-2</v>
      </c>
      <c r="D213">
        <f>(D$10-SUM(D$20:D212))/(ABS(D$11)+D$10-SUM(D211:D212))</f>
        <v>7.6265025325610677E-2</v>
      </c>
      <c r="E213">
        <f>(E$10-SUM(E$20:E212))/(ABS(E$11)+E$10-SUM(E211:E212))</f>
        <v>0.12370244449218686</v>
      </c>
      <c r="F213">
        <f>(F$10-SUM(F$20:F212))/(ABS(F$11)+F$10-SUM(F211:F212))</f>
        <v>0.17215892938389274</v>
      </c>
      <c r="H213">
        <f t="shared" si="33"/>
        <v>37.584794210283576</v>
      </c>
      <c r="I213">
        <f t="shared" si="34"/>
        <v>53.224242942890854</v>
      </c>
      <c r="J213">
        <f t="shared" si="35"/>
        <v>66.547462566475005</v>
      </c>
      <c r="K213">
        <f t="shared" si="36"/>
        <v>77.851470343511053</v>
      </c>
    </row>
    <row r="214" spans="2:11">
      <c r="B214">
        <v>195</v>
      </c>
      <c r="C214">
        <f>(C$10-SUM(C$20:C213))/(ABS(C$11)+C$10-SUM(C212:C213))</f>
        <v>3.4537767529580633E-2</v>
      </c>
      <c r="D214">
        <f>(D$10-SUM(D$20:D213))/(ABS(D$11)+D$10-SUM(D212:D213))</f>
        <v>7.5414721326363718E-2</v>
      </c>
      <c r="E214">
        <f>(E$10-SUM(E$20:E213))/(ABS(E$11)+E$10-SUM(E212:E213))</f>
        <v>0.12257274802533027</v>
      </c>
      <c r="F214">
        <f>(F$10-SUM(F$20:F213))/(ABS(F$11)+F$10-SUM(F212:F213))</f>
        <v>0.17082752189537903</v>
      </c>
      <c r="H214">
        <f t="shared" si="33"/>
        <v>37.619331977813154</v>
      </c>
      <c r="I214">
        <f t="shared" si="34"/>
        <v>53.299657664217214</v>
      </c>
      <c r="J214">
        <f t="shared" si="35"/>
        <v>66.670035314500339</v>
      </c>
      <c r="K214">
        <f t="shared" si="36"/>
        <v>78.022297865406429</v>
      </c>
    </row>
    <row r="215" spans="2:11" s="14" customFormat="1">
      <c r="B215">
        <v>196</v>
      </c>
      <c r="C215">
        <f>(C$10-SUM(C$20:C214))/(ABS(C$11)+C$10-SUM(C213:C214))</f>
        <v>3.4043380892182236E-2</v>
      </c>
      <c r="D215">
        <f>(D$10-SUM(D$20:D214))/(ABS(D$11)+D$10-SUM(D213:D214))</f>
        <v>7.4573929895290506E-2</v>
      </c>
      <c r="E215">
        <f>(E$10-SUM(E$20:E214))/(ABS(E$11)+E$10-SUM(E213:E214))</f>
        <v>0.12145341498779719</v>
      </c>
      <c r="F215">
        <f>(F$10-SUM(F$20:F214))/(ABS(F$11)+F$10-SUM(F213:F214))</f>
        <v>0.16950646581362985</v>
      </c>
      <c r="G215"/>
      <c r="H215">
        <f t="shared" si="33"/>
        <v>37.653375358705333</v>
      </c>
      <c r="I215">
        <f t="shared" si="34"/>
        <v>53.374231594112501</v>
      </c>
      <c r="J215">
        <f t="shared" si="35"/>
        <v>66.791488729488137</v>
      </c>
      <c r="K215">
        <f t="shared" si="36"/>
        <v>78.191804331220055</v>
      </c>
    </row>
    <row r="216" spans="2:11">
      <c r="B216">
        <v>197</v>
      </c>
      <c r="C216">
        <f>(C$10-SUM(C$20:C215))/(ABS(C$11)+C$10-SUM(C214:C215))</f>
        <v>3.3556085087807531E-2</v>
      </c>
      <c r="D216">
        <f>(D$10-SUM(D$20:D215))/(ABS(D$11)+D$10-SUM(D214:D215))</f>
        <v>7.3742543895377988E-2</v>
      </c>
      <c r="E216">
        <f>(E$10-SUM(E$20:E215))/(ABS(E$11)+E$10-SUM(E214:E215))</f>
        <v>0.12034434945773041</v>
      </c>
      <c r="F216">
        <f>(F$10-SUM(F$20:F215))/(ABS(F$11)+F$10-SUM(F214:F215))</f>
        <v>0.16819567980926817</v>
      </c>
      <c r="H216">
        <f t="shared" si="33"/>
        <v>37.686931443793142</v>
      </c>
      <c r="I216">
        <f t="shared" si="34"/>
        <v>53.447974138007879</v>
      </c>
      <c r="J216">
        <f t="shared" si="35"/>
        <v>66.911833078945861</v>
      </c>
      <c r="K216">
        <f t="shared" si="36"/>
        <v>78.360000011029328</v>
      </c>
    </row>
    <row r="217" spans="2:11">
      <c r="B217">
        <v>198</v>
      </c>
      <c r="C217">
        <f>(C$10-SUM(C$20:C216))/(ABS(C$11)+C$10-SUM(C215:C216))</f>
        <v>3.3075778016251847E-2</v>
      </c>
      <c r="D217">
        <f>(D$10-SUM(D$20:D216))/(ABS(D$11)+D$10-SUM(D215:D216))</f>
        <v>7.2920457412252324E-2</v>
      </c>
      <c r="E217">
        <f>(E$10-SUM(E$20:E216))/(ABS(E$11)+E$10-SUM(E215:E216))</f>
        <v>0.11924545641669074</v>
      </c>
      <c r="F217">
        <f>(F$10-SUM(F$20:F216))/(ABS(F$11)+F$10-SUM(F215:F216))</f>
        <v>0.16689508320509958</v>
      </c>
      <c r="H217">
        <f t="shared" si="33"/>
        <v>37.720007221809396</v>
      </c>
      <c r="I217">
        <f t="shared" si="34"/>
        <v>53.520894595420131</v>
      </c>
      <c r="J217">
        <f t="shared" si="35"/>
        <v>67.031078535362553</v>
      </c>
      <c r="K217">
        <f t="shared" si="36"/>
        <v>78.526895094234433</v>
      </c>
    </row>
    <row r="218" spans="2:11">
      <c r="B218">
        <v>199</v>
      </c>
      <c r="C218">
        <f>(C$10-SUM(C$20:C217))/(ABS(C$11)+C$10-SUM(C216:C217))</f>
        <v>3.2602359058803987E-2</v>
      </c>
      <c r="D218">
        <f>(D$10-SUM(D$20:D217))/(ABS(D$11)+D$10-SUM(D216:D217))</f>
        <v>7.2107565739869608E-2</v>
      </c>
      <c r="E218">
        <f>(E$10-SUM(E$20:E217))/(ABS(E$11)+E$10-SUM(E216:E217))</f>
        <v>0.11815664174086285</v>
      </c>
      <c r="F218">
        <f>(F$10-SUM(F$20:F217))/(ABS(F$11)+F$10-SUM(F216:F217))</f>
        <v>0.16560459597067742</v>
      </c>
      <c r="H218">
        <f t="shared" si="33"/>
        <v>37.752609580868203</v>
      </c>
      <c r="I218">
        <f t="shared" si="34"/>
        <v>53.593002161160001</v>
      </c>
      <c r="J218">
        <f t="shared" si="35"/>
        <v>67.149235177103421</v>
      </c>
      <c r="K218">
        <f t="shared" si="36"/>
        <v>78.692499690205111</v>
      </c>
    </row>
    <row r="219" spans="2:11">
      <c r="B219">
        <v>200</v>
      </c>
      <c r="C219">
        <f>(C$10-SUM(C$20:C218))/(ABS(C$11)+C$10-SUM(C217:C218))</f>
        <v>3.2135729056425311E-2</v>
      </c>
      <c r="D219">
        <f>(D$10-SUM(D$20:D218))/(ABS(D$11)+D$10-SUM(D217:D218))</f>
        <v>7.1303765366382083E-2</v>
      </c>
      <c r="E219">
        <f>(E$10-SUM(E$20:E218))/(ABS(E$11)+E$10-SUM(E217:E218))</f>
        <v>0.11707781219235218</v>
      </c>
      <c r="F219">
        <f>(F$10-SUM(F$20:F218))/(ABS(F$11)+F$10-SUM(F217:F218))</f>
        <v>0.16432413871691617</v>
      </c>
      <c r="H219">
        <f t="shared" si="33"/>
        <v>37.784745309924631</v>
      </c>
      <c r="I219">
        <f t="shared" si="34"/>
        <v>53.664305926526382</v>
      </c>
      <c r="J219">
        <f t="shared" si="35"/>
        <v>67.26631298929577</v>
      </c>
      <c r="K219">
        <f t="shared" si="36"/>
        <v>78.856823828922032</v>
      </c>
    </row>
    <row r="220" spans="2:11">
      <c r="B220">
        <v>201</v>
      </c>
      <c r="C220">
        <f>(C$10-SUM(C$20:C219))/(ABS(C$11)+C$10-SUM(C218:C219))</f>
        <v>3.1675790288259571E-2</v>
      </c>
      <c r="D220">
        <f>(D$10-SUM(D$20:D219))/(ABS(D$11)+D$10-SUM(D218:D219))</f>
        <v>7.0508953960177298E-2</v>
      </c>
      <c r="E220">
        <f>(E$10-SUM(E$20:E219))/(ABS(E$11)+E$10-SUM(E218:E219))</f>
        <v>0.1160088754105713</v>
      </c>
      <c r="F220">
        <f>(F$10-SUM(F$20:F219))/(ABS(F$11)+F$10-SUM(F218:F219))</f>
        <v>0.16305363269075265</v>
      </c>
      <c r="H220">
        <f t="shared" si="33"/>
        <v>37.816421100212892</v>
      </c>
      <c r="I220">
        <f t="shared" si="34"/>
        <v>53.73481488048656</v>
      </c>
      <c r="J220">
        <f t="shared" si="35"/>
        <v>67.382321864706341</v>
      </c>
      <c r="K220">
        <f t="shared" si="36"/>
        <v>79.019877461612779</v>
      </c>
    </row>
    <row r="221" spans="2:11">
      <c r="B221">
        <v>202</v>
      </c>
      <c r="C221">
        <f>(C$10-SUM(C$20:C220))/(ABS(C$11)+C$10-SUM(C219:C220))</f>
        <v>3.1222446450468143E-2</v>
      </c>
      <c r="D221">
        <f>(D$10-SUM(D$20:D220))/(ABS(D$11)+D$10-SUM(D219:D220))</f>
        <v>6.9723030356088053E-2</v>
      </c>
      <c r="E221">
        <f>(E$10-SUM(E$20:E220))/(ABS(E$11)+E$10-SUM(E219:E220))</f>
        <v>0.11494973990371485</v>
      </c>
      <c r="F221">
        <f>(F$10-SUM(F$20:F220))/(ABS(F$11)+F$10-SUM(F219:F220))</f>
        <v>0.16179299976985567</v>
      </c>
      <c r="H221">
        <f t="shared" si="33"/>
        <v>37.847643546663363</v>
      </c>
      <c r="I221">
        <f t="shared" si="34"/>
        <v>53.804537910842647</v>
      </c>
      <c r="J221">
        <f t="shared" si="35"/>
        <v>67.497271604610063</v>
      </c>
      <c r="K221">
        <f t="shared" si="36"/>
        <v>79.181670461382637</v>
      </c>
    </row>
    <row r="222" spans="2:11">
      <c r="B222">
        <v>203</v>
      </c>
      <c r="C222">
        <f>(C$10-SUM(C$20:C221))/(ABS(C$11)+C$10-SUM(C220:C221))</f>
        <v>3.0775602635385348E-2</v>
      </c>
      <c r="D222">
        <f>(D$10-SUM(D$20:D221))/(ABS(D$11)+D$10-SUM(D220:D221))</f>
        <v>6.8945894541771163E-2</v>
      </c>
      <c r="E222">
        <f>(E$10-SUM(E$20:E221))/(ABS(E$11)+E$10-SUM(E220:E221))</f>
        <v>0.11390031504032283</v>
      </c>
      <c r="F222">
        <f>(F$10-SUM(F$20:F221))/(ABS(F$11)+F$10-SUM(F220:F221))</f>
        <v>0.16054216245738143</v>
      </c>
      <c r="H222">
        <f t="shared" si="33"/>
        <v>37.87841914929875</v>
      </c>
      <c r="I222">
        <f t="shared" si="34"/>
        <v>53.873483805384417</v>
      </c>
      <c r="J222">
        <f t="shared" si="35"/>
        <v>67.611171919650388</v>
      </c>
      <c r="K222">
        <f t="shared" si="36"/>
        <v>79.342212623840012</v>
      </c>
    </row>
    <row r="223" spans="2:11">
      <c r="B223">
        <v>204</v>
      </c>
      <c r="C223">
        <f>(C$10-SUM(C$20:C222))/(ABS(C$11)+C$10-SUM(C221:C222))</f>
        <v>3.0335165310988971E-2</v>
      </c>
      <c r="D223">
        <f>(D$10-SUM(D$20:D222))/(ABS(D$11)+D$10-SUM(D221:D222))</f>
        <v>6.8177447644252126E-2</v>
      </c>
      <c r="E223">
        <f>(E$10-SUM(E$20:E222))/(ABS(E$11)+E$10-SUM(E221:E222))</f>
        <v>0.11286051104093037</v>
      </c>
      <c r="F223">
        <f>(F$10-SUM(F$20:F222))/(ABS(F$11)+F$10-SUM(F221:F222))</f>
        <v>0.15930104387677674</v>
      </c>
      <c r="H223">
        <f t="shared" si="33"/>
        <v>37.908754314609737</v>
      </c>
      <c r="I223">
        <f t="shared" si="34"/>
        <v>53.94166125302867</v>
      </c>
      <c r="J223">
        <f t="shared" si="35"/>
        <v>67.724032430691324</v>
      </c>
      <c r="K223">
        <f t="shared" si="36"/>
        <v>79.501513667716793</v>
      </c>
    </row>
    <row r="224" spans="2:11">
      <c r="B224">
        <v>205</v>
      </c>
      <c r="C224">
        <f>(C$10-SUM(C$20:C223))/(ABS(C$11)+C$10-SUM(C222:C223))</f>
        <v>2.9901042300680775E-2</v>
      </c>
      <c r="D224">
        <f>(D$10-SUM(D$20:D223))/(ABS(D$11)+D$10-SUM(D222:D223))</f>
        <v>6.7417591916634143E-2</v>
      </c>
      <c r="E224">
        <f>(E$10-SUM(E$20:E223))/(ABS(E$11)+E$10-SUM(E222:E223))</f>
        <v>0.11183023896980301</v>
      </c>
      <c r="F224">
        <f>(F$10-SUM(F$20:F223))/(ABS(F$11)+F$10-SUM(F222:F223))</f>
        <v>0.15806956776662723</v>
      </c>
      <c r="H224">
        <f t="shared" si="33"/>
        <v>37.938655356910417</v>
      </c>
      <c r="I224">
        <f t="shared" si="34"/>
        <v>54.009078844945307</v>
      </c>
      <c r="J224">
        <f t="shared" si="35"/>
        <v>67.835862669661125</v>
      </c>
      <c r="K224">
        <f t="shared" si="36"/>
        <v>79.659583235483424</v>
      </c>
    </row>
    <row r="225" spans="2:11">
      <c r="B225">
        <v>206</v>
      </c>
      <c r="C225">
        <f>(C$10-SUM(C$20:C224))/(ABS(C$11)+C$10-SUM(C223:C224))</f>
        <v>2.9473142763372089E-2</v>
      </c>
      <c r="D225">
        <f>(D$10-SUM(D$20:D224))/(ABS(D$11)+D$10-SUM(D223:D224))</f>
        <v>6.6666230724969106E-2</v>
      </c>
      <c r="E225">
        <f>(E$10-SUM(E$20:E224))/(ABS(E$11)+E$10-SUM(E223:E224))</f>
        <v>0.11080941072675743</v>
      </c>
      <c r="F225">
        <f>(F$10-SUM(F$20:F224))/(ABS(F$11)+F$10-SUM(F223:F224))</f>
        <v>0.15684765847555229</v>
      </c>
      <c r="H225">
        <f t="shared" si="33"/>
        <v>37.968128499673789</v>
      </c>
      <c r="I225">
        <f t="shared" si="34"/>
        <v>54.075745075670277</v>
      </c>
      <c r="J225">
        <f t="shared" si="35"/>
        <v>67.946672080387884</v>
      </c>
      <c r="K225">
        <f t="shared" si="36"/>
        <v>79.81643089395898</v>
      </c>
    </row>
    <row r="226" spans="2:11">
      <c r="B226">
        <v>207</v>
      </c>
      <c r="C226">
        <f>(C$10-SUM(C$20:C225))/(ABS(C$11)+C$10-SUM(C224:C225))</f>
        <v>2.9051377173869977E-2</v>
      </c>
      <c r="D226">
        <f>(D$10-SUM(D$20:D225))/(ABS(D$11)+D$10-SUM(D224:D225))</f>
        <v>6.5923268535288487E-2</v>
      </c>
      <c r="E226">
        <f>(E$10-SUM(E$20:E225))/(ABS(E$11)+E$10-SUM(E224:E225))</f>
        <v>0.10979793903906525</v>
      </c>
      <c r="F226">
        <f>(F$10-SUM(F$20:F225))/(ABS(F$11)+F$10-SUM(F224:F225))</f>
        <v>0.15563524095714446</v>
      </c>
      <c r="H226">
        <f t="shared" si="33"/>
        <v>37.99717987684766</v>
      </c>
      <c r="I226">
        <f t="shared" si="34"/>
        <v>54.141668344205563</v>
      </c>
      <c r="J226">
        <f t="shared" si="35"/>
        <v>68.056470019426953</v>
      </c>
      <c r="K226">
        <f t="shared" si="36"/>
        <v>79.972066134916119</v>
      </c>
    </row>
    <row r="227" spans="2:11">
      <c r="B227">
        <v>208</v>
      </c>
      <c r="C227">
        <f>(C$10-SUM(C$20:C226))/(ABS(C$11)+C$10-SUM(C225:C226))</f>
        <v>2.8635657303558826E-2</v>
      </c>
      <c r="D227">
        <f>(D$10-SUM(D$20:D226))/(ABS(D$11)+D$10-SUM(D225:D226))</f>
        <v>6.5188610900791616E-2</v>
      </c>
      <c r="E227">
        <f>(E$10-SUM(E$20:E226))/(ABS(E$11)+E$10-SUM(E225:E226))</f>
        <v>0.10879573745344062</v>
      </c>
      <c r="F227">
        <f>(F$10-SUM(F$20:F226))/(ABS(F$11)+F$10-SUM(F225:F226))</f>
        <v>0.15443224076495385</v>
      </c>
      <c r="H227">
        <f t="shared" si="33"/>
        <v>38.025815534151221</v>
      </c>
      <c r="I227">
        <f t="shared" si="34"/>
        <v>54.206856955106353</v>
      </c>
      <c r="J227">
        <f t="shared" si="35"/>
        <v>68.165265756880387</v>
      </c>
      <c r="K227">
        <f t="shared" si="36"/>
        <v>80.126498375681066</v>
      </c>
    </row>
    <row r="228" spans="2:11">
      <c r="B228">
        <v>209</v>
      </c>
      <c r="C228">
        <f>(C$10-SUM(C$20:C227))/(ABS(C$11)+C$10-SUM(C226:C227))</f>
        <v>2.8225896201372915E-2</v>
      </c>
      <c r="D228">
        <f>(D$10-SUM(D$20:D227))/(ABS(D$11)+D$10-SUM(D226:D227))</f>
        <v>6.4462164449189965E-2</v>
      </c>
      <c r="E228">
        <f>(E$10-SUM(E$20:E227))/(ABS(E$11)+E$10-SUM(E226:E227))</f>
        <v>0.10780272032810934</v>
      </c>
      <c r="F228">
        <f>(F$10-SUM(F$20:F227))/(ABS(F$11)+F$10-SUM(F226:F227))</f>
        <v>0.15323858404751697</v>
      </c>
      <c r="H228">
        <f t="shared" si="33"/>
        <v>38.054041430352591</v>
      </c>
      <c r="I228">
        <f t="shared" si="34"/>
        <v>54.271319119555542</v>
      </c>
      <c r="J228">
        <f t="shared" si="35"/>
        <v>68.273068477208497</v>
      </c>
      <c r="K228">
        <f t="shared" si="36"/>
        <v>80.279736959728581</v>
      </c>
    </row>
    <row r="229" spans="2:11">
      <c r="B229">
        <v>210</v>
      </c>
      <c r="C229">
        <f>(C$10-SUM(C$20:C228))/(ABS(C$11)+C$10-SUM(C227:C228))</f>
        <v>2.7822008175055285E-2</v>
      </c>
      <c r="D229">
        <f>(D$10-SUM(D$20:D228))/(ABS(D$11)+D$10-SUM(D227:D228))</f>
        <v>6.3743836870205142E-2</v>
      </c>
      <c r="E229">
        <f>(E$10-SUM(E$20:E228))/(ABS(E$11)+E$10-SUM(E227:E228))</f>
        <v>0.10681880282495873</v>
      </c>
      <c r="F229">
        <f>(F$10-SUM(F$20:F228))/(ABS(F$11)+F$10-SUM(F227:F228))</f>
        <v>0.15205419754342928</v>
      </c>
      <c r="H229">
        <f t="shared" si="33"/>
        <v>38.081863438527648</v>
      </c>
      <c r="I229">
        <f t="shared" si="34"/>
        <v>54.335062956425745</v>
      </c>
      <c r="J229">
        <f t="shared" si="35"/>
        <v>68.379887280033458</v>
      </c>
      <c r="K229">
        <f t="shared" si="36"/>
        <v>80.431791157272016</v>
      </c>
    </row>
    <row r="230" spans="2:11">
      <c r="B230">
        <v>211</v>
      </c>
      <c r="C230">
        <f>(C$10-SUM(C$20:C229))/(ABS(C$11)+C$10-SUM(C228:C229))</f>
        <v>2.742390877269817E-2</v>
      </c>
      <c r="D230">
        <f>(D$10-SUM(D$20:D229))/(ABS(D$11)+D$10-SUM(D228:D229))</f>
        <v>6.3033536903218182E-2</v>
      </c>
      <c r="E230">
        <f>(E$10-SUM(E$20:E229))/(ABS(E$11)+E$10-SUM(E228:E229))</f>
        <v>0.10584390090176857</v>
      </c>
      <c r="F230">
        <f>(F$10-SUM(F$20:F229))/(ABS(F$11)+F$10-SUM(F228:F229))</f>
        <v>0.15087900857646133</v>
      </c>
      <c r="H230">
        <f t="shared" si="33"/>
        <v>38.109287347300345</v>
      </c>
      <c r="I230">
        <f t="shared" si="34"/>
        <v>54.398096493328964</v>
      </c>
      <c r="J230">
        <f t="shared" si="35"/>
        <v>68.485731180935232</v>
      </c>
      <c r="K230">
        <f t="shared" si="36"/>
        <v>80.582670165848484</v>
      </c>
    </row>
    <row r="231" spans="2:11">
      <c r="B231">
        <v>212</v>
      </c>
      <c r="C231">
        <f>(C$10-SUM(C$20:C230))/(ABS(C$11)+C$10-SUM(C229:C230))</f>
        <v>2.703151476456157E-2</v>
      </c>
      <c r="D231">
        <f>(D$10-SUM(D$20:D230))/(ABS(D$11)+D$10-SUM(D229:D230))</f>
        <v>6.2331174325068683E-2</v>
      </c>
      <c r="E231">
        <f>(E$10-SUM(E$20:E230))/(ABS(E$11)+E$10-SUM(E229:E230))</f>
        <v>0.10487793130452047</v>
      </c>
      <c r="F231">
        <f>(F$10-SUM(F$20:F230))/(ABS(F$11)+F$10-SUM(F229:F230))</f>
        <v>0.1497129450507183</v>
      </c>
      <c r="H231">
        <f t="shared" si="33"/>
        <v>38.136318862064904</v>
      </c>
      <c r="I231">
        <f t="shared" si="34"/>
        <v>54.460427667654031</v>
      </c>
      <c r="J231">
        <f t="shared" si="35"/>
        <v>68.590609112239747</v>
      </c>
      <c r="K231">
        <f t="shared" si="36"/>
        <v>80.732383110899207</v>
      </c>
    </row>
    <row r="232" spans="2:11">
      <c r="B232">
        <v>213</v>
      </c>
      <c r="C232">
        <f>(C$10-SUM(C$20:C231))/(ABS(C$11)+C$10-SUM(C230:C231))</f>
        <v>2.6644744125163912E-2</v>
      </c>
      <c r="D232">
        <f>(D$10-SUM(D$20:D231))/(ABS(D$11)+D$10-SUM(D230:D231))</f>
        <v>6.1636659938001923E-2</v>
      </c>
      <c r="E232">
        <f>(E$10-SUM(E$20:E231))/(ABS(E$11)+E$10-SUM(E230:E231))</f>
        <v>0.10392081155978633</v>
      </c>
      <c r="F232">
        <f>(F$10-SUM(F$20:F231))/(ABS(F$11)+F$10-SUM(F230:F231))</f>
        <v>0.14855593544584134</v>
      </c>
      <c r="H232">
        <f t="shared" si="33"/>
        <v>38.162963606190068</v>
      </c>
      <c r="I232">
        <f t="shared" si="34"/>
        <v>54.522064327592034</v>
      </c>
      <c r="J232">
        <f t="shared" si="35"/>
        <v>68.694529923799536</v>
      </c>
      <c r="K232">
        <f t="shared" si="36"/>
        <v>80.880939046345048</v>
      </c>
    </row>
    <row r="233" spans="2:11">
      <c r="B233">
        <v>214</v>
      </c>
      <c r="C233">
        <f>(C$10-SUM(C$20:C232))/(ABS(C$11)+C$10-SUM(C231:C232))</f>
        <v>2.6263516015642023E-2</v>
      </c>
      <c r="D233">
        <f>(D$10-SUM(D$20:D232))/(ABS(D$11)+D$10-SUM(D231:D232))</f>
        <v>6.0949905557761114E-2</v>
      </c>
      <c r="E233">
        <f>(E$10-SUM(E$20:E232))/(ABS(E$11)+E$10-SUM(E231:E232))</f>
        <v>0.10297245996719326</v>
      </c>
      <c r="F233">
        <f>(F$10-SUM(F$20:F232))/(ABS(F$11)+F$10-SUM(F231:F232))</f>
        <v>0.14740790881225169</v>
      </c>
      <c r="H233">
        <f t="shared" si="33"/>
        <v>38.189227122205708</v>
      </c>
      <c r="I233">
        <f t="shared" si="34"/>
        <v>54.583014233149797</v>
      </c>
      <c r="J233">
        <f t="shared" si="35"/>
        <v>68.797502383766727</v>
      </c>
      <c r="K233">
        <f t="shared" si="36"/>
        <v>81.028346955157303</v>
      </c>
    </row>
    <row r="234" spans="2:11">
      <c r="B234">
        <v>215</v>
      </c>
      <c r="C234">
        <f>(C$10-SUM(C$20:C233))/(ABS(C$11)+C$10-SUM(C232:C233))</f>
        <v>2.5887750766375717E-2</v>
      </c>
      <c r="D234">
        <f>(D$10-SUM(D$20:D233))/(ABS(D$11)+D$10-SUM(D232:D233))</f>
        <v>6.0270824001824298E-2</v>
      </c>
      <c r="E234">
        <f>(E$10-SUM(E$20:E233))/(ABS(E$11)+E$10-SUM(E232:E233))</f>
        <v>0.10203279559196672</v>
      </c>
      <c r="F234">
        <f>(F$10-SUM(F$20:F233))/(ABS(F$11)+F$10-SUM(F232:F233))</f>
        <v>0.1462687947664367</v>
      </c>
      <c r="H234">
        <f t="shared" si="33"/>
        <v>38.21511487297208</v>
      </c>
      <c r="I234">
        <f t="shared" si="34"/>
        <v>54.643285057151623</v>
      </c>
      <c r="J234">
        <f t="shared" si="35"/>
        <v>68.899535179358693</v>
      </c>
      <c r="K234">
        <f t="shared" si="36"/>
        <v>81.174615749923746</v>
      </c>
    </row>
    <row r="235" spans="2:11">
      <c r="B235">
        <v>216</v>
      </c>
      <c r="C235">
        <f>(C$10-SUM(C$20:C234))/(ABS(C$11)+C$10-SUM(C233:C234))</f>
        <v>2.5517369859872248E-2</v>
      </c>
      <c r="D235">
        <f>(D$10-SUM(D$20:D234))/(ABS(D$11)+D$10-SUM(D233:D234))</f>
        <v>5.9599329077782752E-2</v>
      </c>
      <c r="E235">
        <f>(E$10-SUM(E$20:E234))/(ABS(E$11)+E$10-SUM(E233:E234))</f>
        <v>0.10110173825754791</v>
      </c>
      <c r="F235">
        <f>(F$10-SUM(F$20:F234))/(ABS(F$11)+F$10-SUM(F233:F234))</f>
        <v>0.14513852348627679</v>
      </c>
      <c r="H235">
        <f t="shared" si="33"/>
        <v>38.24063224283195</v>
      </c>
      <c r="I235">
        <f t="shared" si="34"/>
        <v>54.702884386229407</v>
      </c>
      <c r="J235">
        <f t="shared" si="35"/>
        <v>69.000636917616248</v>
      </c>
      <c r="K235">
        <f t="shared" si="36"/>
        <v>81.319754273410027</v>
      </c>
    </row>
    <row r="236" spans="2:11">
      <c r="B236">
        <v>217</v>
      </c>
      <c r="C236">
        <f>(C$10-SUM(C$20:C235))/(ABS(C$11)+C$10-SUM(C234:C235))</f>
        <v>2.5152295913907594E-2</v>
      </c>
      <c r="D236">
        <f>(D$10-SUM(D$20:D235))/(ABS(D$11)+D$10-SUM(D234:D235))</f>
        <v>5.8935335571859884E-2</v>
      </c>
      <c r="E236">
        <f>(E$10-SUM(E$20:E235))/(ABS(E$11)+E$10-SUM(E234:E235))</f>
        <v>0.10017920853828718</v>
      </c>
      <c r="F236">
        <f>(F$10-SUM(F$20:F235))/(ABS(F$11)+F$10-SUM(F234:F235))</f>
        <v>0.14401702570641392</v>
      </c>
      <c r="H236">
        <f t="shared" si="33"/>
        <v>38.265784538745855</v>
      </c>
      <c r="I236">
        <f t="shared" si="34"/>
        <v>54.761819721801267</v>
      </c>
      <c r="J236">
        <f t="shared" si="35"/>
        <v>69.100816126154541</v>
      </c>
      <c r="K236">
        <f t="shared" si="36"/>
        <v>81.463771299116445</v>
      </c>
    </row>
    <row r="237" spans="2:11">
      <c r="B237">
        <v>218</v>
      </c>
      <c r="C237">
        <f>(C$10-SUM(C$20:C236))/(ABS(C$11)+C$10-SUM(C235:C236))</f>
        <v>2.4792452664919837E-2</v>
      </c>
      <c r="D237">
        <f>(D$10-SUM(D$20:D236))/(ABS(D$11)+D$10-SUM(D235:D236))</f>
        <v>5.8278759237568395E-2</v>
      </c>
      <c r="E237">
        <f>(E$10-SUM(E$20:E236))/(ABS(E$11)+E$10-SUM(E235:E236))</f>
        <v>9.9265127752211219E-2</v>
      </c>
      <c r="F237">
        <f>(F$10-SUM(F$20:F236))/(ABS(F$11)+F$10-SUM(F235:F236))</f>
        <v>0.14290423271366026</v>
      </c>
      <c r="H237">
        <f t="shared" si="33"/>
        <v>38.290576991410774</v>
      </c>
      <c r="I237">
        <f t="shared" si="34"/>
        <v>54.820098481038833</v>
      </c>
      <c r="J237">
        <f t="shared" si="35"/>
        <v>69.200081253906745</v>
      </c>
      <c r="K237">
        <f t="shared" si="36"/>
        <v>81.606675531830106</v>
      </c>
    </row>
    <row r="238" spans="2:11">
      <c r="B238">
        <v>219</v>
      </c>
      <c r="C238">
        <f>(C$10-SUM(C$20:C237))/(ABS(C$11)+C$10-SUM(C236:C237))</f>
        <v>2.4437764951650929E-2</v>
      </c>
      <c r="D238">
        <f>(D$10-SUM(D$20:D237))/(ABS(D$11)+D$10-SUM(D236:D237))</f>
        <v>5.7629516784504078E-2</v>
      </c>
      <c r="E238">
        <f>(E$10-SUM(E$20:E237))/(ABS(E$11)+E$10-SUM(E236:E237))</f>
        <v>9.8359417953863479E-2</v>
      </c>
      <c r="F238">
        <f>(F$10-SUM(F$20:F237))/(ABS(F$11)+F$10-SUM(F236:F237))</f>
        <v>0.14180007634244718</v>
      </c>
      <c r="H238">
        <f t="shared" si="33"/>
        <v>38.315014756362423</v>
      </c>
      <c r="I238">
        <f t="shared" si="34"/>
        <v>54.877727997823335</v>
      </c>
      <c r="J238">
        <f t="shared" si="35"/>
        <v>69.298440671860604</v>
      </c>
      <c r="K238">
        <f t="shared" si="36"/>
        <v>81.748475608172555</v>
      </c>
    </row>
    <row r="239" spans="2:11">
      <c r="B239">
        <v>220</v>
      </c>
      <c r="C239">
        <f>(C$10-SUM(C$20:C238))/(ABS(C$11)+C$10-SUM(C237:C238))</f>
        <v>2.4088158699033038E-2</v>
      </c>
      <c r="D239">
        <f>(D$10-SUM(D$20:D238))/(ABS(D$11)+D$10-SUM(D237:D238))</f>
        <v>5.6987525867274486E-2</v>
      </c>
      <c r="E239">
        <f>(E$10-SUM(E$20:E238))/(ABS(E$11)+E$10-SUM(E237:E238))</f>
        <v>9.7462001927216976E-2</v>
      </c>
      <c r="F239">
        <f>(F$10-SUM(F$20:F238))/(ABS(F$11)+F$10-SUM(F237:F238))</f>
        <v>0.1407044889703141</v>
      </c>
      <c r="H239">
        <f t="shared" si="33"/>
        <v>38.339102915061453</v>
      </c>
      <c r="I239">
        <f t="shared" si="34"/>
        <v>54.934715523690606</v>
      </c>
      <c r="J239">
        <f t="shared" si="35"/>
        <v>69.395902673787816</v>
      </c>
      <c r="K239">
        <f t="shared" si="36"/>
        <v>81.889180097142869</v>
      </c>
    </row>
    <row r="240" spans="2:11">
      <c r="B240">
        <v>221</v>
      </c>
      <c r="C240">
        <f>(C$10-SUM(C$20:C239))/(ABS(C$11)+C$10-SUM(C238:C239))</f>
        <v>2.3743560902315549E-2</v>
      </c>
      <c r="D240">
        <f>(D$10-SUM(D$20:D239))/(ABS(D$11)+D$10-SUM(D238:D239))</f>
        <v>5.6352705074560749E-2</v>
      </c>
      <c r="E240">
        <f>(E$10-SUM(E$20:E239))/(ABS(E$11)+E$10-SUM(E238:E239))</f>
        <v>9.6572803178659322E-2</v>
      </c>
      <c r="F240">
        <f>(F$10-SUM(F$20:F239))/(ABS(F$11)+F$10-SUM(F238:F239))</f>
        <v>0.13961740351343685</v>
      </c>
      <c r="H240">
        <f t="shared" si="33"/>
        <v>38.362846475963771</v>
      </c>
      <c r="I240">
        <f t="shared" si="34"/>
        <v>54.991068228765165</v>
      </c>
      <c r="J240">
        <f t="shared" si="35"/>
        <v>69.492475476966476</v>
      </c>
      <c r="K240">
        <f t="shared" si="36"/>
        <v>82.02879750065631</v>
      </c>
    </row>
    <row r="241" spans="2:11">
      <c r="B241">
        <v>222</v>
      </c>
      <c r="C241">
        <f>(C$10-SUM(C$20:C240))/(ABS(C$11)+C$10-SUM(C239:C240))</f>
        <v>2.3403899611428872E-2</v>
      </c>
      <c r="D241">
        <f>(D$10-SUM(D$20:D240))/(ABS(D$11)+D$10-SUM(D239:D240))</f>
        <v>5.5724973918310702E-2</v>
      </c>
      <c r="E241">
        <f>(E$10-SUM(E$20:E240))/(ABS(E$11)+E$10-SUM(E239:E240))</f>
        <v>9.56917459300482E-2</v>
      </c>
      <c r="F241">
        <f>(F$10-SUM(F$20:F240))/(ABS(F$11)+F$10-SUM(F239:F240))</f>
        <v>0.13853875342219493</v>
      </c>
      <c r="H241">
        <f t="shared" si="33"/>
        <v>38.386250375575202</v>
      </c>
      <c r="I241">
        <f t="shared" si="34"/>
        <v>55.046793202683475</v>
      </c>
      <c r="J241">
        <f t="shared" si="35"/>
        <v>69.58816722289653</v>
      </c>
      <c r="K241">
        <f t="shared" si="36"/>
        <v>82.167336254078506</v>
      </c>
    </row>
    <row r="242" spans="2:11">
      <c r="B242">
        <v>223</v>
      </c>
      <c r="C242">
        <f>(C$10-SUM(C$20:C241))/(ABS(C$11)+C$10-SUM(C240:C241))</f>
        <v>2.3069103915582083E-2</v>
      </c>
      <c r="D242">
        <f>(D$10-SUM(D$20:D241))/(ABS(D$11)+D$10-SUM(D240:D241))</f>
        <v>5.5104252823061896E-2</v>
      </c>
      <c r="E242">
        <f>(E$10-SUM(E$20:E241))/(ABS(E$11)+E$10-SUM(E240:E241))</f>
        <v>9.4818755111837238E-2</v>
      </c>
      <c r="F242">
        <f>(F$10-SUM(F$20:F241))/(ABS(F$11)+F$10-SUM(F240:F241))</f>
        <v>0.13746847267677753</v>
      </c>
      <c r="H242">
        <f t="shared" si="33"/>
        <v>38.409319479490783</v>
      </c>
      <c r="I242">
        <f t="shared" si="34"/>
        <v>55.101897455506538</v>
      </c>
      <c r="J242">
        <f t="shared" si="35"/>
        <v>69.682985978008361</v>
      </c>
      <c r="K242">
        <f t="shared" si="36"/>
        <v>82.304804726755279</v>
      </c>
    </row>
    <row r="243" spans="2:11">
      <c r="B243">
        <v>224</v>
      </c>
      <c r="C243">
        <f>(C$10-SUM(C$20:C242))/(ABS(C$11)+C$10-SUM(C241:C242))</f>
        <v>2.2739103928089546E-2</v>
      </c>
      <c r="D243">
        <f>(D$10-SUM(D$20:D242))/(ABS(D$11)+D$10-SUM(D241:D242))</f>
        <v>5.4490463115392442E-2</v>
      </c>
      <c r="E243">
        <f>(E$10-SUM(E$20:E242))/(ABS(E$11)+E$10-SUM(E241:E242))</f>
        <v>9.3953756356271262E-2</v>
      </c>
      <c r="F243">
        <f>(F$10-SUM(F$20:F242))/(ABS(F$11)+F$10-SUM(F241:F242))</f>
        <v>0.13640649578282787</v>
      </c>
      <c r="H243">
        <f t="shared" si="33"/>
        <v>38.432058583418872</v>
      </c>
      <c r="I243">
        <f t="shared" si="34"/>
        <v>55.156387918621931</v>
      </c>
      <c r="J243">
        <f t="shared" si="35"/>
        <v>69.776939734364632</v>
      </c>
      <c r="K243">
        <f t="shared" si="36"/>
        <v>82.441211222538101</v>
      </c>
    </row>
    <row r="244" spans="2:11">
      <c r="B244">
        <v>225</v>
      </c>
      <c r="C244">
        <f>(C$10-SUM(C$20:C243))/(ABS(C$11)+C$10-SUM(C242:C243))</f>
        <v>2.2413830771423979E-2</v>
      </c>
      <c r="D244">
        <f>(D$10-SUM(D$20:D243))/(ABS(D$11)+D$10-SUM(D242:D243))</f>
        <v>5.3883527013498619E-2</v>
      </c>
      <c r="E244">
        <f>(E$10-SUM(E$20:E243))/(ABS(E$11)+E$10-SUM(E242:E243))</f>
        <v>9.3096675990649594E-2</v>
      </c>
      <c r="F244">
        <f>(F$10-SUM(F$20:F243))/(ABS(F$11)+F$10-SUM(F242:F243))</f>
        <v>0.13535275776712533</v>
      </c>
      <c r="H244">
        <f t="shared" si="33"/>
        <v>38.454472414190299</v>
      </c>
      <c r="I244">
        <f t="shared" si="34"/>
        <v>55.210271445635428</v>
      </c>
      <c r="J244">
        <f t="shared" si="35"/>
        <v>69.870036410355283</v>
      </c>
      <c r="K244">
        <f t="shared" si="36"/>
        <v>82.576563980305224</v>
      </c>
    </row>
    <row r="245" spans="2:11">
      <c r="B245">
        <v>226</v>
      </c>
      <c r="C245">
        <f>(C$10-SUM(C$20:C244))/(ABS(C$11)+C$10-SUM(C243:C244))</f>
        <v>2.2093216562492135E-2</v>
      </c>
      <c r="D245">
        <f>(D$10-SUM(D$20:D244))/(ABS(D$11)+D$10-SUM(D243:D244))</f>
        <v>5.3283367616896893E-2</v>
      </c>
      <c r="E245">
        <f>(E$10-SUM(E$20:E244))/(ABS(E$11)+E$10-SUM(E243:E244))</f>
        <v>9.224744103065817E-2</v>
      </c>
      <c r="F245">
        <f>(F$10-SUM(F$20:F244))/(ABS(F$11)+F$10-SUM(F243:F244))</f>
        <v>0.13430719417330542</v>
      </c>
      <c r="H245">
        <f t="shared" si="33"/>
        <v>38.476565630752788</v>
      </c>
      <c r="I245">
        <f t="shared" si="34"/>
        <v>55.263554813252327</v>
      </c>
      <c r="J245">
        <f t="shared" si="35"/>
        <v>69.962283851385948</v>
      </c>
      <c r="K245">
        <f t="shared" si="36"/>
        <v>82.710871174478527</v>
      </c>
    </row>
    <row r="246" spans="2:11">
      <c r="B246">
        <v>227</v>
      </c>
      <c r="C246">
        <f>(C$10-SUM(C$20:C245))/(ABS(C$11)+C$10-SUM(C244:C245))</f>
        <v>2.1777194398129855E-2</v>
      </c>
      <c r="D246">
        <f>(D$10-SUM(D$20:D245))/(ABS(D$11)+D$10-SUM(D244:D245))</f>
        <v>5.268990889624936E-2</v>
      </c>
      <c r="E246">
        <f>(E$10-SUM(E$20:E245))/(ABS(E$11)+E$10-SUM(E244:E245))</f>
        <v>9.1405979173768012E-2</v>
      </c>
      <c r="F246">
        <f>(F$10-SUM(F$20:F245))/(ABS(F$11)+F$10-SUM(F244:F245))</f>
        <v>0.1332697410576168</v>
      </c>
      <c r="H246">
        <f t="shared" si="33"/>
        <v>38.498342825150921</v>
      </c>
      <c r="I246">
        <f t="shared" si="34"/>
        <v>55.316244722148575</v>
      </c>
      <c r="J246">
        <f t="shared" si="35"/>
        <v>70.053689830559719</v>
      </c>
      <c r="K246">
        <f t="shared" si="36"/>
        <v>82.844140915536144</v>
      </c>
    </row>
    <row r="247" spans="2:11">
      <c r="B247">
        <v>228</v>
      </c>
      <c r="C247">
        <f>(C$10-SUM(C$20:C246))/(ABS(C$11)+C$10-SUM(C245:C246))</f>
        <v>2.1465698340812103E-2</v>
      </c>
      <c r="D247">
        <f>(D$10-SUM(D$20:D246))/(ABS(D$11)+D$10-SUM(D245:D246))</f>
        <v>5.2103075683311087E-2</v>
      </c>
      <c r="E247">
        <f>(E$10-SUM(E$20:E246))/(ABS(E$11)+E$10-SUM(E245:E246))</f>
        <v>9.0572218792700582E-2</v>
      </c>
      <c r="F247">
        <f>(F$10-SUM(F$20:F246))/(ABS(F$11)+F$10-SUM(F245:F246))</f>
        <v>0.13224033498471521</v>
      </c>
      <c r="H247">
        <f t="shared" si="33"/>
        <v>38.519808523491733</v>
      </c>
      <c r="I247">
        <f t="shared" si="34"/>
        <v>55.368347797831888</v>
      </c>
      <c r="J247">
        <f t="shared" si="35"/>
        <v>70.14426204935242</v>
      </c>
      <c r="K247">
        <f t="shared" si="36"/>
        <v>82.976381250520859</v>
      </c>
    </row>
    <row r="248" spans="2:11">
      <c r="B248">
        <v>229</v>
      </c>
      <c r="C248">
        <f>(C$10-SUM(C$20:C247))/(ABS(C$11)+C$10-SUM(C246:C247))</f>
        <v>2.1158663404576724E-2</v>
      </c>
      <c r="D248">
        <f>(D$10-SUM(D$20:D247))/(ABS(D$11)+D$10-SUM(D246:D247))</f>
        <v>5.1522793660996949E-2</v>
      </c>
      <c r="E248">
        <f>(E$10-SUM(E$20:E247))/(ABS(E$11)+E$10-SUM(E246:E247))</f>
        <v>8.9746088928958273E-2</v>
      </c>
      <c r="F248">
        <f>(F$10-SUM(F$20:F247))/(ABS(F$11)+F$10-SUM(F246:F247))</f>
        <v>0.13121891302349384</v>
      </c>
      <c r="H248">
        <f t="shared" si="33"/>
        <v>38.54096718689631</v>
      </c>
      <c r="I248">
        <f t="shared" si="34"/>
        <v>55.419870591492888</v>
      </c>
      <c r="J248">
        <f t="shared" si="35"/>
        <v>70.234008138281382</v>
      </c>
      <c r="K248">
        <f t="shared" si="36"/>
        <v>83.107600163544348</v>
      </c>
    </row>
    <row r="249" spans="2:11">
      <c r="B249">
        <v>230</v>
      </c>
      <c r="C249">
        <f>(C$10-SUM(C$20:C248))/(ABS(C$11)+C$10-SUM(C247:C248))</f>
        <v>2.0856025541156099E-2</v>
      </c>
      <c r="D249">
        <f>(D$10-SUM(D$20:D248))/(ABS(D$11)+D$10-SUM(D247:D248))</f>
        <v>5.0948989353567661E-2</v>
      </c>
      <c r="E249">
        <f>(E$10-SUM(E$20:E248))/(ABS(E$11)+E$10-SUM(E247:E248))</f>
        <v>8.8927519286420273E-2</v>
      </c>
      <c r="F249">
        <f>(F$10-SUM(F$20:F248))/(ABS(F$11)+F$10-SUM(F247:F248))</f>
        <v>0.13020541274295008</v>
      </c>
      <c r="H249">
        <f t="shared" si="33"/>
        <v>38.561823212437467</v>
      </c>
      <c r="I249">
        <f t="shared" si="34"/>
        <v>55.470819580846452</v>
      </c>
      <c r="J249">
        <f t="shared" si="35"/>
        <v>70.322935657567797</v>
      </c>
      <c r="K249">
        <f t="shared" si="36"/>
        <v>83.2378055762873</v>
      </c>
    </row>
    <row r="250" spans="2:11">
      <c r="B250">
        <v>231</v>
      </c>
      <c r="C250">
        <f>(C$10-SUM(C$20:C249))/(ABS(C$11)+C$10-SUM(C248:C249))</f>
        <v>2.055772162631565E-2</v>
      </c>
      <c r="D250">
        <f>(D$10-SUM(D$20:D249))/(ABS(D$11)+D$10-SUM(D248:D249))</f>
        <v>5.0381590116932655E-2</v>
      </c>
      <c r="E250">
        <f>(E$10-SUM(E$20:E249))/(ABS(E$11)+E$10-SUM(E248:E249))</f>
        <v>8.8116440225002715E-2</v>
      </c>
      <c r="F250">
        <f>(F$10-SUM(F$20:F249))/(ABS(F$11)+F$10-SUM(F248:F249))</f>
        <v>0.12919977220808754</v>
      </c>
      <c r="H250">
        <f t="shared" si="33"/>
        <v>38.582380934063785</v>
      </c>
      <c r="I250">
        <f t="shared" si="34"/>
        <v>55.521201170963387</v>
      </c>
      <c r="J250">
        <f t="shared" si="35"/>
        <v>70.411052097792805</v>
      </c>
      <c r="K250">
        <f t="shared" si="36"/>
        <v>83.367005348495383</v>
      </c>
    </row>
    <row r="251" spans="2:11">
      <c r="B251">
        <v>232</v>
      </c>
      <c r="C251">
        <f>(C$10-SUM(C$20:C250))/(ABS(C$11)+C$10-SUM(C249:C250))</f>
        <v>2.0263689446394686E-2</v>
      </c>
      <c r="D251">
        <f>(D$10-SUM(D$20:D250))/(ABS(D$11)+D$10-SUM(D249:D250))</f>
        <v>4.9820524129068171E-2</v>
      </c>
      <c r="E251">
        <f>(E$10-SUM(E$20:E250))/(ABS(E$11)+E$10-SUM(E249:E250))</f>
        <v>8.7312782754381743E-2</v>
      </c>
      <c r="F251">
        <f>(F$10-SUM(F$20:F250))/(ABS(F$11)+F$10-SUM(F249:F250))</f>
        <v>0.1282019299758545</v>
      </c>
      <c r="H251">
        <f t="shared" ref="H251:H314" si="37">H250+C251</f>
        <v>38.60264462351018</v>
      </c>
      <c r="I251">
        <f t="shared" ref="I251:I314" si="38">I250+D251</f>
        <v>55.571021695092455</v>
      </c>
      <c r="J251">
        <f t="shared" ref="J251:J314" si="39">J250+E251</f>
        <v>70.498364880547186</v>
      </c>
      <c r="K251">
        <f t="shared" ref="K251:K314" si="40">K250+F251</f>
        <v>83.495207278471241</v>
      </c>
    </row>
    <row r="252" spans="2:11">
      <c r="B252">
        <v>233</v>
      </c>
      <c r="C252">
        <f>(C$10-SUM(C$20:C251))/(ABS(C$11)+C$10-SUM(C250:C251))</f>
        <v>1.9973867685047188E-2</v>
      </c>
      <c r="D252">
        <f>(D$10-SUM(D$20:D251))/(ABS(D$11)+D$10-SUM(D250:D251))</f>
        <v>4.9265720380550319E-2</v>
      </c>
      <c r="E252">
        <f>(E$10-SUM(E$20:E251))/(ABS(E$11)+E$10-SUM(E250:E251))</f>
        <v>8.6516478527780508E-2</v>
      </c>
      <c r="F252">
        <f>(F$10-SUM(F$20:F251))/(ABS(F$11)+F$10-SUM(F250:F251))</f>
        <v>0.12721182509111645</v>
      </c>
      <c r="H252">
        <f t="shared" si="37"/>
        <v>38.622618491195226</v>
      </c>
      <c r="I252">
        <f t="shared" si="38"/>
        <v>55.620287415473008</v>
      </c>
      <c r="J252">
        <f t="shared" si="39"/>
        <v>70.58488135907497</v>
      </c>
      <c r="K252">
        <f t="shared" si="40"/>
        <v>83.622419103562365</v>
      </c>
    </row>
    <row r="253" spans="2:11">
      <c r="B253">
        <v>234</v>
      </c>
      <c r="C253">
        <f>(C$10-SUM(C$20:C252))/(ABS(C$11)+C$10-SUM(C251:C252))</f>
        <v>1.9688195910178927E-2</v>
      </c>
      <c r="D253">
        <f>(D$10-SUM(D$20:D252))/(ABS(D$11)+D$10-SUM(D251:D252))</f>
        <v>4.8717108665199925E-2</v>
      </c>
      <c r="E253">
        <f>(E$10-SUM(E$20:E252))/(ABS(E$11)+E$10-SUM(E251:E252))</f>
        <v>8.5727459835817157E-2</v>
      </c>
      <c r="F253">
        <f>(F$10-SUM(F$20:F252))/(ABS(F$11)+F$10-SUM(F251:F252))</f>
        <v>0.12622939708266429</v>
      </c>
      <c r="H253">
        <f t="shared" si="37"/>
        <v>38.642306687105403</v>
      </c>
      <c r="I253">
        <f t="shared" si="38"/>
        <v>55.669004524138209</v>
      </c>
      <c r="J253">
        <f t="shared" si="39"/>
        <v>70.670608818910793</v>
      </c>
      <c r="K253">
        <f t="shared" si="40"/>
        <v>83.748648500645032</v>
      </c>
    </row>
    <row r="254" spans="2:11">
      <c r="B254">
        <v>235</v>
      </c>
      <c r="C254">
        <f>(C$10-SUM(C$20:C253))/(ABS(C$11)+C$10-SUM(C252:C253))</f>
        <v>1.9406614561078377E-2</v>
      </c>
      <c r="D254">
        <f>(D$10-SUM(D$20:D253))/(ABS(D$11)+D$10-SUM(D252:D253))</f>
        <v>4.8174619570839378E-2</v>
      </c>
      <c r="E254">
        <f>(E$10-SUM(E$20:E253))/(ABS(E$11)+E$10-SUM(E252:E253))</f>
        <v>8.4945659600415238E-2</v>
      </c>
      <c r="F254">
        <f>(F$10-SUM(F$20:F253))/(ABS(F$11)+F$10-SUM(F252:F253))</f>
        <v>0.12525458595925656</v>
      </c>
      <c r="H254">
        <f t="shared" si="37"/>
        <v>38.661713301666481</v>
      </c>
      <c r="I254">
        <f t="shared" si="38"/>
        <v>55.717179143709046</v>
      </c>
      <c r="J254">
        <f t="shared" si="39"/>
        <v>70.755554478511215</v>
      </c>
      <c r="K254">
        <f t="shared" si="40"/>
        <v>83.873903086604287</v>
      </c>
    </row>
    <row r="255" spans="2:11">
      <c r="B255">
        <v>236</v>
      </c>
      <c r="C255">
        <f>(C$10-SUM(C$20:C254))/(ABS(C$11)+C$10-SUM(C253:C254))</f>
        <v>1.91290649357382E-2</v>
      </c>
      <c r="D255">
        <f>(D$10-SUM(D$20:D254))/(ABS(D$11)+D$10-SUM(D253:D254))</f>
        <v>4.7638184470158836E-2</v>
      </c>
      <c r="E255">
        <f>(E$10-SUM(E$20:E254))/(ABS(E$11)+E$10-SUM(E253:E254))</f>
        <v>8.4171011368774515E-2</v>
      </c>
      <c r="F255">
        <f>(F$10-SUM(F$20:F254))/(ABS(F$11)+F$10-SUM(F253:F254))</f>
        <v>0.12428733220569581</v>
      </c>
      <c r="H255">
        <f t="shared" si="37"/>
        <v>38.680842366602221</v>
      </c>
      <c r="I255">
        <f t="shared" si="38"/>
        <v>55.764817328179205</v>
      </c>
      <c r="J255">
        <f t="shared" si="39"/>
        <v>70.839725489879996</v>
      </c>
      <c r="K255">
        <f t="shared" si="40"/>
        <v>83.998190418809983</v>
      </c>
    </row>
    <row r="256" spans="2:11">
      <c r="B256">
        <v>237</v>
      </c>
      <c r="C256">
        <f>(C$10-SUM(C$20:C255))/(ABS(C$11)+C$10-SUM(C254:C255))</f>
        <v>1.8855489178364462E-2</v>
      </c>
      <c r="D256">
        <f>(D$10-SUM(D$20:D255))/(ABS(D$11)+D$10-SUM(D254:D255))</f>
        <v>4.7107735511691021E-2</v>
      </c>
      <c r="E256">
        <f>(E$10-SUM(E$20:E255))/(ABS(E$11)+E$10-SUM(E254:E255))</f>
        <v>8.3403449307401997E-2</v>
      </c>
      <c r="F256">
        <f>(F$10-SUM(F$20:F255))/(ABS(F$11)+F$10-SUM(F254:F255))</f>
        <v>0.123327576778939</v>
      </c>
      <c r="H256">
        <f t="shared" si="37"/>
        <v>38.699697855780585</v>
      </c>
      <c r="I256">
        <f t="shared" si="38"/>
        <v>55.811925063690893</v>
      </c>
      <c r="J256">
        <f t="shared" si="39"/>
        <v>70.923128939187393</v>
      </c>
      <c r="K256">
        <f t="shared" si="40"/>
        <v>84.121517995588917</v>
      </c>
    </row>
    <row r="257" spans="2:11">
      <c r="B257">
        <v>238</v>
      </c>
      <c r="C257">
        <f>(C$10-SUM(C$20:C256))/(ABS(C$11)+C$10-SUM(C255:C256))</f>
        <v>1.8585830267070721E-2</v>
      </c>
      <c r="D257">
        <f>(D$10-SUM(D$20:D256))/(ABS(D$11)+D$10-SUM(D255:D256))</f>
        <v>4.6583205610893498E-2</v>
      </c>
      <c r="E257">
        <f>(E$10-SUM(E$20:E256))/(ABS(E$11)+E$10-SUM(E255:E256))</f>
        <v>8.2642908196202694E-2</v>
      </c>
      <c r="F257">
        <f>(F$10-SUM(F$20:F256))/(ABS(F$11)+F$10-SUM(F255:F256))</f>
        <v>0.12237526110424139</v>
      </c>
      <c r="H257">
        <f t="shared" si="37"/>
        <v>38.718283686047656</v>
      </c>
      <c r="I257">
        <f t="shared" si="38"/>
        <v>55.858508269301787</v>
      </c>
      <c r="J257">
        <f t="shared" si="39"/>
        <v>71.005771847383599</v>
      </c>
      <c r="K257">
        <f t="shared" si="40"/>
        <v>84.243893256693156</v>
      </c>
    </row>
    <row r="258" spans="2:11">
      <c r="B258">
        <v>239</v>
      </c>
      <c r="C258">
        <f>(C$10-SUM(C$20:C257))/(ABS(C$11)+C$10-SUM(C256:C257))</f>
        <v>1.8320032001753896E-2</v>
      </c>
      <c r="D258">
        <f>(D$10-SUM(D$20:D257))/(ABS(D$11)+D$10-SUM(D256:D257))</f>
        <v>4.6064528441336114E-2</v>
      </c>
      <c r="E258">
        <f>(E$10-SUM(E$20:E257))/(ABS(E$11)+E$10-SUM(E256:E257))</f>
        <v>8.1889323422628751E-2</v>
      </c>
      <c r="F258">
        <f>(F$10-SUM(F$20:F257))/(ABS(F$11)+F$10-SUM(F256:F257))</f>
        <v>0.1214303270713335</v>
      </c>
      <c r="H258">
        <f t="shared" si="37"/>
        <v>38.736603718049409</v>
      </c>
      <c r="I258">
        <f t="shared" si="38"/>
        <v>55.904572797743121</v>
      </c>
      <c r="J258">
        <f t="shared" si="39"/>
        <v>71.087661170806228</v>
      </c>
      <c r="K258">
        <f t="shared" si="40"/>
        <v>84.365323583764493</v>
      </c>
    </row>
    <row r="259" spans="2:11">
      <c r="B259">
        <v>240</v>
      </c>
      <c r="C259">
        <f>(C$10-SUM(C$20:C258))/(ABS(C$11)+C$10-SUM(C257:C258))</f>
        <v>1.8058038992149718E-2</v>
      </c>
      <c r="D259">
        <f>(D$10-SUM(D$20:D258))/(ABS(D$11)+D$10-SUM(D257:D258))</f>
        <v>4.5551638425993489E-2</v>
      </c>
      <c r="E259">
        <f>(E$10-SUM(E$20:E258))/(ABS(E$11)+E$10-SUM(E257:E258))</f>
        <v>8.1142630975887794E-2</v>
      </c>
      <c r="F259">
        <f>(F$10-SUM(F$20:F258))/(ABS(F$11)+F$10-SUM(F257:F258))</f>
        <v>0.12049271703063102</v>
      </c>
      <c r="H259">
        <f t="shared" si="37"/>
        <v>38.754661757041561</v>
      </c>
      <c r="I259">
        <f t="shared" si="38"/>
        <v>55.950124436169112</v>
      </c>
      <c r="J259">
        <f t="shared" si="39"/>
        <v>71.168803801782119</v>
      </c>
      <c r="K259">
        <f t="shared" si="40"/>
        <v>84.485816300795122</v>
      </c>
    </row>
    <row r="260" spans="2:11">
      <c r="B260">
        <v>241</v>
      </c>
      <c r="C260">
        <f>(C$10-SUM(C$20:C259))/(ABS(C$11)+C$10-SUM(C258:C259))</f>
        <v>1.7799796646064386E-2</v>
      </c>
      <c r="D260">
        <f>(D$10-SUM(D$20:D259))/(ABS(D$11)+D$10-SUM(D258:D259))</f>
        <v>4.5044470728640151E-2</v>
      </c>
      <c r="E260">
        <f>(E$10-SUM(E$20:E259))/(ABS(E$11)+E$10-SUM(E258:E259))</f>
        <v>8.0402767441207917E-2</v>
      </c>
      <c r="F260">
        <f>(F$10-SUM(F$20:F259))/(ABS(F$11)+F$10-SUM(F258:F259))</f>
        <v>0.11956237378947757</v>
      </c>
      <c r="H260">
        <f t="shared" si="37"/>
        <v>38.772461553687627</v>
      </c>
      <c r="I260">
        <f t="shared" si="38"/>
        <v>55.995168906897753</v>
      </c>
      <c r="J260">
        <f t="shared" si="39"/>
        <v>71.249206569223333</v>
      </c>
      <c r="K260">
        <f t="shared" si="40"/>
        <v>84.6053786745846</v>
      </c>
    </row>
    <row r="261" spans="2:11">
      <c r="B261">
        <v>242</v>
      </c>
      <c r="C261">
        <f>(C$10-SUM(C$20:C260))/(ABS(C$11)+C$10-SUM(C259:C260))</f>
        <v>1.754525115778028E-2</v>
      </c>
      <c r="D261">
        <f>(D$10-SUM(D$20:D260))/(ABS(D$11)+D$10-SUM(D259:D260))</f>
        <v>4.454296124534779E-2</v>
      </c>
      <c r="E261">
        <f>(E$10-SUM(E$20:E260))/(ABS(E$11)+E$10-SUM(E259:E260))</f>
        <v>7.9669669994160294E-2</v>
      </c>
      <c r="F261">
        <f>(F$10-SUM(F$20:F260))/(ABS(F$11)+F$10-SUM(F259:F260))</f>
        <v>0.1186392406084191</v>
      </c>
      <c r="H261">
        <f t="shared" si="37"/>
        <v>38.790006804845405</v>
      </c>
      <c r="I261">
        <f t="shared" si="38"/>
        <v>56.039711868143101</v>
      </c>
      <c r="J261">
        <f t="shared" si="39"/>
        <v>71.328876239217493</v>
      </c>
      <c r="K261">
        <f t="shared" si="40"/>
        <v>84.724017915193016</v>
      </c>
    </row>
    <row r="262" spans="2:11">
      <c r="B262">
        <v>243</v>
      </c>
      <c r="C262">
        <f>(C$10-SUM(C$20:C261))/(ABS(C$11)+C$10-SUM(C260:C261))</f>
        <v>1.7294349496632718E-2</v>
      </c>
      <c r="D262">
        <f>(D$10-SUM(D$20:D261))/(ABS(D$11)+D$10-SUM(D260:D261))</f>
        <v>4.4047046596083113E-2</v>
      </c>
      <c r="E262">
        <f>(E$10-SUM(E$20:E261))/(ABS(E$11)+E$10-SUM(E260:E261))</f>
        <v>7.8943276395038134E-2</v>
      </c>
      <c r="F262">
        <f>(F$10-SUM(F$20:F261))/(ABS(F$11)+F$10-SUM(F260:F261))</f>
        <v>0.11772326119751089</v>
      </c>
      <c r="H262">
        <f t="shared" si="37"/>
        <v>38.807301154342035</v>
      </c>
      <c r="I262">
        <f t="shared" si="38"/>
        <v>56.083758914739185</v>
      </c>
      <c r="J262">
        <f t="shared" si="39"/>
        <v>71.40781951561253</v>
      </c>
      <c r="K262">
        <f t="shared" si="40"/>
        <v>84.841741176390528</v>
      </c>
    </row>
    <row r="263" spans="2:11">
      <c r="B263">
        <v>244</v>
      </c>
      <c r="C263">
        <f>(C$10-SUM(C$20:C262))/(ABS(C$11)+C$10-SUM(C261:C262))</f>
        <v>1.7047039395755043E-2</v>
      </c>
      <c r="D263">
        <f>(D$10-SUM(D$20:D262))/(ABS(D$11)+D$10-SUM(D261:D262))</f>
        <v>4.3556664116404818E-2</v>
      </c>
      <c r="E263">
        <f>(E$10-SUM(E$20:E262))/(ABS(E$11)+E$10-SUM(E261:E262))</f>
        <v>7.8223524983291076E-2</v>
      </c>
      <c r="F263">
        <f>(F$10-SUM(F$20:F262))/(ABS(F$11)+F$10-SUM(F261:F262))</f>
        <v>0.11681437971265587</v>
      </c>
      <c r="H263">
        <f t="shared" si="37"/>
        <v>38.824348193737791</v>
      </c>
      <c r="I263">
        <f t="shared" si="38"/>
        <v>56.127315578855587</v>
      </c>
      <c r="J263">
        <f t="shared" si="39"/>
        <v>71.486043040595817</v>
      </c>
      <c r="K263">
        <f t="shared" si="40"/>
        <v>84.958555556103178</v>
      </c>
    </row>
    <row r="264" spans="2:11">
      <c r="B264">
        <v>245</v>
      </c>
      <c r="C264">
        <f>(C$10-SUM(C$20:C263))/(ABS(C$11)+C$10-SUM(C262:C263))</f>
        <v>1.6803269340990166E-2</v>
      </c>
      <c r="D264">
        <f>(D$10-SUM(D$20:D263))/(ABS(D$11)+D$10-SUM(D262:D263))</f>
        <v>4.3071751849258842E-2</v>
      </c>
      <c r="E264">
        <f>(E$10-SUM(E$20:E263))/(ABS(E$11)+E$10-SUM(E262:E263))</f>
        <v>7.7510354672015308E-2</v>
      </c>
      <c r="F264">
        <f>(F$10-SUM(F$20:F263))/(ABS(F$11)+F$10-SUM(F262:F263))</f>
        <v>0.11591254075197456</v>
      </c>
      <c r="H264">
        <f t="shared" si="37"/>
        <v>38.841151463078781</v>
      </c>
      <c r="I264">
        <f t="shared" si="38"/>
        <v>56.170387330704848</v>
      </c>
      <c r="J264">
        <f t="shared" si="39"/>
        <v>71.563553395267832</v>
      </c>
      <c r="K264">
        <f t="shared" si="40"/>
        <v>85.074468096855156</v>
      </c>
    </row>
    <row r="265" spans="2:11">
      <c r="B265">
        <v>246</v>
      </c>
      <c r="C265">
        <f>(C$10-SUM(C$20:C264))/(ABS(C$11)+C$10-SUM(C263:C264))</f>
        <v>1.6562988559965391E-2</v>
      </c>
      <c r="D265">
        <f>(D$10-SUM(D$20:D264))/(ABS(D$11)+D$10-SUM(D263:D264))</f>
        <v>4.2592248536870186E-2</v>
      </c>
      <c r="E265">
        <f>(E$10-SUM(E$20:E264))/(ABS(E$11)+E$10-SUM(E263:E264))</f>
        <v>7.6803704942497858E-2</v>
      </c>
      <c r="F265">
        <f>(F$10-SUM(F$20:F264))/(ABS(F$11)+F$10-SUM(F263:F264))</f>
        <v>0.1150176893522057</v>
      </c>
      <c r="H265">
        <f t="shared" si="37"/>
        <v>38.857714451638749</v>
      </c>
      <c r="I265">
        <f t="shared" si="38"/>
        <v>56.212979579241718</v>
      </c>
      <c r="J265">
        <f t="shared" si="39"/>
        <v>71.640357100210323</v>
      </c>
      <c r="K265">
        <f t="shared" si="40"/>
        <v>85.189485786207356</v>
      </c>
    </row>
    <row r="266" spans="2:11">
      <c r="B266">
        <v>247</v>
      </c>
      <c r="C266">
        <f>(C$10-SUM(C$20:C265))/(ABS(C$11)+C$10-SUM(C264:C265))</f>
        <v>1.6326147011327997E-2</v>
      </c>
      <c r="D266">
        <f>(D$10-SUM(D$20:D265))/(ABS(D$11)+D$10-SUM(D264:D265))</f>
        <v>4.2118093612730952E-2</v>
      </c>
      <c r="E266">
        <f>(E$10-SUM(E$20:E265))/(ABS(E$11)+E$10-SUM(E264:E265))</f>
        <v>7.6103515838815458E-2</v>
      </c>
      <c r="F266">
        <f>(F$10-SUM(F$20:F265))/(ABS(F$11)+F$10-SUM(F264:F265))</f>
        <v>0.1141297709851383</v>
      </c>
      <c r="H266">
        <f t="shared" si="37"/>
        <v>38.874040598650076</v>
      </c>
      <c r="I266">
        <f t="shared" si="38"/>
        <v>56.255097672854447</v>
      </c>
      <c r="J266">
        <f t="shared" si="39"/>
        <v>71.716460616049133</v>
      </c>
      <c r="K266">
        <f t="shared" si="40"/>
        <v>85.303615557192501</v>
      </c>
    </row>
    <row r="267" spans="2:11">
      <c r="B267">
        <v>248</v>
      </c>
      <c r="C267">
        <f>(C$10-SUM(C$20:C266))/(ABS(C$11)+C$10-SUM(C265:C266))</f>
        <v>1.6092695374139879E-2</v>
      </c>
      <c r="D267">
        <f>(D$10-SUM(D$20:D266))/(ABS(D$11)+D$10-SUM(D265:D266))</f>
        <v>4.1649227193682185E-2</v>
      </c>
      <c r="E267">
        <f>(E$10-SUM(E$20:E266))/(ABS(E$11)+E$10-SUM(E265:E266))</f>
        <v>7.5409727962486239E-2</v>
      </c>
      <c r="F267">
        <f>(F$10-SUM(F$20:F266))/(ABS(F$11)+F$10-SUM(F265:F266))</f>
        <v>0.11324873155407339</v>
      </c>
      <c r="H267">
        <f t="shared" si="37"/>
        <v>38.890133294024217</v>
      </c>
      <c r="I267">
        <f t="shared" si="38"/>
        <v>56.296746900048127</v>
      </c>
      <c r="J267">
        <f t="shared" si="39"/>
        <v>71.791870344011613</v>
      </c>
      <c r="K267">
        <f t="shared" si="40"/>
        <v>85.416864288746581</v>
      </c>
    </row>
    <row r="268" spans="2:11">
      <c r="B268">
        <v>249</v>
      </c>
      <c r="C268">
        <f>(C$10-SUM(C$20:C267))/(ABS(C$11)+C$10-SUM(C266:C267))</f>
        <v>1.5862585037427678E-2</v>
      </c>
      <c r="D268">
        <f>(D$10-SUM(D$20:D267))/(ABS(D$11)+D$10-SUM(D266:D267))</f>
        <v>4.1185590072089363E-2</v>
      </c>
      <c r="E268">
        <f>(E$10-SUM(E$20:E267))/(ABS(E$11)+E$10-SUM(E266:E267))</f>
        <v>7.4722282467174772E-2</v>
      </c>
      <c r="F268">
        <f>(F$10-SUM(F$20:F267))/(ABS(F$11)+F$10-SUM(F266:F267))</f>
        <v>0.1123745173903169</v>
      </c>
      <c r="H268">
        <f t="shared" si="37"/>
        <v>38.905995879061642</v>
      </c>
      <c r="I268">
        <f t="shared" si="38"/>
        <v>56.337932490120217</v>
      </c>
      <c r="J268">
        <f t="shared" si="39"/>
        <v>71.866592626478791</v>
      </c>
      <c r="K268">
        <f t="shared" si="40"/>
        <v>85.529238806136902</v>
      </c>
    </row>
    <row r="269" spans="2:11">
      <c r="B269">
        <v>250</v>
      </c>
      <c r="C269">
        <f>(C$10-SUM(C$20:C268))/(ABS(C$11)+C$10-SUM(C267:C268))</f>
        <v>1.5635768089887436E-2</v>
      </c>
      <c r="D269">
        <f>(D$10-SUM(D$20:D268))/(ABS(D$11)+D$10-SUM(D267:D268))</f>
        <v>4.0727123708110061E-2</v>
      </c>
      <c r="E269">
        <f>(E$10-SUM(E$20:E268))/(ABS(E$11)+E$10-SUM(E267:E268))</f>
        <v>7.4041121053449357E-2</v>
      </c>
      <c r="F269">
        <f>(F$10-SUM(F$20:F268))/(ABS(F$11)+F$10-SUM(F267:F268))</f>
        <v>0.11150707524970171</v>
      </c>
      <c r="H269">
        <f t="shared" si="37"/>
        <v>38.921631647151528</v>
      </c>
      <c r="I269">
        <f t="shared" si="38"/>
        <v>56.378659613828326</v>
      </c>
      <c r="J269">
        <f t="shared" si="39"/>
        <v>71.940633747532246</v>
      </c>
      <c r="K269">
        <f t="shared" si="40"/>
        <v>85.640745881386607</v>
      </c>
    </row>
    <row r="270" spans="2:11">
      <c r="B270">
        <v>251</v>
      </c>
      <c r="C270">
        <f>(C$10-SUM(C$20:C269))/(ABS(C$11)+C$10-SUM(C268:C269))</f>
        <v>1.5412197309740024E-2</v>
      </c>
      <c r="D270">
        <f>(D$10-SUM(D$20:D269))/(ABS(D$11)+D$10-SUM(D268:D269))</f>
        <v>4.0273770222052474E-2</v>
      </c>
      <c r="E270">
        <f>(E$10-SUM(E$20:E269))/(ABS(E$11)+E$10-SUM(E268:E269))</f>
        <v>7.3366185963591138E-2</v>
      </c>
      <c r="F270">
        <f>(F$10-SUM(F$20:F269))/(ABS(F$11)+F$10-SUM(F268:F269))</f>
        <v>0.11064635230913979</v>
      </c>
      <c r="H270">
        <f t="shared" si="37"/>
        <v>38.937043844461272</v>
      </c>
      <c r="I270">
        <f t="shared" si="38"/>
        <v>56.418933384050376</v>
      </c>
      <c r="J270">
        <f t="shared" si="39"/>
        <v>72.013999933495839</v>
      </c>
      <c r="K270">
        <f t="shared" si="40"/>
        <v>85.751392233695753</v>
      </c>
    </row>
    <row r="271" spans="2:11">
      <c r="B271">
        <v>252</v>
      </c>
      <c r="C271">
        <f>(C$10-SUM(C$20:C270))/(ABS(C$11)+C$10-SUM(C269:C270))</f>
        <v>1.5191826154736252E-2</v>
      </c>
      <c r="D271">
        <f>(D$10-SUM(D$20:D270))/(ABS(D$11)+D$10-SUM(D269:D270))</f>
        <v>3.9825472386823858E-2</v>
      </c>
      <c r="E271">
        <f>(E$10-SUM(E$20:E270))/(ABS(E$11)+E$10-SUM(E269:E270))</f>
        <v>7.2697419976454333E-2</v>
      </c>
      <c r="F271">
        <f>(F$10-SUM(F$20:F270))/(ABS(F$11)+F$10-SUM(F269:F270))</f>
        <v>0.10979229616320353</v>
      </c>
      <c r="H271">
        <f t="shared" si="37"/>
        <v>38.952235670616005</v>
      </c>
      <c r="I271">
        <f t="shared" si="38"/>
        <v>56.4587588564372</v>
      </c>
      <c r="J271">
        <f t="shared" si="39"/>
        <v>72.086697353472289</v>
      </c>
      <c r="K271">
        <f t="shared" si="40"/>
        <v>85.86118452985896</v>
      </c>
    </row>
    <row r="272" spans="2:11">
      <c r="B272">
        <v>253</v>
      </c>
      <c r="C272">
        <f>(C$10-SUM(C$20:C271))/(ABS(C$11)+C$10-SUM(C270:C271))</f>
        <v>1.497460875230888E-2</v>
      </c>
      <c r="D272">
        <f>(D$10-SUM(D$20:D271))/(ABS(D$11)+D$10-SUM(D270:D271))</f>
        <v>3.9382173620467677E-2</v>
      </c>
      <c r="E272">
        <f>(E$10-SUM(E$20:E271))/(ABS(E$11)+E$10-SUM(E270:E271))</f>
        <v>7.2034766402377187E-2</v>
      </c>
      <c r="F272">
        <f>(F$10-SUM(F$20:F271))/(ABS(F$11)+F$10-SUM(F270:F271))</f>
        <v>0.10894485482073644</v>
      </c>
      <c r="H272">
        <f t="shared" si="37"/>
        <v>38.967210279368317</v>
      </c>
      <c r="I272">
        <f t="shared" si="38"/>
        <v>56.498141030057667</v>
      </c>
      <c r="J272">
        <f t="shared" si="39"/>
        <v>72.158732119874671</v>
      </c>
      <c r="K272">
        <f t="shared" si="40"/>
        <v>85.970129384679694</v>
      </c>
    </row>
    <row r="273" spans="2:11">
      <c r="B273">
        <v>254</v>
      </c>
      <c r="C273">
        <f>(C$10-SUM(C$20:C272))/(ABS(C$11)+C$10-SUM(C271:C272))</f>
        <v>1.4760499889868665E-2</v>
      </c>
      <c r="D273">
        <f>(D$10-SUM(D$20:D272))/(ABS(D$11)+D$10-SUM(D271:D272))</f>
        <v>3.8943817978788549E-2</v>
      </c>
      <c r="E273">
        <f>(E$10-SUM(E$20:E272))/(ABS(E$11)+E$10-SUM(E271:E272))</f>
        <v>7.137816907814297E-2</v>
      </c>
      <c r="F273">
        <f>(F$10-SUM(F$20:F272))/(ABS(F$11)+F$10-SUM(F271:F272))</f>
        <v>0.10810397670149249</v>
      </c>
      <c r="H273">
        <f t="shared" si="37"/>
        <v>38.981970779258184</v>
      </c>
      <c r="I273">
        <f t="shared" si="38"/>
        <v>56.537084848036457</v>
      </c>
      <c r="J273">
        <f t="shared" si="39"/>
        <v>72.230110288952815</v>
      </c>
      <c r="K273">
        <f t="shared" si="40"/>
        <v>86.07823336138118</v>
      </c>
    </row>
    <row r="274" spans="2:11">
      <c r="B274">
        <v>255</v>
      </c>
      <c r="C274">
        <f>(C$10-SUM(C$20:C273))/(ABS(C$11)+C$10-SUM(C272:C273))</f>
        <v>1.4549455005244022E-2</v>
      </c>
      <c r="D274">
        <f>(D$10-SUM(D$20:D273))/(ABS(D$11)+D$10-SUM(D272:D273))</f>
        <v>3.8510350148063609E-2</v>
      </c>
      <c r="E274">
        <f>(E$10-SUM(E$20:E273))/(ABS(E$11)+E$10-SUM(E272:E273))</f>
        <v>7.0727572361991176E-2</v>
      </c>
      <c r="F274">
        <f>(F$10-SUM(F$20:F273))/(ABS(F$11)+F$10-SUM(F272:F273))</f>
        <v>0.10726961063280395</v>
      </c>
      <c r="H274">
        <f t="shared" si="37"/>
        <v>38.996520234263429</v>
      </c>
      <c r="I274">
        <f t="shared" si="38"/>
        <v>56.575595198184523</v>
      </c>
      <c r="J274">
        <f t="shared" si="39"/>
        <v>72.300837861314804</v>
      </c>
      <c r="K274">
        <f t="shared" si="40"/>
        <v>86.185502972013978</v>
      </c>
    </row>
    <row r="275" spans="2:11">
      <c r="B275">
        <v>256</v>
      </c>
      <c r="C275">
        <f>(C$10-SUM(C$20:C274))/(ABS(C$11)+C$10-SUM(C273:C274))</f>
        <v>1.4341430177259976E-2</v>
      </c>
      <c r="D275">
        <f>(D$10-SUM(D$20:D274))/(ABS(D$11)+D$10-SUM(D273:D274))</f>
        <v>3.8081715437839538E-2</v>
      </c>
      <c r="E275">
        <f>(E$10-SUM(E$20:E274))/(ABS(E$11)+E$10-SUM(E273:E274))</f>
        <v>7.0082921128677061E-2</v>
      </c>
      <c r="F275">
        <f>(F$10-SUM(F$20:F274))/(ABS(F$11)+F$10-SUM(F273:F274))</f>
        <v>0.10644170584627781</v>
      </c>
      <c r="H275">
        <f t="shared" si="37"/>
        <v>39.010861664440689</v>
      </c>
      <c r="I275">
        <f t="shared" si="38"/>
        <v>56.613676913622363</v>
      </c>
      <c r="J275">
        <f t="shared" si="39"/>
        <v>72.370920782443477</v>
      </c>
      <c r="K275">
        <f t="shared" si="40"/>
        <v>86.291944677860258</v>
      </c>
    </row>
    <row r="276" spans="2:11">
      <c r="B276">
        <v>257</v>
      </c>
      <c r="C276">
        <f>(C$10-SUM(C$20:C275))/(ABS(C$11)+C$10-SUM(C274:C275))</f>
        <v>1.4136382116456188E-2</v>
      </c>
      <c r="D276">
        <f>(D$10-SUM(D$20:D275))/(ABS(D$11)+D$10-SUM(D274:D275))</f>
        <v>3.7657859773813966E-2</v>
      </c>
      <c r="E276">
        <f>(E$10-SUM(E$20:E275))/(ABS(E$11)+E$10-SUM(E274:E275))</f>
        <v>6.9444160764580251E-2</v>
      </c>
      <c r="F276">
        <f>(F$10-SUM(F$20:F275))/(ABS(F$11)+F$10-SUM(F274:F275))</f>
        <v>0.10562021197452012</v>
      </c>
      <c r="H276">
        <f t="shared" si="37"/>
        <v>39.024998046557144</v>
      </c>
      <c r="I276">
        <f t="shared" si="38"/>
        <v>56.651334773396179</v>
      </c>
      <c r="J276">
        <f t="shared" si="39"/>
        <v>72.440364943208053</v>
      </c>
      <c r="K276">
        <f t="shared" si="40"/>
        <v>86.397564889834783</v>
      </c>
    </row>
    <row r="277" spans="2:11">
      <c r="B277">
        <v>258</v>
      </c>
      <c r="C277">
        <f>(C$10-SUM(C$20:C276))/(ABS(C$11)+C$10-SUM(C275:C276))</f>
        <v>1.393426815594073E-2</v>
      </c>
      <c r="D277">
        <f>(D$10-SUM(D$20:D276))/(ABS(D$11)+D$10-SUM(D275:D276))</f>
        <v>3.7238729690800262E-2</v>
      </c>
      <c r="E277">
        <f>(E$10-SUM(E$20:E276))/(ABS(E$11)+E$10-SUM(E275:E276))</f>
        <v>6.8811237162861333E-2</v>
      </c>
      <c r="F277">
        <f>(F$10-SUM(F$20:F276))/(ABS(F$11)+F$10-SUM(F275:F276))</f>
        <v>0.10480507904788824</v>
      </c>
      <c r="H277">
        <f t="shared" si="37"/>
        <v>39.038932314713087</v>
      </c>
      <c r="I277">
        <f t="shared" si="38"/>
        <v>56.688573503086978</v>
      </c>
      <c r="J277">
        <f t="shared" si="39"/>
        <v>72.509176180370915</v>
      </c>
      <c r="K277">
        <f t="shared" si="40"/>
        <v>86.502369968882675</v>
      </c>
    </row>
    <row r="278" spans="2:11">
      <c r="B278">
        <v>259</v>
      </c>
      <c r="C278">
        <f>(C$10-SUM(C$20:C277))/(ABS(C$11)+C$10-SUM(C276:C277))</f>
        <v>1.3735046242377976E-2</v>
      </c>
      <c r="D278">
        <f>(D$10-SUM(D$20:D277))/(ABS(D$11)+D$10-SUM(D276:D277))</f>
        <v>3.6824272325774871E-2</v>
      </c>
      <c r="E278">
        <f>(E$10-SUM(E$20:E277))/(ABS(E$11)+E$10-SUM(E276:E277))</f>
        <v>6.818409671866589E-2</v>
      </c>
      <c r="F278">
        <f>(F$10-SUM(F$20:F277))/(ABS(F$11)+F$10-SUM(F276:F277))</f>
        <v>0.10399625749127051</v>
      </c>
      <c r="H278">
        <f t="shared" si="37"/>
        <v>39.052667360955468</v>
      </c>
      <c r="I278">
        <f t="shared" si="38"/>
        <v>56.725397775412752</v>
      </c>
      <c r="J278">
        <f t="shared" si="39"/>
        <v>72.577360277089582</v>
      </c>
      <c r="K278">
        <f t="shared" si="40"/>
        <v>86.60636622637395</v>
      </c>
    </row>
    <row r="279" spans="2:11">
      <c r="B279">
        <v>260</v>
      </c>
      <c r="C279">
        <f>(C$10-SUM(C$20:C278))/(ABS(C$11)+C$10-SUM(C277:C278))</f>
        <v>1.353867492710896E-2</v>
      </c>
      <c r="D279">
        <f>(D$10-SUM(D$20:D278))/(ABS(D$11)+D$10-SUM(D277:D278))</f>
        <v>3.6414435411005842E-2</v>
      </c>
      <c r="E279">
        <f>(E$10-SUM(E$20:E278))/(ABS(E$11)+E$10-SUM(E277:E278))</f>
        <v>6.7562686324375995E-2</v>
      </c>
      <c r="F279">
        <f>(F$10-SUM(F$20:F278))/(ABS(F$11)+F$10-SUM(F277:F278))</f>
        <v>0.10319369812089316</v>
      </c>
      <c r="H279">
        <f t="shared" si="37"/>
        <v>39.06620603588258</v>
      </c>
      <c r="I279">
        <f t="shared" si="38"/>
        <v>56.761812210823756</v>
      </c>
      <c r="J279">
        <f t="shared" si="39"/>
        <v>72.644922963413961</v>
      </c>
      <c r="K279">
        <f t="shared" si="40"/>
        <v>86.70955992449484</v>
      </c>
    </row>
    <row r="280" spans="2:11">
      <c r="B280">
        <v>261</v>
      </c>
      <c r="C280">
        <f>(C$10-SUM(C$20:C279))/(ABS(C$11)+C$10-SUM(C278:C279))</f>
        <v>1.3345113357401503E-2</v>
      </c>
      <c r="D280">
        <f>(D$10-SUM(D$20:D279))/(ABS(D$11)+D$10-SUM(D278:D279))</f>
        <v>3.6009167267261957E-2</v>
      </c>
      <c r="E280">
        <f>(E$10-SUM(E$20:E279))/(ABS(E$11)+E$10-SUM(E278:E279))</f>
        <v>6.6946953364907802E-2</v>
      </c>
      <c r="F280">
        <f>(F$10-SUM(F$20:F279))/(ABS(F$11)+F$10-SUM(F278:F279))</f>
        <v>0.10239735214115453</v>
      </c>
      <c r="H280">
        <f t="shared" si="37"/>
        <v>39.079551149239983</v>
      </c>
      <c r="I280">
        <f t="shared" si="38"/>
        <v>56.797821378091015</v>
      </c>
      <c r="J280">
        <f t="shared" si="39"/>
        <v>72.711869916778866</v>
      </c>
      <c r="K280">
        <f t="shared" si="40"/>
        <v>86.811957276635994</v>
      </c>
    </row>
    <row r="281" spans="2:11">
      <c r="B281">
        <v>262</v>
      </c>
      <c r="C281">
        <f>(C$10-SUM(C$20:C280))/(ABS(C$11)+C$10-SUM(C279:C280))</f>
        <v>1.3154321267828688E-2</v>
      </c>
      <c r="D281">
        <f>(D$10-SUM(D$20:D280))/(ABS(D$11)+D$10-SUM(D279:D280))</f>
        <v>3.5608416797101111E-2</v>
      </c>
      <c r="E281">
        <f>(E$10-SUM(E$20:E280))/(ABS(E$11)+E$10-SUM(E279:E280))</f>
        <v>6.6336845713055648E-2</v>
      </c>
      <c r="F281">
        <f>(F$10-SUM(F$20:F280))/(ABS(F$11)+F$10-SUM(F279:F280))</f>
        <v>0.10160717114148569</v>
      </c>
      <c r="H281">
        <f t="shared" si="37"/>
        <v>39.092705470507809</v>
      </c>
      <c r="I281">
        <f t="shared" si="38"/>
        <v>56.833429794888119</v>
      </c>
      <c r="J281">
        <f t="shared" si="39"/>
        <v>72.778206762491919</v>
      </c>
      <c r="K281">
        <f t="shared" si="40"/>
        <v>86.913564447777475</v>
      </c>
    </row>
    <row r="282" spans="2:11">
      <c r="B282">
        <v>263</v>
      </c>
      <c r="C282">
        <f>(C$10-SUM(C$20:C281))/(ABS(C$11)+C$10-SUM(C280:C281))</f>
        <v>1.2966258971773531E-2</v>
      </c>
      <c r="D282">
        <f>(D$10-SUM(D$20:D281))/(ABS(D$11)+D$10-SUM(D280:D281))</f>
        <v>3.5212133478237165E-2</v>
      </c>
      <c r="E282">
        <f>(E$10-SUM(E$20:E281))/(ABS(E$11)+E$10-SUM(E280:E281))</f>
        <v>6.5732311724881365E-2</v>
      </c>
      <c r="F282">
        <f>(F$10-SUM(F$20:F281))/(ABS(F$11)+F$10-SUM(F280:F281))</f>
        <v>0.10082310709323812</v>
      </c>
      <c r="H282">
        <f t="shared" si="37"/>
        <v>39.105671729479582</v>
      </c>
      <c r="I282">
        <f t="shared" si="38"/>
        <v>56.868641928366358</v>
      </c>
      <c r="J282">
        <f t="shared" si="39"/>
        <v>72.843939074216806</v>
      </c>
      <c r="K282">
        <f t="shared" si="40"/>
        <v>87.014387554870709</v>
      </c>
    </row>
    <row r="283" spans="2:11">
      <c r="B283">
        <v>264</v>
      </c>
      <c r="C283">
        <f>(C$10-SUM(C$20:C282))/(ABS(C$11)+C$10-SUM(C281:C282))</f>
        <v>1.2780887353057961E-2</v>
      </c>
      <c r="D283">
        <f>(D$10-SUM(D$20:D282))/(ABS(D$11)+D$10-SUM(D281:D282))</f>
        <v>3.4820267356984423E-2</v>
      </c>
      <c r="E283">
        <f>(E$10-SUM(E$20:E282))/(ABS(E$11)+E$10-SUM(E281:E282))</f>
        <v>6.5133300235149114E-2</v>
      </c>
      <c r="F283">
        <f>(F$10-SUM(F$20:F282))/(ABS(F$11)+F$10-SUM(F281:F282))</f>
        <v>0.1000451123465972</v>
      </c>
      <c r="H283">
        <f t="shared" si="37"/>
        <v>39.118452616832641</v>
      </c>
      <c r="I283">
        <f t="shared" si="38"/>
        <v>56.903462195723343</v>
      </c>
      <c r="J283">
        <f t="shared" si="39"/>
        <v>72.909072374451952</v>
      </c>
      <c r="K283">
        <f t="shared" si="40"/>
        <v>87.114432667217301</v>
      </c>
    </row>
    <row r="284" spans="2:11">
      <c r="B284">
        <v>265</v>
      </c>
      <c r="C284">
        <f>(C$10-SUM(C$20:C283))/(ABS(C$11)+C$10-SUM(C282:C283))</f>
        <v>1.2598167857694506E-2</v>
      </c>
      <c r="D284">
        <f>(D$10-SUM(D$20:D283))/(ABS(D$11)+D$10-SUM(D282:D283))</f>
        <v>3.4432769041778416E-2</v>
      </c>
      <c r="E284">
        <f>(E$10-SUM(E$20:E283))/(ABS(E$11)+E$10-SUM(E282:E283))</f>
        <v>6.4539760552804956E-2</v>
      </c>
      <c r="F284">
        <f>(F$10-SUM(F$20:F283))/(ABS(F$11)+F$10-SUM(F282:F283))</f>
        <v>9.9273139627522156E-2</v>
      </c>
      <c r="H284">
        <f t="shared" si="37"/>
        <v>39.131050784690338</v>
      </c>
      <c r="I284">
        <f t="shared" si="38"/>
        <v>56.937894964765121</v>
      </c>
      <c r="J284">
        <f t="shared" si="39"/>
        <v>72.973612135004757</v>
      </c>
      <c r="K284">
        <f t="shared" si="40"/>
        <v>87.213705806844828</v>
      </c>
    </row>
    <row r="285" spans="2:11">
      <c r="B285">
        <v>266</v>
      </c>
      <c r="C285">
        <f>(C$10-SUM(C$20:C284))/(ABS(C$11)+C$10-SUM(C283:C284))</f>
        <v>1.2418062485758555E-2</v>
      </c>
      <c r="D285">
        <f>(D$10-SUM(D$20:D284))/(ABS(D$11)+D$10-SUM(D283:D284))</f>
        <v>3.404958969677236E-2</v>
      </c>
      <c r="E285">
        <f>(E$10-SUM(E$20:E284))/(ABS(E$11)+E$10-SUM(E283:E284))</f>
        <v>6.3951642456499952E-2</v>
      </c>
      <c r="F285">
        <f>(F$10-SUM(F$20:F284))/(ABS(F$11)+F$10-SUM(F283:F284))</f>
        <v>9.8507142034711517E-2</v>
      </c>
      <c r="H285">
        <f t="shared" si="37"/>
        <v>39.143468847176095</v>
      </c>
      <c r="I285">
        <f t="shared" si="38"/>
        <v>56.971944554461892</v>
      </c>
      <c r="J285">
        <f t="shared" si="39"/>
        <v>73.037563777461258</v>
      </c>
      <c r="K285">
        <f t="shared" si="40"/>
        <v>87.312212948879534</v>
      </c>
    </row>
    <row r="286" spans="2:11">
      <c r="B286" s="14">
        <v>267</v>
      </c>
      <c r="C286">
        <f>(C$10-SUM(C$20:C285))/(ABS(C$11)+C$10-SUM(C284:C285))</f>
        <v>1.2240533783379384E-2</v>
      </c>
      <c r="D286">
        <f>(D$10-SUM(D$20:D285))/(ABS(D$11)+D$10-SUM(D284:D285))</f>
        <v>3.3670681035508368E-2</v>
      </c>
      <c r="E286">
        <f>(E$10-SUM(E$20:E285))/(ABS(E$11)+E$10-SUM(E284:E285))</f>
        <v>6.336889619015787E-2</v>
      </c>
      <c r="F286">
        <f>(F$10-SUM(F$20:F285))/(ABS(F$11)+F$10-SUM(F284:F285))</f>
        <v>9.7747073036594634E-2</v>
      </c>
      <c r="G286" s="14"/>
      <c r="H286" s="14">
        <f t="shared" si="37"/>
        <v>39.155709380959472</v>
      </c>
      <c r="I286" s="14">
        <f t="shared" si="38"/>
        <v>57.005615235497402</v>
      </c>
      <c r="J286" s="14">
        <f t="shared" si="39"/>
        <v>73.100932673651414</v>
      </c>
      <c r="K286" s="14">
        <f t="shared" si="40"/>
        <v>87.409960021916135</v>
      </c>
    </row>
    <row r="287" spans="2:11">
      <c r="B287">
        <v>268</v>
      </c>
      <c r="C287">
        <f>(C$10-SUM(C$20:C286))/(ABS(C$11)+C$10-SUM(C285:C286))</f>
        <v>1.2065544834848254E-2</v>
      </c>
      <c r="D287">
        <f>(D$10-SUM(D$20:D286))/(ABS(D$11)+D$10-SUM(D285:D286))</f>
        <v>3.3295995314662312E-2</v>
      </c>
      <c r="E287">
        <f>(E$10-SUM(E$20:E286))/(ABS(E$11)+E$10-SUM(E285:E286))</f>
        <v>6.2791472458585726E-2</v>
      </c>
      <c r="F287">
        <f>(F$10-SUM(F$20:F286))/(ABS(F$11)+F$10-SUM(F285:F286))</f>
        <v>9.6992886468347764E-2</v>
      </c>
      <c r="H287">
        <f t="shared" si="37"/>
        <v>39.167774925794319</v>
      </c>
      <c r="I287">
        <f t="shared" si="38"/>
        <v>57.038911230812062</v>
      </c>
      <c r="J287">
        <f t="shared" si="39"/>
        <v>73.163724146109999</v>
      </c>
      <c r="K287">
        <f t="shared" si="40"/>
        <v>87.506952908384477</v>
      </c>
    </row>
    <row r="288" spans="2:11">
      <c r="B288">
        <v>269</v>
      </c>
      <c r="C288">
        <f>(C$10-SUM(C$20:C287))/(ABS(C$11)+C$10-SUM(C286:C287))</f>
        <v>1.1893059254842004E-2</v>
      </c>
      <c r="D288">
        <f>(D$10-SUM(D$20:D287))/(ABS(D$11)+D$10-SUM(D286:D287))</f>
        <v>3.2925485327861798E-2</v>
      </c>
      <c r="E288">
        <f>(E$10-SUM(E$20:E287))/(ABS(E$11)+E$10-SUM(E286:E287))</f>
        <v>6.2219322423127069E-2</v>
      </c>
      <c r="F288">
        <f>(F$10-SUM(F$20:F287))/(ABS(F$11)+F$10-SUM(F286:F287))</f>
        <v>9.6244536528936456E-2</v>
      </c>
      <c r="H288">
        <f t="shared" si="37"/>
        <v>39.179667985049164</v>
      </c>
      <c r="I288">
        <f t="shared" si="38"/>
        <v>57.07183671613992</v>
      </c>
      <c r="J288">
        <f t="shared" si="39"/>
        <v>73.225943468533131</v>
      </c>
      <c r="K288">
        <f t="shared" si="40"/>
        <v>87.60319744491342</v>
      </c>
    </row>
    <row r="289" spans="2:11">
      <c r="B289">
        <v>270</v>
      </c>
      <c r="C289">
        <f>(C$10-SUM(C$20:C288))/(ABS(C$11)+C$10-SUM(C287:C288))</f>
        <v>1.1723041180760181E-2</v>
      </c>
      <c r="D289">
        <f>(D$10-SUM(D$20:D288))/(ABS(D$11)+D$10-SUM(D287:D288))</f>
        <v>3.2559104399575718E-2</v>
      </c>
      <c r="E289">
        <f>(E$10-SUM(E$20:E288))/(ABS(E$11)+E$10-SUM(E287:E288))</f>
        <v>6.1652397697357988E-2</v>
      </c>
      <c r="F289">
        <f>(F$10-SUM(F$20:F288))/(ABS(F$11)+F$10-SUM(F287:F288))</f>
        <v>9.5501977778181368E-2</v>
      </c>
      <c r="H289">
        <f t="shared" si="37"/>
        <v>39.191391026229923</v>
      </c>
      <c r="I289">
        <f t="shared" si="38"/>
        <v>57.104395820539494</v>
      </c>
      <c r="J289">
        <f t="shared" si="39"/>
        <v>73.28759586623049</v>
      </c>
      <c r="K289">
        <f t="shared" si="40"/>
        <v>87.698699422691604</v>
      </c>
    </row>
    <row r="290" spans="2:11">
      <c r="B290">
        <v>271</v>
      </c>
      <c r="C290">
        <f>(C$10-SUM(C$20:C289))/(ABS(C$11)+C$10-SUM(C288:C289))</f>
        <v>1.1555455265174271E-2</v>
      </c>
      <c r="D290">
        <f>(D$10-SUM(D$20:D289))/(ABS(D$11)+D$10-SUM(D288:D289))</f>
        <v>3.2196806379075252E-2</v>
      </c>
      <c r="E290">
        <f>(E$10-SUM(E$20:E289))/(ABS(E$11)+E$10-SUM(E288:E289))</f>
        <v>6.1090650342825049E-2</v>
      </c>
      <c r="F290">
        <f>(F$10-SUM(F$20:F289))/(ABS(F$11)+F$10-SUM(F288:F289))</f>
        <v>9.4765165133850388E-2</v>
      </c>
      <c r="H290">
        <f t="shared" si="37"/>
        <v>39.202946481495097</v>
      </c>
      <c r="I290">
        <f t="shared" si="38"/>
        <v>57.136592626918571</v>
      </c>
      <c r="J290">
        <f t="shared" si="39"/>
        <v>73.348686516573309</v>
      </c>
      <c r="K290">
        <f t="shared" si="40"/>
        <v>87.793464587825454</v>
      </c>
    </row>
    <row r="291" spans="2:11">
      <c r="B291">
        <v>272</v>
      </c>
      <c r="C291">
        <f>(C$10-SUM(C$20:C290))/(ABS(C$11)+C$10-SUM(C289:C290))</f>
        <v>1.139026666838659E-2</v>
      </c>
      <c r="D291">
        <f>(D$10-SUM(D$20:D290))/(ABS(D$11)+D$10-SUM(D289:D290))</f>
        <v>3.1838545634465081E-2</v>
      </c>
      <c r="E291">
        <f>(E$10-SUM(E$20:E290))/(ABS(E$11)+E$10-SUM(E289:E290))</f>
        <v>6.0534032864824394E-2</v>
      </c>
      <c r="F291">
        <f>(F$10-SUM(F$20:F290))/(ABS(F$11)+F$10-SUM(F289:F290))</f>
        <v>9.4034053868773795E-2</v>
      </c>
      <c r="H291">
        <f t="shared" si="37"/>
        <v>39.214336748163483</v>
      </c>
      <c r="I291">
        <f t="shared" si="38"/>
        <v>57.168431172553035</v>
      </c>
      <c r="J291">
        <f t="shared" si="39"/>
        <v>73.409220549438132</v>
      </c>
      <c r="K291">
        <f t="shared" si="40"/>
        <v>87.887498641694222</v>
      </c>
    </row>
    <row r="292" spans="2:11" s="14" customFormat="1">
      <c r="B292">
        <v>273</v>
      </c>
      <c r="C292">
        <f>(C$10-SUM(C$20:C291))/(ABS(C$11)+C$10-SUM(C290:C291))</f>
        <v>1.1227441051098592E-2</v>
      </c>
      <c r="D292">
        <f>(D$10-SUM(D$20:D291))/(ABS(D$11)+D$10-SUM(D290:D291))</f>
        <v>3.148427704678386E-2</v>
      </c>
      <c r="E292">
        <f>(E$10-SUM(E$20:E291))/(ABS(E$11)+E$10-SUM(E290:E291))</f>
        <v>5.9982498208222247E-2</v>
      </c>
      <c r="F292">
        <f>(F$10-SUM(F$20:F291))/(ABS(F$11)+F$10-SUM(F290:F291))</f>
        <v>9.3308599607984571E-2</v>
      </c>
      <c r="G292"/>
      <c r="H292">
        <f t="shared" si="37"/>
        <v>39.22556418921458</v>
      </c>
      <c r="I292">
        <f t="shared" si="38"/>
        <v>57.199915449599821</v>
      </c>
      <c r="J292">
        <f t="shared" si="39"/>
        <v>73.46920304764636</v>
      </c>
      <c r="K292">
        <f t="shared" si="40"/>
        <v>87.980807241302202</v>
      </c>
    </row>
    <row r="293" spans="2:11">
      <c r="B293">
        <v>274</v>
      </c>
      <c r="C293">
        <f>(C$10-SUM(C$20:C292))/(ABS(C$11)+C$10-SUM(C291:C292))</f>
        <v>1.1066944567185544E-2</v>
      </c>
      <c r="D293">
        <f>(D$10-SUM(D$20:D292))/(ABS(D$11)+D$10-SUM(D291:D292))</f>
        <v>3.1133956004173298E-2</v>
      </c>
      <c r="E293">
        <f>(E$10-SUM(E$20:E292))/(ABS(E$11)+E$10-SUM(E291:E292))</f>
        <v>5.9435999753316072E-2</v>
      </c>
      <c r="F293">
        <f>(F$10-SUM(F$20:F292))/(ABS(F$11)+F$10-SUM(F291:F292))</f>
        <v>9.2588758325882203E-2</v>
      </c>
      <c r="H293">
        <f t="shared" si="37"/>
        <v>39.236631133781763</v>
      </c>
      <c r="I293">
        <f t="shared" si="38"/>
        <v>57.231049405603997</v>
      </c>
      <c r="J293">
        <f t="shared" si="39"/>
        <v>73.528639047399679</v>
      </c>
      <c r="K293">
        <f t="shared" si="40"/>
        <v>88.07339599962809</v>
      </c>
    </row>
    <row r="294" spans="2:11">
      <c r="B294">
        <v>275</v>
      </c>
      <c r="C294">
        <f>(C$10-SUM(C$20:C293))/(ABS(C$11)+C$10-SUM(C292:C293))</f>
        <v>1.0908743856576945E-2</v>
      </c>
      <c r="D294">
        <f>(D$10-SUM(D$20:D293))/(ABS(D$11)+D$10-SUM(D292:D293))</f>
        <v>3.0787538396115068E-2</v>
      </c>
      <c r="E294">
        <f>(E$10-SUM(E$20:E293))/(ABS(E$11)+E$10-SUM(E292:E293))</f>
        <v>5.8894491311736158E-2</v>
      </c>
      <c r="F294">
        <f>(F$10-SUM(F$20:F293))/(ABS(F$11)+F$10-SUM(F292:F293))</f>
        <v>9.1874486343420644E-2</v>
      </c>
      <c r="H294">
        <f t="shared" si="37"/>
        <v>39.247539877638339</v>
      </c>
      <c r="I294">
        <f t="shared" si="38"/>
        <v>57.261836944000109</v>
      </c>
      <c r="J294">
        <f t="shared" si="39"/>
        <v>73.587533538711412</v>
      </c>
      <c r="K294">
        <f t="shared" si="40"/>
        <v>88.165270485971504</v>
      </c>
    </row>
    <row r="295" spans="2:11">
      <c r="B295">
        <v>276</v>
      </c>
      <c r="C295">
        <f>(C$10-SUM(C$20:C294))/(ABS(C$11)+C$10-SUM(C293:C294))</f>
        <v>1.0752806038240557E-2</v>
      </c>
      <c r="D295">
        <f>(D$10-SUM(D$20:D294))/(ABS(D$11)+D$10-SUM(D293:D294))</f>
        <v>3.0444980607734557E-2</v>
      </c>
      <c r="E295">
        <f>(E$10-SUM(E$20:E294))/(ABS(E$11)+E$10-SUM(E293:E294))</f>
        <v>5.8357927122386535E-2</v>
      </c>
      <c r="F295">
        <f>(F$10-SUM(F$20:F294))/(ABS(F$11)+F$10-SUM(F293:F294))</f>
        <v>9.1165740325319877E-2</v>
      </c>
      <c r="H295">
        <f t="shared" si="37"/>
        <v>39.258292683676579</v>
      </c>
      <c r="I295">
        <f t="shared" si="38"/>
        <v>57.292281924607842</v>
      </c>
      <c r="J295">
        <f t="shared" si="39"/>
        <v>73.645891465833799</v>
      </c>
      <c r="K295">
        <f t="shared" si="40"/>
        <v>88.256436226296827</v>
      </c>
    </row>
    <row r="296" spans="2:11">
      <c r="B296">
        <v>277</v>
      </c>
      <c r="C296">
        <f>(C$10-SUM(C$20:C295))/(ABS(C$11)+C$10-SUM(C294:C295))</f>
        <v>1.059909870326888E-2</v>
      </c>
      <c r="D296">
        <f>(D$10-SUM(D$20:D295))/(ABS(D$11)+D$10-SUM(D294:D295))</f>
        <v>3.0106239514170491E-2</v>
      </c>
      <c r="E296">
        <f>(E$10-SUM(E$20:E295))/(ABS(E$11)+E$10-SUM(E294:E295))</f>
        <v>5.7826261847425606E-2</v>
      </c>
      <c r="F296">
        <f>(F$10-SUM(F$20:F295))/(ABS(F$11)+F$10-SUM(F294:F295))</f>
        <v>9.0462477277300196E-2</v>
      </c>
      <c r="H296">
        <f t="shared" si="37"/>
        <v>39.268891782379846</v>
      </c>
      <c r="I296">
        <f t="shared" si="38"/>
        <v>57.32238816412201</v>
      </c>
      <c r="J296">
        <f t="shared" si="39"/>
        <v>73.703717727681223</v>
      </c>
      <c r="K296">
        <f t="shared" si="40"/>
        <v>88.346898703574126</v>
      </c>
    </row>
    <row r="297" spans="2:11">
      <c r="B297">
        <v>278</v>
      </c>
      <c r="C297">
        <f>(C$10-SUM(C$20:C296))/(ABS(C$11)+C$10-SUM(C295:C296))</f>
        <v>1.0447589908066416E-2</v>
      </c>
      <c r="D297">
        <f>(D$10-SUM(D$20:D296))/(ABS(D$11)+D$10-SUM(D295:D296))</f>
        <v>2.9771272475010369E-2</v>
      </c>
      <c r="E297">
        <f>(E$10-SUM(E$20:E296))/(ABS(E$11)+E$10-SUM(E295:E296))</f>
        <v>5.729945056828608E-2</v>
      </c>
      <c r="F297">
        <f>(F$10-SUM(F$20:F296))/(ABS(F$11)+F$10-SUM(F295:F296))</f>
        <v>8.9764654543340733E-2</v>
      </c>
      <c r="H297">
        <f t="shared" si="37"/>
        <v>39.279339372287915</v>
      </c>
      <c r="I297">
        <f t="shared" si="38"/>
        <v>57.35215943659702</v>
      </c>
      <c r="J297">
        <f t="shared" si="39"/>
        <v>73.761017178249503</v>
      </c>
      <c r="K297">
        <f t="shared" si="40"/>
        <v>88.436663358117471</v>
      </c>
    </row>
    <row r="298" spans="2:11">
      <c r="B298">
        <v>279</v>
      </c>
      <c r="C298">
        <f>(C$10-SUM(C$20:C297))/(ABS(C$11)+C$10-SUM(C296:C297))</f>
        <v>1.0298248167635886E-2</v>
      </c>
      <c r="D298">
        <f>(D$10-SUM(D$20:D297))/(ABS(D$11)+D$10-SUM(D296:D297))</f>
        <v>2.9440037328789959E-2</v>
      </c>
      <c r="E298">
        <f>(E$10-SUM(E$20:E297))/(ABS(E$11)+E$10-SUM(E296:E297))</f>
        <v>5.6777448781733103E-2</v>
      </c>
      <c r="F298">
        <f>(F$10-SUM(F$20:F297))/(ABS(F$11)+F$10-SUM(F296:F297))</f>
        <v>8.9072229802959882E-2</v>
      </c>
      <c r="H298">
        <f t="shared" si="37"/>
        <v>39.289637620455551</v>
      </c>
      <c r="I298">
        <f t="shared" si="38"/>
        <v>57.38159947392581</v>
      </c>
      <c r="J298">
        <f t="shared" si="39"/>
        <v>73.817794627031233</v>
      </c>
      <c r="K298">
        <f t="shared" si="40"/>
        <v>88.525735587920437</v>
      </c>
    </row>
    <row r="299" spans="2:11">
      <c r="B299">
        <v>280</v>
      </c>
      <c r="C299">
        <f>(C$10-SUM(C$20:C298))/(ABS(C$11)+C$10-SUM(C297:C298))</f>
        <v>1.0151042448962784E-2</v>
      </c>
      <c r="D299">
        <f>(D$10-SUM(D$20:D298))/(ABS(D$11)+D$10-SUM(D297:D298))</f>
        <v>2.9112492387556779E-2</v>
      </c>
      <c r="E299">
        <f>(E$10-SUM(E$20:E298))/(ABS(E$11)+E$10-SUM(E297:E298))</f>
        <v>5.626021239596065E-2</v>
      </c>
      <c r="F299">
        <f>(F$10-SUM(F$20:F298))/(ABS(F$11)+F$10-SUM(F297:F298))</f>
        <v>8.8385161068519263E-2</v>
      </c>
      <c r="H299">
        <f t="shared" si="37"/>
        <v>39.299788662904511</v>
      </c>
      <c r="I299">
        <f t="shared" si="38"/>
        <v>57.410711966313364</v>
      </c>
      <c r="J299">
        <f t="shared" si="39"/>
        <v>73.874054839427188</v>
      </c>
      <c r="K299">
        <f t="shared" si="40"/>
        <v>88.614120748988952</v>
      </c>
    </row>
    <row r="300" spans="2:11">
      <c r="B300">
        <v>281</v>
      </c>
      <c r="C300">
        <f>(C$10-SUM(C$20:C299))/(ABS(C$11)+C$10-SUM(C298:C299))</f>
        <v>1.0005942164495763E-2</v>
      </c>
      <c r="D300">
        <f>(D$10-SUM(D$20:D299))/(ABS(D$11)+D$10-SUM(D298:D299))</f>
        <v>2.8788596431496474E-2</v>
      </c>
      <c r="E300">
        <f>(E$10-SUM(E$20:E299))/(ABS(E$11)+E$10-SUM(E298:E299))</f>
        <v>5.5747697726726199E-2</v>
      </c>
      <c r="F300">
        <f>(F$10-SUM(F$20:F299))/(ABS(F$11)+F$10-SUM(F298:F299))</f>
        <v>8.7703406682549778E-2</v>
      </c>
      <c r="H300">
        <f t="shared" si="37"/>
        <v>39.309794605069008</v>
      </c>
      <c r="I300">
        <f t="shared" si="38"/>
        <v>57.439500562744861</v>
      </c>
      <c r="J300">
        <f t="shared" si="39"/>
        <v>73.929802537153918</v>
      </c>
      <c r="K300">
        <f t="shared" si="40"/>
        <v>88.701824155671503</v>
      </c>
    </row>
    <row r="301" spans="2:11">
      <c r="B301">
        <v>282</v>
      </c>
      <c r="C301">
        <f>(C$10-SUM(C$20:C300))/(ABS(C$11)+C$10-SUM(C299:C300))</f>
        <v>9.8629171657220703E-3</v>
      </c>
      <c r="D301">
        <f>(D$10-SUM(D$20:D300))/(ABS(D$11)+D$10-SUM(D299:D300))</f>
        <v>2.846830870362128E-2</v>
      </c>
      <c r="E301">
        <f>(E$10-SUM(E$20:E300))/(ABS(E$11)+E$10-SUM(E299:E300))</f>
        <v>5.5239861493522162E-2</v>
      </c>
      <c r="F301">
        <f>(F$10-SUM(F$20:F300))/(ABS(F$11)+F$10-SUM(F299:F300))</f>
        <v>8.702692531510009E-2</v>
      </c>
      <c r="H301">
        <f t="shared" si="37"/>
        <v>39.319657522234728</v>
      </c>
      <c r="I301">
        <f t="shared" si="38"/>
        <v>57.467968871448484</v>
      </c>
      <c r="J301">
        <f t="shared" si="39"/>
        <v>73.985042398647437</v>
      </c>
      <c r="K301">
        <f t="shared" si="40"/>
        <v>88.788851080986603</v>
      </c>
    </row>
    <row r="302" spans="2:11">
      <c r="B302">
        <v>283</v>
      </c>
      <c r="C302">
        <f>(C$10-SUM(C$20:C301))/(ABS(C$11)+C$10-SUM(C300:C301))</f>
        <v>9.7219377368368935E-3</v>
      </c>
      <c r="D302">
        <f>(D$10-SUM(D$20:D301))/(ABS(D$11)+D$10-SUM(D300:D301))</f>
        <v>2.8151588904520276E-2</v>
      </c>
      <c r="E302">
        <f>(E$10-SUM(E$20:E301))/(ABS(E$11)+E$10-SUM(E300:E301))</f>
        <v>5.4736660815785217E-2</v>
      </c>
      <c r="F302">
        <f>(F$10-SUM(F$20:F301))/(ABS(F$11)+F$10-SUM(F300:F301))</f>
        <v>8.6355675961107395E-2</v>
      </c>
      <c r="H302">
        <f t="shared" si="37"/>
        <v>39.329379459971562</v>
      </c>
      <c r="I302">
        <f t="shared" si="38"/>
        <v>57.496120460353005</v>
      </c>
      <c r="J302">
        <f t="shared" si="39"/>
        <v>74.039779059463228</v>
      </c>
      <c r="K302">
        <f t="shared" si="40"/>
        <v>88.875206756947705</v>
      </c>
    </row>
    <row r="303" spans="2:11">
      <c r="B303">
        <v>284</v>
      </c>
      <c r="C303">
        <f>(C$10-SUM(C$20:C302))/(ABS(C$11)+C$10-SUM(C301:C302))</f>
        <v>9.582974588504118E-3</v>
      </c>
      <c r="D303">
        <f>(D$10-SUM(D$20:D302))/(ABS(D$11)+D$10-SUM(D301:D302))</f>
        <v>2.7838397187170082E-2</v>
      </c>
      <c r="E303">
        <f>(E$10-SUM(E$20:E302))/(ABS(E$11)+E$10-SUM(E301:E302))</f>
        <v>5.4238053209141275E-2</v>
      </c>
      <c r="F303">
        <f>(F$10-SUM(F$20:F302))/(ABS(F$11)+F$10-SUM(F301:F302))</f>
        <v>8.5689617937790105E-2</v>
      </c>
      <c r="H303">
        <f t="shared" si="37"/>
        <v>39.338962434560067</v>
      </c>
      <c r="I303">
        <f t="shared" si="38"/>
        <v>57.523958857540173</v>
      </c>
      <c r="J303">
        <f t="shared" si="39"/>
        <v>74.094017112672375</v>
      </c>
      <c r="K303">
        <f t="shared" si="40"/>
        <v>88.960896374885493</v>
      </c>
    </row>
    <row r="304" spans="2:11">
      <c r="B304">
        <v>285</v>
      </c>
      <c r="C304">
        <f>(C$10-SUM(C$20:C303))/(ABS(C$11)+C$10-SUM(C302:C303))</f>
        <v>9.4459988517084422E-3</v>
      </c>
      <c r="D304">
        <f>(D$10-SUM(D$20:D303))/(ABS(D$11)+D$10-SUM(D302:D303))</f>
        <v>2.7528694151805661E-2</v>
      </c>
      <c r="E304">
        <f>(E$10-SUM(E$20:E303))/(ABS(E$11)+E$10-SUM(E302:E303))</f>
        <v>5.3743996581687915E-2</v>
      </c>
      <c r="F304">
        <f>(F$10-SUM(F$20:F303))/(ABS(F$11)+F$10-SUM(F302:F303))</f>
        <v>8.5028710882061959E-2</v>
      </c>
      <c r="H304">
        <f t="shared" si="37"/>
        <v>39.348408433411777</v>
      </c>
      <c r="I304">
        <f t="shared" si="38"/>
        <v>57.551487551691977</v>
      </c>
      <c r="J304">
        <f t="shared" si="39"/>
        <v>74.147761109254063</v>
      </c>
      <c r="K304">
        <f t="shared" si="40"/>
        <v>89.04592508576755</v>
      </c>
    </row>
    <row r="305" spans="2:11">
      <c r="B305">
        <v>286</v>
      </c>
      <c r="C305">
        <f>(C$10-SUM(C$20:C304))/(ABS(C$11)+C$10-SUM(C303:C304))</f>
        <v>9.3109820716966839E-3</v>
      </c>
      <c r="D305">
        <f>(D$10-SUM(D$20:D304))/(ABS(D$11)+D$10-SUM(D303:D304))</f>
        <v>2.722244084085031E-2</v>
      </c>
      <c r="E305">
        <f>(E$10-SUM(E$20:E304))/(ABS(E$11)+E$10-SUM(E303:E304))</f>
        <v>5.3254449230311897E-2</v>
      </c>
      <c r="F305">
        <f>(F$10-SUM(F$20:F304))/(ABS(F$11)+F$10-SUM(F303:F304))</f>
        <v>8.4372914747968333E-2</v>
      </c>
      <c r="H305">
        <f t="shared" si="37"/>
        <v>39.357719415483473</v>
      </c>
      <c r="I305">
        <f t="shared" si="38"/>
        <v>57.578709992532829</v>
      </c>
      <c r="J305">
        <f t="shared" si="39"/>
        <v>74.201015558484372</v>
      </c>
      <c r="K305">
        <f t="shared" si="40"/>
        <v>89.130298000515523</v>
      </c>
    </row>
    <row r="306" spans="2:11">
      <c r="B306">
        <v>287</v>
      </c>
      <c r="C306">
        <f>(C$10-SUM(C$20:C305))/(ABS(C$11)+C$10-SUM(C304:C305))</f>
        <v>9.1778962020072161E-3</v>
      </c>
      <c r="D306">
        <f>(D$10-SUM(D$20:D305))/(ABS(D$11)+D$10-SUM(D304:D305))</f>
        <v>2.6919598733904433E-2</v>
      </c>
      <c r="E306">
        <f>(E$10-SUM(E$20:E305))/(ABS(E$11)+E$10-SUM(E304:E305))</f>
        <v>5.276936983704246E-2</v>
      </c>
      <c r="F306">
        <f>(F$10-SUM(F$20:F305))/(ABS(F$11)+F$10-SUM(F304:F305))</f>
        <v>8.3722189804143116E-2</v>
      </c>
      <c r="H306">
        <f t="shared" si="37"/>
        <v>39.366897311685477</v>
      </c>
      <c r="I306">
        <f t="shared" si="38"/>
        <v>57.605629591266734</v>
      </c>
      <c r="J306">
        <f t="shared" si="39"/>
        <v>74.253784928321409</v>
      </c>
      <c r="K306">
        <f t="shared" si="40"/>
        <v>89.214020190319673</v>
      </c>
    </row>
    <row r="307" spans="2:11">
      <c r="B307">
        <v>288</v>
      </c>
      <c r="C307">
        <f>(C$10-SUM(C$20:C306))/(ABS(C$11)+C$10-SUM(C305:C306))</f>
        <v>9.0467135985860571E-3</v>
      </c>
      <c r="D307">
        <f>(D$10-SUM(D$20:D306))/(ABS(D$11)+D$10-SUM(D305:D306))</f>
        <v>2.6620129742792063E-2</v>
      </c>
      <c r="E307">
        <f>(E$10-SUM(E$20:E306))/(ABS(E$11)+E$10-SUM(E305:E306))</f>
        <v>5.2288717465440102E-2</v>
      </c>
      <c r="F307">
        <f>(F$10-SUM(F$20:F306))/(ABS(F$11)+F$10-SUM(F305:F306))</f>
        <v>8.3076496631287605E-2</v>
      </c>
      <c r="H307">
        <f t="shared" si="37"/>
        <v>39.375944025284063</v>
      </c>
      <c r="I307">
        <f t="shared" si="38"/>
        <v>57.632249721009529</v>
      </c>
      <c r="J307">
        <f t="shared" si="39"/>
        <v>74.306073645786853</v>
      </c>
      <c r="K307">
        <f t="shared" si="40"/>
        <v>89.297096686950965</v>
      </c>
    </row>
    <row r="308" spans="2:11">
      <c r="B308">
        <v>289</v>
      </c>
      <c r="C308">
        <f>(C$10-SUM(C$20:C307))/(ABS(C$11)+C$10-SUM(C306:C307))</f>
        <v>8.9174070139885677E-3</v>
      </c>
      <c r="D308">
        <f>(D$10-SUM(D$20:D307))/(ABS(D$11)+D$10-SUM(D306:D307))</f>
        <v>2.632399620666441E-2</v>
      </c>
      <c r="E308">
        <f>(E$10-SUM(E$20:E307))/(ABS(E$11)+E$10-SUM(E306:E307))</f>
        <v>5.1812451557019822E-2</v>
      </c>
      <c r="F308">
        <f>(F$10-SUM(F$20:F307))/(ABS(F$11)+F$10-SUM(F306:F307))</f>
        <v>8.2435796119669655E-2</v>
      </c>
      <c r="H308">
        <f t="shared" si="37"/>
        <v>39.384861432298052</v>
      </c>
      <c r="I308">
        <f t="shared" si="38"/>
        <v>57.658573717216193</v>
      </c>
      <c r="J308">
        <f t="shared" si="39"/>
        <v>74.357886097343879</v>
      </c>
      <c r="K308">
        <f t="shared" si="40"/>
        <v>89.379532483070633</v>
      </c>
    </row>
    <row r="309" spans="2:11">
      <c r="B309">
        <v>290</v>
      </c>
      <c r="C309">
        <f>(C$10-SUM(C$20:C308))/(ABS(C$11)+C$10-SUM(C307:C308))</f>
        <v>8.7899495916655829E-3</v>
      </c>
      <c r="D309">
        <f>(D$10-SUM(D$20:D308))/(ABS(D$11)+D$10-SUM(D307:D308))</f>
        <v>2.6031160887160305E-2</v>
      </c>
      <c r="E309">
        <f>(E$10-SUM(E$20:E308))/(ABS(E$11)+E$10-SUM(E307:E308))</f>
        <v>5.1340531927709362E-2</v>
      </c>
      <c r="F309">
        <f>(F$10-SUM(F$20:F308))/(ABS(F$11)+F$10-SUM(F307:F308))</f>
        <v>8.1800049466644084E-2</v>
      </c>
      <c r="H309">
        <f t="shared" si="37"/>
        <v>39.393651381889718</v>
      </c>
      <c r="I309">
        <f t="shared" si="38"/>
        <v>57.68460487810335</v>
      </c>
      <c r="J309">
        <f t="shared" si="39"/>
        <v>74.409226629271586</v>
      </c>
      <c r="K309">
        <f t="shared" si="40"/>
        <v>89.461332532537284</v>
      </c>
    </row>
    <row r="310" spans="2:11">
      <c r="B310">
        <v>291</v>
      </c>
      <c r="C310">
        <f>(C$10-SUM(C$20:C309))/(ABS(C$11)+C$10-SUM(C308:C309))</f>
        <v>8.6643148603322475E-3</v>
      </c>
      <c r="D310">
        <f>(D$10-SUM(D$20:D309))/(ABS(D$11)+D$10-SUM(D308:D309))</f>
        <v>2.574158696362194E-2</v>
      </c>
      <c r="E310">
        <f>(E$10-SUM(E$20:E309))/(ABS(E$11)+E$10-SUM(E308:E309))</f>
        <v>5.0872918764341198E-2</v>
      </c>
      <c r="F310">
        <f>(F$10-SUM(F$20:F309))/(ABS(F$11)+F$10-SUM(F308:F309))</f>
        <v>8.1169218174193342E-2</v>
      </c>
      <c r="H310">
        <f t="shared" si="37"/>
        <v>39.402315696750051</v>
      </c>
      <c r="I310">
        <f t="shared" si="38"/>
        <v>57.710346465066969</v>
      </c>
      <c r="J310">
        <f t="shared" si="39"/>
        <v>74.460099548035927</v>
      </c>
      <c r="K310">
        <f t="shared" si="40"/>
        <v>89.54250175071148</v>
      </c>
    </row>
    <row r="311" spans="2:11">
      <c r="B311">
        <v>292</v>
      </c>
      <c r="C311">
        <f>(C$10-SUM(C$20:C310))/(ABS(C$11)+C$10-SUM(C309:C310))</f>
        <v>8.5404767284187541E-3</v>
      </c>
      <c r="D311">
        <f>(D$10-SUM(D$20:D310))/(ABS(D$11)+D$10-SUM(D309:D310))</f>
        <v>2.5455238028366165E-2</v>
      </c>
      <c r="E311">
        <f>(E$10-SUM(E$20:E310))/(ABS(E$11)+E$10-SUM(E309:E310))</f>
        <v>5.0409572621178136E-2</v>
      </c>
      <c r="F311">
        <f>(F$10-SUM(F$20:F310))/(ABS(F$11)+F$10-SUM(F309:F310))</f>
        <v>8.0543264046489066E-2</v>
      </c>
      <c r="H311">
        <f t="shared" si="37"/>
        <v>39.410856173478471</v>
      </c>
      <c r="I311">
        <f t="shared" si="38"/>
        <v>57.735801703095333</v>
      </c>
      <c r="J311">
        <f t="shared" si="39"/>
        <v>74.510509120657105</v>
      </c>
      <c r="K311">
        <f t="shared" si="40"/>
        <v>89.623045014757963</v>
      </c>
    </row>
    <row r="312" spans="2:11">
      <c r="B312">
        <v>293</v>
      </c>
      <c r="C312">
        <f>(C$10-SUM(C$20:C311))/(ABS(C$11)+C$10-SUM(C310:C311))</f>
        <v>8.4184094786016669E-3</v>
      </c>
      <c r="D312">
        <f>(D$10-SUM(D$20:D311))/(ABS(D$11)+D$10-SUM(D310:D311))</f>
        <v>2.5172078082010177E-2</v>
      </c>
      <c r="E312">
        <f>(E$10-SUM(E$20:E311))/(ABS(E$11)+E$10-SUM(E310:E311))</f>
        <v>4.9950454416473042E-2</v>
      </c>
      <c r="F312">
        <f>(F$10-SUM(F$20:F311))/(ABS(F$11)+F$10-SUM(F310:F311))</f>
        <v>7.9922149187473493E-2</v>
      </c>
      <c r="H312">
        <f t="shared" si="37"/>
        <v>39.419274582957073</v>
      </c>
      <c r="I312">
        <f t="shared" si="38"/>
        <v>57.760973781177341</v>
      </c>
      <c r="J312">
        <f t="shared" si="39"/>
        <v>74.56045957507358</v>
      </c>
      <c r="K312">
        <f t="shared" si="40"/>
        <v>89.702967163945431</v>
      </c>
    </row>
    <row r="313" spans="2:11">
      <c r="B313">
        <v>294</v>
      </c>
      <c r="C313">
        <f>(C$10-SUM(C$20:C312))/(ABS(C$11)+C$10-SUM(C311:C312))</f>
        <v>8.2980877624146583E-3</v>
      </c>
      <c r="D313">
        <f>(D$10-SUM(D$20:D312))/(ABS(D$11)+D$10-SUM(D311:D312))</f>
        <v>2.489207152885102E-2</v>
      </c>
      <c r="E313">
        <f>(E$10-SUM(E$20:E312))/(ABS(E$11)+E$10-SUM(E311:E312))</f>
        <v>4.9495525429061125E-2</v>
      </c>
      <c r="F313">
        <f>(F$10-SUM(F$20:F312))/(ABS(F$11)+F$10-SUM(F311:F312))</f>
        <v>7.9305835998460986E-2</v>
      </c>
      <c r="H313">
        <f t="shared" si="37"/>
        <v>39.427572670719485</v>
      </c>
      <c r="I313">
        <f t="shared" si="38"/>
        <v>57.785865852706195</v>
      </c>
      <c r="J313">
        <f t="shared" si="39"/>
        <v>74.609955100502646</v>
      </c>
      <c r="K313">
        <f t="shared" si="40"/>
        <v>89.782272999943885</v>
      </c>
    </row>
    <row r="314" spans="2:11">
      <c r="B314">
        <v>295</v>
      </c>
      <c r="C314">
        <f>(C$10-SUM(C$20:C313))/(ABS(C$11)+C$10-SUM(C312:C313))</f>
        <v>8.1794865949373196E-3</v>
      </c>
      <c r="D314">
        <f>(D$10-SUM(D$20:D313))/(ABS(D$11)+D$10-SUM(D312:D313))</f>
        <v>2.4615183172298244E-2</v>
      </c>
      <c r="E314">
        <f>(E$10-SUM(E$20:E313))/(ABS(E$11)+E$10-SUM(E312:E313))</f>
        <v>4.9044747294985286E-2</v>
      </c>
      <c r="F314">
        <f>(F$10-SUM(F$20:F313))/(ABS(F$11)+F$10-SUM(F312:F313))</f>
        <v>7.8694287175759658E-2</v>
      </c>
      <c r="H314">
        <f t="shared" si="37"/>
        <v>39.435752157314425</v>
      </c>
      <c r="I314">
        <f t="shared" si="38"/>
        <v>57.810481035878496</v>
      </c>
      <c r="J314">
        <f t="shared" si="39"/>
        <v>74.658999847797631</v>
      </c>
      <c r="K314">
        <f t="shared" si="40"/>
        <v>89.860967287119649</v>
      </c>
    </row>
    <row r="315" spans="2:11">
      <c r="B315">
        <v>296</v>
      </c>
      <c r="C315">
        <f>(C$10-SUM(C$20:C314))/(ABS(C$11)+C$10-SUM(C313:C314))</f>
        <v>8.0625813495610599E-3</v>
      </c>
      <c r="D315">
        <f>(D$10-SUM(D$20:D314))/(ABS(D$11)+D$10-SUM(D313:D314))</f>
        <v>2.4341378210359348E-2</v>
      </c>
      <c r="E315">
        <f>(E$10-SUM(E$20:E314))/(ABS(E$11)+E$10-SUM(E313:E314))</f>
        <v>4.8598082004153859E-2</v>
      </c>
      <c r="F315">
        <f>(F$10-SUM(F$20:F314))/(ABS(F$11)+F$10-SUM(F313:F314))</f>
        <v>7.8087465708312515E-2</v>
      </c>
      <c r="H315">
        <f t="shared" ref="H315:H378" si="41">H314+C315</f>
        <v>39.443814738663988</v>
      </c>
      <c r="I315">
        <f t="shared" ref="I315:I378" si="42">I314+D315</f>
        <v>57.834822414088855</v>
      </c>
      <c r="J315">
        <f t="shared" ref="J315:J378" si="43">J314+E315</f>
        <v>74.707597929801778</v>
      </c>
      <c r="K315">
        <f t="shared" ref="K315:K378" si="44">K314+F315</f>
        <v>89.939054752827957</v>
      </c>
    </row>
    <row r="316" spans="2:11">
      <c r="B316">
        <v>297</v>
      </c>
      <c r="C316">
        <f>(C$10-SUM(C$20:C315))/(ABS(C$11)+C$10-SUM(C314:C315))</f>
        <v>7.9473477528313099E-3</v>
      </c>
      <c r="D316">
        <f>(D$10-SUM(D$20:D315))/(ABS(D$11)+D$10-SUM(D314:D315))</f>
        <v>2.4070622231176939E-2</v>
      </c>
      <c r="E316">
        <f>(E$10-SUM(E$20:E315))/(ABS(E$11)+E$10-SUM(E314:E315))</f>
        <v>4.8155491897030354E-2</v>
      </c>
      <c r="F316">
        <f>(F$10-SUM(F$20:F315))/(ABS(F$11)+F$10-SUM(F314:F315))</f>
        <v>7.7485334875358552E-2</v>
      </c>
      <c r="H316">
        <f t="shared" si="41"/>
        <v>39.451762086416821</v>
      </c>
      <c r="I316">
        <f t="shared" si="42"/>
        <v>57.858893036320033</v>
      </c>
      <c r="J316">
        <f t="shared" si="43"/>
        <v>74.755753421698813</v>
      </c>
      <c r="K316">
        <f t="shared" si="44"/>
        <v>90.016540087703319</v>
      </c>
    </row>
    <row r="317" spans="2:11">
      <c r="B317">
        <v>298</v>
      </c>
      <c r="C317">
        <f>(C$10-SUM(C$20:C316))/(ABS(C$11)+C$10-SUM(C315:C316))</f>
        <v>7.8337618793638975E-3</v>
      </c>
      <c r="D317">
        <f>(D$10-SUM(D$20:D316))/(ABS(D$11)+D$10-SUM(D315:D316))</f>
        <v>2.3802881208617198E-2</v>
      </c>
      <c r="E317">
        <f>(E$10-SUM(E$20:E316))/(ABS(E$11)+E$10-SUM(E315:E316))</f>
        <v>4.7716939661354998E-2</v>
      </c>
      <c r="F317">
        <f>(F$10-SUM(F$20:F316))/(ABS(F$11)+F$10-SUM(F315:F316))</f>
        <v>7.6887858244112303E-2</v>
      </c>
      <c r="H317">
        <f t="shared" si="41"/>
        <v>39.459595848296182</v>
      </c>
      <c r="I317">
        <f t="shared" si="42"/>
        <v>57.88269591752865</v>
      </c>
      <c r="J317">
        <f t="shared" si="43"/>
        <v>74.803470361360169</v>
      </c>
      <c r="K317">
        <f t="shared" si="44"/>
        <v>90.093427945947425</v>
      </c>
    </row>
    <row r="318" spans="2:11">
      <c r="B318">
        <v>299</v>
      </c>
      <c r="C318">
        <f>(C$10-SUM(C$20:C317))/(ABS(C$11)+C$10-SUM(C316:C317))</f>
        <v>7.7218001468356175E-3</v>
      </c>
      <c r="D318">
        <f>(D$10-SUM(D$20:D317))/(ABS(D$11)+D$10-SUM(D316:D317))</f>
        <v>2.35381214979094E-2</v>
      </c>
      <c r="E318">
        <f>(E$10-SUM(E$20:E317))/(ABS(E$11)+E$10-SUM(E316:E317))</f>
        <v>4.7282388328898278E-2</v>
      </c>
      <c r="F318">
        <f>(F$10-SUM(F$20:F317))/(ABS(F$11)+F$10-SUM(F316:F317))</f>
        <v>7.6294999667463781E-2</v>
      </c>
      <c r="H318">
        <f t="shared" si="41"/>
        <v>39.467317648443014</v>
      </c>
      <c r="I318">
        <f t="shared" si="42"/>
        <v>57.906234039026558</v>
      </c>
      <c r="J318">
        <f t="shared" si="43"/>
        <v>74.850752749689065</v>
      </c>
      <c r="K318">
        <f t="shared" si="44"/>
        <v>90.169722945614893</v>
      </c>
    </row>
    <row r="319" spans="2:11">
      <c r="B319">
        <v>300</v>
      </c>
      <c r="C319">
        <f>(C$10-SUM(C$20:C318))/(ABS(C$11)+C$10-SUM(C317:C318))</f>
        <v>7.6114393110471032E-3</v>
      </c>
      <c r="D319">
        <f>(D$10-SUM(D$20:D318))/(ABS(D$11)+D$10-SUM(D317:D318))</f>
        <v>2.3276309831335176E-2</v>
      </c>
      <c r="E319">
        <f>(E$10-SUM(E$20:E318))/(ABS(E$11)+E$10-SUM(E317:E318))</f>
        <v>4.6851801272244829E-2</v>
      </c>
      <c r="F319">
        <f>(F$10-SUM(F$20:F318))/(ABS(F$11)+F$10-SUM(F317:F318))</f>
        <v>7.5706723281696295E-2</v>
      </c>
      <c r="H319">
        <f t="shared" si="41"/>
        <v>39.474929087754063</v>
      </c>
      <c r="I319">
        <f t="shared" si="42"/>
        <v>57.929510348857896</v>
      </c>
      <c r="J319">
        <f t="shared" si="43"/>
        <v>74.897604550961304</v>
      </c>
      <c r="K319">
        <f t="shared" si="44"/>
        <v>90.245429668896591</v>
      </c>
    </row>
    <row r="320" spans="2:11">
      <c r="B320">
        <v>301</v>
      </c>
      <c r="C320">
        <f>(C$10-SUM(C$20:C319))/(ABS(C$11)+C$10-SUM(C318:C319))</f>
        <v>7.5026564610574942E-3</v>
      </c>
      <c r="D320">
        <f>(D$10-SUM(D$20:D319))/(ABS(D$11)+D$10-SUM(D318:D319))</f>
        <v>2.3017413313967415E-2</v>
      </c>
      <c r="E320">
        <f>(E$10-SUM(E$20:E319))/(ABS(E$11)+E$10-SUM(E318:E319))</f>
        <v>4.6425142201608746E-2</v>
      </c>
      <c r="F320">
        <f>(F$10-SUM(F$20:F319))/(ABS(F$11)+F$10-SUM(F318:F319))</f>
        <v>7.5122993504224231E-2</v>
      </c>
      <c r="H320">
        <f t="shared" si="41"/>
        <v>39.48243174421512</v>
      </c>
      <c r="I320">
        <f t="shared" si="42"/>
        <v>57.952527762171862</v>
      </c>
      <c r="J320">
        <f t="shared" si="43"/>
        <v>74.944029693162918</v>
      </c>
      <c r="K320">
        <f t="shared" si="44"/>
        <v>90.320552662400814</v>
      </c>
    </row>
    <row r="321" spans="2:11">
      <c r="B321">
        <v>302</v>
      </c>
      <c r="C321">
        <f>(C$10-SUM(C$20:C320))/(ABS(C$11)+C$10-SUM(C319:C320))</f>
        <v>7.3954290143897067E-3</v>
      </c>
      <c r="D321">
        <f>(D$10-SUM(D$20:D320))/(ABS(D$11)+D$10-SUM(D319:D320))</f>
        <v>2.276139941945847E-2</v>
      </c>
      <c r="E321">
        <f>(E$10-SUM(E$20:E320))/(ABS(E$11)+E$10-SUM(E319:E320))</f>
        <v>4.6002375161679099E-2</v>
      </c>
      <c r="F321">
        <f>(F$10-SUM(F$20:F320))/(ABS(F$11)+F$10-SUM(F319:F320))</f>
        <v>7.4543775031348597E-2</v>
      </c>
      <c r="H321">
        <f t="shared" si="41"/>
        <v>39.489827173229507</v>
      </c>
      <c r="I321">
        <f t="shared" si="42"/>
        <v>57.97528916159132</v>
      </c>
      <c r="J321">
        <f t="shared" si="43"/>
        <v>74.990032068324595</v>
      </c>
      <c r="K321">
        <f t="shared" si="44"/>
        <v>90.395096437432159</v>
      </c>
    </row>
    <row r="322" spans="2:11">
      <c r="B322">
        <v>303</v>
      </c>
      <c r="C322">
        <f>(C$10-SUM(C$20:C321))/(ABS(C$11)+C$10-SUM(C320:C321))</f>
        <v>7.2897347123047152E-3</v>
      </c>
      <c r="D322">
        <f>(D$10-SUM(D$20:D321))/(ABS(D$11)+D$10-SUM(D320:D321))</f>
        <v>2.2508235985875969E-2</v>
      </c>
      <c r="E322">
        <f>(E$10-SUM(E$20:E321))/(ABS(E$11)+E$10-SUM(E320:E321))</f>
        <v>4.5583464528496286E-2</v>
      </c>
      <c r="F322">
        <f>(F$10-SUM(F$20:F321))/(ABS(F$11)+F$10-SUM(F320:F321))</f>
        <v>7.3969032836031637E-2</v>
      </c>
      <c r="H322">
        <f t="shared" si="41"/>
        <v>39.497116907941809</v>
      </c>
      <c r="I322">
        <f t="shared" si="42"/>
        <v>57.997797397577195</v>
      </c>
      <c r="J322">
        <f t="shared" si="43"/>
        <v>75.035615532853086</v>
      </c>
      <c r="K322">
        <f t="shared" si="44"/>
        <v>90.469065470268191</v>
      </c>
    </row>
    <row r="323" spans="2:11">
      <c r="B323">
        <v>304</v>
      </c>
      <c r="C323">
        <f>(C$10-SUM(C$20:C322))/(ABS(C$11)+C$10-SUM(C321:C322))</f>
        <v>7.1855516151446584E-3</v>
      </c>
      <c r="D323">
        <f>(D$10-SUM(D$20:D322))/(ABS(D$11)+D$10-SUM(D321:D322))</f>
        <v>2.2257891211587173E-2</v>
      </c>
      <c r="E323">
        <f>(E$10-SUM(E$20:E322))/(ABS(E$11)+E$10-SUM(E321:E322))</f>
        <v>4.5168375006357377E-2</v>
      </c>
      <c r="F323">
        <f>(F$10-SUM(F$20:F322))/(ABS(F$11)+F$10-SUM(F321:F322))</f>
        <v>7.339873216568954E-2</v>
      </c>
      <c r="H323">
        <f t="shared" si="41"/>
        <v>39.504302459556953</v>
      </c>
      <c r="I323">
        <f t="shared" si="42"/>
        <v>58.020055288788782</v>
      </c>
      <c r="J323">
        <f t="shared" si="43"/>
        <v>75.080783907859441</v>
      </c>
      <c r="K323">
        <f t="shared" si="44"/>
        <v>90.542464202433877</v>
      </c>
    </row>
    <row r="324" spans="2:11">
      <c r="B324">
        <v>305</v>
      </c>
      <c r="C324">
        <f>(C$10-SUM(C$20:C323))/(ABS(C$11)+C$10-SUM(C322:C323))</f>
        <v>7.0828580977432588E-3</v>
      </c>
      <c r="D324">
        <f>(D$10-SUM(D$20:D323))/(ABS(D$11)+D$10-SUM(D322:D323))</f>
        <v>2.201033365119006E-2</v>
      </c>
      <c r="E324">
        <f>(E$10-SUM(E$20:E323))/(ABS(E$11)+E$10-SUM(E322:E323))</f>
        <v>4.4757071624751801E-2</v>
      </c>
      <c r="F324">
        <f>(F$10-SUM(F$20:F323))/(ABS(F$11)+F$10-SUM(F322:F323))</f>
        <v>7.2832838540003803E-2</v>
      </c>
      <c r="H324">
        <f t="shared" si="41"/>
        <v>39.5113853176547</v>
      </c>
      <c r="I324">
        <f t="shared" si="42"/>
        <v>58.042065622439971</v>
      </c>
      <c r="J324">
        <f t="shared" si="43"/>
        <v>75.1255409794842</v>
      </c>
      <c r="K324">
        <f t="shared" si="44"/>
        <v>90.615297040973886</v>
      </c>
    </row>
    <row r="325" spans="2:11">
      <c r="B325">
        <v>306</v>
      </c>
      <c r="C325">
        <f>(C$10-SUM(C$20:C324))/(ABS(C$11)+C$10-SUM(C323:C324))</f>
        <v>6.9816328449028055E-3</v>
      </c>
      <c r="D325">
        <f>(D$10-SUM(D$20:D324))/(ABS(D$11)+D$10-SUM(D323:D324))</f>
        <v>2.1765532211491394E-2</v>
      </c>
      <c r="E325">
        <f>(E$10-SUM(E$20:E324))/(ABS(E$11)+E$10-SUM(E323:E324))</f>
        <v>4.4349519735326137E-2</v>
      </c>
      <c r="F325">
        <f>(F$10-SUM(F$20:F324))/(ABS(F$11)+F$10-SUM(F323:F324))</f>
        <v>7.2271317748749869E-2</v>
      </c>
      <c r="H325">
        <f t="shared" si="41"/>
        <v>39.518366950499605</v>
      </c>
      <c r="I325">
        <f t="shared" si="42"/>
        <v>58.06383115465146</v>
      </c>
      <c r="J325">
        <f t="shared" si="43"/>
        <v>75.16989049921952</v>
      </c>
      <c r="K325">
        <f t="shared" si="44"/>
        <v>90.687568358722629</v>
      </c>
    </row>
    <row r="326" spans="2:11">
      <c r="B326">
        <v>307</v>
      </c>
      <c r="C326">
        <f>(C$10-SUM(C$20:C325))/(ABS(C$11)+C$10-SUM(C324:C325))</f>
        <v>6.8818548469365519E-3</v>
      </c>
      <c r="D326">
        <f>(D$10-SUM(D$20:D325))/(ABS(D$11)+D$10-SUM(D324:D325))</f>
        <v>2.152345614753062E-2</v>
      </c>
      <c r="E326">
        <f>(E$10-SUM(E$20:E325))/(ABS(E$11)+E$10-SUM(E324:E325))</f>
        <v>4.394568500887823E-2</v>
      </c>
      <c r="F326">
        <f>(F$10-SUM(F$20:F325))/(ABS(F$11)+F$10-SUM(F324:F325))</f>
        <v>7.17141358496447E-2</v>
      </c>
      <c r="H326">
        <f t="shared" si="41"/>
        <v>39.525248805346543</v>
      </c>
      <c r="I326">
        <f t="shared" si="42"/>
        <v>58.085354610798994</v>
      </c>
      <c r="J326">
        <f t="shared" si="43"/>
        <v>75.213836184228398</v>
      </c>
      <c r="K326">
        <f t="shared" si="44"/>
        <v>90.759282494572275</v>
      </c>
    </row>
    <row r="327" spans="2:11">
      <c r="B327">
        <v>308</v>
      </c>
      <c r="C327">
        <f>(C$10-SUM(C$20:C326))/(ABS(C$11)+C$10-SUM(C325:C326))</f>
        <v>6.7835033952755031E-3</v>
      </c>
      <c r="D327">
        <f>(D$10-SUM(D$20:D326))/(ABS(D$11)+D$10-SUM(D325:D326))</f>
        <v>2.128407505864947E-2</v>
      </c>
      <c r="E327">
        <f>(E$10-SUM(E$20:E326))/(ABS(E$11)+E$10-SUM(E325:E326))</f>
        <v>4.3545533432379172E-2</v>
      </c>
      <c r="F327">
        <f>(F$10-SUM(F$20:F326))/(ABS(F$11)+F$10-SUM(F325:F326))</f>
        <v>7.11612591662108E-2</v>
      </c>
      <c r="H327">
        <f t="shared" si="41"/>
        <v>39.532032308741819</v>
      </c>
      <c r="I327">
        <f t="shared" si="42"/>
        <v>58.106638685857646</v>
      </c>
      <c r="J327">
        <f t="shared" si="43"/>
        <v>75.257381717660778</v>
      </c>
      <c r="K327">
        <f t="shared" si="44"/>
        <v>90.830443753738493</v>
      </c>
    </row>
    <row r="328" spans="2:11">
      <c r="B328">
        <v>309</v>
      </c>
      <c r="C328">
        <f>(C$10-SUM(C$20:C327))/(ABS(C$11)+C$10-SUM(C326:C327))</f>
        <v>6.6865580781389463E-3</v>
      </c>
      <c r="D328">
        <f>(D$10-SUM(D$20:D327))/(ABS(D$11)+D$10-SUM(D326:D327))</f>
        <v>2.104735888460682E-2</v>
      </c>
      <c r="E328">
        <f>(E$10-SUM(E$20:E327))/(ABS(E$11)+E$10-SUM(E326:E327))</f>
        <v>4.3149031306024967E-2</v>
      </c>
      <c r="F328">
        <f>(F$10-SUM(F$20:F327))/(ABS(F$11)+F$10-SUM(F326:F327))</f>
        <v>7.0612654285659146E-2</v>
      </c>
      <c r="H328">
        <f t="shared" si="41"/>
        <v>39.538718866819956</v>
      </c>
      <c r="I328">
        <f t="shared" si="42"/>
        <v>58.127686044742255</v>
      </c>
      <c r="J328">
        <f t="shared" si="43"/>
        <v>75.300530748966807</v>
      </c>
      <c r="K328">
        <f t="shared" si="44"/>
        <v>90.901056408024147</v>
      </c>
    </row>
    <row r="329" spans="2:11">
      <c r="B329">
        <v>310</v>
      </c>
      <c r="C329">
        <f>(C$10-SUM(C$20:C328))/(ABS(C$11)+C$10-SUM(C327:C328))</f>
        <v>6.5909987762675986E-3</v>
      </c>
      <c r="D329">
        <f>(D$10-SUM(D$20:D328))/(ABS(D$11)+D$10-SUM(D327:D328))</f>
        <v>2.0813277901737613E-2</v>
      </c>
      <c r="E329">
        <f>(E$10-SUM(E$20:E328))/(ABS(E$11)+E$10-SUM(E327:E328))</f>
        <v>4.2756145240315402E-2</v>
      </c>
      <c r="F329">
        <f>(F$10-SUM(F$20:F328))/(ABS(F$11)+F$10-SUM(F327:F328))</f>
        <v>7.0068288056788747E-2</v>
      </c>
      <c r="H329">
        <f t="shared" si="41"/>
        <v>39.545309865596224</v>
      </c>
      <c r="I329">
        <f t="shared" si="42"/>
        <v>58.148499322643993</v>
      </c>
      <c r="J329">
        <f t="shared" si="43"/>
        <v>75.343286894207125</v>
      </c>
      <c r="K329">
        <f t="shared" si="44"/>
        <v>90.971124696080935</v>
      </c>
    </row>
    <row r="330" spans="2:11">
      <c r="B330">
        <v>311</v>
      </c>
      <c r="C330">
        <f>(C$10-SUM(C$20:C329))/(ABS(C$11)+C$10-SUM(C328:C329))</f>
        <v>6.4968056587183147E-3</v>
      </c>
      <c r="D330">
        <f>(D$10-SUM(D$20:D329))/(ABS(D$11)+D$10-SUM(D328:D329))</f>
        <v>2.0581802719156023E-2</v>
      </c>
      <c r="E330">
        <f>(E$10-SUM(E$20:E329))/(ABS(E$11)+E$10-SUM(E328:E329))</f>
        <v>4.2366842153161388E-2</v>
      </c>
      <c r="F330">
        <f>(F$10-SUM(F$20:F329))/(ABS(F$11)+F$10-SUM(F328:F329))</f>
        <v>6.952812758790336E-2</v>
      </c>
      <c r="H330">
        <f t="shared" si="41"/>
        <v>39.551806671254944</v>
      </c>
      <c r="I330">
        <f t="shared" si="42"/>
        <v>58.169081125363149</v>
      </c>
      <c r="J330">
        <f t="shared" si="43"/>
        <v>75.385653736360283</v>
      </c>
      <c r="K330">
        <f t="shared" si="44"/>
        <v>91.040652823668836</v>
      </c>
    </row>
    <row r="331" spans="2:11">
      <c r="B331">
        <v>312</v>
      </c>
      <c r="C331">
        <f>(C$10-SUM(C$20:C330))/(ABS(C$11)+C$10-SUM(C329:C330))</f>
        <v>6.4039591787199519E-3</v>
      </c>
      <c r="D331">
        <f>(D$10-SUM(D$20:D330))/(ABS(D$11)+D$10-SUM(D329:D330))</f>
        <v>2.035290427500204E-2</v>
      </c>
      <c r="E331">
        <f>(E$10-SUM(E$20:E330))/(ABS(E$11)+E$10-SUM(E329:E330))</f>
        <v>4.1981089267019621E-2</v>
      </c>
      <c r="F331">
        <f>(F$10-SUM(F$20:F330))/(ABS(F$11)+F$10-SUM(F329:F330))</f>
        <v>6.899214024474605E-2</v>
      </c>
      <c r="H331">
        <f t="shared" si="41"/>
        <v>39.558210630433663</v>
      </c>
      <c r="I331">
        <f t="shared" si="42"/>
        <v>58.18943402963815</v>
      </c>
      <c r="J331">
        <f t="shared" si="43"/>
        <v>75.427634825627308</v>
      </c>
      <c r="K331">
        <f t="shared" si="44"/>
        <v>91.109644963913581</v>
      </c>
    </row>
    <row r="332" spans="2:11">
      <c r="B332">
        <v>313</v>
      </c>
      <c r="C332">
        <f>(C$10-SUM(C$20:C331))/(ABS(C$11)+C$10-SUM(C330:C331))</f>
        <v>6.3124400695889265E-3</v>
      </c>
      <c r="D332">
        <f>(D$10-SUM(D$20:D331))/(ABS(D$11)+D$10-SUM(D330:D331))</f>
        <v>2.0126553832731056E-2</v>
      </c>
      <c r="E332">
        <f>(E$10-SUM(E$20:E331))/(ABS(E$11)+E$10-SUM(E330:E331))</f>
        <v>4.1598854106054434E-2</v>
      </c>
      <c r="F332">
        <f>(F$10-SUM(F$20:F331))/(ABS(F$11)+F$10-SUM(F330:F331))</f>
        <v>6.8460293648450035E-2</v>
      </c>
      <c r="H332">
        <f t="shared" si="41"/>
        <v>39.564523070503249</v>
      </c>
      <c r="I332">
        <f t="shared" si="42"/>
        <v>58.209560583470882</v>
      </c>
      <c r="J332">
        <f t="shared" si="43"/>
        <v>75.469233679733364</v>
      </c>
      <c r="K332">
        <f t="shared" si="44"/>
        <v>91.178105257562038</v>
      </c>
    </row>
    <row r="333" spans="2:11">
      <c r="B333">
        <v>314</v>
      </c>
      <c r="C333">
        <f>(C$10-SUM(C$20:C332))/(ABS(C$11)+C$10-SUM(C331:C332))</f>
        <v>6.2222293407037431E-3</v>
      </c>
      <c r="D333">
        <f>(D$10-SUM(D$20:D332))/(ABS(D$11)+D$10-SUM(D331:D332))</f>
        <v>1.9902722977445705E-2</v>
      </c>
      <c r="E333">
        <f>(E$10-SUM(E$20:E332))/(ABS(E$11)+E$10-SUM(E331:E332))</f>
        <v>4.1220104493327456E-2</v>
      </c>
      <c r="F333">
        <f>(F$10-SUM(F$20:F332))/(ABS(F$11)+F$10-SUM(F331:F332))</f>
        <v>6.79325556735067E-2</v>
      </c>
      <c r="H333">
        <f t="shared" si="41"/>
        <v>39.570745299843949</v>
      </c>
      <c r="I333">
        <f t="shared" si="42"/>
        <v>58.229463306448331</v>
      </c>
      <c r="J333">
        <f t="shared" si="43"/>
        <v>75.510453784226698</v>
      </c>
      <c r="K333">
        <f t="shared" si="44"/>
        <v>91.246037813235546</v>
      </c>
    </row>
    <row r="334" spans="2:11">
      <c r="B334">
        <v>315</v>
      </c>
      <c r="C334">
        <f>(C$10-SUM(C$20:C333))/(ABS(C$11)+C$10-SUM(C332:C333))</f>
        <v>6.1333082735378699E-3</v>
      </c>
      <c r="D334">
        <f>(D$10-SUM(D$20:D333))/(ABS(D$11)+D$10-SUM(D332:D333))</f>
        <v>1.9681383612269912E-2</v>
      </c>
      <c r="E334">
        <f>(E$10-SUM(E$20:E333))/(ABS(E$11)+E$10-SUM(E332:E333))</f>
        <v>4.0844808548013083E-2</v>
      </c>
      <c r="F334">
        <f>(F$10-SUM(F$20:F333))/(ABS(F$11)+F$10-SUM(F332:F333))</f>
        <v>6.7408894445750406E-2</v>
      </c>
      <c r="H334">
        <f t="shared" si="41"/>
        <v>39.576878608117489</v>
      </c>
      <c r="I334">
        <f t="shared" si="42"/>
        <v>58.249144690060604</v>
      </c>
      <c r="J334">
        <f t="shared" si="43"/>
        <v>75.551298592774714</v>
      </c>
      <c r="K334">
        <f t="shared" si="44"/>
        <v>91.313446707681294</v>
      </c>
    </row>
    <row r="335" spans="2:11">
      <c r="B335">
        <v>316</v>
      </c>
      <c r="C335">
        <f>(C$10-SUM(C$20:C334))/(ABS(C$11)+C$10-SUM(C333:C334))</f>
        <v>6.0456584177499125E-3</v>
      </c>
      <c r="D335">
        <f>(D$10-SUM(D$20:D334))/(ABS(D$11)+D$10-SUM(D333:D334))</f>
        <v>1.9462507954764233E-2</v>
      </c>
      <c r="E335">
        <f>(E$10-SUM(E$20:E334))/(ABS(E$11)+E$10-SUM(E333:E334))</f>
        <v>4.0472934682641314E-2</v>
      </c>
      <c r="F335">
        <f>(F$10-SUM(F$20:F334))/(ABS(F$11)+F$10-SUM(F333:F334))</f>
        <v>6.688927834035939E-2</v>
      </c>
      <c r="H335">
        <f t="shared" si="41"/>
        <v>39.582924266535237</v>
      </c>
      <c r="I335">
        <f t="shared" si="42"/>
        <v>58.268607198015367</v>
      </c>
      <c r="J335">
        <f t="shared" si="43"/>
        <v>75.591771527457354</v>
      </c>
      <c r="K335">
        <f t="shared" si="44"/>
        <v>91.380335986021649</v>
      </c>
    </row>
    <row r="336" spans="2:11">
      <c r="B336">
        <v>317</v>
      </c>
      <c r="C336">
        <f>(C$10-SUM(C$20:C335))/(ABS(C$11)+C$10-SUM(C334:C335))</f>
        <v>5.9592615873305717E-3</v>
      </c>
      <c r="D336">
        <f>(D$10-SUM(D$20:D335))/(ABS(D$11)+D$10-SUM(D334:D335))</f>
        <v>1.924606853338217E-2</v>
      </c>
      <c r="E336">
        <f>(E$10-SUM(E$20:E335))/(ABS(E$11)+E$10-SUM(E334:E335))</f>
        <v>4.0104451600366284E-2</v>
      </c>
      <c r="F336">
        <f>(F$10-SUM(F$20:F335))/(ABS(F$11)+F$10-SUM(F334:F335))</f>
        <v>6.6373675979873425E-2</v>
      </c>
      <c r="H336">
        <f t="shared" si="41"/>
        <v>39.588883528122565</v>
      </c>
      <c r="I336">
        <f t="shared" si="42"/>
        <v>58.287853266548751</v>
      </c>
      <c r="J336">
        <f t="shared" si="43"/>
        <v>75.631875979057725</v>
      </c>
      <c r="K336">
        <f t="shared" si="44"/>
        <v>91.446709662001524</v>
      </c>
    </row>
    <row r="337" spans="2:11">
      <c r="B337">
        <v>318</v>
      </c>
      <c r="C337">
        <f>(C$10-SUM(C$20:C336))/(ABS(C$11)+C$10-SUM(C335:C336))</f>
        <v>5.874099856804536E-3</v>
      </c>
      <c r="D337">
        <f>(D$10-SUM(D$20:D336))/(ABS(D$11)+D$10-SUM(D335:D336))</f>
        <v>1.9032038183966871E-2</v>
      </c>
      <c r="E337">
        <f>(E$10-SUM(E$20:E336))/(ABS(E$11)+E$10-SUM(E335:E336))</f>
        <v>3.9739328292260984E-2</v>
      </c>
      <c r="F337">
        <f>(F$10-SUM(F$20:F336))/(ABS(F$11)+F$10-SUM(F335:F336))</f>
        <v>6.58620562322276E-2</v>
      </c>
      <c r="H337">
        <f t="shared" si="41"/>
        <v>39.594757627979369</v>
      </c>
      <c r="I337">
        <f t="shared" si="42"/>
        <v>58.306885304732717</v>
      </c>
      <c r="J337">
        <f t="shared" si="43"/>
        <v>75.671615307349981</v>
      </c>
      <c r="K337">
        <f t="shared" si="44"/>
        <v>91.512571718233758</v>
      </c>
    </row>
    <row r="338" spans="2:11">
      <c r="B338">
        <v>319</v>
      </c>
      <c r="C338">
        <f>(C$10-SUM(C$20:C337))/(ABS(C$11)+C$10-SUM(C336:C337))</f>
        <v>5.7901555574880019E-3</v>
      </c>
      <c r="D338">
        <f>(D$10-SUM(D$20:D337))/(ABS(D$11)+D$10-SUM(D336:D337))</f>
        <v>1.8820390046288191E-2</v>
      </c>
      <c r="E338">
        <f>(E$10-SUM(E$20:E337))/(ABS(E$11)+E$10-SUM(E336:E337))</f>
        <v>3.9377534034638138E-2</v>
      </c>
      <c r="F338">
        <f>(F$10-SUM(F$20:F337))/(ABS(F$11)+F$10-SUM(F336:F337))</f>
        <v>6.5354388208802364E-2</v>
      </c>
      <c r="H338">
        <f t="shared" si="41"/>
        <v>39.600547783536861</v>
      </c>
      <c r="I338">
        <f t="shared" si="42"/>
        <v>58.325705694779003</v>
      </c>
      <c r="J338">
        <f t="shared" si="43"/>
        <v>75.710992841384623</v>
      </c>
      <c r="K338">
        <f t="shared" si="44"/>
        <v>91.577926106442561</v>
      </c>
    </row>
    <row r="339" spans="2:11">
      <c r="B339">
        <v>320</v>
      </c>
      <c r="C339">
        <f>(C$10-SUM(C$20:C338))/(ABS(C$11)+C$10-SUM(C337:C338))</f>
        <v>5.7074112737998724E-3</v>
      </c>
      <c r="D339">
        <f>(D$10-SUM(D$20:D338))/(ABS(D$11)+D$10-SUM(D337:D338))</f>
        <v>1.8611097560618847E-2</v>
      </c>
      <c r="E339">
        <f>(E$10-SUM(E$20:E338))/(ABS(E$11)+E$10-SUM(E337:E338))</f>
        <v>3.9019038386395644E-2</v>
      </c>
      <c r="F339">
        <f>(F$10-SUM(F$20:F338))/(ABS(F$11)+F$10-SUM(F337:F338))</f>
        <v>6.485064126248942E-2</v>
      </c>
      <c r="H339">
        <f t="shared" si="41"/>
        <v>39.606255194810657</v>
      </c>
      <c r="I339">
        <f t="shared" si="42"/>
        <v>58.344316792339619</v>
      </c>
      <c r="J339">
        <f t="shared" si="43"/>
        <v>75.750011879771023</v>
      </c>
      <c r="K339">
        <f t="shared" si="44"/>
        <v>91.642776747705057</v>
      </c>
    </row>
    <row r="340" spans="2:11">
      <c r="B340">
        <v>321</v>
      </c>
      <c r="C340">
        <f>(C$10-SUM(C$20:C339))/(ABS(C$11)+C$10-SUM(C338:C339))</f>
        <v>5.6258498396265216E-3</v>
      </c>
      <c r="D340">
        <f>(D$10-SUM(D$20:D339))/(ABS(D$11)+D$10-SUM(D338:D339))</f>
        <v>1.8404134464349992E-2</v>
      </c>
      <c r="E340">
        <f>(E$10-SUM(E$20:E339))/(ABS(E$11)+E$10-SUM(E338:E339))</f>
        <v>3.8663811186388397E-2</v>
      </c>
      <c r="F340">
        <f>(F$10-SUM(F$20:F339))/(ABS(F$11)+F$10-SUM(F338:F339))</f>
        <v>6.4350784985773207E-2</v>
      </c>
      <c r="H340">
        <f t="shared" si="41"/>
        <v>39.611881044650282</v>
      </c>
      <c r="I340">
        <f t="shared" si="42"/>
        <v>58.362720926803966</v>
      </c>
      <c r="J340">
        <f t="shared" si="43"/>
        <v>75.788675690957405</v>
      </c>
      <c r="K340">
        <f t="shared" si="44"/>
        <v>91.707127532690834</v>
      </c>
    </row>
    <row r="341" spans="2:11">
      <c r="B341">
        <v>322</v>
      </c>
      <c r="C341">
        <f>(C$10-SUM(C$20:C340))/(ABS(C$11)+C$10-SUM(C339:C340))</f>
        <v>5.5454543347383733E-3</v>
      </c>
      <c r="D341">
        <f>(D$10-SUM(D$20:D340))/(ABS(D$11)+D$10-SUM(D339:D340))</f>
        <v>1.8199474788645198E-2</v>
      </c>
      <c r="E341">
        <f>(E$10-SUM(E$20:E340))/(ABS(E$11)+E$10-SUM(E339:E340))</f>
        <v>3.831182255082427E-2</v>
      </c>
      <c r="F341">
        <f>(F$10-SUM(F$20:F340))/(ABS(F$11)+F$10-SUM(F339:F340))</f>
        <v>6.3854789208828686E-2</v>
      </c>
      <c r="H341">
        <f t="shared" si="41"/>
        <v>39.617426498985019</v>
      </c>
      <c r="I341">
        <f t="shared" si="42"/>
        <v>58.380920401592611</v>
      </c>
      <c r="J341">
        <f t="shared" si="43"/>
        <v>75.826987513508229</v>
      </c>
      <c r="K341">
        <f t="shared" si="44"/>
        <v>91.770982321899666</v>
      </c>
    </row>
    <row r="342" spans="2:11">
      <c r="B342">
        <v>323</v>
      </c>
      <c r="C342">
        <f>(C$10-SUM(C$20:C341))/(ABS(C$11)+C$10-SUM(C340:C341))</f>
        <v>5.4662080812591064E-3</v>
      </c>
      <c r="D342">
        <f>(D$10-SUM(D$20:D341))/(ABS(D$11)+D$10-SUM(D340:D341))</f>
        <v>1.7997092855132752E-2</v>
      </c>
      <c r="E342">
        <f>(E$10-SUM(E$20:E341))/(ABS(E$11)+E$10-SUM(E340:E341))</f>
        <v>3.796304287068486E-2</v>
      </c>
      <c r="F342">
        <f>(F$10-SUM(F$20:F341))/(ABS(F$11)+F$10-SUM(F340:F341))</f>
        <v>6.3362623997634052E-2</v>
      </c>
      <c r="H342">
        <f t="shared" si="41"/>
        <v>39.622892707066278</v>
      </c>
      <c r="I342">
        <f t="shared" si="42"/>
        <v>58.398917494447744</v>
      </c>
      <c r="J342">
        <f t="shared" si="43"/>
        <v>75.864950556378915</v>
      </c>
      <c r="K342">
        <f t="shared" si="44"/>
        <v>91.8343449458973</v>
      </c>
    </row>
    <row r="343" spans="2:11">
      <c r="B343">
        <v>324</v>
      </c>
      <c r="C343">
        <f>(C$10-SUM(C$20:C342))/(ABS(C$11)+C$10-SUM(C341:C342))</f>
        <v>5.3880946401852203E-3</v>
      </c>
      <c r="D343">
        <f>(D$10-SUM(D$20:D342))/(ABS(D$11)+D$10-SUM(D341:D342))</f>
        <v>1.7796963272635642E-2</v>
      </c>
      <c r="E343">
        <f>(E$10-SUM(E$20:E342))/(ABS(E$11)+E$10-SUM(E341:E342))</f>
        <v>3.7617442809171418E-2</v>
      </c>
      <c r="F343">
        <f>(F$10-SUM(F$20:F342))/(ABS(F$11)+F$10-SUM(F341:F342))</f>
        <v>6.2874259652099321E-2</v>
      </c>
      <c r="H343">
        <f t="shared" si="41"/>
        <v>39.62828080170646</v>
      </c>
      <c r="I343">
        <f t="shared" si="42"/>
        <v>58.416714457720381</v>
      </c>
      <c r="J343">
        <f t="shared" si="43"/>
        <v>75.902567999188079</v>
      </c>
      <c r="K343">
        <f t="shared" si="44"/>
        <v>91.897219205549405</v>
      </c>
    </row>
    <row r="344" spans="2:11">
      <c r="B344">
        <v>325</v>
      </c>
      <c r="C344">
        <f>(C$10-SUM(C$20:C343))/(ABS(C$11)+C$10-SUM(C342:C343))</f>
        <v>5.3110978079561593E-3</v>
      </c>
      <c r="D344">
        <f>(D$10-SUM(D$20:D343))/(ABS(D$11)+D$10-SUM(D342:D343))</f>
        <v>1.7599060933938711E-2</v>
      </c>
      <c r="E344">
        <f>(E$10-SUM(E$20:E343))/(ABS(E$11)+E$10-SUM(E342:E343))</f>
        <v>3.7274993299174414E-2</v>
      </c>
      <c r="F344">
        <f>(F$10-SUM(F$20:F343))/(ABS(F$11)+F$10-SUM(F342:F343))</f>
        <v>6.2389666704209847E-2</v>
      </c>
      <c r="H344">
        <f t="shared" si="41"/>
        <v>39.633591899514414</v>
      </c>
      <c r="I344">
        <f t="shared" si="42"/>
        <v>58.434313518654321</v>
      </c>
      <c r="J344">
        <f t="shared" si="43"/>
        <v>75.939842992487257</v>
      </c>
      <c r="K344">
        <f t="shared" si="44"/>
        <v>91.959608872253611</v>
      </c>
    </row>
    <row r="345" spans="2:11">
      <c r="B345">
        <v>326</v>
      </c>
      <c r="C345">
        <f>(C$10-SUM(C$20:C344))/(ABS(C$11)+C$10-SUM(C343:C344))</f>
        <v>5.2352016130735573E-3</v>
      </c>
      <c r="D345">
        <f>(D$10-SUM(D$20:D344))/(ABS(D$11)+D$10-SUM(D343:D344))</f>
        <v>1.7403361012592853E-2</v>
      </c>
      <c r="E345">
        <f>(E$10-SUM(E$20:E344))/(ABS(E$11)+E$10-SUM(E343:E344))</f>
        <v>3.6935665540767035E-2</v>
      </c>
      <c r="F345">
        <f>(F$10-SUM(F$20:F344))/(ABS(F$11)+F$10-SUM(F343:F344))</f>
        <v>6.1908815916185536E-2</v>
      </c>
      <c r="H345">
        <f t="shared" si="41"/>
        <v>39.63882710112749</v>
      </c>
      <c r="I345">
        <f t="shared" si="42"/>
        <v>58.451716879666911</v>
      </c>
      <c r="J345">
        <f t="shared" si="43"/>
        <v>75.976778658028024</v>
      </c>
      <c r="K345">
        <f t="shared" si="44"/>
        <v>92.021517688169794</v>
      </c>
    </row>
    <row r="346" spans="2:11">
      <c r="B346">
        <v>327</v>
      </c>
      <c r="C346">
        <f>(C$10-SUM(C$20:C345))/(ABS(C$11)+C$10-SUM(C344:C345))</f>
        <v>5.1603903127696894E-3</v>
      </c>
      <c r="D346">
        <f>(D$10-SUM(D$20:D345))/(ABS(D$11)+D$10-SUM(D344:D345))</f>
        <v>1.7209838959755447E-2</v>
      </c>
      <c r="E346">
        <f>(E$10-SUM(E$20:E345))/(ABS(E$11)+E$10-SUM(E344:E345))</f>
        <v>3.6599430998723252E-2</v>
      </c>
      <c r="F346">
        <f>(F$10-SUM(F$20:F345))/(ABS(F$11)+F$10-SUM(F344:F345))</f>
        <v>6.143167827865436E-2</v>
      </c>
      <c r="H346">
        <f t="shared" si="41"/>
        <v>39.643987491440257</v>
      </c>
      <c r="I346">
        <f t="shared" si="42"/>
        <v>58.468926718626669</v>
      </c>
      <c r="J346">
        <f t="shared" si="43"/>
        <v>76.013378089026745</v>
      </c>
      <c r="K346">
        <f t="shared" si="44"/>
        <v>92.082949366448446</v>
      </c>
    </row>
    <row r="347" spans="2:11">
      <c r="B347">
        <v>328</v>
      </c>
      <c r="C347">
        <f>(C$10-SUM(C$20:C346))/(ABS(C$11)+C$10-SUM(C345:C346))</f>
        <v>5.0866483897239034E-3</v>
      </c>
      <c r="D347">
        <f>(D$10-SUM(D$20:D346))/(ABS(D$11)+D$10-SUM(D345:D346))</f>
        <v>1.7018470501066755E-2</v>
      </c>
      <c r="E347">
        <f>(E$10-SUM(E$20:E346))/(ABS(E$11)+E$10-SUM(E345:E346))</f>
        <v>3.6266261400058501E-2</v>
      </c>
      <c r="F347">
        <f>(F$10-SUM(F$20:F346))/(ABS(F$11)+F$10-SUM(F345:F346))</f>
        <v>6.0958225008841425E-2</v>
      </c>
      <c r="H347">
        <f t="shared" si="41"/>
        <v>39.649074139829978</v>
      </c>
      <c r="I347">
        <f t="shared" si="42"/>
        <v>58.485945189127733</v>
      </c>
      <c r="J347">
        <f t="shared" si="43"/>
        <v>76.049644350426803</v>
      </c>
      <c r="K347">
        <f t="shared" si="44"/>
        <v>92.143907591457292</v>
      </c>
    </row>
    <row r="348" spans="2:11">
      <c r="B348">
        <v>329</v>
      </c>
      <c r="C348">
        <f>(C$10-SUM(C$20:C347))/(ABS(C$11)+C$10-SUM(C346:C347))</f>
        <v>5.013960548825986E-3</v>
      </c>
      <c r="D348">
        <f>(D$10-SUM(D$20:D347))/(ABS(D$11)+D$10-SUM(D346:D347))</f>
        <v>1.6829231633562317E-2</v>
      </c>
      <c r="E348">
        <f>(E$10-SUM(E$20:E347))/(ABS(E$11)+E$10-SUM(E346:E347))</f>
        <v>3.5936128731594151E-2</v>
      </c>
      <c r="F348">
        <f>(F$10-SUM(F$20:F347))/(ABS(F$11)+F$10-SUM(F346:F347))</f>
        <v>6.0488427548772414E-2</v>
      </c>
      <c r="H348">
        <f t="shared" si="41"/>
        <v>39.6540881003788</v>
      </c>
      <c r="I348">
        <f t="shared" si="42"/>
        <v>58.502774420761298</v>
      </c>
      <c r="J348">
        <f t="shared" si="43"/>
        <v>76.085580479158395</v>
      </c>
      <c r="K348">
        <f t="shared" si="44"/>
        <v>92.204396019006069</v>
      </c>
    </row>
    <row r="349" spans="2:11">
      <c r="B349">
        <v>330</v>
      </c>
      <c r="C349">
        <f>(C$10-SUM(C$20:C348))/(ABS(C$11)+C$10-SUM(C347:C348))</f>
        <v>4.9423117139867885E-3</v>
      </c>
      <c r="D349">
        <f>(D$10-SUM(D$20:D348))/(ABS(D$11)+D$10-SUM(D347:D348))</f>
        <v>1.6642098622619724E-2</v>
      </c>
      <c r="E349">
        <f>(E$10-SUM(E$20:E348))/(ABS(E$11)+E$10-SUM(E347:E348))</f>
        <v>3.5609005237545149E-2</v>
      </c>
      <c r="F349">
        <f>(F$10-SUM(F$20:F348))/(ABS(F$11)+F$10-SUM(F347:F348))</f>
        <v>6.0022257563492061E-2</v>
      </c>
      <c r="H349">
        <f t="shared" si="41"/>
        <v>39.65903041209279</v>
      </c>
      <c r="I349">
        <f t="shared" si="42"/>
        <v>58.519416519383917</v>
      </c>
      <c r="J349">
        <f t="shared" si="43"/>
        <v>76.121189484395941</v>
      </c>
      <c r="K349">
        <f t="shared" si="44"/>
        <v>92.264418276569558</v>
      </c>
    </row>
    <row r="350" spans="2:11">
      <c r="B350">
        <v>331</v>
      </c>
      <c r="C350">
        <f>(C$10-SUM(C$20:C349))/(ABS(C$11)+C$10-SUM(C348:C349))</f>
        <v>4.871687024994434E-3</v>
      </c>
      <c r="D350">
        <f>(D$10-SUM(D$20:D349))/(ABS(D$11)+D$10-SUM(D348:D349))</f>
        <v>1.6457047998941082E-2</v>
      </c>
      <c r="E350">
        <f>(E$10-SUM(E$20:E349))/(ABS(E$11)+E$10-SUM(E348:E349))</f>
        <v>3.5284863417130184E-2</v>
      </c>
      <c r="F350">
        <f>(F$10-SUM(F$20:F349))/(ABS(F$11)+F$10-SUM(F348:F349))</f>
        <v>5.9559686939296683E-2</v>
      </c>
      <c r="H350">
        <f t="shared" si="41"/>
        <v>39.663902099117784</v>
      </c>
      <c r="I350">
        <f t="shared" si="42"/>
        <v>58.535873567382858</v>
      </c>
      <c r="J350">
        <f t="shared" si="43"/>
        <v>76.156474347813074</v>
      </c>
      <c r="K350">
        <f t="shared" si="44"/>
        <v>92.323977963508852</v>
      </c>
    </row>
    <row r="351" spans="2:11">
      <c r="B351">
        <v>332</v>
      </c>
      <c r="C351">
        <f>(C$10-SUM(C$20:C350))/(ABS(C$11)+C$10-SUM(C349:C350))</f>
        <v>4.8020718344163292E-3</v>
      </c>
      <c r="D351">
        <f>(D$10-SUM(D$20:D350))/(ABS(D$11)+D$10-SUM(D349:D350))</f>
        <v>1.6274056555568919E-2</v>
      </c>
      <c r="E351">
        <f>(E$10-SUM(E$20:E350))/(ABS(E$11)+E$10-SUM(E349:E350))</f>
        <v>3.4963676022204813E-2</v>
      </c>
      <c r="F351">
        <f>(F$10-SUM(F$20:F350))/(ABS(F$11)+F$10-SUM(F349:F350))</f>
        <v>5.9100687781981298E-2</v>
      </c>
      <c r="H351">
        <f t="shared" si="41"/>
        <v>39.668704170952203</v>
      </c>
      <c r="I351">
        <f t="shared" si="42"/>
        <v>58.552147623938424</v>
      </c>
      <c r="J351">
        <f t="shared" si="43"/>
        <v>76.191438023835275</v>
      </c>
      <c r="K351">
        <f t="shared" si="44"/>
        <v>92.38307865129083</v>
      </c>
    </row>
    <row r="352" spans="2:11">
      <c r="B352">
        <v>333</v>
      </c>
      <c r="C352">
        <f>(C$10-SUM(C$20:C351))/(ABS(C$11)+C$10-SUM(C350:C351))</f>
        <v>4.7334517045451276E-3</v>
      </c>
      <c r="D352">
        <f>(D$10-SUM(D$20:D351))/(ABS(D$11)+D$10-SUM(D350:D351))</f>
        <v>1.6093101344936703E-2</v>
      </c>
      <c r="E352">
        <f>(E$10-SUM(E$20:E351))/(ABS(E$11)+E$10-SUM(E350:E351))</f>
        <v>3.4645416054916826E-2</v>
      </c>
      <c r="F352">
        <f>(F$10-SUM(F$20:F351))/(ABS(F$11)+F$10-SUM(F350:F351))</f>
        <v>5.8645232415101251E-2</v>
      </c>
      <c r="H352">
        <f t="shared" si="41"/>
        <v>39.673437622656749</v>
      </c>
      <c r="I352">
        <f t="shared" si="42"/>
        <v>58.56824072528336</v>
      </c>
      <c r="J352">
        <f t="shared" si="43"/>
        <v>76.226083439890189</v>
      </c>
      <c r="K352">
        <f t="shared" si="44"/>
        <v>92.441723883705933</v>
      </c>
    </row>
    <row r="353" spans="2:11">
      <c r="B353">
        <v>334</v>
      </c>
      <c r="C353">
        <f>(C$10-SUM(C$20:C352))/(ABS(C$11)+C$10-SUM(C351:C352))</f>
        <v>4.6658124043894474E-3</v>
      </c>
      <c r="D353">
        <f>(D$10-SUM(D$20:D352))/(ABS(D$11)+D$10-SUM(D351:D352))</f>
        <v>1.5914159675952506E-2</v>
      </c>
      <c r="E353">
        <f>(E$10-SUM(E$20:E352))/(ABS(E$11)+E$10-SUM(E351:E352))</f>
        <v>3.4330056765383685E-2</v>
      </c>
      <c r="F353">
        <f>(F$10-SUM(F$20:F352))/(ABS(F$11)+F$10-SUM(F351:F352))</f>
        <v>5.8193293378247593E-2</v>
      </c>
      <c r="H353">
        <f t="shared" si="41"/>
        <v>39.678103435061139</v>
      </c>
      <c r="I353">
        <f t="shared" si="42"/>
        <v>58.584154884959311</v>
      </c>
      <c r="J353">
        <f t="shared" si="43"/>
        <v>76.260413496655573</v>
      </c>
      <c r="K353">
        <f t="shared" si="44"/>
        <v>92.499917177084185</v>
      </c>
    </row>
    <row r="354" spans="2:11">
      <c r="B354">
        <v>335</v>
      </c>
      <c r="C354">
        <f>(C$10-SUM(C$20:C353))/(ABS(C$11)+C$10-SUM(C352:C353))</f>
        <v>4.5991399067073979E-3</v>
      </c>
      <c r="D354">
        <f>(D$10-SUM(D$20:D353))/(ABS(D$11)+D$10-SUM(D352:D353))</f>
        <v>1.5737209111116097E-2</v>
      </c>
      <c r="E354">
        <f>(E$10-SUM(E$20:E353))/(ABS(E$11)+E$10-SUM(E352:E353))</f>
        <v>3.4017571649392196E-2</v>
      </c>
      <c r="F354">
        <f>(F$10-SUM(F$20:F353))/(ABS(F$11)+F$10-SUM(F352:F353))</f>
        <v>5.7744843425336916E-2</v>
      </c>
      <c r="H354">
        <f t="shared" si="41"/>
        <v>39.682702574967848</v>
      </c>
      <c r="I354">
        <f t="shared" si="42"/>
        <v>58.599892094070427</v>
      </c>
      <c r="J354">
        <f t="shared" si="43"/>
        <v>76.294431068304959</v>
      </c>
      <c r="K354">
        <f t="shared" si="44"/>
        <v>92.557662020509525</v>
      </c>
    </row>
    <row r="355" spans="2:11">
      <c r="B355">
        <v>336</v>
      </c>
      <c r="C355">
        <f>(C$10-SUM(C$20:C354))/(ABS(C$11)+C$10-SUM(C353:C354))</f>
        <v>4.5334203850832229E-3</v>
      </c>
      <c r="D355">
        <f>(D$10-SUM(D$20:D354))/(ABS(D$11)+D$10-SUM(D353:D354))</f>
        <v>1.5562227463668601E-2</v>
      </c>
      <c r="E355">
        <f>(E$10-SUM(E$20:E354))/(ABS(E$11)+E$10-SUM(E353:E354))</f>
        <v>3.3707934446119941E-2</v>
      </c>
      <c r="F355">
        <f>(F$10-SUM(F$20:F354))/(ABS(F$11)+F$10-SUM(F353:F354))</f>
        <v>5.7299855522914736E-2</v>
      </c>
      <c r="H355">
        <f t="shared" si="41"/>
        <v>39.687235995352928</v>
      </c>
      <c r="I355">
        <f t="shared" si="42"/>
        <v>58.615454321534095</v>
      </c>
      <c r="J355">
        <f t="shared" si="43"/>
        <v>76.328139002751072</v>
      </c>
      <c r="K355">
        <f t="shared" si="44"/>
        <v>92.614961876032439</v>
      </c>
    </row>
    <row r="356" spans="2:11">
      <c r="B356">
        <v>337</v>
      </c>
      <c r="C356">
        <f>(C$10-SUM(C$20:C355))/(ABS(C$11)+C$10-SUM(C354:C355))</f>
        <v>4.4686402110460195E-3</v>
      </c>
      <c r="D356">
        <f>(D$10-SUM(D$20:D355))/(ABS(D$11)+D$10-SUM(D354:D355))</f>
        <v>1.538919279477469E-2</v>
      </c>
      <c r="E356">
        <f>(E$10-SUM(E$20:E355))/(ABS(E$11)+E$10-SUM(E354:E355))</f>
        <v>3.340111913587783E-2</v>
      </c>
      <c r="F356">
        <f>(F$10-SUM(F$20:F355))/(ABS(F$11)+F$10-SUM(F354:F355))</f>
        <v>5.6858302848472868E-2</v>
      </c>
      <c r="H356">
        <f t="shared" si="41"/>
        <v>39.691704635563973</v>
      </c>
      <c r="I356">
        <f t="shared" si="42"/>
        <v>58.630843514328873</v>
      </c>
      <c r="J356">
        <f t="shared" si="43"/>
        <v>76.361540121886947</v>
      </c>
      <c r="K356">
        <f t="shared" si="44"/>
        <v>92.671820178880907</v>
      </c>
    </row>
    <row r="357" spans="2:11">
      <c r="B357">
        <v>338</v>
      </c>
      <c r="C357">
        <f>(C$10-SUM(C$20:C356))/(ABS(C$11)+C$10-SUM(C355:C356))</f>
        <v>4.404785951229619E-3</v>
      </c>
      <c r="D357">
        <f>(D$10-SUM(D$20:D356))/(ABS(D$11)+D$10-SUM(D355:D356))</f>
        <v>1.5218083410736672E-2</v>
      </c>
      <c r="E357">
        <f>(E$10-SUM(E$20:E356))/(ABS(E$11)+E$10-SUM(E355:E356))</f>
        <v>3.3097099937874484E-2</v>
      </c>
      <c r="F357">
        <f>(F$10-SUM(F$20:F356))/(ABS(F$11)+F$10-SUM(F355:F356))</f>
        <v>5.6420158788780324E-2</v>
      </c>
      <c r="H357">
        <f t="shared" si="41"/>
        <v>39.696109421515203</v>
      </c>
      <c r="I357">
        <f t="shared" si="42"/>
        <v>58.64606159773961</v>
      </c>
      <c r="J357">
        <f t="shared" si="43"/>
        <v>76.394637221824823</v>
      </c>
      <c r="K357">
        <f t="shared" si="44"/>
        <v>92.728240337669689</v>
      </c>
    </row>
    <row r="358" spans="2:11">
      <c r="B358">
        <v>339</v>
      </c>
      <c r="C358">
        <f>(C$10-SUM(C$20:C357))/(ABS(C$11)+C$10-SUM(C356:C357))</f>
        <v>4.3418443645739163E-3</v>
      </c>
      <c r="D358">
        <f>(D$10-SUM(D$20:D357))/(ABS(D$11)+D$10-SUM(D356:D357))</f>
        <v>1.5048877860240457E-2</v>
      </c>
      <c r="E358">
        <f>(E$10-SUM(E$20:E357))/(ABS(E$11)+E$10-SUM(E356:E357))</f>
        <v>3.2795851308001514E-2</v>
      </c>
      <c r="F358">
        <f>(F$10-SUM(F$20:F357))/(ABS(F$11)+F$10-SUM(F356:F357))</f>
        <v>5.5985396938227884E-2</v>
      </c>
      <c r="H358">
        <f t="shared" si="41"/>
        <v>39.700451265879778</v>
      </c>
      <c r="I358">
        <f t="shared" si="42"/>
        <v>58.661110475599848</v>
      </c>
      <c r="J358">
        <f t="shared" si="43"/>
        <v>76.427433073132818</v>
      </c>
      <c r="K358">
        <f t="shared" si="44"/>
        <v>92.784225734607915</v>
      </c>
    </row>
    <row r="359" spans="2:11">
      <c r="B359">
        <v>340</v>
      </c>
      <c r="C359">
        <f>(C$10-SUM(C$20:C358))/(ABS(C$11)+C$10-SUM(C357:C358))</f>
        <v>4.2798023995662248E-3</v>
      </c>
      <c r="D359">
        <f>(D$10-SUM(D$20:D358))/(ABS(D$11)+D$10-SUM(D357:D358))</f>
        <v>1.4881554931632438E-2</v>
      </c>
      <c r="E359">
        <f>(E$10-SUM(E$20:E358))/(ABS(E$11)+E$10-SUM(E357:E358))</f>
        <v>3.2497347936639921E-2</v>
      </c>
      <c r="F359">
        <f>(F$10-SUM(F$20:F358))/(ABS(F$11)+F$10-SUM(F357:F358))</f>
        <v>5.5553991097186291E-2</v>
      </c>
      <c r="H359">
        <f t="shared" si="41"/>
        <v>39.704731068279344</v>
      </c>
      <c r="I359">
        <f t="shared" si="42"/>
        <v>58.675992030531482</v>
      </c>
      <c r="J359">
        <f t="shared" si="43"/>
        <v>76.459930421069458</v>
      </c>
      <c r="K359">
        <f t="shared" si="44"/>
        <v>92.8397797257051</v>
      </c>
    </row>
    <row r="360" spans="2:11">
      <c r="B360">
        <v>341</v>
      </c>
      <c r="C360">
        <f>(C$10-SUM(C$20:C359))/(ABS(C$11)+C$10-SUM(C358:C359))</f>
        <v>4.2186471915223447E-3</v>
      </c>
      <c r="D360">
        <f>(D$10-SUM(D$20:D359))/(ABS(D$11)+D$10-SUM(D358:D359))</f>
        <v>1.4716093650227498E-2</v>
      </c>
      <c r="E360">
        <f>(E$10-SUM(E$20:E359))/(ABS(E$11)+E$10-SUM(E358:E359))</f>
        <v>3.2201564746486576E-2</v>
      </c>
      <c r="F360">
        <f>(F$10-SUM(F$20:F359))/(ABS(F$11)+F$10-SUM(F358:F359))</f>
        <v>5.5125915270377315E-2</v>
      </c>
      <c r="H360">
        <f t="shared" si="41"/>
        <v>39.708949715470865</v>
      </c>
      <c r="I360">
        <f t="shared" si="42"/>
        <v>58.690708124181711</v>
      </c>
      <c r="J360">
        <f t="shared" si="43"/>
        <v>76.492131985815945</v>
      </c>
      <c r="K360">
        <f t="shared" si="44"/>
        <v>92.89490564097548</v>
      </c>
    </row>
    <row r="361" spans="2:11">
      <c r="B361">
        <v>342</v>
      </c>
      <c r="C361">
        <f>(C$10-SUM(C$20:C360))/(ABS(C$11)+C$10-SUM(C359:C360))</f>
        <v>4.1583660599068019E-3</v>
      </c>
      <c r="D361">
        <f>(D$10-SUM(D$20:D360))/(ABS(D$11)+D$10-SUM(D359:D360))</f>
        <v>1.4552473275647761E-2</v>
      </c>
      <c r="E361">
        <f>(E$10-SUM(E$20:E360))/(ABS(E$11)+E$10-SUM(E359:E360))</f>
        <v>3.1908476890402174E-2</v>
      </c>
      <c r="F361">
        <f>(F$10-SUM(F$20:F360))/(ABS(F$11)+F$10-SUM(F359:F360))</f>
        <v>5.470114366525837E-2</v>
      </c>
      <c r="H361">
        <f t="shared" si="41"/>
        <v>39.71310808153077</v>
      </c>
      <c r="I361">
        <f t="shared" si="42"/>
        <v>58.705260597457361</v>
      </c>
      <c r="J361">
        <f t="shared" si="43"/>
        <v>76.524040462706353</v>
      </c>
      <c r="K361">
        <f t="shared" si="44"/>
        <v>92.949606784640736</v>
      </c>
    </row>
    <row r="362" spans="2:11">
      <c r="B362">
        <v>343</v>
      </c>
      <c r="C362">
        <f>(C$10-SUM(C$20:C361))/(ABS(C$11)+C$10-SUM(C360:C361))</f>
        <v>4.0989465056917905E-3</v>
      </c>
      <c r="D362">
        <f>(D$10-SUM(D$20:D361))/(ABS(D$11)+D$10-SUM(D360:D361))</f>
        <v>1.4390673299191166E-2</v>
      </c>
      <c r="E362">
        <f>(E$10-SUM(E$20:E361))/(ABS(E$11)+E$10-SUM(E360:E361))</f>
        <v>3.161805974927865E-2</v>
      </c>
      <c r="F362">
        <f>(F$10-SUM(F$20:F361))/(ABS(F$11)+F$10-SUM(F360:F361))</f>
        <v>5.4279650690420352E-2</v>
      </c>
      <c r="H362">
        <f t="shared" si="41"/>
        <v>39.717207028036462</v>
      </c>
      <c r="I362">
        <f t="shared" si="42"/>
        <v>58.71965127075655</v>
      </c>
      <c r="J362">
        <f t="shared" si="43"/>
        <v>76.55565852245563</v>
      </c>
      <c r="K362">
        <f t="shared" si="44"/>
        <v>93.003886435331154</v>
      </c>
    </row>
    <row r="363" spans="2:11">
      <c r="B363">
        <v>344</v>
      </c>
      <c r="C363">
        <f>(C$10-SUM(C$20:C362))/(ABS(C$11)+C$10-SUM(C361:C362))</f>
        <v>4.0403762087539447E-3</v>
      </c>
      <c r="D363">
        <f>(D$10-SUM(D$20:D362))/(ABS(D$11)+D$10-SUM(D361:D362))</f>
        <v>1.4230673441230197E-2</v>
      </c>
      <c r="E363">
        <f>(E$10-SUM(E$20:E362))/(ABS(E$11)+E$10-SUM(E361:E362))</f>
        <v>3.1330288929927355E-2</v>
      </c>
      <c r="F363">
        <f>(F$10-SUM(F$20:F362))/(ABS(F$11)+F$10-SUM(F361:F362))</f>
        <v>5.3861410953997928E-2</v>
      </c>
      <c r="H363">
        <f t="shared" si="41"/>
        <v>39.721247404245219</v>
      </c>
      <c r="I363">
        <f t="shared" si="42"/>
        <v>58.733881944197783</v>
      </c>
      <c r="J363">
        <f t="shared" si="43"/>
        <v>76.586988811385552</v>
      </c>
      <c r="K363">
        <f t="shared" si="44"/>
        <v>93.057747846285153</v>
      </c>
    </row>
    <row r="364" spans="2:11">
      <c r="B364">
        <v>345</v>
      </c>
      <c r="C364">
        <f>(C$10-SUM(C$20:C363))/(ABS(C$11)+C$10-SUM(C362:C363))</f>
        <v>3.9826430253088688E-3</v>
      </c>
      <c r="D364">
        <f>(D$10-SUM(D$20:D363))/(ABS(D$11)+D$10-SUM(D362:D363))</f>
        <v>1.4072453648639811E-2</v>
      </c>
      <c r="E364">
        <f>(E$10-SUM(E$20:E363))/(ABS(E$11)+E$10-SUM(E362:E363))</f>
        <v>3.1045140262986517E-2</v>
      </c>
      <c r="F364">
        <f>(F$10-SUM(F$20:F363))/(ABS(F$11)+F$10-SUM(F362:F363))</f>
        <v>5.3446399262093248E-2</v>
      </c>
      <c r="H364">
        <f t="shared" si="41"/>
        <v>39.725230047270529</v>
      </c>
      <c r="I364">
        <f t="shared" si="42"/>
        <v>58.747954397846421</v>
      </c>
      <c r="J364">
        <f t="shared" si="43"/>
        <v>76.618033951648542</v>
      </c>
      <c r="K364">
        <f t="shared" si="44"/>
        <v>93.111194245547253</v>
      </c>
    </row>
    <row r="365" spans="2:11">
      <c r="B365">
        <v>346</v>
      </c>
      <c r="C365">
        <f>(C$10-SUM(C$20:C364))/(ABS(C$11)+C$10-SUM(C363:C364))</f>
        <v>3.9257349853823844E-3</v>
      </c>
      <c r="D365">
        <f>(D$10-SUM(D$20:D364))/(ABS(D$11)+D$10-SUM(D363:D364))</f>
        <v>1.3915994092255048E-2</v>
      </c>
      <c r="E365">
        <f>(E$10-SUM(E$20:E364))/(ABS(E$11)+E$10-SUM(E363:E364))</f>
        <v>3.0762589800848832E-2</v>
      </c>
      <c r="F365">
        <f>(F$10-SUM(F$20:F364))/(ABS(F$11)+F$10-SUM(F363:F364))</f>
        <v>5.3034590617212211E-2</v>
      </c>
      <c r="H365">
        <f t="shared" si="41"/>
        <v>39.729155782255908</v>
      </c>
      <c r="I365">
        <f t="shared" si="42"/>
        <v>58.761870391938679</v>
      </c>
      <c r="J365">
        <f t="shared" si="43"/>
        <v>76.648796541449386</v>
      </c>
      <c r="K365">
        <f t="shared" si="44"/>
        <v>93.164228836164469</v>
      </c>
    </row>
    <row r="366" spans="2:11">
      <c r="B366">
        <v>347</v>
      </c>
      <c r="C366">
        <f>(C$10-SUM(C$20:C365))/(ABS(C$11)+C$10-SUM(C364:C365))</f>
        <v>3.8696402903181824E-3</v>
      </c>
      <c r="D366">
        <f>(D$10-SUM(D$20:D365))/(ABS(D$11)+D$10-SUM(D364:D365))</f>
        <v>1.3761275164356742E-2</v>
      </c>
      <c r="E366">
        <f>(E$10-SUM(E$20:E365))/(ABS(E$11)+E$10-SUM(E364:E365))</f>
        <v>3.0482613815608815E-2</v>
      </c>
      <c r="F366">
        <f>(F$10-SUM(F$20:F365))/(ABS(F$11)+F$10-SUM(F364:F365))</f>
        <v>5.2625960216713508E-2</v>
      </c>
      <c r="H366">
        <f t="shared" si="41"/>
        <v>39.733025422546227</v>
      </c>
      <c r="I366">
        <f t="shared" si="42"/>
        <v>58.775631667103035</v>
      </c>
      <c r="J366">
        <f t="shared" si="43"/>
        <v>76.679279155264993</v>
      </c>
      <c r="K366">
        <f t="shared" si="44"/>
        <v>93.216854796381185</v>
      </c>
    </row>
    <row r="367" spans="2:11">
      <c r="B367">
        <v>348</v>
      </c>
      <c r="C367">
        <f>(C$10-SUM(C$20:C366))/(ABS(C$11)+C$10-SUM(C365:C366))</f>
        <v>3.81434731032127E-3</v>
      </c>
      <c r="D367">
        <f>(D$10-SUM(D$20:D366))/(ABS(D$11)+D$10-SUM(D365:D366))</f>
        <v>1.3608277476186582E-2</v>
      </c>
      <c r="E367">
        <f>(E$10-SUM(E$20:E366))/(ABS(E$11)+E$10-SUM(E365:E366))</f>
        <v>3.0205188797028677E-2</v>
      </c>
      <c r="F367">
        <f>(F$10-SUM(F$20:F366))/(ABS(F$11)+F$10-SUM(F365:F366))</f>
        <v>5.2220483451269929E-2</v>
      </c>
      <c r="H367">
        <f t="shared" si="41"/>
        <v>39.736839769856552</v>
      </c>
      <c r="I367">
        <f t="shared" si="42"/>
        <v>58.789239944579222</v>
      </c>
      <c r="J367">
        <f t="shared" si="43"/>
        <v>76.70948434406202</v>
      </c>
      <c r="K367">
        <f t="shared" si="44"/>
        <v>93.26907527983245</v>
      </c>
    </row>
    <row r="368" spans="2:11">
      <c r="B368">
        <v>349</v>
      </c>
      <c r="C368">
        <f>(C$10-SUM(C$20:C367))/(ABS(C$11)+C$10-SUM(C366:C367))</f>
        <v>3.7598445820371013E-3</v>
      </c>
      <c r="D368">
        <f>(D$10-SUM(D$20:D367))/(ABS(D$11)+D$10-SUM(D366:D367))</f>
        <v>1.3456981855489495E-2</v>
      </c>
      <c r="E368">
        <f>(E$10-SUM(E$20:E367))/(ABS(E$11)+E$10-SUM(E366:E367))</f>
        <v>2.9930291450524258E-2</v>
      </c>
      <c r="F368">
        <f>(F$10-SUM(F$20:F367))/(ABS(F$11)+F$10-SUM(F366:F367))</f>
        <v>5.1818135903342465E-2</v>
      </c>
      <c r="H368">
        <f t="shared" si="41"/>
        <v>39.740599614438587</v>
      </c>
      <c r="I368">
        <f t="shared" si="42"/>
        <v>58.802696926434713</v>
      </c>
      <c r="J368">
        <f t="shared" si="43"/>
        <v>76.739414635512546</v>
      </c>
      <c r="K368">
        <f t="shared" si="44"/>
        <v>93.320893415735796</v>
      </c>
    </row>
    <row r="369" spans="2:11">
      <c r="B369">
        <v>350</v>
      </c>
      <c r="C369">
        <f>(C$10-SUM(C$20:C368))/(ABS(C$11)+C$10-SUM(C367:C368))</f>
        <v>3.7061208061653639E-3</v>
      </c>
      <c r="D369">
        <f>(D$10-SUM(D$20:D368))/(ABS(D$11)+D$10-SUM(D367:D368))</f>
        <v>1.3307369344084522E-2</v>
      </c>
      <c r="E369">
        <f>(E$10-SUM(E$20:E368))/(ABS(E$11)+E$10-SUM(E367:E368))</f>
        <v>2.9657898695169285E-2</v>
      </c>
      <c r="F369">
        <f>(F$10-SUM(F$20:F368))/(ABS(F$11)+F$10-SUM(F367:F368))</f>
        <v>5.1418893345666378E-2</v>
      </c>
      <c r="H369">
        <f t="shared" si="41"/>
        <v>39.744305735244751</v>
      </c>
      <c r="I369">
        <f t="shared" si="42"/>
        <v>58.816004295778797</v>
      </c>
      <c r="J369">
        <f t="shared" si="43"/>
        <v>76.769072534207709</v>
      </c>
      <c r="K369">
        <f t="shared" si="44"/>
        <v>93.372312309081465</v>
      </c>
    </row>
    <row r="370" spans="2:11">
      <c r="B370">
        <v>351</v>
      </c>
      <c r="C370">
        <f>(C$10-SUM(C$20:C369))/(ABS(C$11)+C$10-SUM(C368:C369))</f>
        <v>3.653164845107713E-3</v>
      </c>
      <c r="D370">
        <f>(D$10-SUM(D$20:D369))/(ABS(D$11)+D$10-SUM(D368:D369))</f>
        <v>1.3159421195462911E-2</v>
      </c>
      <c r="E370">
        <f>(E$10-SUM(E$20:E369))/(ABS(E$11)+E$10-SUM(E368:E369))</f>
        <v>2.9387987661718882E-2</v>
      </c>
      <c r="F370">
        <f>(F$10-SUM(F$20:F369))/(ABS(F$11)+F$10-SUM(F368:F369))</f>
        <v>5.1022731739750124E-2</v>
      </c>
      <c r="H370">
        <f t="shared" si="41"/>
        <v>39.747958900089856</v>
      </c>
      <c r="I370">
        <f t="shared" si="42"/>
        <v>58.829163716974257</v>
      </c>
      <c r="J370">
        <f t="shared" si="43"/>
        <v>76.79846052186943</v>
      </c>
      <c r="K370">
        <f t="shared" si="44"/>
        <v>93.423335040821215</v>
      </c>
    </row>
    <row r="371" spans="2:11">
      <c r="B371">
        <v>352</v>
      </c>
      <c r="C371">
        <f>(C$10-SUM(C$20:C370))/(ABS(C$11)+C$10-SUM(C369:C370))</f>
        <v>3.6009657206500438E-3</v>
      </c>
      <c r="D371">
        <f>(D$10-SUM(D$20:D370))/(ABS(D$11)+D$10-SUM(D369:D370))</f>
        <v>1.301311887241339E-2</v>
      </c>
      <c r="E371">
        <f>(E$10-SUM(E$20:E370))/(ABS(E$11)+E$10-SUM(E369:E370))</f>
        <v>2.9120535690651018E-2</v>
      </c>
      <c r="F371">
        <f>(F$10-SUM(F$20:F370))/(ABS(F$11)+F$10-SUM(F369:F370))</f>
        <v>5.062962723438573E-2</v>
      </c>
      <c r="H371">
        <f t="shared" si="41"/>
        <v>39.751559865810506</v>
      </c>
      <c r="I371">
        <f t="shared" si="42"/>
        <v>58.842176835846672</v>
      </c>
      <c r="J371">
        <f t="shared" si="43"/>
        <v>76.827581057560081</v>
      </c>
      <c r="K371">
        <f t="shared" si="44"/>
        <v>93.473964668055601</v>
      </c>
    </row>
    <row r="372" spans="2:11">
      <c r="B372">
        <v>353</v>
      </c>
      <c r="C372">
        <f>(C$10-SUM(C$20:C371))/(ABS(C$11)+C$10-SUM(C370:C371))</f>
        <v>3.5495126116774807E-3</v>
      </c>
      <c r="D372">
        <f>(D$10-SUM(D$20:D371))/(ABS(D$11)+D$10-SUM(D370:D371))</f>
        <v>1.2868444044674425E-2</v>
      </c>
      <c r="E372">
        <f>(E$10-SUM(E$20:E371))/(ABS(E$11)+E$10-SUM(E370:E371))</f>
        <v>2.8855520330227313E-2</v>
      </c>
      <c r="F372">
        <f>(F$10-SUM(F$20:F371))/(ABS(F$11)+F$10-SUM(F370:F371))</f>
        <v>5.0239556164171549E-2</v>
      </c>
      <c r="H372">
        <f t="shared" si="41"/>
        <v>39.755109378422183</v>
      </c>
      <c r="I372">
        <f t="shared" si="42"/>
        <v>58.85504527989135</v>
      </c>
      <c r="J372">
        <f t="shared" si="43"/>
        <v>76.856436577890307</v>
      </c>
      <c r="K372">
        <f t="shared" si="44"/>
        <v>93.524204224219773</v>
      </c>
    </row>
    <row r="373" spans="2:11">
      <c r="B373">
        <v>354</v>
      </c>
      <c r="C373">
        <f>(C$10-SUM(C$20:C372))/(ABS(C$11)+C$10-SUM(C371:C372))</f>
        <v>3.4987948519227788E-3</v>
      </c>
      <c r="D373">
        <f>(D$10-SUM(D$20:D372))/(ABS(D$11)+D$10-SUM(D371:D372))</f>
        <v>1.2725378586613151E-2</v>
      </c>
      <c r="E373">
        <f>(E$10-SUM(E$20:E372))/(ABS(E$11)+E$10-SUM(E371:E372))</f>
        <v>2.8592919334571226E-2</v>
      </c>
      <c r="F373">
        <f>(F$10-SUM(F$20:F372))/(ABS(F$11)+F$10-SUM(F371:F372))</f>
        <v>4.9852495048046952E-2</v>
      </c>
      <c r="H373">
        <f t="shared" si="41"/>
        <v>39.758608173274105</v>
      </c>
      <c r="I373">
        <f t="shared" si="42"/>
        <v>58.867770658477966</v>
      </c>
      <c r="J373">
        <f t="shared" si="43"/>
        <v>76.885029497224878</v>
      </c>
      <c r="K373">
        <f t="shared" si="44"/>
        <v>93.574056719267816</v>
      </c>
    </row>
    <row r="374" spans="2:11">
      <c r="B374">
        <v>355</v>
      </c>
      <c r="C374">
        <f>(C$10-SUM(C$20:C373))/(ABS(C$11)+C$10-SUM(C372:C373))</f>
        <v>3.4488019277466118E-3</v>
      </c>
      <c r="D374">
        <f>(D$10-SUM(D$20:D373))/(ABS(D$11)+D$10-SUM(D372:D373))</f>
        <v>1.2583904574930381E-2</v>
      </c>
      <c r="E374">
        <f>(E$10-SUM(E$20:E373))/(ABS(E$11)+E$10-SUM(E372:E373))</f>
        <v>2.8332710661764682E-2</v>
      </c>
      <c r="F374">
        <f>(F$10-SUM(F$20:F373))/(ABS(F$11)+F$10-SUM(F372:F373))</f>
        <v>4.9468420587838846E-2</v>
      </c>
      <c r="H374">
        <f t="shared" si="41"/>
        <v>39.762056975201851</v>
      </c>
      <c r="I374">
        <f t="shared" si="42"/>
        <v>58.880354563052897</v>
      </c>
      <c r="J374">
        <f t="shared" si="43"/>
        <v>76.913362207886635</v>
      </c>
      <c r="K374">
        <f t="shared" si="44"/>
        <v>93.623525139855658</v>
      </c>
    </row>
    <row r="375" spans="2:11">
      <c r="B375">
        <v>356</v>
      </c>
      <c r="C375">
        <f>(C$10-SUM(C$20:C374))/(ABS(C$11)+C$10-SUM(C373:C374))</f>
        <v>3.39952347595004E-3</v>
      </c>
      <c r="D375">
        <f>(D$10-SUM(D$20:D374))/(ABS(D$11)+D$10-SUM(D373:D374))</f>
        <v>1.2444004286391672E-2</v>
      </c>
      <c r="E375">
        <f>(E$10-SUM(E$20:E374))/(ABS(E$11)+E$10-SUM(E373:E374))</f>
        <v>2.8074872471962713E-2</v>
      </c>
      <c r="F375">
        <f>(F$10-SUM(F$20:F374))/(ABS(F$11)+F$10-SUM(F373:F374))</f>
        <v>4.908730966681963E-2</v>
      </c>
      <c r="H375">
        <f t="shared" si="41"/>
        <v>39.7654564986778</v>
      </c>
      <c r="I375">
        <f t="shared" si="42"/>
        <v>58.892798567339291</v>
      </c>
      <c r="J375">
        <f t="shared" si="43"/>
        <v>76.941437080358597</v>
      </c>
      <c r="K375">
        <f t="shared" si="44"/>
        <v>93.672612449522475</v>
      </c>
    </row>
    <row r="376" spans="2:11">
      <c r="B376">
        <v>357</v>
      </c>
      <c r="C376">
        <f>(C$10-SUM(C$20:C375))/(ABS(C$11)+C$10-SUM(C374:C375))</f>
        <v>3.3509492816184562E-3</v>
      </c>
      <c r="D376">
        <f>(D$10-SUM(D$20:D375))/(ABS(D$11)+D$10-SUM(D374:D375))</f>
        <v>1.2305660195584026E-2</v>
      </c>
      <c r="E376">
        <f>(E$10-SUM(E$20:E375))/(ABS(E$11)+E$10-SUM(E374:E375))</f>
        <v>2.7819383125525322E-2</v>
      </c>
      <c r="F376">
        <f>(F$10-SUM(F$20:F375))/(ABS(F$11)+F$10-SUM(F374:F375))</f>
        <v>4.8709139348277461E-2</v>
      </c>
      <c r="H376">
        <f t="shared" si="41"/>
        <v>39.768807447959418</v>
      </c>
      <c r="I376">
        <f t="shared" si="42"/>
        <v>58.905104227534878</v>
      </c>
      <c r="J376">
        <f t="shared" si="43"/>
        <v>76.969256463484129</v>
      </c>
      <c r="K376">
        <f t="shared" si="44"/>
        <v>93.721321588870751</v>
      </c>
    </row>
    <row r="377" spans="2:11">
      <c r="B377">
        <v>358</v>
      </c>
      <c r="C377">
        <f>(C$10-SUM(C$20:C376))/(ABS(C$11)+C$10-SUM(C375:C376))</f>
        <v>3.3030692759963742E-3</v>
      </c>
      <c r="D377">
        <f>(D$10-SUM(D$20:D376))/(ABS(D$11)+D$10-SUM(D375:D376))</f>
        <v>1.2168854972698071E-2</v>
      </c>
      <c r="E377">
        <f>(E$10-SUM(E$20:E376))/(ABS(E$11)+E$10-SUM(E375:E376))</f>
        <v>2.7566221181167531E-2</v>
      </c>
      <c r="F377">
        <f>(F$10-SUM(F$20:F376))/(ABS(F$11)+F$10-SUM(F375:F376))</f>
        <v>4.8333886874097183E-2</v>
      </c>
      <c r="H377">
        <f t="shared" si="41"/>
        <v>39.772110517235411</v>
      </c>
      <c r="I377">
        <f t="shared" si="42"/>
        <v>58.917273082507577</v>
      </c>
      <c r="J377">
        <f t="shared" si="43"/>
        <v>76.99682268466529</v>
      </c>
      <c r="K377">
        <f t="shared" si="44"/>
        <v>93.769655475744841</v>
      </c>
    </row>
    <row r="378" spans="2:11">
      <c r="B378">
        <v>359</v>
      </c>
      <c r="C378">
        <f>(C$10-SUM(C$20:C377))/(ABS(C$11)+C$10-SUM(C376:C377))</f>
        <v>3.2558735343929659E-3</v>
      </c>
      <c r="D378">
        <f>(D$10-SUM(D$20:D377))/(ABS(D$11)+D$10-SUM(D376:D377))</f>
        <v>1.2033571481335234E-2</v>
      </c>
      <c r="E378">
        <f>(E$10-SUM(E$20:E377))/(ABS(E$11)+E$10-SUM(E376:E377))</f>
        <v>2.7315365394126566E-2</v>
      </c>
      <c r="F378">
        <f>(F$10-SUM(F$20:F377))/(ABS(F$11)+F$10-SUM(F376:F377))</f>
        <v>4.7961529663353417E-2</v>
      </c>
      <c r="H378">
        <f t="shared" si="41"/>
        <v>39.775366390769804</v>
      </c>
      <c r="I378">
        <f t="shared" si="42"/>
        <v>58.92930665398891</v>
      </c>
      <c r="J378">
        <f t="shared" si="43"/>
        <v>77.02413805005942</v>
      </c>
      <c r="K378">
        <f t="shared" si="44"/>
        <v>93.817617005408195</v>
      </c>
    </row>
    <row r="379" spans="2:11">
      <c r="B379">
        <v>360</v>
      </c>
      <c r="C379">
        <f>(C$10-SUM(C$20:C378))/(ABS(C$11)+C$10-SUM(C377:C378))</f>
        <v>3.2093522741174323E-3</v>
      </c>
      <c r="D379">
        <f>(D$10-SUM(D$20:D378))/(ABS(D$11)+D$10-SUM(D377:D378))</f>
        <v>1.1899792776339756E-2</v>
      </c>
      <c r="E379">
        <f>(E$10-SUM(E$20:E378))/(ABS(E$11)+E$10-SUM(E377:E378))</f>
        <v>2.706679471434555E-2</v>
      </c>
      <c r="F379">
        <f>(F$10-SUM(F$20:F378))/(ABS(F$11)+F$10-SUM(F377:F378))</f>
        <v>4.759204531091453E-2</v>
      </c>
      <c r="H379">
        <f t="shared" ref="H379:H442" si="45">H378+C379</f>
        <v>39.778575743043923</v>
      </c>
      <c r="I379">
        <f t="shared" ref="I379:I442" si="46">I378+D379</f>
        <v>58.94120644676525</v>
      </c>
      <c r="J379">
        <f t="shared" ref="J379:J442" si="47">J378+E379</f>
        <v>77.051204844773764</v>
      </c>
      <c r="K379">
        <f t="shared" ref="K379:K442" si="48">K378+F379</f>
        <v>93.865209050719116</v>
      </c>
    </row>
    <row r="380" spans="2:11">
      <c r="B380">
        <v>361</v>
      </c>
      <c r="C380">
        <f>(C$10-SUM(C$20:C379))/(ABS(C$11)+C$10-SUM(C378:C379))</f>
        <v>3.1634958524443865E-3</v>
      </c>
      <c r="D380">
        <f>(D$10-SUM(D$20:D379))/(ABS(D$11)+D$10-SUM(D378:D379))</f>
        <v>1.1767502101655022E-2</v>
      </c>
      <c r="E380">
        <f>(E$10-SUM(E$20:E379))/(ABS(E$11)+E$10-SUM(E378:E379))</f>
        <v>2.6820488284675641E-2</v>
      </c>
      <c r="F380">
        <f>(F$10-SUM(F$20:F379))/(ABS(F$11)+F$10-SUM(F378:F379))</f>
        <v>4.7225411586058176E-2</v>
      </c>
      <c r="H380">
        <f t="shared" si="45"/>
        <v>39.781739238896371</v>
      </c>
      <c r="I380">
        <f t="shared" si="46"/>
        <v>58.952973948866905</v>
      </c>
      <c r="J380">
        <f t="shared" si="47"/>
        <v>77.078025333058434</v>
      </c>
      <c r="K380">
        <f t="shared" si="48"/>
        <v>93.912434462305171</v>
      </c>
    </row>
    <row r="381" spans="2:11">
      <c r="B381">
        <v>362</v>
      </c>
      <c r="C381">
        <f>(C$10-SUM(C$20:C380))/(ABS(C$11)+C$10-SUM(C379:C380))</f>
        <v>3.1182947646082515E-3</v>
      </c>
      <c r="D381">
        <f>(D$10-SUM(D$20:D380))/(ABS(D$11)+D$10-SUM(D379:D380))</f>
        <v>1.1636682888204575E-2</v>
      </c>
      <c r="E381">
        <f>(E$10-SUM(E$20:E380))/(ABS(E$11)+E$10-SUM(E379:E380))</f>
        <v>2.6576425439093679E-2</v>
      </c>
      <c r="F381">
        <f>(F$10-SUM(F$20:F380))/(ABS(F$11)+F$10-SUM(F379:F380))</f>
        <v>4.6861606431097942E-2</v>
      </c>
      <c r="H381">
        <f t="shared" si="45"/>
        <v>39.784857533660983</v>
      </c>
      <c r="I381">
        <f t="shared" si="46"/>
        <v>58.964610631755107</v>
      </c>
      <c r="J381">
        <f t="shared" si="47"/>
        <v>77.104601758497523</v>
      </c>
      <c r="K381">
        <f t="shared" si="48"/>
        <v>93.959296068736265</v>
      </c>
    </row>
    <row r="382" spans="2:11">
      <c r="B382">
        <v>363</v>
      </c>
      <c r="C382">
        <f>(C$10-SUM(C$20:C381))/(ABS(C$11)+C$10-SUM(C380:C381))</f>
        <v>3.0737396418265518E-3</v>
      </c>
      <c r="D382">
        <f>(D$10-SUM(D$20:D381))/(ABS(D$11)+D$10-SUM(D380:D381))</f>
        <v>1.1507318751796633E-2</v>
      </c>
      <c r="E382">
        <f>(E$10-SUM(E$20:E381))/(ABS(E$11)+E$10-SUM(E380:E381))</f>
        <v>2.6334585700937281E-2</v>
      </c>
      <c r="F382">
        <f>(F$10-SUM(F$20:F381))/(ABS(F$11)+F$10-SUM(F380:F381))</f>
        <v>4.6500607960020597E-2</v>
      </c>
      <c r="H382">
        <f t="shared" si="45"/>
        <v>39.78793127330281</v>
      </c>
      <c r="I382">
        <f t="shared" si="46"/>
        <v>58.976117950506904</v>
      </c>
      <c r="J382">
        <f t="shared" si="47"/>
        <v>77.13093634419846</v>
      </c>
      <c r="K382">
        <f t="shared" si="48"/>
        <v>94.005796676696292</v>
      </c>
    </row>
    <row r="383" spans="2:11">
      <c r="B383">
        <v>364</v>
      </c>
      <c r="C383">
        <f>(C$10-SUM(C$20:C382))/(ABS(C$11)+C$10-SUM(C381:C382))</f>
        <v>3.0298212493515891E-3</v>
      </c>
      <c r="D383">
        <f>(D$10-SUM(D$20:D382))/(ABS(D$11)+D$10-SUM(D381:D382))</f>
        <v>1.1379393491052393E-2</v>
      </c>
      <c r="E383">
        <f>(E$10-SUM(E$20:E382))/(ABS(E$11)+E$10-SUM(E381:E382))</f>
        <v>2.6094948781156344E-2</v>
      </c>
      <c r="F383">
        <f>(F$10-SUM(F$20:F382))/(ABS(F$11)+F$10-SUM(F381:F382))</f>
        <v>4.6142394457134875E-2</v>
      </c>
      <c r="H383">
        <f t="shared" si="45"/>
        <v>39.790961094552159</v>
      </c>
      <c r="I383">
        <f t="shared" si="46"/>
        <v>58.987497343997958</v>
      </c>
      <c r="J383">
        <f t="shared" si="47"/>
        <v>77.15703129297961</v>
      </c>
      <c r="K383">
        <f t="shared" si="48"/>
        <v>94.051939071153427</v>
      </c>
    </row>
    <row r="384" spans="2:11">
      <c r="B384">
        <v>365</v>
      </c>
      <c r="C384">
        <f>(C$10-SUM(C$20:C383))/(ABS(C$11)+C$10-SUM(C382:C383))</f>
        <v>2.9865304845500939E-3</v>
      </c>
      <c r="D384">
        <f>(D$10-SUM(D$20:D383))/(ABS(D$11)+D$10-SUM(D382:D383))</f>
        <v>1.1252891085357914E-2</v>
      </c>
      <c r="E384">
        <f>(E$10-SUM(E$20:E383))/(ABS(E$11)+E$10-SUM(E382:E383))</f>
        <v>2.5857494576581028E-2</v>
      </c>
      <c r="F384">
        <f>(F$10-SUM(F$20:F383))/(ABS(F$11)+F$10-SUM(F382:F383))</f>
        <v>4.5786944375731144E-2</v>
      </c>
      <c r="H384">
        <f t="shared" si="45"/>
        <v>39.793947625036708</v>
      </c>
      <c r="I384">
        <f t="shared" si="46"/>
        <v>58.998750235083314</v>
      </c>
      <c r="J384">
        <f t="shared" si="47"/>
        <v>77.182888787556195</v>
      </c>
      <c r="K384">
        <f t="shared" si="48"/>
        <v>94.097726015529162</v>
      </c>
    </row>
    <row r="385" spans="2:11" ht="14.25" thickBot="1">
      <c r="B385">
        <v>366</v>
      </c>
      <c r="C385">
        <f>(C$10-SUM(C$20:C384))/(ABS(C$11)+C$10-SUM(C383:C384))</f>
        <v>2.9438583750104421E-3</v>
      </c>
      <c r="D385">
        <f>(D$10-SUM(D$20:D384))/(ABS(D$11)+D$10-SUM(D383:D384))</f>
        <v>1.1127795692839051E-2</v>
      </c>
      <c r="E385">
        <f>(E$10-SUM(E$20:E384))/(ABS(E$11)+E$10-SUM(E383:E384))</f>
        <v>2.5622203168205474E-2</v>
      </c>
      <c r="F385">
        <f>(F$10-SUM(F$20:F384))/(ABS(F$11)+F$10-SUM(F383:F384))</f>
        <v>4.5434236336751171E-2</v>
      </c>
      <c r="H385">
        <f t="shared" si="45"/>
        <v>39.79689148341172</v>
      </c>
      <c r="I385">
        <f t="shared" si="46"/>
        <v>59.00987803077615</v>
      </c>
      <c r="J385">
        <f t="shared" si="47"/>
        <v>77.208510990724406</v>
      </c>
      <c r="K385">
        <f t="shared" si="48"/>
        <v>94.143160251865908</v>
      </c>
    </row>
    <row r="386" spans="2:11" ht="15" thickTop="1" thickBot="1">
      <c r="B386" s="34">
        <v>367</v>
      </c>
      <c r="C386">
        <f>(C$10-SUM(C$20:C385))/(ABS(C$11)+C$10-SUM(C384:C385))</f>
        <v>2.9017960766772261E-3</v>
      </c>
      <c r="D386">
        <f>(D$10-SUM(D$20:D385))/(ABS(D$11)+D$10-SUM(D384:D385))</f>
        <v>1.1004091648359004E-2</v>
      </c>
      <c r="E386">
        <f>(E$10-SUM(E$20:E385))/(ABS(E$11)+E$10-SUM(E384:E385))</f>
        <v>2.5389054819488426E-2</v>
      </c>
      <c r="F386">
        <f>(F$10-SUM(F$20:F385))/(ABS(F$11)+F$10-SUM(F384:F385))</f>
        <v>4.5084249127469514E-2</v>
      </c>
      <c r="G386" s="34"/>
      <c r="H386" s="34">
        <f t="shared" si="45"/>
        <v>39.799793279488398</v>
      </c>
      <c r="I386" s="34">
        <f t="shared" si="46"/>
        <v>59.02088212242451</v>
      </c>
      <c r="J386" s="34">
        <f t="shared" si="47"/>
        <v>77.233900045543891</v>
      </c>
      <c r="K386" s="34">
        <f t="shared" si="48"/>
        <v>94.188244500993378</v>
      </c>
    </row>
    <row r="387" spans="2:11" ht="14.25" thickTop="1">
      <c r="B387">
        <v>368</v>
      </c>
      <c r="C387">
        <f>(C$10-SUM(C$20:C386))/(ABS(C$11)+C$10-SUM(C385:C386))</f>
        <v>2.8603348720125706E-3</v>
      </c>
      <c r="D387">
        <f>(D$10-SUM(D$20:D386))/(ABS(D$11)+D$10-SUM(D385:D386))</f>
        <v>1.0881763461538827E-2</v>
      </c>
      <c r="E387">
        <f>(E$10-SUM(E$20:E386))/(ABS(E$11)+E$10-SUM(E385:E386))</f>
        <v>2.5158029974669177E-2</v>
      </c>
      <c r="F387">
        <f>(F$10-SUM(F$20:F386))/(ABS(F$11)+F$10-SUM(F385:F386))</f>
        <v>4.4736961700184576E-2</v>
      </c>
      <c r="H387">
        <f t="shared" si="45"/>
        <v>39.802653614360409</v>
      </c>
      <c r="I387">
        <f t="shared" si="46"/>
        <v>59.031763885886051</v>
      </c>
      <c r="J387">
        <f t="shared" si="47"/>
        <v>77.259058075518553</v>
      </c>
      <c r="K387">
        <f t="shared" si="48"/>
        <v>94.232981462693559</v>
      </c>
    </row>
    <row r="388" spans="2:11">
      <c r="B388">
        <v>369</v>
      </c>
      <c r="C388">
        <f>(C$10-SUM(C$20:C387))/(ABS(C$11)+C$10-SUM(C386:C387))</f>
        <v>2.8194661681836776E-3</v>
      </c>
      <c r="D388">
        <f>(D$10-SUM(D$20:D387))/(ABS(D$11)+D$10-SUM(D386:D387))</f>
        <v>1.0760795814800215E-2</v>
      </c>
      <c r="E388">
        <f>(E$10-SUM(E$20:E387))/(ABS(E$11)+E$10-SUM(E386:E387))</f>
        <v>2.492910925709917E-2</v>
      </c>
      <c r="F388">
        <f>(F$10-SUM(F$20:F387))/(ABS(F$11)+F$10-SUM(F386:F387))</f>
        <v>4.4392353170921099E-2</v>
      </c>
      <c r="H388">
        <f t="shared" si="45"/>
        <v>39.805473080528593</v>
      </c>
      <c r="I388">
        <f t="shared" si="46"/>
        <v>59.042524681700854</v>
      </c>
      <c r="J388">
        <f t="shared" si="47"/>
        <v>77.283987184775654</v>
      </c>
      <c r="K388">
        <f t="shared" si="48"/>
        <v>94.277373815864479</v>
      </c>
    </row>
    <row r="389" spans="2:11">
      <c r="B389">
        <v>370</v>
      </c>
      <c r="C389">
        <f>(C$10-SUM(C$20:C388))/(ABS(C$11)+C$10-SUM(C387:C388))</f>
        <v>2.7791814952764999E-3</v>
      </c>
      <c r="D389">
        <f>(D$10-SUM(D$20:D388))/(ABS(D$11)+D$10-SUM(D387:D388))</f>
        <v>1.064117356143021E-2</v>
      </c>
      <c r="E389">
        <f>(E$10-SUM(E$20:E388))/(ABS(E$11)+E$10-SUM(E387:E388))</f>
        <v>2.470227346758962E-2</v>
      </c>
      <c r="F389">
        <f>(F$10-SUM(F$20:F388))/(ABS(F$11)+F$10-SUM(F387:F388))</f>
        <v>4.4050402818142299E-2</v>
      </c>
      <c r="H389">
        <f t="shared" si="45"/>
        <v>39.808252262023871</v>
      </c>
      <c r="I389">
        <f t="shared" si="46"/>
        <v>59.053165855262286</v>
      </c>
      <c r="J389">
        <f t="shared" si="47"/>
        <v>77.308689458243251</v>
      </c>
      <c r="K389">
        <f t="shared" si="48"/>
        <v>94.321424218682623</v>
      </c>
    </row>
    <row r="390" spans="2:11">
      <c r="B390">
        <v>371</v>
      </c>
      <c r="C390">
        <f>(C$10-SUM(C$20:C389))/(ABS(C$11)+C$10-SUM(C388:C389))</f>
        <v>2.7394725045352293E-3</v>
      </c>
      <c r="D390">
        <f>(D$10-SUM(D$20:D389))/(ABS(D$11)+D$10-SUM(D388:D389))</f>
        <v>1.0522881723667931E-2</v>
      </c>
      <c r="E390">
        <f>(E$10-SUM(E$20:E389))/(ABS(E$11)+E$10-SUM(E388:E389))</f>
        <v>2.4477503582774646E-2</v>
      </c>
      <c r="F390">
        <f>(F$10-SUM(F$20:F389))/(ABS(F$11)+F$10-SUM(F388:F389))</f>
        <v>4.3711090081472836E-2</v>
      </c>
      <c r="H390">
        <f t="shared" si="45"/>
        <v>39.810991734528407</v>
      </c>
      <c r="I390">
        <f t="shared" si="46"/>
        <v>59.063688736985952</v>
      </c>
      <c r="J390">
        <f t="shared" si="47"/>
        <v>77.333166961826024</v>
      </c>
      <c r="K390">
        <f t="shared" si="48"/>
        <v>94.365135308764096</v>
      </c>
    </row>
    <row r="391" spans="2:11" ht="14.25" thickBot="1">
      <c r="B391">
        <v>372</v>
      </c>
      <c r="C391">
        <f>(C$10-SUM(C$20:C390))/(ABS(C$11)+C$10-SUM(C389:C390))</f>
        <v>2.7003309666268909E-3</v>
      </c>
      <c r="D391">
        <f>(D$10-SUM(D$20:D390))/(ABS(D$11)+D$10-SUM(D389:D390))</f>
        <v>1.0405905490812743E-2</v>
      </c>
      <c r="E391">
        <f>(E$10-SUM(E$20:E390))/(ABS(E$11)+E$10-SUM(E389:E390))</f>
        <v>2.4254780753489441E-2</v>
      </c>
      <c r="F391">
        <f>(F$10-SUM(F$20:F390))/(ABS(F$11)+F$10-SUM(F389:F390))</f>
        <v>4.3374394560431878E-2</v>
      </c>
      <c r="H391">
        <f t="shared" si="45"/>
        <v>39.813692065495033</v>
      </c>
      <c r="I391">
        <f t="shared" si="46"/>
        <v>59.074094642476766</v>
      </c>
      <c r="J391">
        <f t="shared" si="47"/>
        <v>77.357421742579518</v>
      </c>
      <c r="K391">
        <f t="shared" si="48"/>
        <v>94.408509703324526</v>
      </c>
    </row>
    <row r="392" spans="2:11" s="34" customFormat="1" ht="15" thickTop="1" thickBot="1">
      <c r="B392">
        <v>373</v>
      </c>
      <c r="C392">
        <f>(C$10-SUM(C$20:C391))/(ABS(C$11)+C$10-SUM(C390:C391))</f>
        <v>2.6617487699309287E-3</v>
      </c>
      <c r="D392">
        <f>(D$10-SUM(D$20:D391))/(ABS(D$11)+D$10-SUM(D390:D391))</f>
        <v>1.0290230217353794E-2</v>
      </c>
      <c r="E392">
        <f>(E$10-SUM(E$20:E391))/(ABS(E$11)+E$10-SUM(E390:E391))</f>
        <v>2.4034086303163362E-2</v>
      </c>
      <c r="F392">
        <f>(F$10-SUM(F$20:F391))/(ABS(F$11)+F$10-SUM(F390:F391))</f>
        <v>4.304029601317625E-2</v>
      </c>
      <c r="G392"/>
      <c r="H392">
        <f t="shared" si="45"/>
        <v>39.816353814264964</v>
      </c>
      <c r="I392">
        <f t="shared" si="46"/>
        <v>59.084384872694116</v>
      </c>
      <c r="J392">
        <f t="shared" si="47"/>
        <v>77.381455828882679</v>
      </c>
      <c r="K392">
        <f t="shared" si="48"/>
        <v>94.451549999337701</v>
      </c>
    </row>
    <row r="393" spans="2:11" ht="14.25" thickTop="1">
      <c r="B393">
        <v>374</v>
      </c>
      <c r="C393">
        <f>(C$10-SUM(C$20:C392))/(ABS(C$11)+C$10-SUM(C391:C392))</f>
        <v>2.6237179188531843E-3</v>
      </c>
      <c r="D393">
        <f>(D$10-SUM(D$20:D392))/(ABS(D$11)+D$10-SUM(D391:D392))</f>
        <v>1.0175841421120891E-2</v>
      </c>
      <c r="E393">
        <f>(E$10-SUM(E$20:E392))/(ABS(E$11)+E$10-SUM(E391:E392))</f>
        <v>2.3815401726228907E-2</v>
      </c>
      <c r="F393">
        <f>(F$10-SUM(F$20:F392))/(ABS(F$11)+F$10-SUM(F391:F392))</f>
        <v>4.2708774355253741E-2</v>
      </c>
      <c r="H393">
        <f t="shared" si="45"/>
        <v>39.818977532183816</v>
      </c>
      <c r="I393">
        <f t="shared" si="46"/>
        <v>59.094560714115239</v>
      </c>
      <c r="J393">
        <f t="shared" si="47"/>
        <v>77.405271230608903</v>
      </c>
      <c r="K393">
        <f t="shared" si="48"/>
        <v>94.494258773692948</v>
      </c>
    </row>
    <row r="394" spans="2:11">
      <c r="B394">
        <v>375</v>
      </c>
      <c r="C394">
        <f>(C$10-SUM(C$20:C393))/(ABS(C$11)+C$10-SUM(C392:C393))</f>
        <v>2.5862305321644537E-3</v>
      </c>
      <c r="D394">
        <f>(D$10-SUM(D$20:D393))/(ABS(D$11)+D$10-SUM(D392:D393))</f>
        <v>1.0062724781455736E-2</v>
      </c>
      <c r="E394">
        <f>(E$10-SUM(E$20:E393))/(ABS(E$11)+E$10-SUM(E392:E393))</f>
        <v>2.3598708686544571E-2</v>
      </c>
      <c r="F394">
        <f>(F$10-SUM(F$20:F393))/(ABS(F$11)+F$10-SUM(F392:F393))</f>
        <v>4.2379809658366518E-2</v>
      </c>
      <c r="H394">
        <f t="shared" si="45"/>
        <v>39.821563762715982</v>
      </c>
      <c r="I394">
        <f t="shared" si="46"/>
        <v>59.104623438896695</v>
      </c>
      <c r="J394">
        <f t="shared" si="47"/>
        <v>77.428869939295453</v>
      </c>
      <c r="K394">
        <f t="shared" si="48"/>
        <v>94.536638583351319</v>
      </c>
    </row>
    <row r="395" spans="2:11">
      <c r="B395">
        <v>376</v>
      </c>
      <c r="C395">
        <f>(C$10-SUM(C$20:C394))/(ABS(C$11)+C$10-SUM(C393:C394))</f>
        <v>2.549278841362408E-3</v>
      </c>
      <c r="D395">
        <f>(D$10-SUM(D$20:D394))/(ABS(D$11)+D$10-SUM(D393:D394))</f>
        <v>9.9508661374044412E-3</v>
      </c>
      <c r="E395">
        <f>(E$10-SUM(E$20:E394))/(ABS(E$11)+E$10-SUM(E393:E394))</f>
        <v>2.3383989015833048E-2</v>
      </c>
      <c r="F395">
        <f>(F$10-SUM(F$20:F394))/(ABS(F$11)+F$10-SUM(F393:F394))</f>
        <v>4.2053382149144114E-2</v>
      </c>
      <c r="H395">
        <f t="shared" si="45"/>
        <v>39.824113041557347</v>
      </c>
      <c r="I395">
        <f t="shared" si="46"/>
        <v>59.114574305034097</v>
      </c>
      <c r="J395">
        <f t="shared" si="47"/>
        <v>77.452253928311279</v>
      </c>
      <c r="K395">
        <f t="shared" si="48"/>
        <v>94.578691965500468</v>
      </c>
    </row>
    <row r="396" spans="2:11">
      <c r="B396">
        <v>377</v>
      </c>
      <c r="C396">
        <f>(C$10-SUM(C$20:C395))/(ABS(C$11)+C$10-SUM(C394:C395))</f>
        <v>2.5128551890575882E-3</v>
      </c>
      <c r="D396">
        <f>(D$10-SUM(D$20:D395))/(ABS(D$11)+D$10-SUM(D394:D395))</f>
        <v>9.8402514859297924E-3</v>
      </c>
      <c r="E396">
        <f>(E$10-SUM(E$20:E395))/(ABS(E$11)+E$10-SUM(E394:E395))</f>
        <v>2.3171224712134227E-2</v>
      </c>
      <c r="F396">
        <f>(F$10-SUM(F$20:F395))/(ABS(F$11)+F$10-SUM(F394:F395))</f>
        <v>4.1729472207926846E-2</v>
      </c>
      <c r="H396">
        <f t="shared" si="45"/>
        <v>39.826625896746407</v>
      </c>
      <c r="I396">
        <f t="shared" si="46"/>
        <v>59.12441455652003</v>
      </c>
      <c r="J396">
        <f t="shared" si="47"/>
        <v>77.475425153023409</v>
      </c>
      <c r="K396">
        <f t="shared" si="48"/>
        <v>94.620421437708401</v>
      </c>
    </row>
    <row r="397" spans="2:11">
      <c r="B397">
        <v>378</v>
      </c>
      <c r="C397">
        <f>(C$10-SUM(C$20:C396))/(ABS(C$11)+C$10-SUM(C395:C396))</f>
        <v>2.4769520273820382E-3</v>
      </c>
      <c r="D397">
        <f>(D$10-SUM(D$20:D396))/(ABS(D$11)+D$10-SUM(D395:D396))</f>
        <v>9.7308669801439013E-3</v>
      </c>
      <c r="E397">
        <f>(E$10-SUM(E$20:E396))/(ABS(E$11)+E$10-SUM(E395:E396))</f>
        <v>2.29603979382717E-2</v>
      </c>
      <c r="F397">
        <f>(F$10-SUM(F$20:F396))/(ABS(F$11)+F$10-SUM(F395:F396))</f>
        <v>4.1408060367558328E-2</v>
      </c>
      <c r="H397">
        <f t="shared" si="45"/>
        <v>39.829102848773786</v>
      </c>
      <c r="I397">
        <f t="shared" si="46"/>
        <v>59.134145423500172</v>
      </c>
      <c r="J397">
        <f t="shared" si="47"/>
        <v>77.498385550961686</v>
      </c>
      <c r="K397">
        <f t="shared" si="48"/>
        <v>94.66182949807596</v>
      </c>
    </row>
    <row r="398" spans="2:11">
      <c r="B398">
        <v>379</v>
      </c>
      <c r="C398">
        <f>(C$10-SUM(C$20:C397))/(ABS(C$11)+C$10-SUM(C396:C397))</f>
        <v>2.4415619164211973E-3</v>
      </c>
      <c r="D398">
        <f>(D$10-SUM(D$20:D397))/(ABS(D$11)+D$10-SUM(D396:D397))</f>
        <v>9.6226989275611415E-3</v>
      </c>
      <c r="E398">
        <f>(E$10-SUM(E$20:E397))/(ABS(E$11)+E$10-SUM(E396:E397))</f>
        <v>2.2751491020334531E-2</v>
      </c>
      <c r="F398">
        <f>(F$10-SUM(F$20:F397))/(ABS(F$11)+F$10-SUM(F396:F397))</f>
        <v>4.1089127312188112E-2</v>
      </c>
      <c r="H398">
        <f t="shared" si="45"/>
        <v>39.831544410690206</v>
      </c>
      <c r="I398">
        <f t="shared" si="46"/>
        <v>59.14376812242773</v>
      </c>
      <c r="J398">
        <f t="shared" si="47"/>
        <v>77.521137041982016</v>
      </c>
      <c r="K398">
        <f t="shared" si="48"/>
        <v>94.702918625388151</v>
      </c>
    </row>
    <row r="399" spans="2:11">
      <c r="B399">
        <v>380</v>
      </c>
      <c r="C399">
        <f>(C$10-SUM(C$20:C398))/(ABS(C$11)+C$10-SUM(C397:C398))</f>
        <v>2.4066775226678164E-3</v>
      </c>
      <c r="D399">
        <f>(D$10-SUM(D$20:D398))/(ABS(D$11)+D$10-SUM(D397:D398))</f>
        <v>9.5157337883700396E-3</v>
      </c>
      <c r="E399">
        <f>(E$10-SUM(E$20:E398))/(ABS(E$11)+E$10-SUM(E397:E398))</f>
        <v>2.2544486446173097E-2</v>
      </c>
      <c r="F399">
        <f>(F$10-SUM(F$20:F398))/(ABS(F$11)+F$10-SUM(F397:F398))</f>
        <v>4.077265387608358E-2</v>
      </c>
      <c r="H399">
        <f t="shared" si="45"/>
        <v>39.833951088212871</v>
      </c>
      <c r="I399">
        <f t="shared" si="46"/>
        <v>59.153283856216099</v>
      </c>
      <c r="J399">
        <f t="shared" si="47"/>
        <v>77.543681528428195</v>
      </c>
      <c r="K399">
        <f t="shared" si="48"/>
        <v>94.74369127926424</v>
      </c>
    </row>
    <row r="400" spans="2:11">
      <c r="B400">
        <v>381</v>
      </c>
      <c r="C400">
        <f>(C$10-SUM(C$20:C399))/(ABS(C$11)+C$10-SUM(C398:C399))</f>
        <v>2.3722916174987183E-3</v>
      </c>
      <c r="D400">
        <f>(D$10-SUM(D$20:D399))/(ABS(D$11)+D$10-SUM(D398:D399))</f>
        <v>9.4099581737252073E-3</v>
      </c>
      <c r="E400">
        <f>(E$10-SUM(E$20:E399))/(ABS(E$11)+E$10-SUM(E398:E399))</f>
        <v>2.233936686390808E-2</v>
      </c>
      <c r="F400">
        <f>(F$10-SUM(F$20:F399))/(ABS(F$11)+F$10-SUM(F398:F399))</f>
        <v>4.0458621042451667E-2</v>
      </c>
      <c r="H400">
        <f t="shared" si="45"/>
        <v>39.836323379830368</v>
      </c>
      <c r="I400">
        <f t="shared" si="46"/>
        <v>59.162693814389826</v>
      </c>
      <c r="J400">
        <f t="shared" si="47"/>
        <v>77.566020895292098</v>
      </c>
      <c r="K400">
        <f t="shared" si="48"/>
        <v>94.784149900306687</v>
      </c>
    </row>
    <row r="401" spans="2:11">
      <c r="B401">
        <v>382</v>
      </c>
      <c r="C401">
        <f>(C$10-SUM(C$20:C400))/(ABS(C$11)+C$10-SUM(C399:C400))</f>
        <v>2.33839707567277E-3</v>
      </c>
      <c r="D401">
        <f>(D$10-SUM(D$20:D400))/(ABS(D$11)+D$10-SUM(D399:D400))</f>
        <v>9.3053588440583732E-3</v>
      </c>
      <c r="E401">
        <f>(E$10-SUM(E$20:E400))/(ABS(E$11)+E$10-SUM(E399:E400))</f>
        <v>2.21361150804548E-2</v>
      </c>
      <c r="F401">
        <f>(F$10-SUM(F$20:F400))/(ABS(F$11)+F$10-SUM(F399:F400))</f>
        <v>4.0147009942269926E-2</v>
      </c>
      <c r="H401">
        <f t="shared" si="45"/>
        <v>39.838661776906044</v>
      </c>
      <c r="I401">
        <f t="shared" si="46"/>
        <v>59.171999173233885</v>
      </c>
      <c r="J401">
        <f t="shared" si="47"/>
        <v>77.588157010372555</v>
      </c>
      <c r="K401">
        <f t="shared" si="48"/>
        <v>94.824296910248961</v>
      </c>
    </row>
    <row r="402" spans="2:11">
      <c r="B402">
        <v>383</v>
      </c>
      <c r="C402">
        <f>(C$10-SUM(C$20:C401))/(ABS(C$11)+C$10-SUM(C400:C401))</f>
        <v>2.3049868738508708E-3</v>
      </c>
      <c r="D402">
        <f>(D$10-SUM(D$20:D401))/(ABS(D$11)+D$10-SUM(D400:D401))</f>
        <v>9.2019227074084092E-3</v>
      </c>
      <c r="E402">
        <f>(E$10-SUM(E$20:E401))/(ABS(E$11)+E$10-SUM(E400:E401))</f>
        <v>2.1934714060059798E-2</v>
      </c>
      <c r="F402">
        <f>(F$10-SUM(F$20:F401))/(ABS(F$11)+F$10-SUM(F400:F401))</f>
        <v>3.9837801853126575E-2</v>
      </c>
      <c r="H402">
        <f t="shared" si="45"/>
        <v>39.840966763779896</v>
      </c>
      <c r="I402">
        <f t="shared" si="46"/>
        <v>59.181201095941297</v>
      </c>
      <c r="J402">
        <f t="shared" si="47"/>
        <v>77.610091724432621</v>
      </c>
      <c r="K402">
        <f t="shared" si="48"/>
        <v>94.864134712102086</v>
      </c>
    </row>
    <row r="403" spans="2:11">
      <c r="B403">
        <v>384</v>
      </c>
      <c r="C403">
        <f>(C$10-SUM(C$20:C402))/(ABS(C$11)+C$10-SUM(C401:C402))</f>
        <v>2.2720540891370553E-3</v>
      </c>
      <c r="D403">
        <f>(D$10-SUM(D$20:D402))/(ABS(D$11)+D$10-SUM(D401:D402))</f>
        <v>9.0996368177700578E-3</v>
      </c>
      <c r="E403">
        <f>(E$10-SUM(E$20:E402))/(ABS(E$11)+E$10-SUM(E401:E402))</f>
        <v>2.1735146922852361E-2</v>
      </c>
      <c r="F403">
        <f>(F$10-SUM(F$20:F402))/(ABS(F$11)+F$10-SUM(F401:F402))</f>
        <v>3.9530978198070575E-2</v>
      </c>
      <c r="H403">
        <f t="shared" si="45"/>
        <v>39.843238817869036</v>
      </c>
      <c r="I403">
        <f t="shared" si="46"/>
        <v>59.19030073275907</v>
      </c>
      <c r="J403">
        <f t="shared" si="47"/>
        <v>77.631826871355472</v>
      </c>
      <c r="K403">
        <f t="shared" si="48"/>
        <v>94.903665690300159</v>
      </c>
    </row>
    <row r="404" spans="2:11">
      <c r="B404">
        <v>385</v>
      </c>
      <c r="C404">
        <f>(C$10-SUM(C$20:C403))/(ABS(C$11)+C$10-SUM(C402:C403))</f>
        <v>2.2395918976402841E-3</v>
      </c>
      <c r="D404">
        <f>(D$10-SUM(D$20:D403))/(ABS(D$11)+D$10-SUM(D402:D403))</f>
        <v>8.9984883734614846E-3</v>
      </c>
      <c r="E404">
        <f>(E$10-SUM(E$20:E403))/(ABS(E$11)+E$10-SUM(E402:E403))</f>
        <v>2.1537396943408917E-2</v>
      </c>
      <c r="F404">
        <f>(F$10-SUM(F$20:F403))/(ABS(F$11)+F$10-SUM(F402:F403))</f>
        <v>3.9226520544470074E-2</v>
      </c>
      <c r="H404">
        <f t="shared" si="45"/>
        <v>39.845478409766677</v>
      </c>
      <c r="I404">
        <f t="shared" si="46"/>
        <v>59.199299221132534</v>
      </c>
      <c r="J404">
        <f t="shared" si="47"/>
        <v>77.653364268298887</v>
      </c>
      <c r="K404">
        <f t="shared" si="48"/>
        <v>94.942892210844633</v>
      </c>
    </row>
    <row r="405" spans="2:11">
      <c r="B405">
        <v>386</v>
      </c>
      <c r="C405">
        <f>(C$10-SUM(C$20:C404))/(ABS(C$11)+C$10-SUM(C403:C404))</f>
        <v>2.2075935730572413E-3</v>
      </c>
      <c r="D405">
        <f>(D$10-SUM(D$20:D404))/(ABS(D$11)+D$10-SUM(D403:D404))</f>
        <v>8.8984647155099621E-3</v>
      </c>
      <c r="E405">
        <f>(E$10-SUM(E$20:E404))/(ABS(E$11)+E$10-SUM(E403:E404))</f>
        <v>2.1341447549330556E-2</v>
      </c>
      <c r="F405">
        <f>(F$10-SUM(F$20:F404))/(ABS(F$11)+F$10-SUM(F403:F404))</f>
        <v>3.8924410602880592E-2</v>
      </c>
      <c r="H405">
        <f t="shared" si="45"/>
        <v>39.847686003339732</v>
      </c>
      <c r="I405">
        <f t="shared" si="46"/>
        <v>59.208197685848042</v>
      </c>
      <c r="J405">
        <f t="shared" si="47"/>
        <v>77.674705715848219</v>
      </c>
      <c r="K405">
        <f t="shared" si="48"/>
        <v>94.981816621447507</v>
      </c>
    </row>
    <row r="406" spans="2:11">
      <c r="B406">
        <v>387</v>
      </c>
      <c r="C406">
        <f>(C$10-SUM(C$20:C405))/(ABS(C$11)+C$10-SUM(C404:C405))</f>
        <v>2.1760524852752062E-3</v>
      </c>
      <c r="D406">
        <f>(D$10-SUM(D$20:D405))/(ABS(D$11)+D$10-SUM(D404:D405))</f>
        <v>8.7995533260559842E-3</v>
      </c>
      <c r="E406">
        <f>(E$10-SUM(E$20:E405))/(ABS(E$11)+E$10-SUM(E404:E405))</f>
        <v>2.11472823198347E-2</v>
      </c>
      <c r="F406">
        <f>(F$10-SUM(F$20:F405))/(ABS(F$11)+F$10-SUM(F404:F405))</f>
        <v>3.862463022592208E-2</v>
      </c>
      <c r="H406">
        <f t="shared" si="45"/>
        <v>39.849862055825007</v>
      </c>
      <c r="I406">
        <f t="shared" si="46"/>
        <v>59.216997239174098</v>
      </c>
      <c r="J406">
        <f t="shared" si="47"/>
        <v>77.69585299816805</v>
      </c>
      <c r="K406">
        <f t="shared" si="48"/>
        <v>95.020441251673432</v>
      </c>
    </row>
    <row r="407" spans="2:11">
      <c r="B407">
        <v>388</v>
      </c>
      <c r="C407">
        <f>(C$10-SUM(C$20:C406))/(ABS(C$11)+C$10-SUM(C405:C406))</f>
        <v>2.1449620989949115E-3</v>
      </c>
      <c r="D407">
        <f>(D$10-SUM(D$20:D406))/(ABS(D$11)+D$10-SUM(D405:D406))</f>
        <v>8.7017418267749443E-3</v>
      </c>
      <c r="E407">
        <f>(E$10-SUM(E$20:E406))/(ABS(E$11)+E$10-SUM(E405:E406))</f>
        <v>2.0954884984359001E-2</v>
      </c>
      <c r="F407">
        <f>(F$10-SUM(F$20:F406))/(ABS(F$11)+F$10-SUM(F405:F406))</f>
        <v>3.8327161407164495E-2</v>
      </c>
      <c r="H407">
        <f t="shared" si="45"/>
        <v>39.852007017924002</v>
      </c>
      <c r="I407">
        <f t="shared" si="46"/>
        <v>59.225698981000875</v>
      </c>
      <c r="J407">
        <f t="shared" si="47"/>
        <v>77.716807883152413</v>
      </c>
      <c r="K407">
        <f t="shared" si="48"/>
        <v>95.0587684130806</v>
      </c>
    </row>
    <row r="408" spans="2:11">
      <c r="B408">
        <v>389</v>
      </c>
      <c r="C408">
        <f>(C$10-SUM(C$20:C407))/(ABS(C$11)+C$10-SUM(C406:C407))</f>
        <v>2.1143159723735734E-3</v>
      </c>
      <c r="D408">
        <f>(D$10-SUM(D$20:D407))/(ABS(D$11)+D$10-SUM(D406:D407))</f>
        <v>8.6050179773171295E-3</v>
      </c>
      <c r="E408">
        <f>(E$10-SUM(E$20:E407))/(ABS(E$11)+E$10-SUM(E406:E407))</f>
        <v>2.0764239421178565E-2</v>
      </c>
      <c r="F408">
        <f>(F$10-SUM(F$20:F407))/(ABS(F$11)+F$10-SUM(F406:F407))</f>
        <v>3.8031986280023182E-2</v>
      </c>
      <c r="H408">
        <f t="shared" si="45"/>
        <v>39.854121333896373</v>
      </c>
      <c r="I408">
        <f t="shared" si="46"/>
        <v>59.234303998978191</v>
      </c>
      <c r="J408">
        <f t="shared" si="47"/>
        <v>77.737572122573596</v>
      </c>
      <c r="K408">
        <f t="shared" si="48"/>
        <v>95.096800399360617</v>
      </c>
    </row>
    <row r="409" spans="2:11">
      <c r="B409">
        <v>390</v>
      </c>
      <c r="C409">
        <f>(C$10-SUM(C$20:C408))/(ABS(C$11)+C$10-SUM(C407:C408))</f>
        <v>2.0841077556869895E-3</v>
      </c>
      <c r="D409">
        <f>(D$10-SUM(D$20:D408))/(ABS(D$11)+D$10-SUM(D407:D408))</f>
        <v>8.5093696737648505E-3</v>
      </c>
      <c r="E409">
        <f>(E$10-SUM(E$20:E408))/(ABS(E$11)+E$10-SUM(E407:E408))</f>
        <v>2.0575329656036447E-2</v>
      </c>
      <c r="F409">
        <f>(F$10-SUM(F$20:F408))/(ABS(F$11)+F$10-SUM(F407:F408))</f>
        <v>3.773908711666233E-2</v>
      </c>
      <c r="H409">
        <f t="shared" si="45"/>
        <v>39.856205441652058</v>
      </c>
      <c r="I409">
        <f t="shared" si="46"/>
        <v>59.242813368651959</v>
      </c>
      <c r="J409">
        <f t="shared" si="47"/>
        <v>77.758147452229636</v>
      </c>
      <c r="K409">
        <f t="shared" si="48"/>
        <v>95.13453948647728</v>
      </c>
    </row>
    <row r="410" spans="2:11">
      <c r="B410">
        <v>391</v>
      </c>
      <c r="C410">
        <f>(C$10-SUM(C$20:C409))/(ABS(C$11)+C$10-SUM(C408:C409))</f>
        <v>2.0543311900107896E-3</v>
      </c>
      <c r="D410">
        <f>(D$10-SUM(D$20:D409))/(ABS(D$11)+D$10-SUM(D408:D409))</f>
        <v>8.4147849471069621E-3</v>
      </c>
      <c r="E410">
        <f>(E$10-SUM(E$20:E409))/(ABS(E$11)+E$10-SUM(E408:E409))</f>
        <v>2.0388139860786317E-2</v>
      </c>
      <c r="F410">
        <f>(F$10-SUM(F$20:F409))/(ABS(F$11)+F$10-SUM(F408:F409))</f>
        <v>3.7448446326907289E-2</v>
      </c>
      <c r="H410">
        <f t="shared" si="45"/>
        <v>39.858259772842068</v>
      </c>
      <c r="I410">
        <f t="shared" si="46"/>
        <v>59.251228153599065</v>
      </c>
      <c r="J410">
        <f t="shared" si="47"/>
        <v>77.778535592090421</v>
      </c>
      <c r="K410">
        <f t="shared" si="48"/>
        <v>95.171987932804186</v>
      </c>
    </row>
    <row r="411" spans="2:11">
      <c r="B411">
        <v>392</v>
      </c>
      <c r="C411">
        <f>(C$10-SUM(C$20:C410))/(ABS(C$11)+C$10-SUM(C409:C410))</f>
        <v>2.0249801059209517E-3</v>
      </c>
      <c r="D411">
        <f>(D$10-SUM(D$20:D410))/(ABS(D$11)+D$10-SUM(D409:D410))</f>
        <v>8.3212519617308252E-3</v>
      </c>
      <c r="E411">
        <f>(E$10-SUM(E$20:E410))/(ABS(E$11)+E$10-SUM(E409:E410))</f>
        <v>2.0202654352048075E-2</v>
      </c>
      <c r="F411">
        <f>(F$10-SUM(F$20:F410))/(ABS(F$11)+F$10-SUM(F409:F410))</f>
        <v>3.7160046457165981E-2</v>
      </c>
      <c r="H411">
        <f t="shared" si="45"/>
        <v>39.86028475294799</v>
      </c>
      <c r="I411">
        <f t="shared" si="46"/>
        <v>59.259549405560797</v>
      </c>
      <c r="J411">
        <f t="shared" si="47"/>
        <v>77.798738246442468</v>
      </c>
      <c r="K411">
        <f t="shared" si="48"/>
        <v>95.209147979261346</v>
      </c>
    </row>
    <row r="412" spans="2:11">
      <c r="B412">
        <v>393</v>
      </c>
      <c r="C412">
        <f>(C$10-SUM(C$20:C411))/(ABS(C$11)+C$10-SUM(C410:C411))</f>
        <v>1.9960484222126531E-3</v>
      </c>
      <c r="D412">
        <f>(D$10-SUM(D$20:D411))/(ABS(D$11)+D$10-SUM(D410:D411))</f>
        <v>8.2287590139308205E-3</v>
      </c>
      <c r="E412">
        <f>(E$10-SUM(E$20:E411))/(ABS(E$11)+E$10-SUM(E410:E411))</f>
        <v>2.0018857589875802E-2</v>
      </c>
      <c r="F412">
        <f>(F$10-SUM(F$20:F411))/(ABS(F$11)+F$10-SUM(F410:F411))</f>
        <v>3.6873870189358449E-2</v>
      </c>
      <c r="H412">
        <f t="shared" si="45"/>
        <v>39.862280801370204</v>
      </c>
      <c r="I412">
        <f t="shared" si="46"/>
        <v>59.267778164574729</v>
      </c>
      <c r="J412">
        <f t="shared" si="47"/>
        <v>77.818757104032343</v>
      </c>
      <c r="K412">
        <f t="shared" si="48"/>
        <v>95.246021849450699</v>
      </c>
    </row>
    <row r="413" spans="2:11">
      <c r="B413">
        <v>394</v>
      </c>
      <c r="C413">
        <f>(C$10-SUM(C$20:C412))/(ABS(C$11)+C$10-SUM(C411:C412))</f>
        <v>1.9675301446376772E-3</v>
      </c>
      <c r="D413">
        <f>(D$10-SUM(D$20:D412))/(ABS(D$11)+D$10-SUM(D411:D412))</f>
        <v>8.1372945304340229E-3</v>
      </c>
      <c r="E413">
        <f>(E$10-SUM(E$20:E412))/(ABS(E$11)+E$10-SUM(E411:E412))</f>
        <v>1.983673417643839E-2</v>
      </c>
      <c r="F413">
        <f>(F$10-SUM(F$20:F412))/(ABS(F$11)+F$10-SUM(F411:F412))</f>
        <v>3.6589900339855125E-2</v>
      </c>
      <c r="H413">
        <f t="shared" si="45"/>
        <v>39.864248331514844</v>
      </c>
      <c r="I413">
        <f t="shared" si="46"/>
        <v>59.275915459105164</v>
      </c>
      <c r="J413">
        <f t="shared" si="47"/>
        <v>77.83859383820878</v>
      </c>
      <c r="K413">
        <f t="shared" si="48"/>
        <v>95.282611749790547</v>
      </c>
    </row>
    <row r="414" spans="2:11">
      <c r="B414">
        <v>395</v>
      </c>
      <c r="C414">
        <f>(C$10-SUM(C$20:C413))/(ABS(C$11)+C$10-SUM(C412:C413))</f>
        <v>1.9394193646597427E-3</v>
      </c>
      <c r="D414">
        <f>(D$10-SUM(D$20:D413))/(ABS(D$11)+D$10-SUM(D412:D413))</f>
        <v>8.0468470669421872E-3</v>
      </c>
      <c r="E414">
        <f>(E$10-SUM(E$20:E413))/(ABS(E$11)+E$10-SUM(E412:E413))</f>
        <v>1.9656268854712201E-2</v>
      </c>
      <c r="F414">
        <f>(F$10-SUM(F$20:F413))/(ABS(F$11)+F$10-SUM(F412:F413))</f>
        <v>3.6308119858423686E-2</v>
      </c>
      <c r="H414">
        <f t="shared" si="45"/>
        <v>39.866187750879504</v>
      </c>
      <c r="I414">
        <f t="shared" si="46"/>
        <v>59.283962306172107</v>
      </c>
      <c r="J414">
        <f t="shared" si="47"/>
        <v>77.858250107063498</v>
      </c>
      <c r="K414">
        <f t="shared" si="48"/>
        <v>95.318919869648965</v>
      </c>
    </row>
    <row r="415" spans="2:11">
      <c r="B415">
        <v>396</v>
      </c>
      <c r="C415">
        <f>(C$10-SUM(C$20:C414))/(ABS(C$11)+C$10-SUM(C413:C414))</f>
        <v>1.9117102582278701E-3</v>
      </c>
      <c r="D415">
        <f>(D$10-SUM(D$20:D414))/(ABS(D$11)+D$10-SUM(D413:D414))</f>
        <v>7.9574053066902677E-3</v>
      </c>
      <c r="E415">
        <f>(E$10-SUM(E$20:E414))/(ABS(E$11)+E$10-SUM(E413:E414))</f>
        <v>1.9477446507185907E-2</v>
      </c>
      <c r="F415">
        <f>(F$10-SUM(F$20:F414))/(ABS(F$11)+F$10-SUM(F413:F414))</f>
        <v>3.602851182718405E-2</v>
      </c>
      <c r="H415">
        <f t="shared" si="45"/>
        <v>39.868099461137732</v>
      </c>
      <c r="I415">
        <f t="shared" si="46"/>
        <v>59.291919711478798</v>
      </c>
      <c r="J415">
        <f t="shared" si="47"/>
        <v>77.877727553570679</v>
      </c>
      <c r="K415">
        <f t="shared" si="48"/>
        <v>95.354948381476149</v>
      </c>
    </row>
    <row r="416" spans="2:11">
      <c r="B416">
        <v>397</v>
      </c>
      <c r="C416">
        <f>(C$10-SUM(C$20:C415))/(ABS(C$11)+C$10-SUM(C414:C415))</f>
        <v>1.8843970845671735E-3</v>
      </c>
      <c r="D416">
        <f>(D$10-SUM(D$20:D415))/(ABS(D$11)+D$10-SUM(D414:D415))</f>
        <v>7.8689580590210716E-3</v>
      </c>
      <c r="E416">
        <f>(E$10-SUM(E$20:E415))/(ABS(E$11)+E$10-SUM(E414:E415))</f>
        <v>1.9300252154577736E-2</v>
      </c>
      <c r="F416">
        <f>(F$10-SUM(F$20:F415))/(ABS(F$11)+F$10-SUM(F414:F415))</f>
        <v>3.575105945957191E-2</v>
      </c>
      <c r="H416">
        <f t="shared" si="45"/>
        <v>39.869983858222298</v>
      </c>
      <c r="I416">
        <f t="shared" si="46"/>
        <v>59.299788669537818</v>
      </c>
      <c r="J416">
        <f t="shared" si="47"/>
        <v>77.897027805725259</v>
      </c>
      <c r="K416">
        <f t="shared" si="48"/>
        <v>95.39069944093572</v>
      </c>
    </row>
    <row r="417" spans="2:11">
      <c r="B417">
        <v>398</v>
      </c>
      <c r="C417">
        <f>(C$10-SUM(C$20:C416))/(ABS(C$11)+C$10-SUM(C415:C416))</f>
        <v>1.8574741849870658E-3</v>
      </c>
      <c r="D417">
        <f>(D$10-SUM(D$20:D416))/(ABS(D$11)+D$10-SUM(D415:D416))</f>
        <v>7.7814942579759599E-3</v>
      </c>
      <c r="E417">
        <f>(E$10-SUM(E$20:E416))/(ABS(E$11)+E$10-SUM(E415:E416))</f>
        <v>1.9124670954563844E-2</v>
      </c>
      <c r="F417">
        <f>(F$10-SUM(F$20:F416))/(ABS(F$11)+F$10-SUM(F415:F416))</f>
        <v>3.5475746099310514E-2</v>
      </c>
      <c r="H417">
        <f t="shared" si="45"/>
        <v>39.871841332407286</v>
      </c>
      <c r="I417">
        <f t="shared" si="46"/>
        <v>59.307570163795795</v>
      </c>
      <c r="J417">
        <f t="shared" si="47"/>
        <v>77.916152476679827</v>
      </c>
      <c r="K417">
        <f t="shared" si="48"/>
        <v>95.426175187035028</v>
      </c>
    </row>
    <row r="418" spans="2:11">
      <c r="B418">
        <v>399</v>
      </c>
      <c r="C418">
        <f>(C$10-SUM(C$20:C417))/(ABS(C$11)+C$10-SUM(C416:C417))</f>
        <v>1.8309359817065825E-3</v>
      </c>
      <c r="D418">
        <f>(D$10-SUM(D$20:D417))/(ABS(D$11)+D$10-SUM(D416:D417))</f>
        <v>7.6950029609013761E-3</v>
      </c>
      <c r="E418">
        <f>(E$10-SUM(E$20:E417))/(ABS(E$11)+E$10-SUM(E416:E417))</f>
        <v>1.895068820051949E-2</v>
      </c>
      <c r="F418">
        <f>(F$10-SUM(F$20:F417))/(ABS(F$11)+F$10-SUM(F416:F417))</f>
        <v>3.5202555219390461E-2</v>
      </c>
      <c r="H418">
        <f t="shared" si="45"/>
        <v>39.873672268388994</v>
      </c>
      <c r="I418">
        <f t="shared" si="46"/>
        <v>59.315265166756696</v>
      </c>
      <c r="J418">
        <f t="shared" si="47"/>
        <v>77.935103164880346</v>
      </c>
      <c r="K418">
        <f t="shared" si="48"/>
        <v>95.461377742254413</v>
      </c>
    </row>
    <row r="419" spans="2:11">
      <c r="B419">
        <v>400</v>
      </c>
      <c r="C419">
        <f>(C$10-SUM(C$20:C418))/(ABS(C$11)+C$10-SUM(C417:C418))</f>
        <v>1.8047769766965107E-3</v>
      </c>
      <c r="D419">
        <f>(D$10-SUM(D$20:D418))/(ABS(D$11)+D$10-SUM(D417:D418))</f>
        <v>7.6094733470710822E-3</v>
      </c>
      <c r="E419">
        <f>(E$10-SUM(E$20:E418))/(ABS(E$11)+E$10-SUM(E417:E418))</f>
        <v>1.8778289320271289E-2</v>
      </c>
      <c r="F419">
        <f>(F$10-SUM(F$20:F418))/(ABS(F$11)+F$10-SUM(F417:F418))</f>
        <v>3.4931470421057785E-2</v>
      </c>
      <c r="H419">
        <f t="shared" si="45"/>
        <v>39.875477045365692</v>
      </c>
      <c r="I419">
        <f t="shared" si="46"/>
        <v>59.32287464010377</v>
      </c>
      <c r="J419">
        <f t="shared" si="47"/>
        <v>77.953881454200612</v>
      </c>
      <c r="K419">
        <f t="shared" si="48"/>
        <v>95.49630921267547</v>
      </c>
    </row>
    <row r="420" spans="2:11">
      <c r="B420">
        <v>401</v>
      </c>
      <c r="C420">
        <f>(C$10-SUM(C$20:C419))/(ABS(C$11)+C$10-SUM(C418:C419))</f>
        <v>1.7789917505381229E-3</v>
      </c>
      <c r="D420">
        <f>(D$10-SUM(D$20:D419))/(ABS(D$11)+D$10-SUM(D418:D419))</f>
        <v>7.5248947163237372E-3</v>
      </c>
      <c r="E420">
        <f>(E$10-SUM(E$20:E419))/(ABS(E$11)+E$10-SUM(E418:E419))</f>
        <v>1.8607459874861138E-2</v>
      </c>
      <c r="F420">
        <f>(F$10-SUM(F$20:F419))/(ABS(F$11)+F$10-SUM(F418:F419))</f>
        <v>3.4662475432809967E-2</v>
      </c>
      <c r="H420">
        <f t="shared" si="45"/>
        <v>39.877256037116233</v>
      </c>
      <c r="I420">
        <f t="shared" si="46"/>
        <v>59.330399534820096</v>
      </c>
      <c r="J420">
        <f t="shared" si="47"/>
        <v>77.97248891407547</v>
      </c>
      <c r="K420">
        <f t="shared" si="48"/>
        <v>95.530971688108281</v>
      </c>
    </row>
    <row r="421" spans="2:11">
      <c r="B421">
        <v>402</v>
      </c>
      <c r="C421">
        <f>(C$10-SUM(C$20:C420))/(ABS(C$11)+C$10-SUM(C419:C420))</f>
        <v>1.7535749612982055E-3</v>
      </c>
      <c r="D421">
        <f>(D$10-SUM(D$20:D420))/(ABS(D$11)+D$10-SUM(D419:D420))</f>
        <v>7.4412564877160397E-3</v>
      </c>
      <c r="E421">
        <f>(E$10-SUM(E$20:E420))/(ABS(E$11)+E$10-SUM(E419:E420))</f>
        <v>1.8438185557321723E-2</v>
      </c>
      <c r="F421">
        <f>(F$10-SUM(F$20:F420))/(ABS(F$11)+F$10-SUM(F419:F420))</f>
        <v>3.4395554109400178E-2</v>
      </c>
      <c r="H421">
        <f t="shared" si="45"/>
        <v>39.879009612077532</v>
      </c>
      <c r="I421">
        <f t="shared" si="46"/>
        <v>59.337840791307812</v>
      </c>
      <c r="J421">
        <f t="shared" si="47"/>
        <v>77.990927099632785</v>
      </c>
      <c r="K421">
        <f t="shared" si="48"/>
        <v>95.565367242217675</v>
      </c>
    </row>
    <row r="422" spans="2:11">
      <c r="B422">
        <v>403</v>
      </c>
      <c r="C422">
        <f>(C$10-SUM(C$20:C421))/(ABS(C$11)+C$10-SUM(C420:C421))</f>
        <v>1.7285213434203824E-3</v>
      </c>
      <c r="D422">
        <f>(D$10-SUM(D$20:D421))/(ABS(D$11)+D$10-SUM(D420:D421))</f>
        <v>7.3585481981907133E-3</v>
      </c>
      <c r="E422">
        <f>(E$10-SUM(E$20:E421))/(ABS(E$11)+E$10-SUM(E420:E421))</f>
        <v>1.8270452191463508E-2</v>
      </c>
      <c r="F422">
        <f>(F$10-SUM(F$20:F421))/(ABS(F$11)+F$10-SUM(F420:F421))</f>
        <v>3.4130690430849188E-2</v>
      </c>
      <c r="H422">
        <f t="shared" si="45"/>
        <v>39.880738133420955</v>
      </c>
      <c r="I422">
        <f t="shared" si="46"/>
        <v>59.345199339506003</v>
      </c>
      <c r="J422">
        <f t="shared" si="47"/>
        <v>78.009197551824244</v>
      </c>
      <c r="K422">
        <f t="shared" si="48"/>
        <v>95.599497932648518</v>
      </c>
    </row>
    <row r="423" spans="2:11">
      <c r="B423">
        <v>404</v>
      </c>
      <c r="C423">
        <f>(C$10-SUM(C$20:C422))/(ABS(C$11)+C$10-SUM(C421:C422))</f>
        <v>1.7038257066320252E-3</v>
      </c>
      <c r="D423">
        <f>(D$10-SUM(D$20:D422))/(ABS(D$11)+D$10-SUM(D421:D422))</f>
        <v>7.2767595012595788E-3</v>
      </c>
      <c r="E423">
        <f>(E$10-SUM(E$20:E422))/(ABS(E$11)+E$10-SUM(E421:E422))</f>
        <v>1.8104245730672715E-2</v>
      </c>
      <c r="F423">
        <f>(F$10-SUM(F$20:F422))/(ABS(F$11)+F$10-SUM(F421:F422))</f>
        <v>3.3867868501465156E-2</v>
      </c>
      <c r="H423">
        <f t="shared" si="45"/>
        <v>39.88244195912759</v>
      </c>
      <c r="I423">
        <f t="shared" si="46"/>
        <v>59.352476099007262</v>
      </c>
      <c r="J423">
        <f t="shared" si="47"/>
        <v>78.027301797554912</v>
      </c>
      <c r="K423">
        <f t="shared" si="48"/>
        <v>95.633365801149978</v>
      </c>
    </row>
    <row r="424" spans="2:11">
      <c r="B424">
        <v>405</v>
      </c>
      <c r="C424">
        <f>(C$10-SUM(C$20:C423))/(ABS(C$11)+C$10-SUM(C422:C423))</f>
        <v>1.6794829348672469E-3</v>
      </c>
      <c r="D424">
        <f>(D$10-SUM(D$20:D423))/(ABS(D$11)+D$10-SUM(D422:D423))</f>
        <v>7.1958801657014577E-3</v>
      </c>
      <c r="E424">
        <f>(E$10-SUM(E$20:E423))/(ABS(E$11)+E$10-SUM(E422:E423))</f>
        <v>1.7939552256720767E-2</v>
      </c>
      <c r="F424">
        <f>(F$10-SUM(F$20:F423))/(ABS(F$11)+F$10-SUM(F422:F423))</f>
        <v>3.3607072548871381E-2</v>
      </c>
      <c r="H424">
        <f t="shared" si="45"/>
        <v>39.884121442062458</v>
      </c>
      <c r="I424">
        <f t="shared" si="46"/>
        <v>59.359671979172965</v>
      </c>
      <c r="J424">
        <f t="shared" si="47"/>
        <v>78.045241349811633</v>
      </c>
      <c r="K424">
        <f t="shared" si="48"/>
        <v>95.666972873698853</v>
      </c>
    </row>
    <row r="425" spans="2:11">
      <c r="B425">
        <v>406</v>
      </c>
      <c r="C425">
        <f>(C$10-SUM(C$20:C424))/(ABS(C$11)+C$10-SUM(C423:C424))</f>
        <v>1.6554879852049731E-3</v>
      </c>
      <c r="D425">
        <f>(D$10-SUM(D$20:D424))/(ABS(D$11)+D$10-SUM(D423:D424))</f>
        <v>7.1159000742746182E-3</v>
      </c>
      <c r="E425">
        <f>(E$10-SUM(E$20:E424))/(ABS(E$11)+E$10-SUM(E423:E424))</f>
        <v>1.7776357978584536E-2</v>
      </c>
      <c r="F425">
        <f>(F$10-SUM(F$20:F424))/(ABS(F$11)+F$10-SUM(F423:F424))</f>
        <v>3.3348286923041606E-2</v>
      </c>
      <c r="H425">
        <f t="shared" si="45"/>
        <v>39.885776930047662</v>
      </c>
      <c r="I425">
        <f t="shared" si="46"/>
        <v>59.366787879247241</v>
      </c>
      <c r="J425">
        <f t="shared" si="47"/>
        <v>78.063017707790223</v>
      </c>
      <c r="K425">
        <f t="shared" si="48"/>
        <v>95.700321160621897</v>
      </c>
    </row>
    <row r="426" spans="2:11">
      <c r="B426">
        <v>407</v>
      </c>
      <c r="C426">
        <f>(C$10-SUM(C$20:C425))/(ABS(C$11)+C$10-SUM(C424:C425))</f>
        <v>1.6318358868223858E-3</v>
      </c>
      <c r="D426">
        <f>(D$10-SUM(D$20:D425))/(ABS(D$11)+D$10-SUM(D424:D425))</f>
        <v>7.0368092224437941E-3</v>
      </c>
      <c r="E426">
        <f>(E$10-SUM(E$20:E425))/(ABS(E$11)+E$10-SUM(E424:E425))</f>
        <v>1.7614649231277705E-2</v>
      </c>
      <c r="F426">
        <f>(F$10-SUM(F$20:F425))/(ABS(F$11)+F$10-SUM(F424:F425))</f>
        <v>3.3091496095343308E-2</v>
      </c>
      <c r="H426">
        <f t="shared" si="45"/>
        <v>39.887408765934481</v>
      </c>
      <c r="I426">
        <f t="shared" si="46"/>
        <v>59.373824688469682</v>
      </c>
      <c r="J426">
        <f t="shared" si="47"/>
        <v>78.0806323570215</v>
      </c>
      <c r="K426">
        <f t="shared" si="48"/>
        <v>95.733412656717235</v>
      </c>
    </row>
    <row r="427" spans="2:11">
      <c r="B427">
        <v>408</v>
      </c>
      <c r="C427">
        <f>(C$10-SUM(C$20:C426))/(ABS(C$11)+C$10-SUM(C425:C426))</f>
        <v>1.6085217399633362E-3</v>
      </c>
      <c r="D427">
        <f>(D$10-SUM(D$20:D426))/(ABS(D$11)+D$10-SUM(D425:D426))</f>
        <v>6.9585977171213462E-3</v>
      </c>
      <c r="E427">
        <f>(E$10-SUM(E$20:E426))/(ABS(E$11)+E$10-SUM(E425:E426))</f>
        <v>1.7454412474693055E-2</v>
      </c>
      <c r="F427">
        <f>(F$10-SUM(F$20:F426))/(ABS(F$11)+F$10-SUM(F425:F426))</f>
        <v>3.2836684657588142E-2</v>
      </c>
      <c r="H427">
        <f t="shared" si="45"/>
        <v>39.889017287674442</v>
      </c>
      <c r="I427">
        <f t="shared" si="46"/>
        <v>59.380783286186805</v>
      </c>
      <c r="J427">
        <f t="shared" si="47"/>
        <v>78.098086769496192</v>
      </c>
      <c r="K427">
        <f t="shared" si="48"/>
        <v>95.766249341374817</v>
      </c>
    </row>
    <row r="428" spans="2:11">
      <c r="B428">
        <v>409</v>
      </c>
      <c r="C428">
        <f>(C$10-SUM(C$20:C427))/(ABS(C$11)+C$10-SUM(C426:C427))</f>
        <v>1.5855407149215231E-3</v>
      </c>
      <c r="D428">
        <f>(D$10-SUM(D$20:D427))/(ABS(D$11)+D$10-SUM(D426:D427))</f>
        <v>6.8812557754225259E-3</v>
      </c>
      <c r="E428">
        <f>(E$10-SUM(E$20:E427))/(ABS(E$11)+E$10-SUM(E426:E427))</f>
        <v>1.729563429245504E-2</v>
      </c>
      <c r="F428">
        <f>(F$10-SUM(F$20:F427))/(ABS(F$11)+F$10-SUM(F426:F427))</f>
        <v>3.2583837321090096E-2</v>
      </c>
      <c r="H428">
        <f t="shared" si="45"/>
        <v>39.890602828389362</v>
      </c>
      <c r="I428">
        <f t="shared" si="46"/>
        <v>59.387664541962231</v>
      </c>
      <c r="J428">
        <f t="shared" si="47"/>
        <v>78.115382403788644</v>
      </c>
      <c r="K428">
        <f t="shared" si="48"/>
        <v>95.798833178695901</v>
      </c>
    </row>
    <row r="429" spans="2:11">
      <c r="B429">
        <v>410</v>
      </c>
      <c r="C429">
        <f>(C$10-SUM(C$20:C428))/(ABS(C$11)+C$10-SUM(C427:C428))</f>
        <v>1.5628880510383302E-3</v>
      </c>
      <c r="D429">
        <f>(D$10-SUM(D$20:D428))/(ABS(D$11)+D$10-SUM(D427:D428))</f>
        <v>6.8047737234350177E-3</v>
      </c>
      <c r="E429">
        <f>(E$10-SUM(E$20:E428))/(ABS(E$11)+E$10-SUM(E427:E428))</f>
        <v>1.7138301390783595E-2</v>
      </c>
      <c r="F429">
        <f>(F$10-SUM(F$20:F428))/(ABS(F$11)+F$10-SUM(F427:F428))</f>
        <v>3.2332938915731316E-2</v>
      </c>
      <c r="H429">
        <f t="shared" si="45"/>
        <v>39.892165716440402</v>
      </c>
      <c r="I429">
        <f t="shared" si="46"/>
        <v>59.394469315685669</v>
      </c>
      <c r="J429">
        <f t="shared" si="47"/>
        <v>78.132520705179431</v>
      </c>
      <c r="K429">
        <f t="shared" si="48"/>
        <v>95.83116611761163</v>
      </c>
    </row>
    <row r="430" spans="2:11">
      <c r="B430">
        <v>411</v>
      </c>
      <c r="C430">
        <f>(C$10-SUM(C$20:C429))/(ABS(C$11)+C$10-SUM(C428:C429))</f>
        <v>1.5405590557149176E-3</v>
      </c>
      <c r="D430">
        <f>(D$10-SUM(D$20:D429))/(ABS(D$11)+D$10-SUM(D428:D429))</f>
        <v>6.7291419950019655E-3</v>
      </c>
      <c r="E430">
        <f>(E$10-SUM(E$20:E429))/(ABS(E$11)+E$10-SUM(E428:E429))</f>
        <v>1.6982400597368053E-2</v>
      </c>
      <c r="F430">
        <f>(F$10-SUM(F$20:F429))/(ABS(F$11)+F$10-SUM(F428:F429))</f>
        <v>3.2083974389035159E-2</v>
      </c>
      <c r="H430">
        <f t="shared" si="45"/>
        <v>39.893706275496115</v>
      </c>
      <c r="I430">
        <f t="shared" si="46"/>
        <v>59.401198457680671</v>
      </c>
      <c r="J430">
        <f t="shared" si="47"/>
        <v>78.149503105776802</v>
      </c>
      <c r="K430">
        <f t="shared" si="48"/>
        <v>95.863250092000669</v>
      </c>
    </row>
    <row r="431" spans="2:11">
      <c r="B431">
        <v>412</v>
      </c>
      <c r="C431">
        <f>(C$10-SUM(C$20:C430))/(ABS(C$11)+C$10-SUM(C429:C430))</f>
        <v>1.518549103438669E-3</v>
      </c>
      <c r="D431">
        <f>(D$10-SUM(D$20:D430))/(ABS(D$11)+D$10-SUM(D429:D430))</f>
        <v>6.6543511305187809E-3</v>
      </c>
      <c r="E431">
        <f>(E$10-SUM(E$20:E430))/(ABS(E$11)+E$10-SUM(E429:E430))</f>
        <v>1.6827918860251909E-2</v>
      </c>
      <c r="F431">
        <f>(F$10-SUM(F$20:F430))/(ABS(F$11)+F$10-SUM(F429:F430))</f>
        <v>3.1836928805246682E-2</v>
      </c>
      <c r="H431">
        <f t="shared" si="45"/>
        <v>39.895224824599552</v>
      </c>
      <c r="I431">
        <f t="shared" si="46"/>
        <v>59.407852808811192</v>
      </c>
      <c r="J431">
        <f t="shared" si="47"/>
        <v>78.16633102463706</v>
      </c>
      <c r="K431">
        <f t="shared" si="48"/>
        <v>95.895087020805917</v>
      </c>
    </row>
    <row r="432" spans="2:11">
      <c r="B432">
        <v>413</v>
      </c>
      <c r="C432">
        <f>(C$10-SUM(C$20:C431))/(ABS(C$11)+C$10-SUM(C430:C431))</f>
        <v>1.4968536348230763E-3</v>
      </c>
      <c r="D432">
        <f>(D$10-SUM(D$20:D431))/(ABS(D$11)+D$10-SUM(D430:D431))</f>
        <v>6.5803917757433503E-3</v>
      </c>
      <c r="E432">
        <f>(E$10-SUM(E$20:E431))/(ABS(E$11)+E$10-SUM(E430:E431))</f>
        <v>1.6674843246727432E-2</v>
      </c>
      <c r="F432">
        <f>(F$10-SUM(F$20:F431))/(ABS(F$11)+F$10-SUM(F430:F431))</f>
        <v>3.1591787344420461E-2</v>
      </c>
      <c r="H432">
        <f t="shared" si="45"/>
        <v>39.896721678234378</v>
      </c>
      <c r="I432">
        <f t="shared" si="46"/>
        <v>59.414433200586934</v>
      </c>
      <c r="J432">
        <f t="shared" si="47"/>
        <v>78.183005867883793</v>
      </c>
      <c r="K432">
        <f t="shared" si="48"/>
        <v>95.926678808150342</v>
      </c>
    </row>
    <row r="433" spans="2:11">
      <c r="B433">
        <v>414</v>
      </c>
      <c r="C433">
        <f>(C$10-SUM(C$20:C432))/(ABS(C$11)+C$10-SUM(C431:C432))</f>
        <v>1.4754681556619783E-3</v>
      </c>
      <c r="D433">
        <f>(D$10-SUM(D$20:D432))/(ABS(D$11)+D$10-SUM(D431:D432))</f>
        <v>6.5072546806198795E-3</v>
      </c>
      <c r="E433">
        <f>(E$10-SUM(E$20:E432))/(ABS(E$11)+E$10-SUM(E431:E432))</f>
        <v>1.6523160942241003E-2</v>
      </c>
      <c r="F433">
        <f>(F$10-SUM(F$20:F432))/(ABS(F$11)+F$10-SUM(F431:F432))</f>
        <v>3.1348535301515427E-2</v>
      </c>
      <c r="H433">
        <f t="shared" si="45"/>
        <v>39.898197146390039</v>
      </c>
      <c r="I433">
        <f t="shared" si="46"/>
        <v>59.420940455267555</v>
      </c>
      <c r="J433">
        <f t="shared" si="47"/>
        <v>78.199529028826035</v>
      </c>
      <c r="K433">
        <f t="shared" si="48"/>
        <v>95.95802734345186</v>
      </c>
    </row>
    <row r="434" spans="2:11">
      <c r="B434">
        <v>415</v>
      </c>
      <c r="C434">
        <f>(C$10-SUM(C$20:C433))/(ABS(C$11)+C$10-SUM(C432:C433))</f>
        <v>1.4543882359972333E-3</v>
      </c>
      <c r="D434">
        <f>(D$10-SUM(D$20:D433))/(ABS(D$11)+D$10-SUM(D432:D433))</f>
        <v>6.4349306981154788E-3</v>
      </c>
      <c r="E434">
        <f>(E$10-SUM(E$20:E433))/(ABS(E$11)+E$10-SUM(E432:E433))</f>
        <v>1.6372859249308265E-2</v>
      </c>
      <c r="F434">
        <f>(F$10-SUM(F$20:F433))/(ABS(F$11)+F$10-SUM(F432:F433))</f>
        <v>3.1107158085497227E-2</v>
      </c>
      <c r="H434">
        <f t="shared" si="45"/>
        <v>39.899651534626038</v>
      </c>
      <c r="I434">
        <f t="shared" si="46"/>
        <v>59.427375385965668</v>
      </c>
      <c r="J434">
        <f t="shared" si="47"/>
        <v>78.215901888075337</v>
      </c>
      <c r="K434">
        <f t="shared" si="48"/>
        <v>95.989134501537364</v>
      </c>
    </row>
    <row r="435" spans="2:11">
      <c r="B435">
        <v>416</v>
      </c>
      <c r="C435">
        <f>(C$10-SUM(C$20:C434))/(ABS(C$11)+C$10-SUM(C433:C434))</f>
        <v>1.4336095091992227E-3</v>
      </c>
      <c r="D435">
        <f>(D$10-SUM(D$20:D434))/(ABS(D$11)+D$10-SUM(D433:D434))</f>
        <v>6.3634107830703064E-3</v>
      </c>
      <c r="E435">
        <f>(E$10-SUM(E$20:E434))/(ABS(E$11)+E$10-SUM(E433:E434))</f>
        <v>1.6223925586439463E-2</v>
      </c>
      <c r="F435">
        <f>(F$10-SUM(F$20:F434))/(ABS(F$11)+F$10-SUM(F433:F434))</f>
        <v>3.0867641218447348E-2</v>
      </c>
      <c r="H435">
        <f t="shared" si="45"/>
        <v>39.901085144135237</v>
      </c>
      <c r="I435">
        <f t="shared" si="46"/>
        <v>59.433738796748742</v>
      </c>
      <c r="J435">
        <f t="shared" si="47"/>
        <v>78.232125813661781</v>
      </c>
      <c r="K435">
        <f t="shared" si="48"/>
        <v>96.020002142755814</v>
      </c>
    </row>
    <row r="436" spans="2:11">
      <c r="B436">
        <v>417</v>
      </c>
      <c r="C436">
        <f>(C$10-SUM(C$20:C435))/(ABS(C$11)+C$10-SUM(C434:C435))</f>
        <v>1.4131276710612926E-3</v>
      </c>
      <c r="D436">
        <f>(D$10-SUM(D$20:D435))/(ABS(D$11)+D$10-SUM(D434:D435))</f>
        <v>6.2926859910600649E-3</v>
      </c>
      <c r="E436">
        <f>(E$10-SUM(E$20:E435))/(ABS(E$11)+E$10-SUM(E434:E435))</f>
        <v>1.6076347487074542E-2</v>
      </c>
      <c r="F436">
        <f>(F$10-SUM(F$20:F435))/(ABS(F$11)+F$10-SUM(F434:F435))</f>
        <v>3.0629970334679721E-2</v>
      </c>
      <c r="H436">
        <f t="shared" si="45"/>
        <v>39.902498271806301</v>
      </c>
      <c r="I436">
        <f t="shared" si="46"/>
        <v>59.440031482739805</v>
      </c>
      <c r="J436">
        <f t="shared" si="47"/>
        <v>78.248202161148853</v>
      </c>
      <c r="K436">
        <f t="shared" si="48"/>
        <v>96.050632113090501</v>
      </c>
    </row>
    <row r="437" spans="2:11">
      <c r="B437">
        <v>418</v>
      </c>
      <c r="C437">
        <f>(C$10-SUM(C$20:C436))/(ABS(C$11)+C$10-SUM(C435:C436))</f>
        <v>1.3929384789065176E-3</v>
      </c>
      <c r="D437">
        <f>(D$10-SUM(D$20:D436))/(ABS(D$11)+D$10-SUM(D435:D436))</f>
        <v>6.222747477271872E-3</v>
      </c>
      <c r="E437">
        <f>(E$10-SUM(E$20:E436))/(ABS(E$11)+E$10-SUM(E435:E436))</f>
        <v>1.5930112598528827E-2</v>
      </c>
      <c r="F437">
        <f>(F$10-SUM(F$20:F436))/(ABS(F$11)+F$10-SUM(F435:F436))</f>
        <v>3.0394131179863795E-2</v>
      </c>
      <c r="H437">
        <f t="shared" si="45"/>
        <v>39.903891210285209</v>
      </c>
      <c r="I437">
        <f t="shared" si="46"/>
        <v>59.446254230217079</v>
      </c>
      <c r="J437">
        <f t="shared" si="47"/>
        <v>78.264132273747379</v>
      </c>
      <c r="K437">
        <f t="shared" si="48"/>
        <v>96.081026244270362</v>
      </c>
    </row>
    <row r="438" spans="2:11">
      <c r="B438">
        <v>419</v>
      </c>
      <c r="C438">
        <f>(C$10-SUM(C$20:C437))/(ABS(C$11)+C$10-SUM(C436:C437))</f>
        <v>1.3730377507077918E-3</v>
      </c>
      <c r="D438">
        <f>(D$10-SUM(D$20:D437))/(ABS(D$11)+D$10-SUM(D436:D437))</f>
        <v>6.153586495392176E-3</v>
      </c>
      <c r="E438">
        <f>(E$10-SUM(E$20:E437))/(ABS(E$11)+E$10-SUM(E436:E437))</f>
        <v>1.5785208680947373E-2</v>
      </c>
      <c r="F438">
        <f>(F$10-SUM(F$20:F437))/(ABS(F$11)+F$10-SUM(F436:F437))</f>
        <v>3.0160109610155215E-2</v>
      </c>
      <c r="H438">
        <f t="shared" si="45"/>
        <v>39.90526424803592</v>
      </c>
      <c r="I438">
        <f t="shared" si="46"/>
        <v>59.452407816712473</v>
      </c>
      <c r="J438">
        <f t="shared" si="47"/>
        <v>78.279917482428331</v>
      </c>
      <c r="K438">
        <f t="shared" si="48"/>
        <v>96.111186353880512</v>
      </c>
    </row>
    <row r="439" spans="2:11">
      <c r="B439">
        <v>420</v>
      </c>
      <c r="C439">
        <f>(C$10-SUM(C$20:C438))/(ABS(C$11)+C$10-SUM(C437:C438))</f>
        <v>1.3534213642200348E-3</v>
      </c>
      <c r="D439">
        <f>(D$10-SUM(D$20:D438))/(ABS(D$11)+D$10-SUM(D437:D438))</f>
        <v>6.0851943965074115E-3</v>
      </c>
      <c r="E439">
        <f>(E$10-SUM(E$20:E438))/(ABS(E$11)+E$10-SUM(E437:E438))</f>
        <v>1.5641623606269767E-2</v>
      </c>
      <c r="F439">
        <f>(F$10-SUM(F$20:F438))/(ABS(F$11)+F$10-SUM(F437:F438))</f>
        <v>2.9927891591332668E-2</v>
      </c>
      <c r="H439">
        <f t="shared" si="45"/>
        <v>39.906617669400141</v>
      </c>
      <c r="I439">
        <f t="shared" si="46"/>
        <v>59.458493011108978</v>
      </c>
      <c r="J439">
        <f t="shared" si="47"/>
        <v>78.295559106034602</v>
      </c>
      <c r="K439">
        <f t="shared" si="48"/>
        <v>96.14111424547184</v>
      </c>
    </row>
    <row r="440" spans="2:11">
      <c r="B440">
        <v>421</v>
      </c>
      <c r="C440">
        <f>(C$10-SUM(C$20:C439))/(ABS(C$11)+C$10-SUM(C438:C439))</f>
        <v>1.334085256125219E-3</v>
      </c>
      <c r="D440">
        <f>(D$10-SUM(D$20:D439))/(ABS(D$11)+D$10-SUM(D438:D439))</f>
        <v>6.017562628017001E-3</v>
      </c>
      <c r="E440">
        <f>(E$10-SUM(E$20:E439))/(ABS(E$11)+E$10-SUM(E438:E439))</f>
        <v>1.5499345357204548E-2</v>
      </c>
      <c r="F440">
        <f>(F$10-SUM(F$20:F439))/(ABS(F$11)+F$10-SUM(F438:F439))</f>
        <v>2.9697463197942142E-2</v>
      </c>
      <c r="H440">
        <f t="shared" si="45"/>
        <v>39.907951754656267</v>
      </c>
      <c r="I440">
        <f t="shared" si="46"/>
        <v>59.464510573736995</v>
      </c>
      <c r="J440">
        <f t="shared" si="47"/>
        <v>78.311058451391801</v>
      </c>
      <c r="K440">
        <f t="shared" si="48"/>
        <v>96.170811708669788</v>
      </c>
    </row>
    <row r="441" spans="2:11">
      <c r="B441">
        <v>422</v>
      </c>
      <c r="C441">
        <f>(C$10-SUM(C$20:C440))/(ABS(C$11)+C$10-SUM(C439:C440))</f>
        <v>1.3150254211894054E-3</v>
      </c>
      <c r="D441">
        <f>(D$10-SUM(D$20:D440))/(ABS(D$11)+D$10-SUM(D439:D440))</f>
        <v>5.9506827325583071E-3</v>
      </c>
      <c r="E441">
        <f>(E$10-SUM(E$20:E440))/(ABS(E$11)+E$10-SUM(E439:E440))</f>
        <v>1.5358362026212607E-2</v>
      </c>
      <c r="F441">
        <f>(F$10-SUM(F$20:F440))/(ABS(F$11)+F$10-SUM(F439:F440))</f>
        <v>2.9468810612447667E-2</v>
      </c>
      <c r="H441">
        <f t="shared" si="45"/>
        <v>39.909266780077459</v>
      </c>
      <c r="I441">
        <f t="shared" si="46"/>
        <v>59.470461256469555</v>
      </c>
      <c r="J441">
        <f t="shared" si="47"/>
        <v>78.326416813418021</v>
      </c>
      <c r="K441">
        <f t="shared" si="48"/>
        <v>96.200280519282231</v>
      </c>
    </row>
    <row r="442" spans="2:11">
      <c r="B442">
        <v>423</v>
      </c>
      <c r="C442">
        <f>(C$10-SUM(C$20:C441))/(ABS(C$11)+C$10-SUM(C440:C441))</f>
        <v>1.29623791143189E-3</v>
      </c>
      <c r="D442">
        <f>(D$10-SUM(D$20:D441))/(ABS(D$11)+D$10-SUM(D440:D441))</f>
        <v>5.8845463469440083E-3</v>
      </c>
      <c r="E442">
        <f>(E$10-SUM(E$20:E441))/(ABS(E$11)+E$10-SUM(E440:E441))</f>
        <v>1.5218661814500165E-2</v>
      </c>
      <c r="F442">
        <f>(F$10-SUM(F$20:F441))/(ABS(F$11)+F$10-SUM(F440:F441))</f>
        <v>2.9241920124389153E-2</v>
      </c>
      <c r="H442">
        <f t="shared" si="45"/>
        <v>39.910563017988892</v>
      </c>
      <c r="I442">
        <f t="shared" si="46"/>
        <v>59.476345802816496</v>
      </c>
      <c r="J442">
        <f t="shared" si="47"/>
        <v>78.341635475232522</v>
      </c>
      <c r="K442">
        <f t="shared" si="48"/>
        <v>96.229522439406622</v>
      </c>
    </row>
    <row r="443" spans="2:11">
      <c r="B443">
        <v>424</v>
      </c>
      <c r="C443">
        <f>(C$10-SUM(C$20:C442))/(ABS(C$11)+C$10-SUM(C441:C442))</f>
        <v>1.2777188353064585E-3</v>
      </c>
      <c r="D443">
        <f>(D$10-SUM(D$20:D442))/(ABS(D$11)+D$10-SUM(D441:D442))</f>
        <v>5.8191452011111767E-3</v>
      </c>
      <c r="E443">
        <f>(E$10-SUM(E$20:E442))/(ABS(E$11)+E$10-SUM(E441:E442))</f>
        <v>1.5080233031021737E-2</v>
      </c>
      <c r="F443">
        <f>(F$10-SUM(F$20:F442))/(ABS(F$11)+F$10-SUM(F441:F442))</f>
        <v>2.9016778129546089E-2</v>
      </c>
      <c r="H443">
        <f t="shared" ref="H443:H506" si="49">H442+C443</f>
        <v>39.911840736824196</v>
      </c>
      <c r="I443">
        <f t="shared" ref="I443:I506" si="50">I442+D443</f>
        <v>59.482164948017605</v>
      </c>
      <c r="J443">
        <f t="shared" ref="J443:J506" si="51">J442+E443</f>
        <v>78.35671570826355</v>
      </c>
      <c r="K443">
        <f t="shared" ref="K443:K506" si="52">K442+F443</f>
        <v>96.258539217536168</v>
      </c>
    </row>
    <row r="444" spans="2:11">
      <c r="B444">
        <v>425</v>
      </c>
      <c r="C444">
        <f>(C$10-SUM(C$20:C443))/(ABS(C$11)+C$10-SUM(C442:C443))</f>
        <v>1.2594643568940376E-3</v>
      </c>
      <c r="D444">
        <f>(D$10-SUM(D$20:D443))/(ABS(D$11)+D$10-SUM(D442:D443))</f>
        <v>5.7544711170819064E-3</v>
      </c>
      <c r="E444">
        <f>(E$10-SUM(E$20:E443))/(ABS(E$11)+E$10-SUM(E442:E443))</f>
        <v>1.4943064091491159E-2</v>
      </c>
      <c r="F444">
        <f>(F$10-SUM(F$20:F443))/(ABS(F$11)+F$10-SUM(F442:F443))</f>
        <v>2.8793371129108895E-2</v>
      </c>
      <c r="H444">
        <f t="shared" si="49"/>
        <v>39.913100201181088</v>
      </c>
      <c r="I444">
        <f t="shared" si="50"/>
        <v>59.487919419134684</v>
      </c>
      <c r="J444">
        <f t="shared" si="51"/>
        <v>78.371658772355048</v>
      </c>
      <c r="K444">
        <f t="shared" si="52"/>
        <v>96.287332588665279</v>
      </c>
    </row>
    <row r="445" spans="2:11">
      <c r="B445">
        <v>426</v>
      </c>
      <c r="C445">
        <f>(C$10-SUM(C$20:C444))/(ABS(C$11)+C$10-SUM(C443:C444))</f>
        <v>1.2414706951070489E-3</v>
      </c>
      <c r="D445">
        <f>(D$10-SUM(D$20:D444))/(ABS(D$11)+D$10-SUM(D443:D444))</f>
        <v>5.6905160079360481E-3</v>
      </c>
      <c r="E445">
        <f>(E$10-SUM(E$20:E444))/(ABS(E$11)+E$10-SUM(E443:E444))</f>
        <v>1.4807143517402829E-2</v>
      </c>
      <c r="F445">
        <f>(F$10-SUM(F$20:F444))/(ABS(F$11)+F$10-SUM(F443:F444))</f>
        <v>2.8571685728855975E-2</v>
      </c>
      <c r="H445">
        <f t="shared" si="49"/>
        <v>39.914341671876194</v>
      </c>
      <c r="I445">
        <f t="shared" si="50"/>
        <v>59.493609935142622</v>
      </c>
      <c r="J445">
        <f t="shared" si="51"/>
        <v>78.386465915872449</v>
      </c>
      <c r="K445">
        <f t="shared" si="52"/>
        <v>96.315904274394128</v>
      </c>
    </row>
    <row r="446" spans="2:11">
      <c r="B446">
        <v>427</v>
      </c>
      <c r="C446">
        <f>(C$10-SUM(C$20:C445))/(ABS(C$11)+C$10-SUM(C444:C445))</f>
        <v>1.2237341229052602E-3</v>
      </c>
      <c r="D446">
        <f>(D$10-SUM(D$20:D445))/(ABS(D$11)+D$10-SUM(D444:D445))</f>
        <v>5.6272718767950746E-3</v>
      </c>
      <c r="E446">
        <f>(E$10-SUM(E$20:E445))/(ABS(E$11)+E$10-SUM(E444:E445))</f>
        <v>1.4672459935061383E-2</v>
      </c>
      <c r="F446">
        <f>(F$10-SUM(F$20:F445))/(ABS(F$11)+F$10-SUM(F444:F445))</f>
        <v>2.8351708638337927E-2</v>
      </c>
      <c r="H446">
        <f t="shared" si="49"/>
        <v>39.915565405999097</v>
      </c>
      <c r="I446">
        <f t="shared" si="50"/>
        <v>59.499237207019419</v>
      </c>
      <c r="J446">
        <f t="shared" si="51"/>
        <v>78.401138375807506</v>
      </c>
      <c r="K446">
        <f t="shared" si="52"/>
        <v>96.344255983032468</v>
      </c>
    </row>
    <row r="447" spans="2:11">
      <c r="B447">
        <v>428</v>
      </c>
      <c r="C447">
        <f>(C$10-SUM(C$20:C446))/(ABS(C$11)+C$10-SUM(C445:C446))</f>
        <v>1.2062509665228267E-3</v>
      </c>
      <c r="D447">
        <f>(D$10-SUM(D$20:D446))/(ABS(D$11)+D$10-SUM(D445:D446))</f>
        <v>5.5647308158176638E-3</v>
      </c>
      <c r="E447">
        <f>(E$10-SUM(E$20:E446))/(ABS(E$11)+E$10-SUM(E445:E446))</f>
        <v>1.4539002074620442E-2</v>
      </c>
      <c r="F447">
        <f>(F$10-SUM(F$20:F446))/(ABS(F$11)+F$10-SUM(F445:F446))</f>
        <v>2.8133426670067484E-2</v>
      </c>
      <c r="H447">
        <f t="shared" si="49"/>
        <v>39.916771656965622</v>
      </c>
      <c r="I447">
        <f t="shared" si="50"/>
        <v>59.504801937835239</v>
      </c>
      <c r="J447">
        <f t="shared" si="51"/>
        <v>78.415677377882119</v>
      </c>
      <c r="K447">
        <f t="shared" si="52"/>
        <v>96.372389409702535</v>
      </c>
    </row>
    <row r="448" spans="2:11">
      <c r="B448">
        <v>429</v>
      </c>
      <c r="C448">
        <f>(C$10-SUM(C$20:C447))/(ABS(C$11)+C$10-SUM(C446:C447))</f>
        <v>1.1890176047061197E-3</v>
      </c>
      <c r="D448">
        <f>(D$10-SUM(D$20:D447))/(ABS(D$11)+D$10-SUM(D446:D447))</f>
        <v>5.5028850052061791E-3</v>
      </c>
      <c r="E448">
        <f>(E$10-SUM(E$20:E447))/(ABS(E$11)+E$10-SUM(E446:E447))</f>
        <v>1.4406758769130437E-2</v>
      </c>
      <c r="F448">
        <f>(F$10-SUM(F$20:F447))/(ABS(F$11)+F$10-SUM(F446:F447))</f>
        <v>2.7916826738716791E-2</v>
      </c>
      <c r="H448">
        <f t="shared" si="49"/>
        <v>39.917960674570331</v>
      </c>
      <c r="I448">
        <f t="shared" si="50"/>
        <v>59.510304822840446</v>
      </c>
      <c r="J448">
        <f t="shared" si="51"/>
        <v>78.430084136651246</v>
      </c>
      <c r="K448">
        <f t="shared" si="52"/>
        <v>96.400306236441253</v>
      </c>
    </row>
    <row r="449" spans="2:11">
      <c r="B449">
        <v>430</v>
      </c>
      <c r="C449">
        <f>(C$10-SUM(C$20:C448))/(ABS(C$11)+C$10-SUM(C447:C448))</f>
        <v>1.1720304679630486E-3</v>
      </c>
      <c r="D449">
        <f>(D$10-SUM(D$20:D448))/(ABS(D$11)+D$10-SUM(D447:D448))</f>
        <v>5.4417267122245311E-3</v>
      </c>
      <c r="E449">
        <f>(E$10-SUM(E$20:E448))/(ABS(E$11)+E$10-SUM(E447:E448))</f>
        <v>1.4275718953595069E-2</v>
      </c>
      <c r="F449">
        <f>(F$10-SUM(F$20:F448))/(ABS(F$11)+F$10-SUM(F447:F448))</f>
        <v>2.7701895860320166E-2</v>
      </c>
      <c r="H449">
        <f t="shared" si="49"/>
        <v>39.919132705038294</v>
      </c>
      <c r="I449">
        <f t="shared" si="50"/>
        <v>59.515746549552674</v>
      </c>
      <c r="J449">
        <f t="shared" si="51"/>
        <v>78.444359855604844</v>
      </c>
      <c r="K449">
        <f t="shared" si="52"/>
        <v>96.428008132301571</v>
      </c>
    </row>
    <row r="450" spans="2:11">
      <c r="B450">
        <v>431</v>
      </c>
      <c r="C450">
        <f>(C$10-SUM(C$20:C449))/(ABS(C$11)+C$10-SUM(C448:C449))</f>
        <v>1.1552860378225597E-3</v>
      </c>
      <c r="D450">
        <f>(D$10-SUM(D$20:D449))/(ABS(D$11)+D$10-SUM(D448:D449))</f>
        <v>5.3812482902268668E-3</v>
      </c>
      <c r="E450">
        <f>(E$10-SUM(E$20:E449))/(ABS(E$11)+E$10-SUM(E448:E449))</f>
        <v>1.4145871664036618E-2</v>
      </c>
      <c r="F450">
        <f>(F$10-SUM(F$20:F449))/(ABS(F$11)+F$10-SUM(F448:F449))</f>
        <v>2.7488621151483719E-2</v>
      </c>
      <c r="H450">
        <f t="shared" si="49"/>
        <v>39.920287991076115</v>
      </c>
      <c r="I450">
        <f t="shared" si="50"/>
        <v>59.521127797842901</v>
      </c>
      <c r="J450">
        <f t="shared" si="51"/>
        <v>78.458505727268886</v>
      </c>
      <c r="K450">
        <f t="shared" si="52"/>
        <v>96.455496753453048</v>
      </c>
    </row>
    <row r="451" spans="2:11">
      <c r="B451">
        <v>432</v>
      </c>
      <c r="C451">
        <f>(C$10-SUM(C$20:C450))/(ABS(C$11)+C$10-SUM(C449:C450))</f>
        <v>1.1387808461049162E-3</v>
      </c>
      <c r="D451">
        <f>(D$10-SUM(D$20:D450))/(ABS(D$11)+D$10-SUM(D449:D450))</f>
        <v>5.3214421776973915E-3</v>
      </c>
      <c r="E451">
        <f>(E$10-SUM(E$20:E450))/(ABS(E$11)+E$10-SUM(E449:E450))</f>
        <v>1.4017206036569895E-2</v>
      </c>
      <c r="F451">
        <f>(F$10-SUM(F$20:F450))/(ABS(F$11)+F$10-SUM(F449:F450))</f>
        <v>2.7276989828600912E-2</v>
      </c>
      <c r="H451">
        <f t="shared" si="49"/>
        <v>39.921426771922221</v>
      </c>
      <c r="I451">
        <f t="shared" si="50"/>
        <v>59.526449240020597</v>
      </c>
      <c r="J451">
        <f t="shared" si="51"/>
        <v>78.472522933305456</v>
      </c>
      <c r="K451">
        <f t="shared" si="52"/>
        <v>96.482773743281655</v>
      </c>
    </row>
    <row r="452" spans="2:11">
      <c r="B452">
        <v>433</v>
      </c>
      <c r="C452">
        <f>(C$10-SUM(C$20:C451))/(ABS(C$11)+C$10-SUM(C450:C451))</f>
        <v>1.122511474202559E-3</v>
      </c>
      <c r="D452">
        <f>(D$10-SUM(D$20:D451))/(ABS(D$11)+D$10-SUM(D450:D451))</f>
        <v>5.2623008973006246E-3</v>
      </c>
      <c r="E452">
        <f>(E$10-SUM(E$20:E451))/(ABS(E$11)+E$10-SUM(E450:E451))</f>
        <v>1.3889711306484618E-2</v>
      </c>
      <c r="F452">
        <f>(F$10-SUM(F$20:F451))/(ABS(F$11)+F$10-SUM(F450:F451))</f>
        <v>2.7066989207074326E-2</v>
      </c>
      <c r="H452">
        <f t="shared" si="49"/>
        <v>39.922549283396421</v>
      </c>
      <c r="I452">
        <f t="shared" si="50"/>
        <v>59.531711540917897</v>
      </c>
      <c r="J452">
        <f t="shared" si="51"/>
        <v>78.486412644611946</v>
      </c>
      <c r="K452">
        <f t="shared" si="52"/>
        <v>96.509840732488726</v>
      </c>
    </row>
    <row r="453" spans="2:11">
      <c r="B453">
        <v>434</v>
      </c>
      <c r="C453">
        <f>(C$10-SUM(C$20:C452))/(ABS(C$11)+C$10-SUM(C451:C452))</f>
        <v>1.1064745523712406E-3</v>
      </c>
      <c r="D453">
        <f>(D$10-SUM(D$20:D452))/(ABS(D$11)+D$10-SUM(D451:D452))</f>
        <v>5.2038170549424676E-3</v>
      </c>
      <c r="E453">
        <f>(E$10-SUM(E$20:E452))/(ABS(E$11)+E$10-SUM(E451:E452))</f>
        <v>1.3763376807336164E-2</v>
      </c>
      <c r="F453">
        <f>(F$10-SUM(F$20:F452))/(ABS(F$11)+F$10-SUM(F451:F452))</f>
        <v>2.6858606700544119E-2</v>
      </c>
      <c r="H453">
        <f t="shared" si="49"/>
        <v>39.923655757948794</v>
      </c>
      <c r="I453">
        <f t="shared" si="50"/>
        <v>59.536915357972838</v>
      </c>
      <c r="J453">
        <f t="shared" si="51"/>
        <v>78.500176021419279</v>
      </c>
      <c r="K453">
        <f t="shared" si="52"/>
        <v>96.536699339189269</v>
      </c>
    </row>
    <row r="454" spans="2:11">
      <c r="B454">
        <v>435</v>
      </c>
      <c r="C454">
        <f>(C$10-SUM(C$20:C453))/(ABS(C$11)+C$10-SUM(C452:C453))</f>
        <v>1.0906667590310274E-3</v>
      </c>
      <c r="D454">
        <f>(D$10-SUM(D$20:D453))/(ABS(D$11)+D$10-SUM(D452:D453))</f>
        <v>5.1459833388418554E-3</v>
      </c>
      <c r="E454">
        <f>(E$10-SUM(E$20:E453))/(ABS(E$11)+E$10-SUM(E452:E453))</f>
        <v>1.3638191970045295E-2</v>
      </c>
      <c r="F454">
        <f>(F$10-SUM(F$20:F453))/(ABS(F$11)+F$10-SUM(F452:F453))</f>
        <v>2.6651829820121611E-2</v>
      </c>
      <c r="H454">
        <f t="shared" si="49"/>
        <v>39.924746424707827</v>
      </c>
      <c r="I454">
        <f t="shared" si="50"/>
        <v>59.54206134131168</v>
      </c>
      <c r="J454">
        <f t="shared" si="51"/>
        <v>78.513814213389324</v>
      </c>
      <c r="K454">
        <f t="shared" si="52"/>
        <v>96.563351169009394</v>
      </c>
    </row>
    <row r="455" spans="2:11">
      <c r="B455" s="14">
        <v>436</v>
      </c>
      <c r="C455">
        <f>(C$10-SUM(C$20:C454))/(ABS(C$11)+C$10-SUM(C453:C454))</f>
        <v>1.0750848200777783E-3</v>
      </c>
      <c r="D455">
        <f>(D$10-SUM(D$20:D454))/(ABS(D$11)+D$10-SUM(D453:D454))</f>
        <v>5.0887925186125921E-3</v>
      </c>
      <c r="E455">
        <f>(E$10-SUM(E$20:E454))/(ABS(E$11)+E$10-SUM(E453:E454))</f>
        <v>1.3514146322005328E-2</v>
      </c>
      <c r="F455">
        <f>(F$10-SUM(F$20:F454))/(ABS(F$11)+F$10-SUM(F453:F454))</f>
        <v>2.6446646173629729E-2</v>
      </c>
      <c r="G455" s="14"/>
      <c r="H455" s="14">
        <f t="shared" si="49"/>
        <v>39.925821509527907</v>
      </c>
      <c r="I455" s="14">
        <f t="shared" si="50"/>
        <v>59.547150133830293</v>
      </c>
      <c r="J455" s="14">
        <f t="shared" si="51"/>
        <v>78.527328359711333</v>
      </c>
      <c r="K455" s="14">
        <f t="shared" si="52"/>
        <v>96.589797815183019</v>
      </c>
    </row>
    <row r="456" spans="2:11">
      <c r="B456">
        <v>437</v>
      </c>
      <c r="C456">
        <f>(C$10-SUM(C$20:C455))/(ABS(C$11)+C$10-SUM(C454:C455))</f>
        <v>1.0597255082040833E-3</v>
      </c>
      <c r="D456">
        <f>(D$10-SUM(D$20:D455))/(ABS(D$11)+D$10-SUM(D454:D455))</f>
        <v>5.0322374443556844E-3</v>
      </c>
      <c r="E456">
        <f>(E$10-SUM(E$20:E455))/(ABS(E$11)+E$10-SUM(E454:E455))</f>
        <v>1.3391229486198385E-2</v>
      </c>
      <c r="F456">
        <f>(F$10-SUM(F$20:F455))/(ABS(F$11)+F$10-SUM(F454:F455))</f>
        <v>2.624304346484925E-2</v>
      </c>
      <c r="H456">
        <f t="shared" si="49"/>
        <v>39.926881235036113</v>
      </c>
      <c r="I456">
        <f t="shared" si="50"/>
        <v>59.552182371274647</v>
      </c>
      <c r="J456">
        <f t="shared" si="51"/>
        <v>78.540719589197536</v>
      </c>
      <c r="K456">
        <f t="shared" si="52"/>
        <v>96.616040858647864</v>
      </c>
    </row>
    <row r="457" spans="2:11">
      <c r="B457">
        <v>438</v>
      </c>
      <c r="C457">
        <f>(C$10-SUM(C$20:C456))/(ABS(C$11)+C$10-SUM(C455:C456))</f>
        <v>1.0445856422300675E-3</v>
      </c>
      <c r="D457">
        <f>(D$10-SUM(D$20:D456))/(ABS(D$11)+D$10-SUM(D455:D456))</f>
        <v>4.9763110457616945E-3</v>
      </c>
      <c r="E457">
        <f>(E$10-SUM(E$20:E456))/(ABS(E$11)+E$10-SUM(E455:E456))</f>
        <v>1.3269431180319376E-2</v>
      </c>
      <c r="F457">
        <f>(F$10-SUM(F$20:F456))/(ABS(F$11)+F$10-SUM(F455:F456))</f>
        <v>2.6041009492770637E-2</v>
      </c>
      <c r="H457">
        <f t="shared" si="49"/>
        <v>39.92792582067834</v>
      </c>
      <c r="I457">
        <f t="shared" si="50"/>
        <v>59.557158682320406</v>
      </c>
      <c r="J457">
        <f t="shared" si="51"/>
        <v>78.553989020377855</v>
      </c>
      <c r="K457">
        <f t="shared" si="52"/>
        <v>96.642081868140636</v>
      </c>
    </row>
    <row r="458" spans="2:11">
      <c r="B458">
        <v>439</v>
      </c>
      <c r="C458">
        <f>(C$10-SUM(C$20:C457))/(ABS(C$11)+C$10-SUM(C456:C457))</f>
        <v>1.0296620864438581E-3</v>
      </c>
      <c r="D458">
        <f>(D$10-SUM(D$20:D457))/(ABS(D$11)+D$10-SUM(D456:D457))</f>
        <v>4.9210063312231161E-3</v>
      </c>
      <c r="E458">
        <f>(E$10-SUM(E$20:E457))/(ABS(E$11)+E$10-SUM(E456:E457))</f>
        <v>1.3148741215908125E-2</v>
      </c>
      <c r="F458">
        <f>(F$10-SUM(F$20:F457))/(ABS(F$11)+F$10-SUM(F456:F457))</f>
        <v>2.5840532150852247E-2</v>
      </c>
      <c r="H458">
        <f t="shared" si="49"/>
        <v>39.928955482764785</v>
      </c>
      <c r="I458">
        <f t="shared" si="50"/>
        <v>59.562079688651629</v>
      </c>
      <c r="J458">
        <f t="shared" si="51"/>
        <v>78.56713776159377</v>
      </c>
      <c r="K458">
        <f t="shared" si="52"/>
        <v>96.667922400291488</v>
      </c>
    </row>
    <row r="459" spans="2:11">
      <c r="B459">
        <v>440</v>
      </c>
      <c r="C459">
        <f>(C$10-SUM(C$20:C458))/(ABS(C$11)+C$10-SUM(C457:C458))</f>
        <v>1.0149517499511037E-3</v>
      </c>
      <c r="D459">
        <f>(D$10-SUM(D$20:D458))/(ABS(D$11)+D$10-SUM(D457:D458))</f>
        <v>4.8663163869567747E-3</v>
      </c>
      <c r="E459">
        <f>(E$10-SUM(E$20:E458))/(ABS(E$11)+E$10-SUM(E457:E458))</f>
        <v>1.3029149497489373E-2</v>
      </c>
      <c r="F459">
        <f>(F$10-SUM(F$20:F458))/(ABS(F$11)+F$10-SUM(F457:F458))</f>
        <v>2.5641599426284273E-2</v>
      </c>
      <c r="H459">
        <f t="shared" si="49"/>
        <v>39.929970434514736</v>
      </c>
      <c r="I459">
        <f t="shared" si="50"/>
        <v>59.566946005038588</v>
      </c>
      <c r="J459">
        <f t="shared" si="51"/>
        <v>78.580166911091254</v>
      </c>
      <c r="K459">
        <f t="shared" si="52"/>
        <v>96.693563999717767</v>
      </c>
    </row>
    <row r="460" spans="2:11">
      <c r="B460">
        <v>441</v>
      </c>
      <c r="C460">
        <f>(C$10-SUM(C$20:C459))/(ABS(C$11)+C$10-SUM(C458:C459))</f>
        <v>1.0004515860345612E-3</v>
      </c>
      <c r="D460">
        <f>(D$10-SUM(D$20:D459))/(ABS(D$11)+D$10-SUM(D458:D459))</f>
        <v>4.8122343761360757E-3</v>
      </c>
      <c r="E460">
        <f>(E$10-SUM(E$20:E459))/(ABS(E$11)+E$10-SUM(E458:E459))</f>
        <v>1.2910646021721289E-2</v>
      </c>
      <c r="F460">
        <f>(F$10-SUM(F$20:F459))/(ABS(F$11)+F$10-SUM(F458:F459))</f>
        <v>2.5444199399258308E-2</v>
      </c>
      <c r="H460">
        <f t="shared" si="49"/>
        <v>39.930970886100773</v>
      </c>
      <c r="I460">
        <f t="shared" si="50"/>
        <v>59.571758239414727</v>
      </c>
      <c r="J460">
        <f t="shared" si="51"/>
        <v>78.593077557112977</v>
      </c>
      <c r="K460">
        <f t="shared" si="52"/>
        <v>96.719008199117027</v>
      </c>
    </row>
    <row r="461" spans="2:11" s="14" customFormat="1">
      <c r="B461">
        <v>442</v>
      </c>
      <c r="C461">
        <f>(C$10-SUM(C$20:C460))/(ABS(C$11)+C$10-SUM(C459:C460))</f>
        <v>9.8615859152202385E-4</v>
      </c>
      <c r="D461">
        <f>(D$10-SUM(D$20:D460))/(ABS(D$11)+D$10-SUM(D459:D460))</f>
        <v>4.7587535380328866E-3</v>
      </c>
      <c r="E461">
        <f>(E$10-SUM(E$20:E460))/(ABS(E$11)+E$10-SUM(E459:E460))</f>
        <v>1.2793220876550842E-2</v>
      </c>
      <c r="F461">
        <f>(F$10-SUM(F$20:F460))/(ABS(F$11)+F$10-SUM(F459:F460))</f>
        <v>2.5248320242242696E-2</v>
      </c>
      <c r="G461"/>
      <c r="H461">
        <f t="shared" si="49"/>
        <v>39.931957044692297</v>
      </c>
      <c r="I461">
        <f t="shared" si="50"/>
        <v>59.576516992952762</v>
      </c>
      <c r="J461">
        <f t="shared" si="51"/>
        <v>78.605870777989523</v>
      </c>
      <c r="K461">
        <f t="shared" si="52"/>
        <v>96.744256519359269</v>
      </c>
    </row>
    <row r="462" spans="2:11">
      <c r="B462">
        <v>443</v>
      </c>
      <c r="C462">
        <f>(C$10-SUM(C$20:C461))/(ABS(C$11)+C$10-SUM(C460:C461))</f>
        <v>9.7206980616390776E-4</v>
      </c>
      <c r="D462">
        <f>(D$10-SUM(D$20:D461))/(ABS(D$11)+D$10-SUM(D460:D461))</f>
        <v>4.7058671871690275E-3</v>
      </c>
      <c r="E462">
        <f>(E$10-SUM(E$20:E461))/(ABS(E$11)+E$10-SUM(E460:E461))</f>
        <v>1.2676864240378173E-2</v>
      </c>
      <c r="F462">
        <f>(F$10-SUM(F$20:F461))/(ABS(F$11)+F$10-SUM(F460:F461))</f>
        <v>2.5053950219263991E-2</v>
      </c>
      <c r="H462">
        <f t="shared" si="49"/>
        <v>39.932929114498464</v>
      </c>
      <c r="I462">
        <f t="shared" si="50"/>
        <v>59.581222860139931</v>
      </c>
      <c r="J462">
        <f t="shared" si="51"/>
        <v>78.618547642229899</v>
      </c>
      <c r="K462">
        <f t="shared" si="52"/>
        <v>96.769310469578528</v>
      </c>
    </row>
    <row r="463" spans="2:11">
      <c r="B463">
        <v>444</v>
      </c>
      <c r="C463">
        <f>(C$10-SUM(C$20:C462))/(ABS(C$11)+C$10-SUM(C461:C462))</f>
        <v>9.5818231201928337E-4</v>
      </c>
      <c r="D463">
        <f>(D$10-SUM(D$20:D462))/(ABS(D$11)+D$10-SUM(D461:D462))</f>
        <v>4.6535687124772337E-3</v>
      </c>
      <c r="E463">
        <f>(E$10-SUM(E$20:E462))/(ABS(E$11)+E$10-SUM(E461:E462))</f>
        <v>1.2561566381227572E-2</v>
      </c>
      <c r="F463">
        <f>(F$10-SUM(F$20:F462))/(ABS(F$11)+F$10-SUM(F461:F462))</f>
        <v>2.4861077685193519E-2</v>
      </c>
      <c r="H463">
        <f t="shared" si="49"/>
        <v>39.933887296810482</v>
      </c>
      <c r="I463">
        <f t="shared" si="50"/>
        <v>59.585876428852409</v>
      </c>
      <c r="J463">
        <f t="shared" si="51"/>
        <v>78.631109208611122</v>
      </c>
      <c r="K463">
        <f t="shared" si="52"/>
        <v>96.794171547263716</v>
      </c>
    </row>
    <row r="464" spans="2:11">
      <c r="B464">
        <v>445</v>
      </c>
      <c r="C464">
        <f>(C$10-SUM(C$20:C463))/(ABS(C$11)+C$10-SUM(C462:C463))</f>
        <v>9.4449323285115711E-4</v>
      </c>
      <c r="D464">
        <f>(D$10-SUM(D$20:D463))/(ABS(D$11)+D$10-SUM(D462:D463))</f>
        <v>4.6018515764715681E-3</v>
      </c>
      <c r="E464">
        <f>(E$10-SUM(E$20:E463))/(ABS(E$11)+E$10-SUM(E462:E463))</f>
        <v>1.2447317655926932E-2</v>
      </c>
      <c r="F464">
        <f>(F$10-SUM(F$20:F463))/(ABS(F$11)+F$10-SUM(F462:F463))</f>
        <v>2.4669691085039913E-2</v>
      </c>
      <c r="H464">
        <f t="shared" si="49"/>
        <v>39.934831790043333</v>
      </c>
      <c r="I464">
        <f t="shared" si="50"/>
        <v>59.590478280428883</v>
      </c>
      <c r="J464">
        <f t="shared" si="51"/>
        <v>78.643556526267048</v>
      </c>
      <c r="K464">
        <f t="shared" si="52"/>
        <v>96.818841238348753</v>
      </c>
    </row>
    <row r="465" spans="2:11">
      <c r="B465">
        <v>446</v>
      </c>
      <c r="C465">
        <f>(C$10-SUM(C$20:C464))/(ABS(C$11)+C$10-SUM(C463:C464))</f>
        <v>9.3099973352989032E-4</v>
      </c>
      <c r="D465">
        <f>(D$10-SUM(D$20:D464))/(ABS(D$11)+D$10-SUM(D463:D464))</f>
        <v>4.5507093144270556E-3</v>
      </c>
      <c r="E465">
        <f>(E$10-SUM(E$20:E464))/(ABS(E$11)+E$10-SUM(E463:E464))</f>
        <v>1.2334108509294206E-2</v>
      </c>
      <c r="F465">
        <f>(F$10-SUM(F$20:F464))/(ABS(F$11)+F$10-SUM(F463:F464))</f>
        <v>2.4479778953247128E-2</v>
      </c>
      <c r="H465">
        <f t="shared" si="49"/>
        <v>39.935762789776859</v>
      </c>
      <c r="I465">
        <f t="shared" si="50"/>
        <v>59.595028989743312</v>
      </c>
      <c r="J465">
        <f t="shared" si="51"/>
        <v>78.655890634776341</v>
      </c>
      <c r="K465">
        <f t="shared" si="52"/>
        <v>96.843321017302003</v>
      </c>
    </row>
    <row r="466" spans="2:11">
      <c r="B466">
        <v>447</v>
      </c>
      <c r="C466">
        <f>(C$10-SUM(C$20:C465))/(ABS(C$11)+C$10-SUM(C464:C465))</f>
        <v>9.1769901944566818E-4</v>
      </c>
      <c r="D466">
        <f>(D$10-SUM(D$20:D465))/(ABS(D$11)+D$10-SUM(D464:D465))</f>
        <v>4.5001355335686222E-3</v>
      </c>
      <c r="E466">
        <f>(E$10-SUM(E$20:E465))/(ABS(E$11)+E$10-SUM(E464:E465))</f>
        <v>1.2221929473331807E-2</v>
      </c>
      <c r="F466">
        <f>(F$10-SUM(F$20:F465))/(ABS(F$11)+F$10-SUM(F464:F465))</f>
        <v>2.4291329912998046E-2</v>
      </c>
      <c r="H466">
        <f t="shared" si="49"/>
        <v>39.936680488796306</v>
      </c>
      <c r="I466">
        <f t="shared" si="50"/>
        <v>59.599529125276881</v>
      </c>
      <c r="J466">
        <f t="shared" si="51"/>
        <v>78.668112564249668</v>
      </c>
      <c r="K466">
        <f t="shared" si="52"/>
        <v>96.867612347215001</v>
      </c>
    </row>
    <row r="467" spans="2:11">
      <c r="B467">
        <v>448</v>
      </c>
      <c r="C467">
        <f>(C$10-SUM(C$20:C466))/(ABS(C$11)+C$10-SUM(C465:C466))</f>
        <v>9.0458833592889972E-4</v>
      </c>
      <c r="D467">
        <f>(D$10-SUM(D$20:D466))/(ABS(D$11)+D$10-SUM(D465:D466))</f>
        <v>4.4501239122689273E-3</v>
      </c>
      <c r="E467">
        <f>(E$10-SUM(E$20:E466))/(ABS(E$11)+E$10-SUM(E465:E466))</f>
        <v>1.2110771166428122E-2</v>
      </c>
      <c r="F467">
        <f>(F$10-SUM(F$20:F466))/(ABS(F$11)+F$10-SUM(F465:F466))</f>
        <v>2.4104332675523577E-2</v>
      </c>
      <c r="H467">
        <f t="shared" si="49"/>
        <v>39.937585077132233</v>
      </c>
      <c r="I467">
        <f t="shared" si="50"/>
        <v>59.603979249189152</v>
      </c>
      <c r="J467">
        <f t="shared" si="51"/>
        <v>78.680223335416102</v>
      </c>
      <c r="K467">
        <f t="shared" si="52"/>
        <v>96.891716679890521</v>
      </c>
    </row>
    <row r="468" spans="2:11">
      <c r="B468">
        <v>449</v>
      </c>
      <c r="C468">
        <f>(C$10-SUM(C$20:C467))/(ABS(C$11)+C$10-SUM(C466:C467))</f>
        <v>8.9166496767946371E-4</v>
      </c>
      <c r="D468">
        <f>(D$10-SUM(D$20:D467))/(ABS(D$11)+D$10-SUM(D466:D467))</f>
        <v>4.4006681992551843E-3</v>
      </c>
      <c r="E468">
        <f>(E$10-SUM(E$20:E467))/(ABS(E$11)+E$10-SUM(E466:E467))</f>
        <v>1.2000624292566358E-2</v>
      </c>
      <c r="F468">
        <f>(F$10-SUM(F$20:F467))/(ABS(F$11)+F$10-SUM(F466:F467))</f>
        <v>2.3918776039417021E-2</v>
      </c>
      <c r="H468">
        <f t="shared" si="49"/>
        <v>39.938476742099915</v>
      </c>
      <c r="I468">
        <f t="shared" si="50"/>
        <v>59.608379917388405</v>
      </c>
      <c r="J468">
        <f t="shared" si="51"/>
        <v>78.69222395970867</v>
      </c>
      <c r="K468">
        <f t="shared" si="52"/>
        <v>96.915635455929944</v>
      </c>
    </row>
    <row r="469" spans="2:11">
      <c r="B469">
        <v>450</v>
      </c>
      <c r="C469">
        <f>(C$10-SUM(C$20:C468))/(ABS(C$11)+C$10-SUM(C467:C468))</f>
        <v>8.789262382034803E-4</v>
      </c>
      <c r="D469">
        <f>(D$10-SUM(D$20:D468))/(ABS(D$11)+D$10-SUM(D467:D468))</f>
        <v>4.3517622128251103E-3</v>
      </c>
      <c r="E469">
        <f>(E$10-SUM(E$20:E468))/(ABS(E$11)+E$10-SUM(E467:E468))</f>
        <v>1.1891479640541231E-2</v>
      </c>
      <c r="F469">
        <f>(F$10-SUM(F$20:F468))/(ABS(F$11)+F$10-SUM(F467:F468))</f>
        <v>2.3734648889953913E-2</v>
      </c>
      <c r="H469">
        <f t="shared" si="49"/>
        <v>39.939355668338116</v>
      </c>
      <c r="I469">
        <f t="shared" si="50"/>
        <v>59.612731679601232</v>
      </c>
      <c r="J469">
        <f t="shared" si="51"/>
        <v>78.704115439349209</v>
      </c>
      <c r="K469">
        <f t="shared" si="52"/>
        <v>96.939370104819901</v>
      </c>
    </row>
    <row r="470" spans="2:11">
      <c r="B470">
        <v>451</v>
      </c>
      <c r="C470">
        <f>(C$10-SUM(C$20:C469))/(ABS(C$11)+C$10-SUM(C468:C469))</f>
        <v>8.6636950925882562E-4</v>
      </c>
      <c r="D470">
        <f>(D$10-SUM(D$20:D469))/(ABS(D$11)+D$10-SUM(D468:D469))</f>
        <v>4.3033998400711475E-3</v>
      </c>
      <c r="E470">
        <f>(E$10-SUM(E$20:E469))/(ABS(E$11)+E$10-SUM(E468:E469))</f>
        <v>1.178332808318211E-2</v>
      </c>
      <c r="F470">
        <f>(F$10-SUM(F$20:F469))/(ABS(F$11)+F$10-SUM(F468:F469))</f>
        <v>2.3551940198417581E-2</v>
      </c>
      <c r="H470">
        <f t="shared" si="49"/>
        <v>39.940222037847377</v>
      </c>
      <c r="I470">
        <f t="shared" si="50"/>
        <v>59.617035079441301</v>
      </c>
      <c r="J470">
        <f t="shared" si="51"/>
        <v>78.715898767432392</v>
      </c>
      <c r="K470">
        <f t="shared" si="52"/>
        <v>96.962922045018317</v>
      </c>
    </row>
    <row r="471" spans="2:11">
      <c r="B471">
        <v>452</v>
      </c>
      <c r="C471">
        <f>(C$10-SUM(C$20:C470))/(ABS(C$11)+C$10-SUM(C469:C470))</f>
        <v>8.5399218030776484E-4</v>
      </c>
      <c r="D471">
        <f>(D$10-SUM(D$20:D470))/(ABS(D$11)+D$10-SUM(D469:D470))</f>
        <v>4.255575036114052E-3</v>
      </c>
      <c r="E471">
        <f>(E$10-SUM(E$20:E470))/(ABS(E$11)+E$10-SUM(E469:E470))</f>
        <v>1.1676160576583723E-2</v>
      </c>
      <c r="F471">
        <f>(F$10-SUM(F$20:F470))/(ABS(F$11)+F$10-SUM(F469:F470))</f>
        <v>2.3370639021429402E-2</v>
      </c>
      <c r="H471">
        <f t="shared" si="49"/>
        <v>39.941076030027688</v>
      </c>
      <c r="I471">
        <f t="shared" si="50"/>
        <v>59.621290654477413</v>
      </c>
      <c r="J471">
        <f t="shared" si="51"/>
        <v>78.727574928008977</v>
      </c>
      <c r="K471">
        <f t="shared" si="52"/>
        <v>96.986292684039739</v>
      </c>
    </row>
    <row r="472" spans="2:11">
      <c r="B472">
        <v>453</v>
      </c>
      <c r="C472">
        <f>(C$10-SUM(C$20:C471))/(ABS(C$11)+C$10-SUM(C470:C471))</f>
        <v>8.4179168797832713E-4</v>
      </c>
      <c r="D472">
        <f>(D$10-SUM(D$20:D471))/(ABS(D$11)+D$10-SUM(D470:D471))</f>
        <v>4.2082818233442785E-3</v>
      </c>
      <c r="E472">
        <f>(E$10-SUM(E$20:E471))/(ABS(E$11)+E$10-SUM(E470:E471))</f>
        <v>1.15699681593441E-2</v>
      </c>
      <c r="F472">
        <f>(F$10-SUM(F$20:F471))/(ABS(F$11)+F$10-SUM(F470:F471))</f>
        <v>2.3190734500284745E-2</v>
      </c>
      <c r="H472">
        <f t="shared" si="49"/>
        <v>39.941917821715663</v>
      </c>
      <c r="I472">
        <f t="shared" si="50"/>
        <v>59.625498936300758</v>
      </c>
      <c r="J472">
        <f t="shared" si="51"/>
        <v>78.739144896168327</v>
      </c>
      <c r="K472">
        <f t="shared" si="52"/>
        <v>97.009483418540029</v>
      </c>
    </row>
    <row r="473" spans="2:11">
      <c r="B473">
        <v>454</v>
      </c>
      <c r="C473">
        <f>(C$10-SUM(C$20:C472))/(ABS(C$11)+C$10-SUM(C471:C472))</f>
        <v>8.2976550553280008E-4</v>
      </c>
      <c r="D473">
        <f>(D$10-SUM(D$20:D472))/(ABS(D$11)+D$10-SUM(D471:D472))</f>
        <v>4.1615142906724079E-3</v>
      </c>
      <c r="E473">
        <f>(E$10-SUM(E$20:E472))/(ABS(E$11)+E$10-SUM(E471:E472))</f>
        <v>1.1464741951809175E-2</v>
      </c>
      <c r="F473">
        <f>(F$10-SUM(F$20:F472))/(ABS(F$11)+F$10-SUM(F471:F472))</f>
        <v>2.301221586029388E-2</v>
      </c>
      <c r="H473">
        <f t="shared" si="49"/>
        <v>39.942747587221199</v>
      </c>
      <c r="I473">
        <f t="shared" si="50"/>
        <v>59.62966045059143</v>
      </c>
      <c r="J473">
        <f t="shared" si="51"/>
        <v>78.750609638120139</v>
      </c>
      <c r="K473">
        <f t="shared" si="52"/>
        <v>97.03249563440032</v>
      </c>
    </row>
    <row r="474" spans="2:11">
      <c r="B474">
        <v>455</v>
      </c>
      <c r="C474">
        <f>(C$10-SUM(C$20:C473))/(ABS(C$11)+C$10-SUM(C472:C473))</f>
        <v>8.1791114234364408E-4</v>
      </c>
      <c r="D474">
        <f>(D$10-SUM(D$20:D473))/(ABS(D$11)+D$10-SUM(D472:D473))</f>
        <v>4.115266592787846E-3</v>
      </c>
      <c r="E474">
        <f>(E$10-SUM(E$20:E473))/(ABS(E$11)+E$10-SUM(E472:E473))</f>
        <v>1.1360473155324723E-2</v>
      </c>
      <c r="F474">
        <f>(F$10-SUM(F$20:F473))/(ABS(F$11)+F$10-SUM(F472:F473))</f>
        <v>2.2835072410128658E-2</v>
      </c>
      <c r="H474">
        <f t="shared" si="49"/>
        <v>39.94356549836354</v>
      </c>
      <c r="I474">
        <f t="shared" si="50"/>
        <v>59.633775717184221</v>
      </c>
      <c r="J474">
        <f t="shared" si="51"/>
        <v>78.76197011127546</v>
      </c>
      <c r="K474">
        <f t="shared" si="52"/>
        <v>97.055330706810452</v>
      </c>
    </row>
    <row r="475" spans="2:11">
      <c r="B475">
        <v>456</v>
      </c>
      <c r="C475">
        <f>(C$10-SUM(C$20:C474))/(ABS(C$11)+C$10-SUM(C473:C474))</f>
        <v>8.0622614337784503E-4</v>
      </c>
      <c r="D475">
        <f>(D$10-SUM(D$20:D474))/(ABS(D$11)+D$10-SUM(D473:D474))</f>
        <v>4.0695329494255458E-3</v>
      </c>
      <c r="E475">
        <f>(E$10-SUM(E$20:E474))/(ABS(E$11)+E$10-SUM(E473:E474))</f>
        <v>1.1257153051494859E-2</v>
      </c>
      <c r="F475">
        <f>(F$10-SUM(F$20:F474))/(ABS(F$11)+F$10-SUM(F473:F474))</f>
        <v>2.2659293541173343E-2</v>
      </c>
      <c r="H475">
        <f t="shared" si="49"/>
        <v>39.944371724506915</v>
      </c>
      <c r="I475">
        <f t="shared" si="50"/>
        <v>59.637845250133644</v>
      </c>
      <c r="J475">
        <f t="shared" si="51"/>
        <v>78.773227264326948</v>
      </c>
      <c r="K475">
        <f t="shared" si="52"/>
        <v>97.077990000351619</v>
      </c>
    </row>
    <row r="476" spans="2:11">
      <c r="B476">
        <v>457</v>
      </c>
      <c r="C476">
        <f>(C$10-SUM(C$20:C475))/(ABS(C$11)+C$10-SUM(C474:C475))</f>
        <v>7.9470808868747E-4</v>
      </c>
      <c r="D476">
        <f>(D$10-SUM(D$20:D475))/(ABS(D$11)+D$10-SUM(D474:D475))</f>
        <v>4.0243076446413728E-3</v>
      </c>
      <c r="E476">
        <f>(E$10-SUM(E$20:E475))/(ABS(E$11)+E$10-SUM(E474:E475))</f>
        <v>1.1154773001447458E-2</v>
      </c>
      <c r="F476">
        <f>(F$10-SUM(F$20:F475))/(ABS(F$11)+F$10-SUM(F474:F475))</f>
        <v>2.2484868726881605E-2</v>
      </c>
      <c r="H476">
        <f t="shared" si="49"/>
        <v>39.945166432595606</v>
      </c>
      <c r="I476">
        <f t="shared" si="50"/>
        <v>59.641869557778286</v>
      </c>
      <c r="J476">
        <f t="shared" si="51"/>
        <v>78.784382037328399</v>
      </c>
      <c r="K476">
        <f t="shared" si="52"/>
        <v>97.100474869078496</v>
      </c>
    </row>
    <row r="477" spans="2:11">
      <c r="B477">
        <v>458</v>
      </c>
      <c r="C477">
        <f>(C$10-SUM(C$20:C476))/(ABS(C$11)+C$10-SUM(C475:C476))</f>
        <v>7.8335459290825244E-4</v>
      </c>
      <c r="D477">
        <f>(D$10-SUM(D$20:D476))/(ABS(D$11)+D$10-SUM(D475:D476))</f>
        <v>3.9795850260949577E-3</v>
      </c>
      <c r="E477">
        <f>(E$10-SUM(E$20:E476))/(ABS(E$11)+E$10-SUM(E475:E476))</f>
        <v>1.1053324445106399E-2</v>
      </c>
      <c r="F477">
        <f>(F$10-SUM(F$20:F476))/(ABS(F$11)+F$10-SUM(F475:F476))</f>
        <v>2.2311787522137642E-2</v>
      </c>
      <c r="H477">
        <f t="shared" si="49"/>
        <v>39.945949787188518</v>
      </c>
      <c r="I477">
        <f t="shared" si="50"/>
        <v>59.64584914280438</v>
      </c>
      <c r="J477">
        <f t="shared" si="51"/>
        <v>78.795435361773499</v>
      </c>
      <c r="K477">
        <f t="shared" si="52"/>
        <v>97.122786656600638</v>
      </c>
    </row>
    <row r="478" spans="2:11">
      <c r="B478">
        <v>459</v>
      </c>
      <c r="C478">
        <f>(C$10-SUM(C$20:C477))/(ABS(C$11)+C$10-SUM(C476:C477))</f>
        <v>7.7216330476539605E-4</v>
      </c>
      <c r="D478">
        <f>(D$10-SUM(D$20:D477))/(ABS(D$11)+D$10-SUM(D476:D477))</f>
        <v>3.9353595043412617E-3</v>
      </c>
      <c r="E478">
        <f>(E$10-SUM(E$20:E477))/(ABS(E$11)+E$10-SUM(E476:E477))</f>
        <v>1.0952798900470861E-2</v>
      </c>
      <c r="F478">
        <f>(F$10-SUM(F$20:F477))/(ABS(F$11)+F$10-SUM(F476:F477))</f>
        <v>2.2140039562622987E-2</v>
      </c>
      <c r="H478">
        <f t="shared" si="49"/>
        <v>39.946721950493284</v>
      </c>
      <c r="I478">
        <f t="shared" si="50"/>
        <v>59.649784502308719</v>
      </c>
      <c r="J478">
        <f t="shared" si="51"/>
        <v>78.806388160673976</v>
      </c>
      <c r="K478">
        <f t="shared" si="52"/>
        <v>97.144926696163267</v>
      </c>
    </row>
    <row r="479" spans="2:11">
      <c r="B479">
        <v>460</v>
      </c>
      <c r="C479">
        <f>(C$10-SUM(C$20:C478))/(ABS(C$11)+C$10-SUM(C477:C478))</f>
        <v>7.6113190658598506E-4</v>
      </c>
      <c r="D479">
        <f>(D$10-SUM(D$20:D478))/(ABS(D$11)+D$10-SUM(D477:D478))</f>
        <v>3.8916255521295436E-3</v>
      </c>
      <c r="E479">
        <f>(E$10-SUM(E$20:E478))/(ABS(E$11)+E$10-SUM(E477:E478))</f>
        <v>1.0853187962900262E-2</v>
      </c>
      <c r="F479">
        <f>(F$10-SUM(F$20:F478))/(ABS(F$11)+F$10-SUM(F477:F478))</f>
        <v>2.1969614564188146E-2</v>
      </c>
      <c r="H479">
        <f t="shared" si="49"/>
        <v>39.94748308239987</v>
      </c>
      <c r="I479">
        <f t="shared" si="50"/>
        <v>59.653676127860848</v>
      </c>
      <c r="J479">
        <f t="shared" si="51"/>
        <v>78.81724134863687</v>
      </c>
      <c r="K479">
        <f t="shared" si="52"/>
        <v>97.166896310727452</v>
      </c>
    </row>
    <row r="480" spans="2:11">
      <c r="B480">
        <v>461</v>
      </c>
      <c r="C480">
        <f>(C$10-SUM(C$20:C479))/(ABS(C$11)+C$10-SUM(C478:C479))</f>
        <v>7.5025811381861541E-4</v>
      </c>
      <c r="D480">
        <f>(D$10-SUM(D$20:D479))/(ABS(D$11)+D$10-SUM(D478:D479))</f>
        <v>3.8483777037103392E-3</v>
      </c>
      <c r="E480">
        <f>(E$10-SUM(E$20:E479))/(ABS(E$11)+E$10-SUM(E478:E479))</f>
        <v>1.0754483304407168E-2</v>
      </c>
      <c r="F480">
        <f>(F$10-SUM(F$20:F479))/(ABS(F$11)+F$10-SUM(F478:F479))</f>
        <v>2.1800502322229014E-2</v>
      </c>
      <c r="H480">
        <f t="shared" si="49"/>
        <v>39.948233340513688</v>
      </c>
      <c r="I480">
        <f t="shared" si="50"/>
        <v>59.65752450556456</v>
      </c>
      <c r="J480">
        <f t="shared" si="51"/>
        <v>78.82799583194128</v>
      </c>
      <c r="K480">
        <f t="shared" si="52"/>
        <v>97.188696813049688</v>
      </c>
    </row>
    <row r="481" spans="2:11">
      <c r="B481">
        <v>462</v>
      </c>
      <c r="C481">
        <f>(C$10-SUM(C$20:C480))/(ABS(C$11)+C$10-SUM(C479:C480))</f>
        <v>7.3953967455993384E-4</v>
      </c>
      <c r="D481">
        <f>(D$10-SUM(D$20:D480))/(ABS(D$11)+D$10-SUM(D479:D480))</f>
        <v>3.8056105541502223E-3</v>
      </c>
      <c r="E481">
        <f>(E$10-SUM(E$20:E480))/(ABS(E$11)+E$10-SUM(E479:E480))</f>
        <v>1.0656676672955194E-2</v>
      </c>
      <c r="F481">
        <f>(F$10-SUM(F$20:F480))/(ABS(F$11)+F$10-SUM(F479:F480))</f>
        <v>2.1632692711068022E-2</v>
      </c>
      <c r="H481">
        <f t="shared" si="49"/>
        <v>39.948972880188251</v>
      </c>
      <c r="I481">
        <f t="shared" si="50"/>
        <v>59.661330116118712</v>
      </c>
      <c r="J481">
        <f t="shared" si="51"/>
        <v>78.838652508614231</v>
      </c>
      <c r="K481">
        <f t="shared" si="52"/>
        <v>97.210329505760754</v>
      </c>
    </row>
    <row r="482" spans="2:11">
      <c r="B482">
        <v>463</v>
      </c>
      <c r="C482">
        <f>(C$10-SUM(C$20:C481))/(ABS(C$11)+C$10-SUM(C480:C481))</f>
        <v>7.2897436908788858E-4</v>
      </c>
      <c r="D482">
        <f>(D$10-SUM(D$20:D481))/(ABS(D$11)+D$10-SUM(D480:D481))</f>
        <v>3.763318758654188E-3</v>
      </c>
      <c r="E482">
        <f>(E$10-SUM(E$20:E481))/(ABS(E$11)+E$10-SUM(E480:E481))</f>
        <v>1.0559759891764853E-2</v>
      </c>
      <c r="F482">
        <f>(F$10-SUM(F$20:F481))/(ABS(F$11)+F$10-SUM(F480:F481))</f>
        <v>2.1466175683340919E-2</v>
      </c>
      <c r="H482">
        <f t="shared" si="49"/>
        <v>39.94970185455734</v>
      </c>
      <c r="I482">
        <f t="shared" si="50"/>
        <v>59.665093434877363</v>
      </c>
      <c r="J482">
        <f t="shared" si="51"/>
        <v>78.849212268505994</v>
      </c>
      <c r="K482">
        <f t="shared" si="52"/>
        <v>97.231795681444098</v>
      </c>
    </row>
    <row r="483" spans="2:11">
      <c r="B483">
        <v>464</v>
      </c>
      <c r="C483">
        <f>(C$10-SUM(C$20:C482))/(ABS(C$11)+C$10-SUM(C481:C482))</f>
        <v>7.1856000940179036E-4</v>
      </c>
      <c r="D483">
        <f>(D$10-SUM(D$20:D482))/(ABS(D$11)+D$10-SUM(D481:D482))</f>
        <v>3.7214970318956565E-3</v>
      </c>
      <c r="E483">
        <f>(E$10-SUM(E$20:E482))/(ABS(E$11)+E$10-SUM(E481:E482))</f>
        <v>1.0463724858624542E-2</v>
      </c>
      <c r="F483">
        <f>(F$10-SUM(F$20:F482))/(ABS(F$11)+F$10-SUM(F481:F482))</f>
        <v>2.1300941269387298E-2</v>
      </c>
      <c r="H483">
        <f t="shared" si="49"/>
        <v>39.950420414566743</v>
      </c>
      <c r="I483">
        <f t="shared" si="50"/>
        <v>59.66881493190926</v>
      </c>
      <c r="J483">
        <f t="shared" si="51"/>
        <v>78.859675993364618</v>
      </c>
      <c r="K483">
        <f t="shared" si="52"/>
        <v>97.253096622713485</v>
      </c>
    </row>
    <row r="484" spans="2:11">
      <c r="B484">
        <v>465</v>
      </c>
      <c r="C484">
        <f>(C$10-SUM(C$20:C483))/(ABS(C$11)+C$10-SUM(C482:C483))</f>
        <v>7.0829443876867476E-4</v>
      </c>
      <c r="D484">
        <f>(D$10-SUM(D$20:D483))/(ABS(D$11)+D$10-SUM(D482:D483))</f>
        <v>3.6801401473536234E-3</v>
      </c>
      <c r="E484">
        <f>(E$10-SUM(E$20:E483))/(ABS(E$11)+E$10-SUM(E482:E483))</f>
        <v>1.0368563545208707E-2</v>
      </c>
      <c r="F484">
        <f>(F$10-SUM(F$20:F483))/(ABS(F$11)+F$10-SUM(F482:F483))</f>
        <v>2.1136979576646894E-2</v>
      </c>
      <c r="H484">
        <f t="shared" si="49"/>
        <v>39.951128709005509</v>
      </c>
      <c r="I484">
        <f t="shared" si="50"/>
        <v>59.672495072056613</v>
      </c>
      <c r="J484">
        <f t="shared" si="51"/>
        <v>78.870044556909832</v>
      </c>
      <c r="K484">
        <f t="shared" si="52"/>
        <v>97.274233602290138</v>
      </c>
    </row>
    <row r="485" spans="2:11">
      <c r="B485">
        <v>466</v>
      </c>
      <c r="C485">
        <f>(C$10-SUM(C$20:C484))/(ABS(C$11)+C$10-SUM(C483:C484))</f>
        <v>6.9817553127647484E-4</v>
      </c>
      <c r="D485">
        <f>(D$10-SUM(D$20:D484))/(ABS(D$11)+D$10-SUM(D483:D484))</f>
        <v>3.6392429366579057E-3</v>
      </c>
      <c r="E485">
        <f>(E$10-SUM(E$20:E484))/(ABS(E$11)+E$10-SUM(E483:E484))</f>
        <v>1.0274267996401885E-2</v>
      </c>
      <c r="F485">
        <f>(F$10-SUM(F$20:F484))/(ABS(F$11)+F$10-SUM(F483:F484))</f>
        <v>2.0974280789059923E-2</v>
      </c>
      <c r="H485">
        <f t="shared" si="49"/>
        <v>39.951826884536786</v>
      </c>
      <c r="I485">
        <f t="shared" si="50"/>
        <v>59.67613431499327</v>
      </c>
      <c r="J485">
        <f t="shared" si="51"/>
        <v>78.88031882490624</v>
      </c>
      <c r="K485">
        <f t="shared" si="52"/>
        <v>97.2952078830792</v>
      </c>
    </row>
    <row r="486" spans="2:11">
      <c r="B486">
        <v>467</v>
      </c>
      <c r="C486">
        <f>(C$10-SUM(C$20:C485))/(ABS(C$11)+C$10-SUM(C484:C485))</f>
        <v>6.8820119139319127E-4</v>
      </c>
      <c r="D486">
        <f>(D$10-SUM(D$20:D485))/(ABS(D$11)+D$10-SUM(D484:D485))</f>
        <v>3.5988002889409741E-3</v>
      </c>
      <c r="E486">
        <f>(E$10-SUM(E$20:E485))/(ABS(E$11)+E$10-SUM(E484:E485))</f>
        <v>1.0180830329629164E-2</v>
      </c>
      <c r="F486">
        <f>(F$10-SUM(F$20:F485))/(ABS(F$11)+F$10-SUM(F484:F485))</f>
        <v>2.0812835166472643E-2</v>
      </c>
      <c r="H486">
        <f t="shared" si="49"/>
        <v>39.95251508572818</v>
      </c>
      <c r="I486">
        <f t="shared" si="50"/>
        <v>59.679733115282211</v>
      </c>
      <c r="J486">
        <f t="shared" si="51"/>
        <v>78.890499655235871</v>
      </c>
      <c r="K486">
        <f t="shared" si="52"/>
        <v>97.316020718245667</v>
      </c>
    </row>
    <row r="487" spans="2:11">
      <c r="B487">
        <v>468</v>
      </c>
      <c r="C487">
        <f>(C$10-SUM(C$20:C486))/(ABS(C$11)+C$10-SUM(C485:C486))</f>
        <v>6.7836935353287134E-4</v>
      </c>
      <c r="D487">
        <f>(D$10-SUM(D$20:D486))/(ABS(D$11)+D$10-SUM(D485:D486))</f>
        <v>3.5588071501974853E-3</v>
      </c>
      <c r="E487">
        <f>(E$10-SUM(E$20:E486))/(ABS(E$11)+E$10-SUM(E485:E486))</f>
        <v>1.0088242734192669E-2</v>
      </c>
      <c r="F487">
        <f>(F$10-SUM(F$20:F486))/(ABS(F$11)+F$10-SUM(F485:F486))</f>
        <v>2.0652633044047165E-2</v>
      </c>
      <c r="H487">
        <f t="shared" si="49"/>
        <v>39.95319345508171</v>
      </c>
      <c r="I487">
        <f t="shared" si="50"/>
        <v>59.68329192243241</v>
      </c>
      <c r="J487">
        <f t="shared" si="51"/>
        <v>78.90058789797007</v>
      </c>
      <c r="K487">
        <f t="shared" si="52"/>
        <v>97.336673351289718</v>
      </c>
    </row>
    <row r="488" spans="2:11">
      <c r="B488">
        <v>469</v>
      </c>
      <c r="C488">
        <f>(C$10-SUM(C$20:C487))/(ABS(C$11)+C$10-SUM(C486:C487))</f>
        <v>6.6867798162748438E-4</v>
      </c>
      <c r="D488">
        <f>(D$10-SUM(D$20:D487))/(ABS(D$11)+D$10-SUM(D486:D487))</f>
        <v>3.5192585226507984E-3</v>
      </c>
      <c r="E488">
        <f>(E$10-SUM(E$20:E487))/(ABS(E$11)+E$10-SUM(E486:E487))</f>
        <v>9.9964974706140408E-3</v>
      </c>
      <c r="F488">
        <f>(F$10-SUM(F$20:F487))/(ABS(F$11)+F$10-SUM(F486:F487))</f>
        <v>2.0493664831675976E-2</v>
      </c>
      <c r="H488">
        <f t="shared" si="49"/>
        <v>39.953862133063339</v>
      </c>
      <c r="I488">
        <f t="shared" si="50"/>
        <v>59.686811180955061</v>
      </c>
      <c r="J488">
        <f t="shared" si="51"/>
        <v>78.910584395440679</v>
      </c>
      <c r="K488">
        <f t="shared" si="52"/>
        <v>97.357167016121394</v>
      </c>
    </row>
    <row r="489" spans="2:11">
      <c r="B489">
        <v>470</v>
      </c>
      <c r="C489">
        <f>(C$10-SUM(C$20:C488))/(ABS(C$11)+C$10-SUM(C487:C488))</f>
        <v>6.5912506870469047E-4</v>
      </c>
      <c r="D489">
        <f>(D$10-SUM(D$20:D488))/(ABS(D$11)+D$10-SUM(D487:D488))</f>
        <v>3.4801494641266352E-3</v>
      </c>
      <c r="E489">
        <f>(E$10-SUM(E$20:E488))/(ABS(E$11)+E$10-SUM(E487:E488))</f>
        <v>9.9055868699834577E-3</v>
      </c>
      <c r="F489">
        <f>(F$10-SUM(F$20:F488))/(ABS(F$11)+F$10-SUM(F487:F488))</f>
        <v>2.0335921013401537E-2</v>
      </c>
      <c r="H489">
        <f t="shared" si="49"/>
        <v>39.954521258132047</v>
      </c>
      <c r="I489">
        <f t="shared" si="50"/>
        <v>59.690291330419186</v>
      </c>
      <c r="J489">
        <f t="shared" si="51"/>
        <v>78.920489982310656</v>
      </c>
      <c r="K489">
        <f t="shared" si="52"/>
        <v>97.377502937134793</v>
      </c>
    </row>
    <row r="490" spans="2:11">
      <c r="B490">
        <v>471</v>
      </c>
      <c r="C490">
        <f>(C$10-SUM(C$20:C489))/(ABS(C$11)+C$10-SUM(C488:C489))</f>
        <v>6.4970863647231868E-4</v>
      </c>
      <c r="D490">
        <f>(D$10-SUM(D$20:D489))/(ABS(D$11)+D$10-SUM(D488:D489))</f>
        <v>3.4414750874336418E-3</v>
      </c>
      <c r="E490">
        <f>(E$10-SUM(E$20:E489))/(ABS(E$11)+E$10-SUM(E488:E489))</f>
        <v>9.8155033333139022E-3</v>
      </c>
      <c r="F490">
        <f>(F$10-SUM(F$20:F489))/(ABS(F$11)+F$10-SUM(F488:F489))</f>
        <v>2.0179392146839756E-2</v>
      </c>
      <c r="H490">
        <f t="shared" si="49"/>
        <v>39.95517096676852</v>
      </c>
      <c r="I490">
        <f t="shared" si="50"/>
        <v>59.69373280550662</v>
      </c>
      <c r="J490">
        <f t="shared" si="51"/>
        <v>78.93030548564397</v>
      </c>
      <c r="K490">
        <f t="shared" si="52"/>
        <v>97.397682329281636</v>
      </c>
    </row>
    <row r="491" spans="2:11">
      <c r="B491">
        <v>472</v>
      </c>
      <c r="C491">
        <f>(C$10-SUM(C$20:C490))/(ABS(C$11)+C$10-SUM(C489:C490))</f>
        <v>6.4042673490823066E-4</v>
      </c>
      <c r="D491">
        <f>(D$10-SUM(D$20:D490))/(ABS(D$11)+D$10-SUM(D489:D490))</f>
        <v>3.4032305597508522E-3</v>
      </c>
      <c r="E491">
        <f>(E$10-SUM(E$20:E490))/(ABS(E$11)+E$10-SUM(E489:E490))</f>
        <v>9.7262393309019406E-3</v>
      </c>
      <c r="F491">
        <f>(F$10-SUM(F$20:F490))/(ABS(F$11)+F$10-SUM(F489:F490))</f>
        <v>2.0024068862608265E-2</v>
      </c>
      <c r="H491">
        <f t="shared" si="49"/>
        <v>39.955811393503431</v>
      </c>
      <c r="I491">
        <f t="shared" si="50"/>
        <v>59.697136036066368</v>
      </c>
      <c r="J491">
        <f t="shared" si="51"/>
        <v>78.940031724974872</v>
      </c>
      <c r="K491">
        <f t="shared" si="52"/>
        <v>97.417706398144247</v>
      </c>
    </row>
    <row r="492" spans="2:11">
      <c r="B492">
        <v>473</v>
      </c>
      <c r="C492">
        <f>(C$10-SUM(C$20:C491))/(ABS(C$11)+C$10-SUM(C490:C491))</f>
        <v>6.3127744185607904E-4</v>
      </c>
      <c r="D492">
        <f>(D$10-SUM(D$20:D491))/(ABS(D$11)+D$10-SUM(D490:D491))</f>
        <v>3.3654111020222999E-3</v>
      </c>
      <c r="E492">
        <f>(E$10-SUM(E$20:E491))/(ABS(E$11)+E$10-SUM(E490:E491))</f>
        <v>9.6377874016944001E-3</v>
      </c>
      <c r="F492">
        <f>(F$10-SUM(F$20:F491))/(ABS(F$11)+F$10-SUM(F490:F491))</f>
        <v>1.9869941863759479E-2</v>
      </c>
      <c r="H492">
        <f t="shared" si="49"/>
        <v>39.956442670945286</v>
      </c>
      <c r="I492">
        <f t="shared" si="50"/>
        <v>59.700501447168392</v>
      </c>
      <c r="J492">
        <f t="shared" si="51"/>
        <v>78.949669512376573</v>
      </c>
      <c r="K492">
        <f t="shared" si="52"/>
        <v>97.437576340008007</v>
      </c>
    </row>
    <row r="493" spans="2:11">
      <c r="B493">
        <v>474</v>
      </c>
      <c r="C493">
        <f>(C$10-SUM(C$20:C492))/(ABS(C$11)+C$10-SUM(C491:C492))</f>
        <v>6.2225886262726594E-4</v>
      </c>
      <c r="D493">
        <f>(D$10-SUM(D$20:D492))/(ABS(D$11)+D$10-SUM(D491:D492))</f>
        <v>3.3280119883578128E-3</v>
      </c>
      <c r="E493">
        <f>(E$10-SUM(E$20:E492))/(ABS(E$11)+E$10-SUM(E491:E492))</f>
        <v>9.5501401526603899E-3</v>
      </c>
      <c r="F493">
        <f>(F$10-SUM(F$20:F492))/(ABS(F$11)+F$10-SUM(F491:F492))</f>
        <v>1.9717001925217605E-2</v>
      </c>
      <c r="H493">
        <f t="shared" si="49"/>
        <v>39.957064929807913</v>
      </c>
      <c r="I493">
        <f t="shared" si="50"/>
        <v>59.703829459156751</v>
      </c>
      <c r="J493">
        <f t="shared" si="51"/>
        <v>78.959219652529228</v>
      </c>
      <c r="K493">
        <f t="shared" si="52"/>
        <v>97.457293341933223</v>
      </c>
    </row>
    <row r="494" spans="2:11">
      <c r="B494">
        <v>475</v>
      </c>
      <c r="C494">
        <f>(C$10-SUM(C$20:C493))/(ABS(C$11)+C$10-SUM(C492:C493))</f>
        <v>6.1336912960798244E-4</v>
      </c>
      <c r="D494">
        <f>(D$10-SUM(D$20:D493))/(ABS(D$11)+D$10-SUM(D492:D493))</f>
        <v>3.2910285454411832E-3</v>
      </c>
      <c r="E494">
        <f>(E$10-SUM(E$20:E493))/(ABS(E$11)+E$10-SUM(E492:E493))</f>
        <v>9.4632902581697417E-3</v>
      </c>
      <c r="F494">
        <f>(F$10-SUM(F$20:F493))/(ABS(F$11)+F$10-SUM(F492:F493))</f>
        <v>1.9565239893220367E-2</v>
      </c>
      <c r="H494">
        <f t="shared" si="49"/>
        <v>39.957678298937523</v>
      </c>
      <c r="I494">
        <f t="shared" si="50"/>
        <v>59.707120487702191</v>
      </c>
      <c r="J494">
        <f t="shared" si="51"/>
        <v>78.968682942787396</v>
      </c>
      <c r="K494">
        <f t="shared" si="52"/>
        <v>97.476858581826448</v>
      </c>
    </row>
    <row r="495" spans="2:11">
      <c r="B495">
        <v>476</v>
      </c>
      <c r="C495">
        <f>(C$10-SUM(C$20:C494))/(ABS(C$11)+C$10-SUM(C493:C494))</f>
        <v>6.0460640187244606E-4</v>
      </c>
      <c r="D495">
        <f>(D$10-SUM(D$20:D494))/(ABS(D$11)+D$10-SUM(D493:D494))</f>
        <v>3.2544561519443765E-3</v>
      </c>
      <c r="E495">
        <f>(E$10-SUM(E$20:E494))/(ABS(E$11)+E$10-SUM(E493:E494))</f>
        <v>9.3772304593762699E-3</v>
      </c>
      <c r="F495">
        <f>(F$10-SUM(F$20:F494))/(ABS(F$11)+F$10-SUM(F493:F494))</f>
        <v>1.9414646684764936E-2</v>
      </c>
      <c r="H495">
        <f t="shared" si="49"/>
        <v>39.958282905339395</v>
      </c>
      <c r="I495">
        <f t="shared" si="50"/>
        <v>59.710374943854134</v>
      </c>
      <c r="J495">
        <f t="shared" si="51"/>
        <v>78.978060173246774</v>
      </c>
      <c r="K495">
        <f t="shared" si="52"/>
        <v>97.496273228511214</v>
      </c>
    </row>
    <row r="496" spans="2:11">
      <c r="B496">
        <v>477</v>
      </c>
      <c r="C496">
        <f>(C$10-SUM(C$20:C495))/(ABS(C$11)+C$10-SUM(C494:C495))</f>
        <v>5.9596886480142524E-4</v>
      </c>
      <c r="D496">
        <f>(D$10-SUM(D$20:D495))/(ABS(D$11)+D$10-SUM(D494:D495))</f>
        <v>3.2182902379485553E-3</v>
      </c>
      <c r="E496">
        <f>(E$10-SUM(E$20:E495))/(ABS(E$11)+E$10-SUM(E494:E495))</f>
        <v>9.2919535636077025E-3</v>
      </c>
      <c r="F496">
        <f>(F$10-SUM(F$20:F495))/(ABS(F$11)+F$10-SUM(F494:F495))</f>
        <v>1.9265213287058585E-2</v>
      </c>
      <c r="H496">
        <f t="shared" si="49"/>
        <v>39.958878874204196</v>
      </c>
      <c r="I496">
        <f t="shared" si="50"/>
        <v>59.71359323409208</v>
      </c>
      <c r="J496">
        <f t="shared" si="51"/>
        <v>78.987352126810379</v>
      </c>
      <c r="K496">
        <f t="shared" si="52"/>
        <v>97.51553844179827</v>
      </c>
    </row>
    <row r="497" spans="2:11">
      <c r="B497">
        <v>478</v>
      </c>
      <c r="C497">
        <f>(C$10-SUM(C$20:C496))/(ABS(C$11)+C$10-SUM(C495:C496))</f>
        <v>5.8745472970604543E-4</v>
      </c>
      <c r="D497">
        <f>(D$10-SUM(D$20:D496))/(ABS(D$11)+D$10-SUM(D495:D496))</f>
        <v>3.1825262843715287E-3</v>
      </c>
      <c r="E497">
        <f>(E$10-SUM(E$20:E496))/(ABS(E$11)+E$10-SUM(E495:E496))</f>
        <v>9.207452443760698E-3</v>
      </c>
      <c r="F497">
        <f>(F$10-SUM(F$20:F496))/(ABS(F$11)+F$10-SUM(F495:F496))</f>
        <v>1.9116930756973082E-2</v>
      </c>
      <c r="H497">
        <f t="shared" si="49"/>
        <v>39.9594663289339</v>
      </c>
      <c r="I497">
        <f t="shared" si="50"/>
        <v>59.71677576037645</v>
      </c>
      <c r="J497">
        <f t="shared" si="51"/>
        <v>78.996559579254139</v>
      </c>
      <c r="K497">
        <f t="shared" si="52"/>
        <v>97.53465537255525</v>
      </c>
    </row>
    <row r="498" spans="2:11">
      <c r="B498">
        <v>479</v>
      </c>
      <c r="C498">
        <f>(C$10-SUM(C$20:C497))/(ABS(C$11)+C$10-SUM(C496:C497))</f>
        <v>5.7906223345728799E-4</v>
      </c>
      <c r="D498">
        <f>(D$10-SUM(D$20:D497))/(ABS(D$11)+D$10-SUM(D496:D497))</f>
        <v>3.1471598224015514E-3</v>
      </c>
      <c r="E498">
        <f>(E$10-SUM(E$20:E497))/(ABS(E$11)+E$10-SUM(E496:E497))</f>
        <v>9.1237200377012329E-3</v>
      </c>
      <c r="F498">
        <f>(F$10-SUM(F$20:F497))/(ABS(F$11)+F$10-SUM(F496:F497))</f>
        <v>1.8969790220503682E-2</v>
      </c>
      <c r="H498">
        <f t="shared" si="49"/>
        <v>39.960045391167355</v>
      </c>
      <c r="I498">
        <f t="shared" si="50"/>
        <v>59.719922920198854</v>
      </c>
      <c r="J498">
        <f t="shared" si="51"/>
        <v>79.005683299291846</v>
      </c>
      <c r="K498">
        <f t="shared" si="52"/>
        <v>97.553625162775759</v>
      </c>
    </row>
    <row r="499" spans="2:11">
      <c r="B499">
        <v>480</v>
      </c>
      <c r="C499">
        <f>(C$10-SUM(C$20:C498))/(ABS(C$11)+C$10-SUM(C497:C498))</f>
        <v>5.7078963812056901E-4</v>
      </c>
      <c r="D499">
        <f>(D$10-SUM(D$20:D498))/(ABS(D$11)+D$10-SUM(D497:D498))</f>
        <v>3.1121864329374648E-3</v>
      </c>
      <c r="E499">
        <f>(E$10-SUM(E$20:E498))/(ABS(E$11)+E$10-SUM(E497:E498))</f>
        <v>9.0407493476709812E-3</v>
      </c>
      <c r="F499">
        <f>(F$10-SUM(F$20:F498))/(ABS(F$11)+F$10-SUM(F497:F498))</f>
        <v>1.8823782872232585E-2</v>
      </c>
      <c r="H499">
        <f t="shared" si="49"/>
        <v>39.960616180805474</v>
      </c>
      <c r="I499">
        <f t="shared" si="50"/>
        <v>59.723035106631791</v>
      </c>
      <c r="J499">
        <f t="shared" si="51"/>
        <v>79.014724048639522</v>
      </c>
      <c r="K499">
        <f t="shared" si="52"/>
        <v>97.572448945647992</v>
      </c>
    </row>
    <row r="500" spans="2:11">
      <c r="B500">
        <v>481</v>
      </c>
      <c r="C500">
        <f>(C$10-SUM(C$20:C499))/(ABS(C$11)+C$10-SUM(C498:C499))</f>
        <v>5.6263523059570423E-4</v>
      </c>
      <c r="D500">
        <f>(D$10-SUM(D$20:D499))/(ABS(D$11)+D$10-SUM(D498:D499))</f>
        <v>3.0776017460352628E-3</v>
      </c>
      <c r="E500">
        <f>(E$10-SUM(E$20:E499))/(ABS(E$11)+E$10-SUM(E498:E499))</f>
        <v>8.9585334396989208E-3</v>
      </c>
      <c r="F500">
        <f>(F$10-SUM(F$20:F499))/(ABS(F$11)+F$10-SUM(F498:F499))</f>
        <v>1.8678899974796135E-2</v>
      </c>
      <c r="H500">
        <f t="shared" si="49"/>
        <v>39.961178816036067</v>
      </c>
      <c r="I500">
        <f t="shared" si="50"/>
        <v>59.726112708377826</v>
      </c>
      <c r="J500">
        <f t="shared" si="51"/>
        <v>79.023682582079218</v>
      </c>
      <c r="K500">
        <f t="shared" si="52"/>
        <v>97.591127845622793</v>
      </c>
    </row>
    <row r="501" spans="2:11">
      <c r="B501">
        <v>482</v>
      </c>
      <c r="C501">
        <f>(C$10-SUM(C$20:C500))/(ABS(C$11)+C$10-SUM(C499:C500))</f>
        <v>5.5459732226185283E-4</v>
      </c>
      <c r="D501">
        <f>(D$10-SUM(D$20:D500))/(ABS(D$11)+D$10-SUM(D499:D500))</f>
        <v>3.0434014403603682E-3</v>
      </c>
      <c r="E501">
        <f>(E$10-SUM(E$20:E500))/(ABS(E$11)+E$10-SUM(E499:E500))</f>
        <v>8.8770654430183026E-3</v>
      </c>
      <c r="F501">
        <f>(F$10-SUM(F$20:F500))/(ABS(F$11)+F$10-SUM(F499:F500))</f>
        <v>1.8535132858356316E-2</v>
      </c>
      <c r="H501">
        <f t="shared" si="49"/>
        <v>39.961733413358331</v>
      </c>
      <c r="I501">
        <f t="shared" si="50"/>
        <v>59.729156109818184</v>
      </c>
      <c r="J501">
        <f t="shared" si="51"/>
        <v>79.032559647522234</v>
      </c>
      <c r="K501">
        <f t="shared" si="52"/>
        <v>97.609662978481154</v>
      </c>
    </row>
    <row r="502" spans="2:11">
      <c r="B502">
        <v>483</v>
      </c>
      <c r="C502">
        <f>(C$10-SUM(C$20:C501))/(ABS(C$11)+C$10-SUM(C500:C501))</f>
        <v>5.4667424862764411E-4</v>
      </c>
      <c r="D502">
        <f>(D$10-SUM(D$20:D501))/(ABS(D$11)+D$10-SUM(D500:D501))</f>
        <v>3.009581242646572E-3</v>
      </c>
      <c r="E502">
        <f>(E$10-SUM(E$20:E501))/(ABS(E$11)+E$10-SUM(E500:E501))</f>
        <v>8.7963385494888285E-3</v>
      </c>
      <c r="F502">
        <f>(F$10-SUM(F$20:F501))/(ABS(F$11)+F$10-SUM(F500:F501))</f>
        <v>1.8392472920076744E-2</v>
      </c>
      <c r="H502">
        <f t="shared" si="49"/>
        <v>39.962280087606956</v>
      </c>
      <c r="I502">
        <f t="shared" si="50"/>
        <v>59.732165691060828</v>
      </c>
      <c r="J502">
        <f t="shared" si="51"/>
        <v>79.041355986071721</v>
      </c>
      <c r="K502">
        <f t="shared" si="52"/>
        <v>97.628055451401224</v>
      </c>
    </row>
    <row r="503" spans="2:11">
      <c r="B503">
        <v>484</v>
      </c>
      <c r="C503">
        <f>(C$10-SUM(C$20:C502))/(ABS(C$11)+C$10-SUM(C501:C502))</f>
        <v>5.3886436898648526E-4</v>
      </c>
      <c r="D503">
        <f>(D$10-SUM(D$20:D502))/(ABS(D$11)+D$10-SUM(D501:D502))</f>
        <v>2.9761369271606008E-3</v>
      </c>
      <c r="E503">
        <f>(E$10-SUM(E$20:E502))/(ABS(E$11)+E$10-SUM(E501:E502))</f>
        <v>8.7163460130245934E-3</v>
      </c>
      <c r="F503">
        <f>(F$10-SUM(F$20:F502))/(ABS(F$11)+F$10-SUM(F501:F502))</f>
        <v>1.8250911623602383E-2</v>
      </c>
      <c r="H503">
        <f t="shared" si="49"/>
        <v>39.96281895197594</v>
      </c>
      <c r="I503">
        <f t="shared" si="50"/>
        <v>59.735141827987988</v>
      </c>
      <c r="J503">
        <f t="shared" si="51"/>
        <v>79.050072332084753</v>
      </c>
      <c r="K503">
        <f t="shared" si="52"/>
        <v>97.64630636302482</v>
      </c>
    </row>
    <row r="504" spans="2:11">
      <c r="B504">
        <v>485</v>
      </c>
      <c r="C504">
        <f>(C$10-SUM(C$20:C503))/(ABS(C$11)+C$10-SUM(C502:C503))</f>
        <v>5.3116606607624063E-4</v>
      </c>
      <c r="D504">
        <f>(D$10-SUM(D$20:D503))/(ABS(D$11)+D$10-SUM(D502:D503))</f>
        <v>2.9430643151728696E-3</v>
      </c>
      <c r="E504">
        <f>(E$10-SUM(E$20:E503))/(ABS(E$11)+E$10-SUM(E502:E503))</f>
        <v>8.6370811490268286E-3</v>
      </c>
      <c r="F504">
        <f>(F$10-SUM(F$20:F503))/(ABS(F$11)+F$10-SUM(F502:F503))</f>
        <v>1.8110440498543257E-2</v>
      </c>
      <c r="H504">
        <f t="shared" si="49"/>
        <v>39.963350118042015</v>
      </c>
      <c r="I504">
        <f t="shared" si="50"/>
        <v>59.738084892303164</v>
      </c>
      <c r="J504">
        <f t="shared" si="51"/>
        <v>79.058709413233785</v>
      </c>
      <c r="K504">
        <f t="shared" si="52"/>
        <v>97.664416803523366</v>
      </c>
    </row>
    <row r="505" spans="2:11">
      <c r="B505">
        <v>486</v>
      </c>
      <c r="C505">
        <f>(C$10-SUM(C$20:C504))/(ABS(C$11)+C$10-SUM(C503:C504))</f>
        <v>5.2357774574439484E-4</v>
      </c>
      <c r="D505">
        <f>(D$10-SUM(D$20:D504))/(ABS(D$11)+D$10-SUM(D503:D504))</f>
        <v>2.9103592744341039E-3</v>
      </c>
      <c r="E505">
        <f>(E$10-SUM(E$20:E504))/(ABS(E$11)+E$10-SUM(E503:E504))</f>
        <v>8.5585373338222803E-3</v>
      </c>
      <c r="F505">
        <f>(F$10-SUM(F$20:F504))/(ABS(F$11)+F$10-SUM(F503:F504))</f>
        <v>1.7971051139962609E-2</v>
      </c>
      <c r="H505">
        <f t="shared" si="49"/>
        <v>39.963873695787761</v>
      </c>
      <c r="I505">
        <f t="shared" si="50"/>
        <v>59.740995251577594</v>
      </c>
      <c r="J505">
        <f t="shared" si="51"/>
        <v>79.067267950567611</v>
      </c>
      <c r="K505">
        <f t="shared" si="52"/>
        <v>97.682387854663332</v>
      </c>
    </row>
    <row r="506" spans="2:11">
      <c r="B506">
        <v>487</v>
      </c>
      <c r="C506">
        <f>(C$10-SUM(C$20:C505))/(ABS(C$11)+C$10-SUM(C504:C505))</f>
        <v>5.1609783661769003E-4</v>
      </c>
      <c r="D506">
        <f>(D$10-SUM(D$20:D505))/(ABS(D$11)+D$10-SUM(D504:D505))</f>
        <v>2.8780177186579063E-3</v>
      </c>
      <c r="E506">
        <f>(E$10-SUM(E$20:E505))/(ABS(E$11)+E$10-SUM(E504:E505))</f>
        <v>8.4807080041062865E-3</v>
      </c>
      <c r="F506">
        <f>(F$10-SUM(F$20:F505))/(ABS(F$11)+F$10-SUM(F504:F505))</f>
        <v>1.7832735207868936E-2</v>
      </c>
      <c r="H506">
        <f t="shared" si="49"/>
        <v>39.964389793624377</v>
      </c>
      <c r="I506">
        <f t="shared" si="50"/>
        <v>59.743873269296252</v>
      </c>
      <c r="J506">
        <f t="shared" si="51"/>
        <v>79.075748658571712</v>
      </c>
      <c r="K506">
        <f t="shared" si="52"/>
        <v>97.700220589871208</v>
      </c>
    </row>
    <row r="507" spans="2:11">
      <c r="B507">
        <v>488</v>
      </c>
      <c r="C507">
        <f>(C$10-SUM(C$20:C506))/(ABS(C$11)+C$10-SUM(C505:C506))</f>
        <v>5.0872478977663689E-4</v>
      </c>
      <c r="D507">
        <f>(D$10-SUM(D$20:D506))/(ABS(D$11)+D$10-SUM(D505:D506))</f>
        <v>2.8460356070086376E-3</v>
      </c>
      <c r="E507">
        <f>(E$10-SUM(E$20:E506))/(ABS(E$11)+E$10-SUM(E505:E506))</f>
        <v>8.4035866563913191E-3</v>
      </c>
      <c r="F507">
        <f>(F$10-SUM(F$20:F506))/(ABS(F$11)+F$10-SUM(F505:F506))</f>
        <v>1.769548442671175E-2</v>
      </c>
      <c r="H507">
        <f t="shared" ref="H507:H519" si="53">H506+C507</f>
        <v>39.964898518414152</v>
      </c>
      <c r="I507">
        <f t="shared" ref="I507:I519" si="54">I506+D507</f>
        <v>59.746719304903259</v>
      </c>
      <c r="J507">
        <f t="shared" ref="J507:J519" si="55">J506+E507</f>
        <v>79.084152245228097</v>
      </c>
      <c r="K507">
        <f t="shared" ref="K507:K519" si="56">K506+F507</f>
        <v>97.717916074297918</v>
      </c>
    </row>
    <row r="508" spans="2:11">
      <c r="B508">
        <v>489</v>
      </c>
      <c r="C508">
        <f>(C$10-SUM(C$20:C507))/(ABS(C$11)+C$10-SUM(C506:C507))</f>
        <v>5.0145707843439772E-4</v>
      </c>
      <c r="D508">
        <f>(D$10-SUM(D$20:D507))/(ABS(D$11)+D$10-SUM(D506:D507))</f>
        <v>2.8144089435957176E-3</v>
      </c>
      <c r="E508">
        <f>(E$10-SUM(E$20:E507))/(ABS(E$11)+E$10-SUM(E506:E507))</f>
        <v>8.3271668464602357E-3</v>
      </c>
      <c r="F508">
        <f>(F$10-SUM(F$20:F507))/(ABS(F$11)+F$10-SUM(F506:F507))</f>
        <v>1.755929058488161E-2</v>
      </c>
      <c r="H508">
        <f t="shared" si="53"/>
        <v>39.965399975492588</v>
      </c>
      <c r="I508">
        <f t="shared" si="54"/>
        <v>59.749533713846851</v>
      </c>
      <c r="J508">
        <f t="shared" si="55"/>
        <v>79.092479412074553</v>
      </c>
      <c r="K508">
        <f t="shared" si="56"/>
        <v>97.735475364882802</v>
      </c>
    </row>
    <row r="509" spans="2:11">
      <c r="B509">
        <v>490</v>
      </c>
      <c r="C509">
        <f>(C$10-SUM(C$20:C508))/(ABS(C$11)+C$10-SUM(C507:C508))</f>
        <v>4.9429319762054431E-4</v>
      </c>
      <c r="D509">
        <f>(D$10-SUM(D$20:D508))/(ABS(D$11)+D$10-SUM(D507:D508))</f>
        <v>2.7831337769730004E-3</v>
      </c>
      <c r="E509">
        <f>(E$10-SUM(E$20:E508))/(ABS(E$11)+E$10-SUM(E507:E508))</f>
        <v>8.2514421888250106E-3</v>
      </c>
      <c r="F509">
        <f>(F$10-SUM(F$20:F508))/(ABS(F$11)+F$10-SUM(F507:F508))</f>
        <v>1.7424145534213658E-2</v>
      </c>
      <c r="H509">
        <f t="shared" si="53"/>
        <v>39.965894268690207</v>
      </c>
      <c r="I509">
        <f t="shared" si="54"/>
        <v>59.752316847623824</v>
      </c>
      <c r="J509">
        <f t="shared" si="55"/>
        <v>79.100730854263375</v>
      </c>
      <c r="K509">
        <f t="shared" si="56"/>
        <v>97.752899510417009</v>
      </c>
    </row>
    <row r="510" spans="2:11">
      <c r="B510">
        <v>491</v>
      </c>
      <c r="C510">
        <f>(C$10-SUM(C$20:C509))/(ABS(C$11)+C$10-SUM(C508:C509))</f>
        <v>4.8723166386938923E-4</v>
      </c>
      <c r="D510">
        <f>(D$10-SUM(D$20:D509))/(ABS(D$11)+D$10-SUM(D508:D509))</f>
        <v>2.7522061996439369E-3</v>
      </c>
      <c r="E510">
        <f>(E$10-SUM(E$20:E509))/(ABS(E$11)+E$10-SUM(E508:E509))</f>
        <v>8.1764063561901613E-3</v>
      </c>
      <c r="F510">
        <f>(F$10-SUM(F$20:F509))/(ABS(F$11)+F$10-SUM(F508:F509))</f>
        <v>1.7290041189495692E-2</v>
      </c>
      <c r="H510">
        <f t="shared" si="53"/>
        <v>39.966381500354075</v>
      </c>
      <c r="I510">
        <f t="shared" si="54"/>
        <v>59.755069053823469</v>
      </c>
      <c r="J510">
        <f t="shared" si="55"/>
        <v>79.10890726061956</v>
      </c>
      <c r="K510">
        <f t="shared" si="56"/>
        <v>97.770189551606506</v>
      </c>
    </row>
    <row r="511" spans="2:11">
      <c r="B511">
        <v>492</v>
      </c>
      <c r="C511">
        <f>(C$10-SUM(C$20:C510))/(ABS(C$11)+C$10-SUM(C509:C510))</f>
        <v>4.8027101491238019E-4</v>
      </c>
      <c r="D511">
        <f>(D$10-SUM(D$20:D510))/(ABS(D$11)+D$10-SUM(D509:D510))</f>
        <v>2.721622347572364E-3</v>
      </c>
      <c r="E511">
        <f>(E$10-SUM(E$20:E510))/(ABS(E$11)+E$10-SUM(E509:E510))</f>
        <v>8.1020530789211297E-3</v>
      </c>
      <c r="F511">
        <f>(F$10-SUM(F$20:F510))/(ABS(F$11)+F$10-SUM(F509:F510))</f>
        <v>1.7156969527979238E-2</v>
      </c>
      <c r="H511">
        <f t="shared" si="53"/>
        <v>39.96686177136899</v>
      </c>
      <c r="I511">
        <f t="shared" si="54"/>
        <v>59.757790676171041</v>
      </c>
      <c r="J511">
        <f t="shared" si="55"/>
        <v>79.117009313698475</v>
      </c>
      <c r="K511">
        <f t="shared" si="56"/>
        <v>97.787346521134481</v>
      </c>
    </row>
    <row r="512" spans="2:11">
      <c r="B512">
        <v>493</v>
      </c>
      <c r="C512">
        <f>(C$10-SUM(C$20:C511))/(ABS(C$11)+C$10-SUM(C510:C511))</f>
        <v>4.7340980937527095E-4</v>
      </c>
      <c r="D512">
        <f>(D$10-SUM(D$20:D511))/(ABS(D$11)+D$10-SUM(D510:D511))</f>
        <v>2.6913783996986079E-3</v>
      </c>
      <c r="E512">
        <f>(E$10-SUM(E$20:E511))/(ABS(E$11)+E$10-SUM(E510:E511))</f>
        <v>8.0283761445174885E-3</v>
      </c>
      <c r="F512">
        <f>(F$10-SUM(F$20:F511))/(ABS(F$11)+F$10-SUM(F510:F511))</f>
        <v>1.7024922588895409E-2</v>
      </c>
      <c r="H512">
        <f t="shared" si="53"/>
        <v>39.967335181178363</v>
      </c>
      <c r="I512">
        <f t="shared" si="54"/>
        <v>59.760482054570737</v>
      </c>
      <c r="J512">
        <f t="shared" si="55"/>
        <v>79.125037689842998</v>
      </c>
      <c r="K512">
        <f t="shared" si="56"/>
        <v>97.804371443723383</v>
      </c>
    </row>
    <row r="513" spans="2:11">
      <c r="B513">
        <v>494</v>
      </c>
      <c r="C513">
        <f>(C$10-SUM(C$20:C512))/(ABS(C$11)+C$10-SUM(C511:C512))</f>
        <v>4.6664662647965903E-4</v>
      </c>
      <c r="D513">
        <f>(D$10-SUM(D$20:D512))/(ABS(D$11)+D$10-SUM(D511:D512))</f>
        <v>2.6614705774609744E-3</v>
      </c>
      <c r="E513">
        <f>(E$10-SUM(E$20:E512))/(ABS(E$11)+E$10-SUM(E511:E512))</f>
        <v>7.9553693970909854E-3</v>
      </c>
      <c r="F513">
        <f>(F$10-SUM(F$20:F512))/(ABS(F$11)+F$10-SUM(F511:F512))</f>
        <v>1.6893892472973553E-2</v>
      </c>
      <c r="H513">
        <f t="shared" si="53"/>
        <v>39.967801827804841</v>
      </c>
      <c r="I513">
        <f t="shared" si="54"/>
        <v>59.763143525148195</v>
      </c>
      <c r="J513">
        <f t="shared" si="55"/>
        <v>79.132993059240093</v>
      </c>
      <c r="K513">
        <f t="shared" si="56"/>
        <v>97.821265336196362</v>
      </c>
    </row>
    <row r="514" spans="2:11">
      <c r="B514">
        <v>495</v>
      </c>
      <c r="C514">
        <f>(C$10-SUM(C$20:C513))/(ABS(C$11)+C$10-SUM(C512:C513))</f>
        <v>4.5998006574828455E-4</v>
      </c>
      <c r="D514">
        <f>(D$10-SUM(D$20:D513))/(ABS(D$11)+D$10-SUM(D512:D513))</f>
        <v>2.6318951443226293E-3</v>
      </c>
      <c r="E514">
        <f>(E$10-SUM(E$20:E513))/(ABS(E$11)+E$10-SUM(E512:E513))</f>
        <v>7.8830267368487882E-3</v>
      </c>
      <c r="F514">
        <f>(F$10-SUM(F$20:F513))/(ABS(F$11)+F$10-SUM(F512:F513))</f>
        <v>1.6763871341964671E-2</v>
      </c>
      <c r="H514">
        <f t="shared" si="53"/>
        <v>39.96826180787059</v>
      </c>
      <c r="I514">
        <f t="shared" si="54"/>
        <v>59.76577542029252</v>
      </c>
      <c r="J514">
        <f t="shared" si="55"/>
        <v>79.140876085976942</v>
      </c>
      <c r="K514">
        <f t="shared" si="56"/>
        <v>97.838029207538327</v>
      </c>
    </row>
    <row r="515" spans="2:11">
      <c r="B515">
        <v>496</v>
      </c>
      <c r="C515">
        <f>(C$10-SUM(C$20:C514))/(ABS(C$11)+C$10-SUM(C513:C514))</f>
        <v>4.5340874671510254E-4</v>
      </c>
      <c r="D515">
        <f>(D$10-SUM(D$20:D514))/(ABS(D$11)+D$10-SUM(D513:D514))</f>
        <v>2.6026484053037115E-3</v>
      </c>
      <c r="E515">
        <f>(E$10-SUM(E$20:E514))/(ABS(E$11)+E$10-SUM(E513:E514))</f>
        <v>7.8113421195807825E-3</v>
      </c>
      <c r="F515">
        <f>(F$10-SUM(F$20:F514))/(ABS(F$11)+F$10-SUM(F513:F514))</f>
        <v>1.6634851418167715E-2</v>
      </c>
      <c r="H515">
        <f t="shared" si="53"/>
        <v>39.968715216617305</v>
      </c>
      <c r="I515">
        <f t="shared" si="54"/>
        <v>59.768378068697821</v>
      </c>
      <c r="J515">
        <f>J514+E515</f>
        <v>79.148687428096522</v>
      </c>
      <c r="K515">
        <f t="shared" si="56"/>
        <v>97.854664058956487</v>
      </c>
    </row>
    <row r="516" spans="2:11">
      <c r="B516">
        <v>497</v>
      </c>
      <c r="C516">
        <f>(C$10-SUM(C$20:C515))/(ABS(C$11)+C$10-SUM(C514:C515))</f>
        <v>4.4693130863931823E-4</v>
      </c>
      <c r="D516">
        <f>(D$10-SUM(D$20:D515))/(ABS(D$11)+D$10-SUM(D514:D515))</f>
        <v>2.5737267065189902E-3</v>
      </c>
      <c r="E516">
        <f>(E$10-SUM(E$20:E515))/(ABS(E$11)+E$10-SUM(E514:E515))</f>
        <v>7.7403095561519517E-3</v>
      </c>
      <c r="F516">
        <f>(F$10-SUM(F$20:F515))/(ABS(F$11)+F$10-SUM(F514:F515))</f>
        <v>1.6506824983960014E-2</v>
      </c>
      <c r="H516">
        <f t="shared" si="53"/>
        <v>39.969162147925942</v>
      </c>
      <c r="I516">
        <f t="shared" si="54"/>
        <v>59.770951795404343</v>
      </c>
      <c r="J516">
        <f t="shared" si="55"/>
        <v>79.156427737652677</v>
      </c>
      <c r="K516">
        <f t="shared" si="56"/>
        <v>97.871170883940451</v>
      </c>
    </row>
    <row r="517" spans="2:11">
      <c r="B517">
        <v>498</v>
      </c>
      <c r="C517">
        <f>(C$10-SUM(C$20:C516))/(ABS(C$11)+C$10-SUM(C515:C516))</f>
        <v>4.4054641022338433E-4</v>
      </c>
      <c r="D517">
        <f>(D$10-SUM(D$20:D516))/(ABS(D$11)+D$10-SUM(D515:D516))</f>
        <v>2.5451264347198851E-3</v>
      </c>
      <c r="E517">
        <f>(E$10-SUM(E$20:E516))/(ABS(E$11)+E$10-SUM(E515:E516))</f>
        <v>7.6699231119994543E-3</v>
      </c>
      <c r="F517">
        <f>(F$10-SUM(F$20:F516))/(ABS(F$11)+F$10-SUM(F515:F516))</f>
        <v>1.6379784381331169E-2</v>
      </c>
      <c r="H517">
        <f t="shared" si="53"/>
        <v>39.969602694336167</v>
      </c>
      <c r="I517">
        <f t="shared" si="54"/>
        <v>59.773496921839062</v>
      </c>
      <c r="J517">
        <f t="shared" si="55"/>
        <v>79.164097660764682</v>
      </c>
      <c r="K517">
        <f t="shared" si="56"/>
        <v>97.887550668321779</v>
      </c>
    </row>
    <row r="518" spans="2:11">
      <c r="B518">
        <v>499</v>
      </c>
      <c r="C518">
        <f>(C$10-SUM(C$20:C517))/(ABS(C$11)+C$10-SUM(C516:C517))</f>
        <v>4.3425272933506195E-4</v>
      </c>
      <c r="D518">
        <f>(D$10-SUM(D$20:D517))/(ABS(D$11)+D$10-SUM(D516:D517))</f>
        <v>2.5168440168426656E-3</v>
      </c>
      <c r="E518">
        <f>(E$10-SUM(E$20:E517))/(ABS(E$11)+E$10-SUM(E516:E517))</f>
        <v>7.6001769066342574E-3</v>
      </c>
      <c r="F518">
        <f>(F$10-SUM(F$20:F517))/(ABS(F$11)+F$10-SUM(F516:F517))</f>
        <v>1.6253722011421091E-2</v>
      </c>
      <c r="H518">
        <f t="shared" si="53"/>
        <v>39.970036947065502</v>
      </c>
      <c r="I518">
        <f t="shared" si="54"/>
        <v>59.776013765855907</v>
      </c>
      <c r="J518">
        <f t="shared" si="55"/>
        <v>79.171697837671317</v>
      </c>
      <c r="K518">
        <f t="shared" si="56"/>
        <v>97.903804390333207</v>
      </c>
    </row>
    <row r="519" spans="2:11">
      <c r="B519">
        <v>500</v>
      </c>
      <c r="C519">
        <f>(C$10-SUM(C$20:C518))/(ABS(C$11)+C$10-SUM(C517:C518))</f>
        <v>4.2804896273374807E-4</v>
      </c>
      <c r="D519">
        <f>(D$10-SUM(D$20:D518))/(ABS(D$11)+D$10-SUM(D517:D518))</f>
        <v>2.488875919560611E-3</v>
      </c>
      <c r="E519">
        <f>(E$10-SUM(E$20:E518))/(ABS(E$11)+E$10-SUM(E517:E518))</f>
        <v>7.5310651131473404E-3</v>
      </c>
      <c r="F519">
        <f>(F$10-SUM(F$20:F518))/(ABS(F$11)+F$10-SUM(F517:F518))</f>
        <v>1.6128630334060819E-2</v>
      </c>
      <c r="H519">
        <f t="shared" si="53"/>
        <v>39.970464996028234</v>
      </c>
      <c r="I519">
        <f t="shared" si="54"/>
        <v>59.778502641775468</v>
      </c>
      <c r="J519">
        <f t="shared" si="55"/>
        <v>79.179228902784459</v>
      </c>
      <c r="K519">
        <f t="shared" si="56"/>
        <v>97.919933020667273</v>
      </c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3"/>
  <dimension ref="C1:K70"/>
  <sheetViews>
    <sheetView topLeftCell="P1" workbookViewId="0">
      <selection activeCell="AE18" sqref="AE18"/>
    </sheetView>
  </sheetViews>
  <sheetFormatPr defaultRowHeight="13.5"/>
  <sheetData>
    <row r="1" spans="3:4">
      <c r="C1">
        <v>1</v>
      </c>
      <c r="D1">
        <v>60</v>
      </c>
    </row>
    <row r="2" spans="3:4">
      <c r="C2">
        <v>2</v>
      </c>
      <c r="D2">
        <v>71</v>
      </c>
    </row>
    <row r="3" spans="3:4">
      <c r="C3">
        <v>3</v>
      </c>
      <c r="D3">
        <v>88</v>
      </c>
    </row>
    <row r="4" spans="3:4">
      <c r="C4">
        <v>4</v>
      </c>
      <c r="D4">
        <v>111</v>
      </c>
    </row>
    <row r="5" spans="3:4">
      <c r="C5">
        <v>5</v>
      </c>
      <c r="D5">
        <v>140</v>
      </c>
    </row>
    <row r="6" spans="3:4">
      <c r="C6">
        <v>6</v>
      </c>
      <c r="D6">
        <v>175</v>
      </c>
    </row>
    <row r="7" spans="3:4">
      <c r="C7">
        <v>7</v>
      </c>
      <c r="D7">
        <v>216</v>
      </c>
    </row>
    <row r="8" spans="3:4">
      <c r="C8">
        <v>8</v>
      </c>
      <c r="D8">
        <v>263</v>
      </c>
    </row>
    <row r="9" spans="3:4">
      <c r="C9">
        <v>9</v>
      </c>
      <c r="D9">
        <v>316</v>
      </c>
    </row>
    <row r="10" spans="3:4">
      <c r="C10">
        <v>10</v>
      </c>
      <c r="D10">
        <v>375</v>
      </c>
    </row>
    <row r="11" spans="3:4">
      <c r="C11">
        <v>11</v>
      </c>
      <c r="D11">
        <v>440</v>
      </c>
    </row>
    <row r="12" spans="3:4">
      <c r="C12">
        <v>12</v>
      </c>
      <c r="D12">
        <v>511</v>
      </c>
    </row>
    <row r="13" spans="3:4">
      <c r="C13">
        <v>13</v>
      </c>
      <c r="D13">
        <v>588</v>
      </c>
    </row>
    <row r="14" spans="3:4">
      <c r="C14">
        <v>14</v>
      </c>
      <c r="D14">
        <v>671</v>
      </c>
    </row>
    <row r="15" spans="3:4">
      <c r="C15">
        <v>15</v>
      </c>
      <c r="D15">
        <v>760</v>
      </c>
    </row>
    <row r="16" spans="3:4">
      <c r="C16">
        <v>16</v>
      </c>
      <c r="D16">
        <v>855</v>
      </c>
    </row>
    <row r="17" spans="3:11">
      <c r="C17">
        <v>17</v>
      </c>
      <c r="D17">
        <v>956</v>
      </c>
    </row>
    <row r="18" spans="3:11">
      <c r="C18">
        <v>18</v>
      </c>
      <c r="D18">
        <v>1063</v>
      </c>
      <c r="G18" t="s">
        <v>264</v>
      </c>
      <c r="H18" t="s">
        <v>276</v>
      </c>
      <c r="K18" t="s">
        <v>277</v>
      </c>
    </row>
    <row r="19" spans="3:11">
      <c r="C19">
        <v>19</v>
      </c>
      <c r="D19">
        <v>1176</v>
      </c>
      <c r="G19">
        <v>1</v>
      </c>
      <c r="H19">
        <v>1</v>
      </c>
      <c r="K19">
        <f>2.25*64/24</f>
        <v>6</v>
      </c>
    </row>
    <row r="20" spans="3:11">
      <c r="C20">
        <v>20</v>
      </c>
      <c r="D20">
        <v>1295</v>
      </c>
      <c r="G20">
        <v>2</v>
      </c>
      <c r="H20">
        <v>3</v>
      </c>
    </row>
    <row r="21" spans="3:11">
      <c r="C21">
        <v>21</v>
      </c>
      <c r="D21">
        <v>1420</v>
      </c>
      <c r="G21">
        <v>3</v>
      </c>
      <c r="H21">
        <v>5</v>
      </c>
    </row>
    <row r="22" spans="3:11">
      <c r="C22">
        <v>22</v>
      </c>
      <c r="D22">
        <v>1551</v>
      </c>
      <c r="G22">
        <v>4</v>
      </c>
      <c r="H22">
        <v>7</v>
      </c>
    </row>
    <row r="23" spans="3:11">
      <c r="C23">
        <v>23</v>
      </c>
      <c r="D23">
        <v>1688</v>
      </c>
      <c r="G23">
        <v>5</v>
      </c>
      <c r="H23">
        <v>9</v>
      </c>
    </row>
    <row r="24" spans="3:11">
      <c r="C24">
        <v>24</v>
      </c>
      <c r="D24">
        <v>1831</v>
      </c>
      <c r="G24">
        <v>6</v>
      </c>
      <c r="H24">
        <v>12</v>
      </c>
    </row>
    <row r="25" spans="3:11">
      <c r="C25">
        <v>25</v>
      </c>
      <c r="D25">
        <v>1980</v>
      </c>
      <c r="G25">
        <v>7</v>
      </c>
      <c r="H25">
        <v>15</v>
      </c>
    </row>
    <row r="26" spans="3:11">
      <c r="C26">
        <v>26</v>
      </c>
      <c r="D26">
        <v>2135</v>
      </c>
      <c r="G26">
        <v>8</v>
      </c>
      <c r="H26">
        <v>18</v>
      </c>
    </row>
    <row r="27" spans="3:11">
      <c r="C27">
        <v>27</v>
      </c>
      <c r="D27">
        <v>2296</v>
      </c>
      <c r="G27">
        <v>9</v>
      </c>
      <c r="H27">
        <v>21</v>
      </c>
    </row>
    <row r="28" spans="3:11">
      <c r="C28">
        <v>28</v>
      </c>
      <c r="D28">
        <v>2463</v>
      </c>
      <c r="G28">
        <v>10</v>
      </c>
      <c r="H28">
        <v>24</v>
      </c>
    </row>
    <row r="29" spans="3:11">
      <c r="C29">
        <v>29</v>
      </c>
      <c r="D29">
        <v>2636</v>
      </c>
      <c r="G29">
        <v>11</v>
      </c>
      <c r="H29">
        <v>28</v>
      </c>
    </row>
    <row r="30" spans="3:11">
      <c r="C30">
        <v>30</v>
      </c>
      <c r="D30">
        <v>2815</v>
      </c>
      <c r="G30">
        <v>12</v>
      </c>
      <c r="H30">
        <v>32</v>
      </c>
    </row>
    <row r="31" spans="3:11">
      <c r="C31">
        <v>31</v>
      </c>
      <c r="D31">
        <v>3000</v>
      </c>
      <c r="G31">
        <v>13</v>
      </c>
      <c r="H31">
        <v>36</v>
      </c>
    </row>
    <row r="32" spans="3:11">
      <c r="C32">
        <v>32</v>
      </c>
      <c r="D32">
        <v>3191</v>
      </c>
      <c r="G32">
        <v>14</v>
      </c>
      <c r="H32">
        <v>40</v>
      </c>
    </row>
    <row r="33" spans="3:8">
      <c r="C33">
        <v>33</v>
      </c>
      <c r="D33">
        <v>3388</v>
      </c>
      <c r="G33">
        <v>15</v>
      </c>
      <c r="H33">
        <v>44</v>
      </c>
    </row>
    <row r="34" spans="3:8">
      <c r="C34">
        <v>34</v>
      </c>
      <c r="D34">
        <v>3591</v>
      </c>
    </row>
    <row r="35" spans="3:8">
      <c r="C35">
        <v>35</v>
      </c>
      <c r="D35">
        <v>3800</v>
      </c>
    </row>
    <row r="36" spans="3:8">
      <c r="C36">
        <v>36</v>
      </c>
      <c r="D36">
        <v>4015</v>
      </c>
    </row>
    <row r="37" spans="3:8">
      <c r="C37">
        <v>37</v>
      </c>
      <c r="D37">
        <v>4236</v>
      </c>
    </row>
    <row r="38" spans="3:8">
      <c r="C38">
        <v>38</v>
      </c>
      <c r="D38">
        <v>4463</v>
      </c>
    </row>
    <row r="39" spans="3:8">
      <c r="C39">
        <v>39</v>
      </c>
      <c r="D39">
        <v>4696</v>
      </c>
    </row>
    <row r="40" spans="3:8">
      <c r="C40">
        <v>40</v>
      </c>
      <c r="D40">
        <v>4935</v>
      </c>
    </row>
    <row r="41" spans="3:8">
      <c r="C41">
        <v>41</v>
      </c>
      <c r="D41">
        <v>5180</v>
      </c>
    </row>
    <row r="42" spans="3:8">
      <c r="C42">
        <v>42</v>
      </c>
      <c r="D42">
        <v>5431</v>
      </c>
    </row>
    <row r="43" spans="3:8">
      <c r="C43">
        <v>43</v>
      </c>
      <c r="D43">
        <v>5688</v>
      </c>
    </row>
    <row r="44" spans="3:8">
      <c r="C44">
        <v>44</v>
      </c>
      <c r="D44">
        <v>5951</v>
      </c>
    </row>
    <row r="45" spans="3:8">
      <c r="C45">
        <v>45</v>
      </c>
      <c r="D45">
        <v>6220</v>
      </c>
    </row>
    <row r="46" spans="3:8">
      <c r="C46">
        <v>46</v>
      </c>
      <c r="D46">
        <v>6495</v>
      </c>
    </row>
    <row r="47" spans="3:8">
      <c r="C47">
        <v>47</v>
      </c>
      <c r="D47">
        <v>6776</v>
      </c>
    </row>
    <row r="48" spans="3:8">
      <c r="C48">
        <v>48</v>
      </c>
      <c r="D48">
        <v>7063</v>
      </c>
    </row>
    <row r="49" spans="3:4">
      <c r="C49">
        <v>49</v>
      </c>
      <c r="D49">
        <v>7356</v>
      </c>
    </row>
    <row r="50" spans="3:4">
      <c r="C50">
        <v>50</v>
      </c>
      <c r="D50">
        <v>7655</v>
      </c>
    </row>
    <row r="51" spans="3:4">
      <c r="C51">
        <v>51</v>
      </c>
      <c r="D51">
        <v>7960</v>
      </c>
    </row>
    <row r="52" spans="3:4">
      <c r="C52">
        <v>52</v>
      </c>
      <c r="D52">
        <v>8271</v>
      </c>
    </row>
    <row r="53" spans="3:4">
      <c r="C53">
        <v>53</v>
      </c>
      <c r="D53">
        <v>8588</v>
      </c>
    </row>
    <row r="54" spans="3:4">
      <c r="C54">
        <v>54</v>
      </c>
      <c r="D54">
        <v>8911</v>
      </c>
    </row>
    <row r="55" spans="3:4">
      <c r="C55">
        <v>55</v>
      </c>
      <c r="D55">
        <v>9240</v>
      </c>
    </row>
    <row r="56" spans="3:4">
      <c r="C56">
        <v>56</v>
      </c>
      <c r="D56">
        <v>9575</v>
      </c>
    </row>
    <row r="57" spans="3:4">
      <c r="C57">
        <v>57</v>
      </c>
      <c r="D57">
        <v>9916</v>
      </c>
    </row>
    <row r="58" spans="3:4">
      <c r="C58">
        <v>58</v>
      </c>
      <c r="D58">
        <v>10263</v>
      </c>
    </row>
    <row r="59" spans="3:4">
      <c r="C59">
        <v>59</v>
      </c>
      <c r="D59">
        <v>10616</v>
      </c>
    </row>
    <row r="60" spans="3:4">
      <c r="C60">
        <v>60</v>
      </c>
      <c r="D60">
        <v>10975</v>
      </c>
    </row>
    <row r="61" spans="3:4">
      <c r="C61">
        <v>61</v>
      </c>
      <c r="D61">
        <v>11340</v>
      </c>
    </row>
    <row r="62" spans="3:4">
      <c r="C62">
        <v>62</v>
      </c>
      <c r="D62">
        <v>11711</v>
      </c>
    </row>
    <row r="63" spans="3:4">
      <c r="C63">
        <v>63</v>
      </c>
      <c r="D63">
        <v>12088</v>
      </c>
    </row>
    <row r="64" spans="3:4">
      <c r="C64">
        <v>64</v>
      </c>
      <c r="D64">
        <v>12471</v>
      </c>
    </row>
    <row r="65" spans="3:4">
      <c r="C65">
        <v>65</v>
      </c>
      <c r="D65">
        <v>12860</v>
      </c>
    </row>
    <row r="66" spans="3:4">
      <c r="C66">
        <v>66</v>
      </c>
      <c r="D66">
        <v>13255</v>
      </c>
    </row>
    <row r="67" spans="3:4">
      <c r="C67">
        <v>67</v>
      </c>
      <c r="D67">
        <v>13656</v>
      </c>
    </row>
    <row r="68" spans="3:4">
      <c r="C68">
        <v>68</v>
      </c>
      <c r="D68">
        <v>14063</v>
      </c>
    </row>
    <row r="69" spans="3:4">
      <c r="C69">
        <v>69</v>
      </c>
      <c r="D69">
        <v>14476</v>
      </c>
    </row>
    <row r="70" spans="3:4">
      <c r="C70">
        <v>70</v>
      </c>
      <c r="D70">
        <v>14895</v>
      </c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4"/>
  <dimension ref="A1:R58"/>
  <sheetViews>
    <sheetView workbookViewId="0">
      <selection activeCell="N37" sqref="N37"/>
    </sheetView>
  </sheetViews>
  <sheetFormatPr defaultRowHeight="13.5"/>
  <sheetData>
    <row r="1" spans="1:13">
      <c r="A1" t="s">
        <v>323</v>
      </c>
      <c r="C1" t="s">
        <v>177</v>
      </c>
      <c r="D1" t="s">
        <v>324</v>
      </c>
      <c r="E1" t="s">
        <v>325</v>
      </c>
      <c r="F1" t="s">
        <v>326</v>
      </c>
    </row>
    <row r="2" spans="1:13">
      <c r="A2">
        <v>30</v>
      </c>
      <c r="B2">
        <f>A2^2*3+3*A2+50</f>
        <v>2840</v>
      </c>
      <c r="C2">
        <f>战斗力成长!F57</f>
        <v>3346.884</v>
      </c>
      <c r="D2">
        <v>10</v>
      </c>
      <c r="E2">
        <f>C2*(1+D2/100)</f>
        <v>3681.5724000000005</v>
      </c>
      <c r="F2">
        <f>(1+(E2/(E2+B2))*2)/(1+(C2/(B2+C2))*2)</f>
        <v>1.0226307438553854</v>
      </c>
    </row>
    <row r="3" spans="1:13">
      <c r="A3">
        <v>35</v>
      </c>
      <c r="B3">
        <f t="shared" ref="B3:B16" si="0">A3^2*3+3*A3+50</f>
        <v>3830</v>
      </c>
      <c r="C3">
        <f>战斗力成长!F58</f>
        <v>4920.5679999999993</v>
      </c>
      <c r="D3">
        <v>10</v>
      </c>
      <c r="E3">
        <f t="shared" ref="E3:E16" si="1">C3*(1+D3/100)</f>
        <v>5412.6247999999996</v>
      </c>
      <c r="F3">
        <f t="shared" ref="F3:F16" si="2">(1+(E3/(E3+B3))*2)/(1+(C3/(B3+C3))*2)</f>
        <v>1.0219345883239086</v>
      </c>
      <c r="L3" s="37"/>
      <c r="M3" s="37"/>
    </row>
    <row r="4" spans="1:13">
      <c r="A4">
        <v>40</v>
      </c>
      <c r="B4">
        <f t="shared" si="0"/>
        <v>4970</v>
      </c>
      <c r="C4">
        <f>战斗力成长!F59</f>
        <v>6977.52</v>
      </c>
      <c r="D4">
        <v>10</v>
      </c>
      <c r="E4">
        <f t="shared" si="1"/>
        <v>7675.2720000000008</v>
      </c>
      <c r="F4">
        <f t="shared" si="2"/>
        <v>1.0211746680423386</v>
      </c>
    </row>
    <row r="5" spans="1:13">
      <c r="A5">
        <v>45</v>
      </c>
      <c r="B5">
        <f t="shared" si="0"/>
        <v>6260</v>
      </c>
      <c r="C5">
        <f>战斗力成长!F60</f>
        <v>9212.2800000000007</v>
      </c>
      <c r="D5">
        <v>10</v>
      </c>
      <c r="E5">
        <f t="shared" si="1"/>
        <v>10133.508000000002</v>
      </c>
      <c r="F5">
        <f t="shared" si="2"/>
        <v>1.0207558416174758</v>
      </c>
    </row>
    <row r="6" spans="1:13">
      <c r="A6">
        <v>50</v>
      </c>
      <c r="B6">
        <f t="shared" si="0"/>
        <v>7700</v>
      </c>
      <c r="C6">
        <f>战斗力成长!F61</f>
        <v>12381.599999999999</v>
      </c>
      <c r="D6">
        <v>10</v>
      </c>
      <c r="E6">
        <f t="shared" si="1"/>
        <v>13619.76</v>
      </c>
      <c r="F6">
        <f t="shared" si="2"/>
        <v>1.0199435785249134</v>
      </c>
    </row>
    <row r="7" spans="1:13">
      <c r="A7">
        <v>55</v>
      </c>
      <c r="B7">
        <f t="shared" si="0"/>
        <v>9290</v>
      </c>
      <c r="C7">
        <f>战斗力成长!F62</f>
        <v>15390.52</v>
      </c>
      <c r="D7">
        <v>10</v>
      </c>
      <c r="E7">
        <f t="shared" si="1"/>
        <v>16929.572</v>
      </c>
      <c r="F7">
        <f t="shared" si="2"/>
        <v>1.0196644282678298</v>
      </c>
    </row>
    <row r="8" spans="1:13">
      <c r="A8">
        <v>60</v>
      </c>
      <c r="B8">
        <f t="shared" si="0"/>
        <v>11030</v>
      </c>
      <c r="C8">
        <f>战斗力成长!F63</f>
        <v>20598.240000000002</v>
      </c>
      <c r="D8">
        <v>10</v>
      </c>
      <c r="E8">
        <f t="shared" si="1"/>
        <v>22658.064000000002</v>
      </c>
      <c r="F8">
        <f t="shared" si="2"/>
        <v>1.0185216957169541</v>
      </c>
    </row>
    <row r="9" spans="1:13">
      <c r="A9">
        <v>65</v>
      </c>
      <c r="B9">
        <f t="shared" si="0"/>
        <v>12920</v>
      </c>
      <c r="C9">
        <f>战斗力成长!F64</f>
        <v>29566.248000000003</v>
      </c>
      <c r="D9">
        <v>10</v>
      </c>
      <c r="E9">
        <f t="shared" si="1"/>
        <v>32522.872800000005</v>
      </c>
      <c r="F9">
        <f t="shared" si="2"/>
        <v>1.0165443276814927</v>
      </c>
    </row>
    <row r="10" spans="1:13">
      <c r="A10">
        <v>70</v>
      </c>
      <c r="B10">
        <f t="shared" si="0"/>
        <v>14960</v>
      </c>
      <c r="C10">
        <f>战斗力成长!F65</f>
        <v>36093.425999999999</v>
      </c>
      <c r="D10">
        <v>10</v>
      </c>
      <c r="E10">
        <f t="shared" si="1"/>
        <v>39702.768600000003</v>
      </c>
      <c r="F10">
        <f t="shared" si="2"/>
        <v>1.0160304385220729</v>
      </c>
    </row>
    <row r="11" spans="1:13">
      <c r="A11">
        <v>75</v>
      </c>
      <c r="B11">
        <f t="shared" si="0"/>
        <v>17150</v>
      </c>
      <c r="C11">
        <f>战斗力成长!F66</f>
        <v>43738.38</v>
      </c>
      <c r="D11">
        <v>10</v>
      </c>
      <c r="E11">
        <f t="shared" si="1"/>
        <v>48112.218000000001</v>
      </c>
      <c r="F11">
        <f t="shared" si="2"/>
        <v>1.0154939843554323</v>
      </c>
    </row>
    <row r="12" spans="1:13">
      <c r="A12">
        <v>80</v>
      </c>
      <c r="B12">
        <f t="shared" si="0"/>
        <v>19490</v>
      </c>
      <c r="C12">
        <f>战斗力成长!F67</f>
        <v>52156.369999999995</v>
      </c>
      <c r="D12">
        <v>10</v>
      </c>
      <c r="E12">
        <f t="shared" si="1"/>
        <v>57372.006999999998</v>
      </c>
      <c r="F12">
        <f t="shared" si="2"/>
        <v>1.0150323097208165</v>
      </c>
    </row>
    <row r="13" spans="1:13">
      <c r="A13">
        <v>85</v>
      </c>
      <c r="B13">
        <f t="shared" si="0"/>
        <v>21980</v>
      </c>
      <c r="C13">
        <f>战斗力成长!F68</f>
        <v>61491.08</v>
      </c>
      <c r="D13">
        <v>10</v>
      </c>
      <c r="E13">
        <f t="shared" si="1"/>
        <v>67640.188000000009</v>
      </c>
      <c r="F13">
        <f t="shared" si="2"/>
        <v>1.0146097320582734</v>
      </c>
    </row>
    <row r="14" spans="1:13">
      <c r="A14">
        <v>90</v>
      </c>
      <c r="B14">
        <f t="shared" si="0"/>
        <v>24620</v>
      </c>
      <c r="C14">
        <f>战斗力成长!F69</f>
        <v>73018.23</v>
      </c>
      <c r="D14">
        <v>10</v>
      </c>
      <c r="E14">
        <f t="shared" si="1"/>
        <v>80320.053</v>
      </c>
      <c r="F14">
        <f t="shared" si="2"/>
        <v>1.0140603989662613</v>
      </c>
    </row>
    <row r="15" spans="1:13">
      <c r="A15">
        <v>95</v>
      </c>
      <c r="B15">
        <f t="shared" si="0"/>
        <v>27410</v>
      </c>
      <c r="C15">
        <f>战斗力成长!F70</f>
        <v>86610.69200000001</v>
      </c>
      <c r="D15">
        <v>10</v>
      </c>
      <c r="E15">
        <f t="shared" si="1"/>
        <v>95271.761200000023</v>
      </c>
      <c r="F15">
        <f t="shared" si="2"/>
        <v>1.0134735637278618</v>
      </c>
    </row>
    <row r="16" spans="1:13">
      <c r="A16">
        <v>100</v>
      </c>
      <c r="B16">
        <f t="shared" si="0"/>
        <v>30350</v>
      </c>
      <c r="C16">
        <f>战斗力成长!F71</f>
        <v>101969.56000000001</v>
      </c>
      <c r="D16">
        <v>10</v>
      </c>
      <c r="E16">
        <f t="shared" si="1"/>
        <v>112166.51600000002</v>
      </c>
      <c r="F16">
        <f t="shared" si="2"/>
        <v>1.0129157769306394</v>
      </c>
    </row>
    <row r="19" spans="1:18">
      <c r="A19" t="s">
        <v>323</v>
      </c>
      <c r="C19" t="s">
        <v>170</v>
      </c>
      <c r="D19" t="s">
        <v>324</v>
      </c>
      <c r="E19" t="s">
        <v>327</v>
      </c>
      <c r="F19" t="s">
        <v>328</v>
      </c>
      <c r="G19" t="s">
        <v>328</v>
      </c>
      <c r="K19" t="s">
        <v>323</v>
      </c>
      <c r="M19" t="s">
        <v>170</v>
      </c>
      <c r="N19" t="s">
        <v>324</v>
      </c>
      <c r="O19" t="s">
        <v>327</v>
      </c>
      <c r="P19" t="s">
        <v>328</v>
      </c>
      <c r="Q19" t="s">
        <v>328</v>
      </c>
    </row>
    <row r="20" spans="1:18">
      <c r="A20">
        <v>30</v>
      </c>
      <c r="B20">
        <f>A20^2*3+3*A20+50</f>
        <v>2840</v>
      </c>
      <c r="C20">
        <f>战斗力成长!Q9</f>
        <v>1075.2</v>
      </c>
      <c r="D20">
        <v>8</v>
      </c>
      <c r="E20">
        <f>C20*(1+D20/100)</f>
        <v>1161.2160000000001</v>
      </c>
      <c r="F20">
        <f>1/(1-(C20/(B20+C20)))</f>
        <v>1.3785915492957748</v>
      </c>
      <c r="G20">
        <f>1/(1-(E20/(E20+B20)))</f>
        <v>1.4088788732394366</v>
      </c>
      <c r="H20">
        <f>G20/F20</f>
        <v>1.0219697588884347</v>
      </c>
      <c r="K20">
        <v>30</v>
      </c>
      <c r="L20">
        <f>K20^2*3+3*K20+50</f>
        <v>2840</v>
      </c>
      <c r="M20">
        <f>战斗力成长!Q105</f>
        <v>628.99200000000008</v>
      </c>
      <c r="N20">
        <v>8</v>
      </c>
      <c r="O20">
        <f>M20*(1+N20/100)</f>
        <v>679.31136000000015</v>
      </c>
      <c r="P20">
        <f>1/(1-(M20/(L20+M20)))</f>
        <v>1.2214760563380282</v>
      </c>
      <c r="Q20">
        <f>1/(1-(O20/(O20+L20)))</f>
        <v>1.2391941408450706</v>
      </c>
      <c r="R20">
        <f>Q20/P20</f>
        <v>1.0145054701769276</v>
      </c>
    </row>
    <row r="21" spans="1:18">
      <c r="A21">
        <v>35</v>
      </c>
      <c r="B21">
        <f t="shared" ref="B21:B34" si="3">A21^2*3+3*A21+50</f>
        <v>3830</v>
      </c>
      <c r="C21">
        <f>战斗力成长!Q10</f>
        <v>1790.3573333333334</v>
      </c>
      <c r="D21">
        <v>8</v>
      </c>
      <c r="E21">
        <f t="shared" ref="E21:E34" si="4">C21*(1+D21/100)</f>
        <v>1933.5859200000002</v>
      </c>
      <c r="F21">
        <f t="shared" ref="F21:F34" si="5">1/(1-(C21/(B21+C21)))</f>
        <v>1.4674562228024368</v>
      </c>
      <c r="G21">
        <f t="shared" ref="G21:G34" si="6">1/(1-(E21/(E21+B21)))</f>
        <v>1.5048527206266318</v>
      </c>
      <c r="H21">
        <f t="shared" ref="H21:H34" si="7">G21/F21</f>
        <v>1.0254838933135451</v>
      </c>
      <c r="K21">
        <v>35</v>
      </c>
      <c r="L21">
        <f t="shared" ref="L21:L34" si="8">K21^2*3+3*K21+50</f>
        <v>3830</v>
      </c>
      <c r="M21">
        <f>战斗力成长!Q106</f>
        <v>918.84800000000007</v>
      </c>
      <c r="N21">
        <v>8</v>
      </c>
      <c r="O21">
        <f t="shared" ref="O21:O34" si="9">M21*(1+N21/100)</f>
        <v>992.35584000000017</v>
      </c>
      <c r="P21">
        <f t="shared" ref="P21:P34" si="10">1/(1-(M21/(L21+M21)))</f>
        <v>1.2399080939947782</v>
      </c>
      <c r="Q21">
        <f t="shared" ref="Q21:Q34" si="11">1/(1-(O21/(O21+L21)))</f>
        <v>1.2591007415143602</v>
      </c>
      <c r="R21">
        <f t="shared" ref="R21:R34" si="12">Q21/P21</f>
        <v>1.0154790888232261</v>
      </c>
    </row>
    <row r="22" spans="1:18">
      <c r="A22">
        <v>40</v>
      </c>
      <c r="B22">
        <f t="shared" si="3"/>
        <v>4970</v>
      </c>
      <c r="C22">
        <f>战斗力成长!Q11</f>
        <v>2753.5306666666661</v>
      </c>
      <c r="D22">
        <v>8</v>
      </c>
      <c r="E22">
        <f t="shared" si="4"/>
        <v>2973.8131199999998</v>
      </c>
      <c r="F22">
        <f t="shared" si="5"/>
        <v>1.5540303152246813</v>
      </c>
      <c r="G22">
        <f t="shared" si="6"/>
        <v>1.5983527404426559</v>
      </c>
      <c r="H22">
        <f t="shared" si="7"/>
        <v>1.0285209527663342</v>
      </c>
      <c r="K22">
        <v>40</v>
      </c>
      <c r="L22">
        <f t="shared" si="8"/>
        <v>4970</v>
      </c>
      <c r="M22">
        <f>战斗力成长!Q107</f>
        <v>1614.2559999999999</v>
      </c>
      <c r="N22">
        <v>8</v>
      </c>
      <c r="O22">
        <f t="shared" si="9"/>
        <v>1743.3964799999999</v>
      </c>
      <c r="P22">
        <f t="shared" si="10"/>
        <v>1.3248</v>
      </c>
      <c r="Q22">
        <f t="shared" si="11"/>
        <v>1.350784</v>
      </c>
      <c r="R22">
        <f t="shared" si="12"/>
        <v>1.0196135265700483</v>
      </c>
    </row>
    <row r="23" spans="1:18">
      <c r="A23">
        <v>45</v>
      </c>
      <c r="B23">
        <f t="shared" si="3"/>
        <v>6260</v>
      </c>
      <c r="C23">
        <f>战斗力成长!Q12</f>
        <v>3686.5573333333332</v>
      </c>
      <c r="D23">
        <v>8</v>
      </c>
      <c r="E23">
        <f t="shared" si="4"/>
        <v>3981.4819200000002</v>
      </c>
      <c r="F23">
        <f t="shared" si="5"/>
        <v>1.588906922257721</v>
      </c>
      <c r="G23">
        <f t="shared" si="6"/>
        <v>1.6360194760383386</v>
      </c>
      <c r="H23">
        <f t="shared" si="7"/>
        <v>1.0296509210959155</v>
      </c>
      <c r="K23">
        <v>45</v>
      </c>
      <c r="L23">
        <f t="shared" si="8"/>
        <v>6260</v>
      </c>
      <c r="M23">
        <f>战斗力成长!Q108</f>
        <v>2039.7439999999997</v>
      </c>
      <c r="N23">
        <v>8</v>
      </c>
      <c r="O23">
        <f t="shared" si="9"/>
        <v>2202.9235199999998</v>
      </c>
      <c r="P23">
        <f t="shared" si="10"/>
        <v>1.325837699680511</v>
      </c>
      <c r="Q23">
        <f t="shared" si="11"/>
        <v>1.351904715654952</v>
      </c>
      <c r="R23">
        <f t="shared" si="12"/>
        <v>1.0196607895376051</v>
      </c>
    </row>
    <row r="24" spans="1:18">
      <c r="A24">
        <v>50</v>
      </c>
      <c r="B24">
        <f t="shared" si="3"/>
        <v>7700</v>
      </c>
      <c r="C24">
        <f>战斗力成长!Q13</f>
        <v>4737.5999999999995</v>
      </c>
      <c r="D24">
        <v>8</v>
      </c>
      <c r="E24">
        <f t="shared" si="4"/>
        <v>5116.6080000000002</v>
      </c>
      <c r="F24">
        <f t="shared" si="5"/>
        <v>1.6152727272727272</v>
      </c>
      <c r="G24">
        <f t="shared" si="6"/>
        <v>1.6644945454545454</v>
      </c>
      <c r="H24">
        <f t="shared" si="7"/>
        <v>1.0304727600180099</v>
      </c>
      <c r="K24">
        <v>50</v>
      </c>
      <c r="L24">
        <f t="shared" si="8"/>
        <v>7700</v>
      </c>
      <c r="M24">
        <f>战斗力成长!Q109</f>
        <v>2808</v>
      </c>
      <c r="N24">
        <v>8</v>
      </c>
      <c r="O24">
        <f t="shared" si="9"/>
        <v>3032.6400000000003</v>
      </c>
      <c r="P24">
        <f t="shared" si="10"/>
        <v>1.3646753246753249</v>
      </c>
      <c r="Q24">
        <f t="shared" si="11"/>
        <v>1.3938493506493506</v>
      </c>
      <c r="R24">
        <f t="shared" si="12"/>
        <v>1.0213779977160256</v>
      </c>
    </row>
    <row r="25" spans="1:18">
      <c r="A25">
        <v>55</v>
      </c>
      <c r="B25">
        <f t="shared" si="3"/>
        <v>9290</v>
      </c>
      <c r="C25">
        <f>战斗力成长!Q14</f>
        <v>7087.84</v>
      </c>
      <c r="D25">
        <v>8</v>
      </c>
      <c r="E25">
        <f t="shared" si="4"/>
        <v>7654.8672000000006</v>
      </c>
      <c r="F25">
        <f t="shared" si="5"/>
        <v>1.7629537136706137</v>
      </c>
      <c r="G25">
        <f t="shared" si="6"/>
        <v>1.8239900107642626</v>
      </c>
      <c r="H25">
        <f t="shared" si="7"/>
        <v>1.0346216106641657</v>
      </c>
      <c r="K25">
        <v>55</v>
      </c>
      <c r="L25">
        <f t="shared" si="8"/>
        <v>9290</v>
      </c>
      <c r="M25">
        <f>战斗力成长!Q110</f>
        <v>4289.16</v>
      </c>
      <c r="N25">
        <v>8</v>
      </c>
      <c r="O25">
        <f t="shared" si="9"/>
        <v>4632.2928000000002</v>
      </c>
      <c r="P25">
        <f t="shared" si="10"/>
        <v>1.4616964477933263</v>
      </c>
      <c r="Q25">
        <f t="shared" si="11"/>
        <v>1.4986321636167923</v>
      </c>
      <c r="R25">
        <f t="shared" si="12"/>
        <v>1.0252690740811654</v>
      </c>
    </row>
    <row r="26" spans="1:18">
      <c r="A26">
        <v>60</v>
      </c>
      <c r="B26">
        <f t="shared" si="3"/>
        <v>11030</v>
      </c>
      <c r="C26">
        <f>战斗力成长!Q15</f>
        <v>9666.858666666667</v>
      </c>
      <c r="D26">
        <v>8</v>
      </c>
      <c r="E26">
        <f t="shared" si="4"/>
        <v>10440.20736</v>
      </c>
      <c r="F26">
        <f t="shared" si="5"/>
        <v>1.8764151103052282</v>
      </c>
      <c r="G26">
        <f t="shared" si="6"/>
        <v>1.9465283191296467</v>
      </c>
      <c r="H26">
        <f t="shared" si="7"/>
        <v>1.0373655106694453</v>
      </c>
      <c r="K26">
        <v>60</v>
      </c>
      <c r="L26">
        <f t="shared" si="8"/>
        <v>11030</v>
      </c>
      <c r="M26">
        <f>战斗力成长!Q111</f>
        <v>5816.4479999999994</v>
      </c>
      <c r="N26">
        <v>8</v>
      </c>
      <c r="O26">
        <f t="shared" si="9"/>
        <v>6281.7638399999996</v>
      </c>
      <c r="P26">
        <f t="shared" si="10"/>
        <v>1.5273298277425202</v>
      </c>
      <c r="Q26">
        <f t="shared" si="11"/>
        <v>1.5695162139619219</v>
      </c>
      <c r="R26">
        <f t="shared" si="12"/>
        <v>1.0276210059236226</v>
      </c>
    </row>
    <row r="27" spans="1:18">
      <c r="A27">
        <v>65</v>
      </c>
      <c r="B27">
        <f t="shared" si="3"/>
        <v>12920</v>
      </c>
      <c r="C27">
        <f>战斗力成长!Q16</f>
        <v>12637.856</v>
      </c>
      <c r="D27">
        <v>8</v>
      </c>
      <c r="E27">
        <f t="shared" si="4"/>
        <v>13648.884480000001</v>
      </c>
      <c r="F27">
        <f t="shared" si="5"/>
        <v>1.9781622291021668</v>
      </c>
      <c r="G27">
        <f t="shared" si="6"/>
        <v>2.0564152074303403</v>
      </c>
      <c r="H27">
        <f t="shared" si="7"/>
        <v>1.0395584230539527</v>
      </c>
      <c r="K27">
        <v>65</v>
      </c>
      <c r="L27">
        <f t="shared" si="8"/>
        <v>12920</v>
      </c>
      <c r="M27">
        <f>战斗力成长!Q112</f>
        <v>7736.2560000000003</v>
      </c>
      <c r="N27">
        <v>8</v>
      </c>
      <c r="O27">
        <f t="shared" si="9"/>
        <v>8355.1564800000015</v>
      </c>
      <c r="P27">
        <f t="shared" si="10"/>
        <v>1.5987814241486069</v>
      </c>
      <c r="Q27">
        <f t="shared" si="11"/>
        <v>1.6466839380804954</v>
      </c>
      <c r="R27">
        <f t="shared" si="12"/>
        <v>1.029961890480056</v>
      </c>
    </row>
    <row r="28" spans="1:18">
      <c r="A28">
        <v>70</v>
      </c>
      <c r="B28">
        <f t="shared" si="3"/>
        <v>14960</v>
      </c>
      <c r="C28">
        <f>战斗力成长!Q17</f>
        <v>16015.813333333334</v>
      </c>
      <c r="D28">
        <v>8</v>
      </c>
      <c r="E28">
        <f t="shared" si="4"/>
        <v>17297.078400000002</v>
      </c>
      <c r="F28">
        <f t="shared" si="5"/>
        <v>2.070575757575758</v>
      </c>
      <c r="G28">
        <f t="shared" si="6"/>
        <v>2.1562218181818182</v>
      </c>
      <c r="H28">
        <f t="shared" si="7"/>
        <v>1.0413634035329069</v>
      </c>
      <c r="K28">
        <v>70</v>
      </c>
      <c r="L28">
        <f t="shared" si="8"/>
        <v>14960</v>
      </c>
      <c r="M28">
        <f>战斗力成长!Q113</f>
        <v>9780.5759999999991</v>
      </c>
      <c r="N28">
        <v>8</v>
      </c>
      <c r="O28">
        <f t="shared" si="9"/>
        <v>10563.022080000001</v>
      </c>
      <c r="P28">
        <f t="shared" si="10"/>
        <v>1.6537818181818182</v>
      </c>
      <c r="Q28">
        <f t="shared" si="11"/>
        <v>1.7060843636363634</v>
      </c>
      <c r="R28">
        <f t="shared" si="12"/>
        <v>1.031626025198443</v>
      </c>
    </row>
    <row r="29" spans="1:18">
      <c r="A29">
        <v>75</v>
      </c>
      <c r="B29">
        <f t="shared" si="3"/>
        <v>17150</v>
      </c>
      <c r="C29">
        <f>战斗力成长!Q18</f>
        <v>20226.266666666666</v>
      </c>
      <c r="D29">
        <v>8</v>
      </c>
      <c r="E29">
        <f t="shared" si="4"/>
        <v>21844.368000000002</v>
      </c>
      <c r="F29">
        <f t="shared" si="5"/>
        <v>2.1793741496598642</v>
      </c>
      <c r="G29">
        <f t="shared" si="6"/>
        <v>2.2737240816326527</v>
      </c>
      <c r="H29">
        <f t="shared" si="7"/>
        <v>1.0432922139539527</v>
      </c>
      <c r="K29">
        <v>75</v>
      </c>
      <c r="L29">
        <f t="shared" si="8"/>
        <v>17150</v>
      </c>
      <c r="M29">
        <f>战斗力成长!Q114</f>
        <v>12906.599999999999</v>
      </c>
      <c r="N29">
        <v>8</v>
      </c>
      <c r="O29">
        <f t="shared" si="9"/>
        <v>13939.127999999999</v>
      </c>
      <c r="P29">
        <f t="shared" si="10"/>
        <v>1.7525714285714287</v>
      </c>
      <c r="Q29">
        <f t="shared" si="11"/>
        <v>1.8127771428571429</v>
      </c>
      <c r="R29">
        <f t="shared" si="12"/>
        <v>1.034352787740463</v>
      </c>
    </row>
    <row r="30" spans="1:18">
      <c r="A30">
        <v>80</v>
      </c>
      <c r="B30">
        <f t="shared" si="3"/>
        <v>19490</v>
      </c>
      <c r="C30">
        <f>战斗力成长!Q19</f>
        <v>24905.760000000002</v>
      </c>
      <c r="D30">
        <v>8</v>
      </c>
      <c r="E30">
        <f t="shared" si="4"/>
        <v>26898.220800000003</v>
      </c>
      <c r="F30">
        <f t="shared" si="5"/>
        <v>2.277873781426373</v>
      </c>
      <c r="G30">
        <f t="shared" si="6"/>
        <v>2.3801036839404826</v>
      </c>
      <c r="H30">
        <f t="shared" si="7"/>
        <v>1.0448795290361061</v>
      </c>
      <c r="K30">
        <v>80</v>
      </c>
      <c r="L30">
        <f t="shared" si="8"/>
        <v>19490</v>
      </c>
      <c r="M30">
        <f>战斗力成长!Q115</f>
        <v>16673.04</v>
      </c>
      <c r="N30">
        <v>8</v>
      </c>
      <c r="O30">
        <f t="shared" si="9"/>
        <v>18006.883200000004</v>
      </c>
      <c r="P30">
        <f t="shared" si="10"/>
        <v>1.8554663930220627</v>
      </c>
      <c r="Q30">
        <f t="shared" si="11"/>
        <v>1.9239037044638279</v>
      </c>
      <c r="R30">
        <f t="shared" si="12"/>
        <v>1.0368841557568169</v>
      </c>
    </row>
    <row r="31" spans="1:18">
      <c r="A31">
        <v>85</v>
      </c>
      <c r="B31">
        <f t="shared" si="3"/>
        <v>21980</v>
      </c>
      <c r="C31">
        <f>战斗力成长!Q20</f>
        <v>30312.965333333326</v>
      </c>
      <c r="D31">
        <v>8</v>
      </c>
      <c r="E31">
        <f t="shared" si="4"/>
        <v>32738.002559999994</v>
      </c>
      <c r="F31">
        <f t="shared" si="5"/>
        <v>2.3791158022444647</v>
      </c>
      <c r="G31">
        <f t="shared" si="6"/>
        <v>2.4894450664240217</v>
      </c>
      <c r="H31">
        <f t="shared" si="7"/>
        <v>1.0463740621938082</v>
      </c>
      <c r="K31">
        <v>85</v>
      </c>
      <c r="L31">
        <f t="shared" si="8"/>
        <v>21980</v>
      </c>
      <c r="M31">
        <f>战斗力成长!Q116</f>
        <v>21233.856</v>
      </c>
      <c r="N31">
        <v>8</v>
      </c>
      <c r="O31">
        <f t="shared" si="9"/>
        <v>22932.564480000001</v>
      </c>
      <c r="P31">
        <f t="shared" si="10"/>
        <v>1.9660535031847133</v>
      </c>
      <c r="Q31">
        <f t="shared" si="11"/>
        <v>2.0433377834394904</v>
      </c>
      <c r="R31">
        <f t="shared" si="12"/>
        <v>1.0393093474463375</v>
      </c>
    </row>
    <row r="32" spans="1:18">
      <c r="A32">
        <v>90</v>
      </c>
      <c r="B32">
        <f t="shared" si="3"/>
        <v>24620</v>
      </c>
      <c r="C32">
        <f>战斗力成长!Q21</f>
        <v>36525.498666666666</v>
      </c>
      <c r="D32">
        <v>8</v>
      </c>
      <c r="E32">
        <f t="shared" si="4"/>
        <v>39447.538560000001</v>
      </c>
      <c r="F32">
        <f t="shared" si="5"/>
        <v>2.4835702139182239</v>
      </c>
      <c r="G32">
        <f t="shared" si="6"/>
        <v>2.6022558310316817</v>
      </c>
      <c r="H32">
        <f t="shared" si="7"/>
        <v>1.0477883075132441</v>
      </c>
      <c r="K32">
        <v>90</v>
      </c>
      <c r="L32">
        <f t="shared" si="8"/>
        <v>24620</v>
      </c>
      <c r="M32">
        <f>战斗力成长!Q117</f>
        <v>26721.143999999997</v>
      </c>
      <c r="N32">
        <v>8</v>
      </c>
      <c r="O32">
        <f t="shared" si="9"/>
        <v>28858.835519999997</v>
      </c>
      <c r="P32">
        <f t="shared" si="10"/>
        <v>2.0853429731925259</v>
      </c>
      <c r="Q32">
        <f t="shared" si="11"/>
        <v>2.172170411047929</v>
      </c>
      <c r="R32">
        <f t="shared" si="12"/>
        <v>1.041637005984908</v>
      </c>
    </row>
    <row r="33" spans="1:18">
      <c r="A33">
        <v>95</v>
      </c>
      <c r="B33">
        <f t="shared" si="3"/>
        <v>27410</v>
      </c>
      <c r="C33">
        <f>战斗力成长!Q22</f>
        <v>43783.168000000012</v>
      </c>
      <c r="D33">
        <v>8</v>
      </c>
      <c r="E33">
        <f t="shared" si="4"/>
        <v>47285.821440000014</v>
      </c>
      <c r="F33">
        <f t="shared" si="5"/>
        <v>2.5973428675665819</v>
      </c>
      <c r="G33">
        <f t="shared" si="6"/>
        <v>2.7251302969719089</v>
      </c>
      <c r="H33">
        <f t="shared" si="7"/>
        <v>1.0491992917073167</v>
      </c>
      <c r="K33">
        <v>95</v>
      </c>
      <c r="L33">
        <f t="shared" si="8"/>
        <v>27410</v>
      </c>
      <c r="M33">
        <f>战斗力成长!Q118</f>
        <v>32322.888000000006</v>
      </c>
      <c r="N33">
        <v>8</v>
      </c>
      <c r="O33">
        <f t="shared" si="9"/>
        <v>34908.719040000011</v>
      </c>
      <c r="P33">
        <f t="shared" si="10"/>
        <v>2.1792370667639549</v>
      </c>
      <c r="Q33">
        <f t="shared" si="11"/>
        <v>2.2735760321050713</v>
      </c>
      <c r="R33">
        <f t="shared" si="12"/>
        <v>1.0432899048845587</v>
      </c>
    </row>
    <row r="34" spans="1:18">
      <c r="A34">
        <v>100</v>
      </c>
      <c r="B34">
        <f t="shared" si="3"/>
        <v>30350</v>
      </c>
      <c r="C34">
        <f>战斗力成长!Q23</f>
        <v>52056.320000000007</v>
      </c>
      <c r="D34">
        <v>8</v>
      </c>
      <c r="E34">
        <f t="shared" si="4"/>
        <v>56220.825600000011</v>
      </c>
      <c r="F34">
        <f t="shared" si="5"/>
        <v>2.7152000000000003</v>
      </c>
      <c r="G34">
        <f t="shared" si="6"/>
        <v>2.8524160000000007</v>
      </c>
      <c r="H34">
        <f t="shared" si="7"/>
        <v>1.0505362404242784</v>
      </c>
      <c r="K34">
        <v>100</v>
      </c>
      <c r="L34">
        <f t="shared" si="8"/>
        <v>30350</v>
      </c>
      <c r="M34">
        <f>战斗力成长!Q119</f>
        <v>38750.879999999997</v>
      </c>
      <c r="N34">
        <v>8</v>
      </c>
      <c r="O34">
        <f t="shared" si="9"/>
        <v>41850.950400000002</v>
      </c>
      <c r="P34">
        <f t="shared" si="10"/>
        <v>2.2767999999999993</v>
      </c>
      <c r="Q34">
        <f t="shared" si="11"/>
        <v>2.3789440000000002</v>
      </c>
      <c r="R34">
        <f t="shared" si="12"/>
        <v>1.0448629655657067</v>
      </c>
    </row>
    <row r="43" spans="1:18">
      <c r="A43" t="s">
        <v>323</v>
      </c>
      <c r="C43" t="s">
        <v>175</v>
      </c>
      <c r="D43" t="s">
        <v>324</v>
      </c>
      <c r="E43" t="s">
        <v>327</v>
      </c>
      <c r="F43" t="s">
        <v>328</v>
      </c>
      <c r="G43" t="s">
        <v>328</v>
      </c>
      <c r="K43" t="s">
        <v>323</v>
      </c>
      <c r="M43" t="s">
        <v>175</v>
      </c>
      <c r="N43" t="s">
        <v>324</v>
      </c>
      <c r="O43" t="s">
        <v>327</v>
      </c>
      <c r="P43" t="s">
        <v>328</v>
      </c>
      <c r="Q43" t="s">
        <v>328</v>
      </c>
    </row>
    <row r="44" spans="1:18">
      <c r="A44">
        <v>30</v>
      </c>
      <c r="B44">
        <f>VLOOKUP(A44,[2]battleParameter.xml!$A$28:$D$107,3,0)</f>
        <v>1550</v>
      </c>
      <c r="C44">
        <f>战斗力成长!S9+战斗力成长!B9*战斗力成长!C$26</f>
        <v>2197.2719999999999</v>
      </c>
      <c r="D44">
        <v>7</v>
      </c>
      <c r="E44">
        <f>C44*(1+D44/100)</f>
        <v>2351.08104</v>
      </c>
      <c r="F44">
        <f>1/(1-(C44/(B44+C44)))</f>
        <v>2.4175948387096771</v>
      </c>
      <c r="G44">
        <f>1/(1-(E44/(E44+B44)))</f>
        <v>2.5168264774193547</v>
      </c>
      <c r="H44">
        <f>G44/F44</f>
        <v>1.04104560330822</v>
      </c>
      <c r="K44">
        <v>30</v>
      </c>
      <c r="L44">
        <f>VLOOKUP(K44,[2]battleParameter.xml!$A$28:$D$107,3,0)</f>
        <v>1550</v>
      </c>
      <c r="M44">
        <f>战斗力成长!S105</f>
        <v>493.27199999999999</v>
      </c>
      <c r="N44">
        <v>7</v>
      </c>
      <c r="O44">
        <f>M44*(1+N44/100)</f>
        <v>527.80104000000006</v>
      </c>
      <c r="P44">
        <f>1/(1-(M44/(L44+M44)))</f>
        <v>1.3182400000000001</v>
      </c>
      <c r="Q44">
        <f>1/(1-(O44/(O44+L44)))</f>
        <v>1.3405168000000001</v>
      </c>
      <c r="R44">
        <f>Q44/P44</f>
        <v>1.0168988954970264</v>
      </c>
    </row>
    <row r="45" spans="1:18">
      <c r="A45">
        <v>35</v>
      </c>
      <c r="B45">
        <f>VLOOKUP(A45,[2]battleParameter.xml!$A$28:$D$107,3,0)</f>
        <v>1800</v>
      </c>
      <c r="C45">
        <f>战斗力成长!S10+战斗力成长!B10*战斗力成长!C$26</f>
        <v>3132.2013333333334</v>
      </c>
      <c r="D45">
        <v>7</v>
      </c>
      <c r="E45">
        <f t="shared" ref="E45:E58" si="13">C45*(1+D45/100)</f>
        <v>3351.4554266666669</v>
      </c>
      <c r="F45">
        <f t="shared" ref="F45:F58" si="14">1/(1-(C45/(B45+C45)))</f>
        <v>2.7401118518518524</v>
      </c>
      <c r="G45">
        <f t="shared" ref="G45:G58" si="15">1/(1-(E45/(E45+B45)))</f>
        <v>2.8619196814814809</v>
      </c>
      <c r="H45">
        <f t="shared" ref="H45:H58" si="16">G45/F45</f>
        <v>1.0444535975957723</v>
      </c>
      <c r="K45">
        <v>35</v>
      </c>
      <c r="L45">
        <f>VLOOKUP(K45,[2]battleParameter.xml!$A$28:$D$107,3,0)</f>
        <v>1800</v>
      </c>
      <c r="M45">
        <f>战斗力成长!S106</f>
        <v>834.20133333333331</v>
      </c>
      <c r="N45">
        <v>7</v>
      </c>
      <c r="O45">
        <f t="shared" ref="O45:O58" si="17">M45*(1+N45/100)</f>
        <v>892.59542666666664</v>
      </c>
      <c r="P45">
        <f t="shared" ref="P45:P58" si="18">1/(1-(M45/(L45+M45)))</f>
        <v>1.4634451851851853</v>
      </c>
      <c r="Q45">
        <f t="shared" ref="Q45:Q58" si="19">1/(1-(O45/(O45+L45)))</f>
        <v>1.4958863481481481</v>
      </c>
      <c r="R45">
        <f t="shared" ref="R45:R58" si="20">Q45/P45</f>
        <v>1.0221676652404701</v>
      </c>
    </row>
    <row r="46" spans="1:18">
      <c r="A46">
        <v>40</v>
      </c>
      <c r="B46">
        <f>VLOOKUP(A46,[2]battleParameter.xml!$A$28:$D$107,3,0)</f>
        <v>2050</v>
      </c>
      <c r="C46">
        <f>战斗力成长!S11+战斗力成长!B11*战斗力成长!C$26</f>
        <v>4066.4440000000004</v>
      </c>
      <c r="D46">
        <v>7</v>
      </c>
      <c r="E46">
        <f t="shared" si="13"/>
        <v>4351.095080000001</v>
      </c>
      <c r="F46">
        <f t="shared" si="14"/>
        <v>2.9836312195121959</v>
      </c>
      <c r="G46">
        <f t="shared" si="15"/>
        <v>3.1224854048780499</v>
      </c>
      <c r="H46">
        <f t="shared" si="16"/>
        <v>1.046538655467131</v>
      </c>
      <c r="K46">
        <v>40</v>
      </c>
      <c r="L46">
        <f>VLOOKUP(K46,[2]battleParameter.xml!$A$28:$D$107,3,0)</f>
        <v>2050</v>
      </c>
      <c r="M46">
        <f>战斗力成长!S107</f>
        <v>1084.4440000000002</v>
      </c>
      <c r="N46">
        <v>7</v>
      </c>
      <c r="O46">
        <f t="shared" si="17"/>
        <v>1160.3550800000003</v>
      </c>
      <c r="P46">
        <f t="shared" si="18"/>
        <v>1.5289970731707316</v>
      </c>
      <c r="Q46">
        <f t="shared" si="19"/>
        <v>1.566026868292683</v>
      </c>
      <c r="R46">
        <f t="shared" si="20"/>
        <v>1.0242183557913302</v>
      </c>
    </row>
    <row r="47" spans="1:18">
      <c r="A47">
        <v>45</v>
      </c>
      <c r="B47">
        <f>VLOOKUP(A47,[2]battleParameter.xml!$A$28:$D$107,3,0)</f>
        <v>2300</v>
      </c>
      <c r="C47">
        <f>战斗力成长!S12+战斗力成长!B12*战斗力成长!C$26</f>
        <v>4840.4440000000004</v>
      </c>
      <c r="D47">
        <v>7</v>
      </c>
      <c r="E47">
        <f t="shared" si="13"/>
        <v>5179.2750800000003</v>
      </c>
      <c r="F47">
        <f t="shared" si="14"/>
        <v>3.1045408695652181</v>
      </c>
      <c r="G47">
        <f t="shared" si="15"/>
        <v>3.2518587304347832</v>
      </c>
      <c r="H47">
        <f t="shared" si="16"/>
        <v>1.0474523825129081</v>
      </c>
      <c r="K47">
        <v>45</v>
      </c>
      <c r="L47">
        <f>VLOOKUP(K47,[2]battleParameter.xml!$A$28:$D$107,3,0)</f>
        <v>2300</v>
      </c>
      <c r="M47">
        <f>战斗力成长!S108</f>
        <v>1084.4440000000002</v>
      </c>
      <c r="N47">
        <v>7</v>
      </c>
      <c r="O47">
        <f t="shared" si="17"/>
        <v>1160.3550800000003</v>
      </c>
      <c r="P47">
        <f t="shared" si="18"/>
        <v>1.4714973913043479</v>
      </c>
      <c r="Q47">
        <f t="shared" si="19"/>
        <v>1.5045022086956523</v>
      </c>
      <c r="R47">
        <f t="shared" si="20"/>
        <v>1.0224294093800932</v>
      </c>
    </row>
    <row r="48" spans="1:18">
      <c r="A48">
        <v>50</v>
      </c>
      <c r="B48">
        <f>VLOOKUP(A48,[2]battleParameter.xml!$A$28:$D$107,3,0)</f>
        <v>2550</v>
      </c>
      <c r="C48">
        <f>战斗力成长!S13+战斗力成长!B13*战斗力成长!C$26</f>
        <v>6186.666666666667</v>
      </c>
      <c r="D48">
        <v>7</v>
      </c>
      <c r="E48">
        <f t="shared" si="13"/>
        <v>6619.7333333333345</v>
      </c>
      <c r="F48">
        <f t="shared" si="14"/>
        <v>3.4261437908496726</v>
      </c>
      <c r="G48">
        <f t="shared" si="15"/>
        <v>3.5959738562091519</v>
      </c>
      <c r="H48">
        <f t="shared" si="16"/>
        <v>1.0495688668447165</v>
      </c>
      <c r="K48">
        <v>50</v>
      </c>
      <c r="L48">
        <f>VLOOKUP(K48,[2]battleParameter.xml!$A$28:$D$107,3,0)</f>
        <v>2550</v>
      </c>
      <c r="M48">
        <f>战斗力成长!S109</f>
        <v>1566.6666666666667</v>
      </c>
      <c r="N48">
        <v>7</v>
      </c>
      <c r="O48">
        <f t="shared" si="17"/>
        <v>1676.3333333333335</v>
      </c>
      <c r="P48">
        <f t="shared" si="18"/>
        <v>1.6143790849673203</v>
      </c>
      <c r="Q48">
        <f t="shared" si="19"/>
        <v>1.6573856209150328</v>
      </c>
      <c r="R48">
        <f t="shared" si="20"/>
        <v>1.0266396761133605</v>
      </c>
    </row>
    <row r="49" spans="1:18">
      <c r="A49">
        <v>55</v>
      </c>
      <c r="B49">
        <f>VLOOKUP(A49,[2]battleParameter.xml!$A$28:$D$107,3,0)</f>
        <v>2800</v>
      </c>
      <c r="C49">
        <f>战斗力成长!S14+战斗力成长!B14*战斗力成长!C$26</f>
        <v>7656.8133333333335</v>
      </c>
      <c r="D49">
        <v>7</v>
      </c>
      <c r="E49">
        <f t="shared" si="13"/>
        <v>8192.7902666666669</v>
      </c>
      <c r="F49">
        <f t="shared" si="14"/>
        <v>3.7345761904761905</v>
      </c>
      <c r="G49">
        <f t="shared" si="15"/>
        <v>3.9259965238095247</v>
      </c>
      <c r="H49">
        <f t="shared" si="16"/>
        <v>1.0512562399507308</v>
      </c>
      <c r="K49">
        <v>55</v>
      </c>
      <c r="L49">
        <f>VLOOKUP(K49,[2]battleParameter.xml!$A$28:$D$107,3,0)</f>
        <v>2800</v>
      </c>
      <c r="M49">
        <f>战斗力成长!S110</f>
        <v>2082.813333333333</v>
      </c>
      <c r="N49">
        <v>7</v>
      </c>
      <c r="O49">
        <f t="shared" si="17"/>
        <v>2228.6102666666666</v>
      </c>
      <c r="P49">
        <f t="shared" si="18"/>
        <v>1.7438619047619044</v>
      </c>
      <c r="Q49">
        <f t="shared" si="19"/>
        <v>1.7959322380952381</v>
      </c>
      <c r="R49">
        <f t="shared" si="20"/>
        <v>1.0298592068506955</v>
      </c>
    </row>
    <row r="50" spans="1:18">
      <c r="A50">
        <v>60</v>
      </c>
      <c r="B50">
        <f>VLOOKUP(A50,[2]battleParameter.xml!$A$28:$D$107,3,0)</f>
        <v>3050</v>
      </c>
      <c r="C50">
        <f>战斗力成长!S15+战斗力成长!B15*战斗力成长!C$26</f>
        <v>9523.1660000000011</v>
      </c>
      <c r="D50">
        <v>7</v>
      </c>
      <c r="E50">
        <f t="shared" si="13"/>
        <v>10189.787620000001</v>
      </c>
      <c r="F50">
        <f t="shared" si="14"/>
        <v>4.122349508196721</v>
      </c>
      <c r="G50">
        <f t="shared" si="15"/>
        <v>4.3409139737704923</v>
      </c>
      <c r="H50">
        <f t="shared" si="16"/>
        <v>1.053019392251721</v>
      </c>
      <c r="K50">
        <v>60</v>
      </c>
      <c r="L50">
        <f>VLOOKUP(K50,[2]battleParameter.xml!$A$28:$D$107,3,0)</f>
        <v>3050</v>
      </c>
      <c r="M50">
        <f>战斗力成长!S111</f>
        <v>2905.1660000000002</v>
      </c>
      <c r="N50">
        <v>7</v>
      </c>
      <c r="O50">
        <f t="shared" si="17"/>
        <v>3108.5276200000003</v>
      </c>
      <c r="P50">
        <f t="shared" si="18"/>
        <v>1.9525134426229511</v>
      </c>
      <c r="Q50">
        <f t="shared" si="19"/>
        <v>2.0191893836065575</v>
      </c>
      <c r="R50">
        <f t="shared" si="20"/>
        <v>1.0341487743582629</v>
      </c>
    </row>
    <row r="51" spans="1:18">
      <c r="A51">
        <v>65</v>
      </c>
      <c r="B51">
        <f>VLOOKUP(A51,[2]battleParameter.xml!$A$28:$D$107,3,0)</f>
        <v>3300</v>
      </c>
      <c r="C51">
        <f>战斗力成长!S16+战斗力成长!B16*战斗力成长!C$26</f>
        <v>11706.773333333333</v>
      </c>
      <c r="D51">
        <v>7</v>
      </c>
      <c r="E51">
        <f t="shared" si="13"/>
        <v>12526.247466666666</v>
      </c>
      <c r="F51">
        <f t="shared" si="14"/>
        <v>4.5475070707070699</v>
      </c>
      <c r="G51">
        <f t="shared" si="15"/>
        <v>4.7958325656565659</v>
      </c>
      <c r="H51">
        <f t="shared" si="16"/>
        <v>1.0546069508168758</v>
      </c>
      <c r="K51">
        <v>65</v>
      </c>
      <c r="L51">
        <f>VLOOKUP(K51,[2]battleParameter.xml!$A$28:$D$107,3,0)</f>
        <v>3300</v>
      </c>
      <c r="M51">
        <f>战斗力成长!S112</f>
        <v>3954.7733333333331</v>
      </c>
      <c r="N51">
        <v>7</v>
      </c>
      <c r="O51">
        <f t="shared" si="17"/>
        <v>4231.6074666666664</v>
      </c>
      <c r="P51">
        <f t="shared" si="18"/>
        <v>2.1984161616161617</v>
      </c>
      <c r="Q51">
        <f t="shared" si="19"/>
        <v>2.2823052929292929</v>
      </c>
      <c r="R51">
        <f t="shared" si="20"/>
        <v>1.038158894925272</v>
      </c>
    </row>
    <row r="52" spans="1:18">
      <c r="A52">
        <v>70</v>
      </c>
      <c r="B52">
        <f>VLOOKUP(A52,[2]battleParameter.xml!$A$28:$D$107,3,0)</f>
        <v>3550</v>
      </c>
      <c r="C52">
        <f>战斗力成长!S17+战斗力成长!B17*战斗力成长!C$26</f>
        <v>13821.511999999999</v>
      </c>
      <c r="D52">
        <v>7</v>
      </c>
      <c r="E52">
        <f t="shared" si="13"/>
        <v>14789.01784</v>
      </c>
      <c r="F52">
        <f t="shared" si="14"/>
        <v>4.8933836619718303</v>
      </c>
      <c r="G52">
        <f t="shared" si="15"/>
        <v>5.1659205183098589</v>
      </c>
      <c r="H52">
        <f t="shared" si="16"/>
        <v>1.0556949700175784</v>
      </c>
      <c r="K52">
        <v>70</v>
      </c>
      <c r="L52">
        <f>VLOOKUP(K52,[2]battleParameter.xml!$A$28:$D$107,3,0)</f>
        <v>3550</v>
      </c>
      <c r="M52">
        <f>战斗力成长!S113</f>
        <v>4845.5119999999997</v>
      </c>
      <c r="N52">
        <v>7</v>
      </c>
      <c r="O52">
        <f t="shared" si="17"/>
        <v>5184.6978399999998</v>
      </c>
      <c r="P52">
        <f t="shared" si="18"/>
        <v>2.3649329577464795</v>
      </c>
      <c r="Q52">
        <f t="shared" si="19"/>
        <v>2.4604782647887324</v>
      </c>
      <c r="R52">
        <f t="shared" si="20"/>
        <v>1.0404008522648764</v>
      </c>
    </row>
    <row r="53" spans="1:18">
      <c r="A53">
        <v>75</v>
      </c>
      <c r="B53">
        <f>VLOOKUP(A53,[2]battleParameter.xml!$A$28:$D$107,3,0)</f>
        <v>3950</v>
      </c>
      <c r="C53">
        <f>战斗力成长!S18+战斗力成长!B18*战斗力成长!C$26</f>
        <v>16451.22</v>
      </c>
      <c r="D53">
        <v>7</v>
      </c>
      <c r="E53">
        <f t="shared" si="13"/>
        <v>17602.805400000001</v>
      </c>
      <c r="F53">
        <f t="shared" si="14"/>
        <v>5.1648658227848117</v>
      </c>
      <c r="G53">
        <f t="shared" si="15"/>
        <v>5.4564064303797464</v>
      </c>
      <c r="H53">
        <f t="shared" si="16"/>
        <v>1.0564468889605618</v>
      </c>
      <c r="K53">
        <v>75</v>
      </c>
      <c r="L53">
        <f>VLOOKUP(K53,[2]battleParameter.xml!$A$28:$D$107,3,0)</f>
        <v>3950</v>
      </c>
      <c r="M53">
        <f>战斗力成长!S114</f>
        <v>6161.22</v>
      </c>
      <c r="N53">
        <v>7</v>
      </c>
      <c r="O53">
        <f t="shared" si="17"/>
        <v>6592.5054000000009</v>
      </c>
      <c r="P53">
        <f t="shared" si="18"/>
        <v>2.5598025316455697</v>
      </c>
      <c r="Q53">
        <f t="shared" si="19"/>
        <v>2.6689887088607591</v>
      </c>
      <c r="R53">
        <f t="shared" si="20"/>
        <v>1.0426541406477159</v>
      </c>
    </row>
    <row r="54" spans="1:18">
      <c r="A54">
        <v>80</v>
      </c>
      <c r="B54">
        <f>VLOOKUP(A54,[2]battleParameter.xml!$A$28:$D$107,3,0)</f>
        <v>4600</v>
      </c>
      <c r="C54">
        <f>战斗力成长!S19+战斗力成长!B19*战斗力成长!C$26</f>
        <v>19479.084999999999</v>
      </c>
      <c r="D54">
        <v>7</v>
      </c>
      <c r="E54">
        <f t="shared" si="13"/>
        <v>20842.62095</v>
      </c>
      <c r="F54">
        <f t="shared" si="14"/>
        <v>5.2345836956521739</v>
      </c>
      <c r="G54">
        <f t="shared" si="15"/>
        <v>5.5310045543478257</v>
      </c>
      <c r="H54">
        <f t="shared" si="16"/>
        <v>1.0566273988401136</v>
      </c>
      <c r="K54">
        <v>80</v>
      </c>
      <c r="L54">
        <f>VLOOKUP(K54,[2]battleParameter.xml!$A$28:$D$107,3,0)</f>
        <v>4600</v>
      </c>
      <c r="M54">
        <f>战斗力成长!S115</f>
        <v>7785.085</v>
      </c>
      <c r="N54">
        <v>7</v>
      </c>
      <c r="O54">
        <f t="shared" si="17"/>
        <v>8330.0409500000005</v>
      </c>
      <c r="P54">
        <f t="shared" si="18"/>
        <v>2.6924097826086961</v>
      </c>
      <c r="Q54">
        <f t="shared" si="19"/>
        <v>2.8108784673913045</v>
      </c>
      <c r="R54">
        <f t="shared" si="20"/>
        <v>1.0440009858632378</v>
      </c>
    </row>
    <row r="55" spans="1:18">
      <c r="A55">
        <v>85</v>
      </c>
      <c r="B55">
        <f>VLOOKUP(A55,[2]battleParameter.xml!$A$28:$D$107,3,0)</f>
        <v>5500</v>
      </c>
      <c r="C55">
        <f>战斗力成长!S20+战斗力成长!B20*战斗力成长!C$26</f>
        <v>23268.863999999998</v>
      </c>
      <c r="D55">
        <v>7</v>
      </c>
      <c r="E55">
        <f t="shared" si="13"/>
        <v>24897.68448</v>
      </c>
      <c r="F55">
        <f t="shared" si="14"/>
        <v>5.2307025454545446</v>
      </c>
      <c r="G55">
        <f t="shared" si="15"/>
        <v>5.5268517236363621</v>
      </c>
      <c r="H55">
        <f t="shared" si="16"/>
        <v>1.0566174764495393</v>
      </c>
      <c r="K55">
        <v>85</v>
      </c>
      <c r="L55">
        <f>VLOOKUP(K55,[2]battleParameter.xml!$A$28:$D$107,3,0)</f>
        <v>5500</v>
      </c>
      <c r="M55">
        <f>战斗力成长!S116</f>
        <v>10080.863999999998</v>
      </c>
      <c r="N55">
        <v>7</v>
      </c>
      <c r="O55">
        <f t="shared" si="17"/>
        <v>10786.524479999998</v>
      </c>
      <c r="P55">
        <f t="shared" si="18"/>
        <v>2.8328843636363628</v>
      </c>
      <c r="Q55">
        <f t="shared" si="19"/>
        <v>2.9611862690909088</v>
      </c>
      <c r="R55">
        <f t="shared" si="20"/>
        <v>1.045290202135132</v>
      </c>
    </row>
    <row r="56" spans="1:18">
      <c r="A56">
        <v>90</v>
      </c>
      <c r="B56">
        <f>VLOOKUP(A56,[2]battleParameter.xml!$A$28:$D$107,3,0)</f>
        <v>6650</v>
      </c>
      <c r="C56">
        <f>战斗力成长!S21+战斗力成长!B21*战斗力成长!C$26</f>
        <v>27872.238000000001</v>
      </c>
      <c r="D56">
        <v>7</v>
      </c>
      <c r="E56">
        <f t="shared" si="13"/>
        <v>29823.294660000003</v>
      </c>
      <c r="F56">
        <f t="shared" si="14"/>
        <v>5.1913139849624104</v>
      </c>
      <c r="G56">
        <f t="shared" si="15"/>
        <v>5.4847059639097777</v>
      </c>
      <c r="H56">
        <f t="shared" si="16"/>
        <v>1.0565159379296323</v>
      </c>
      <c r="K56">
        <v>90</v>
      </c>
      <c r="L56">
        <f>VLOOKUP(K56,[2]battleParameter.xml!$A$28:$D$107,3,0)</f>
        <v>6650</v>
      </c>
      <c r="M56">
        <f>战斗力成长!S117</f>
        <v>13100.238000000001</v>
      </c>
      <c r="N56">
        <v>7</v>
      </c>
      <c r="O56">
        <f t="shared" si="17"/>
        <v>14017.254660000002</v>
      </c>
      <c r="P56">
        <f t="shared" si="18"/>
        <v>2.9699606015037596</v>
      </c>
      <c r="Q56">
        <f t="shared" si="19"/>
        <v>3.1078578436090232</v>
      </c>
      <c r="R56">
        <f t="shared" si="20"/>
        <v>1.0464306637722545</v>
      </c>
    </row>
    <row r="57" spans="1:18">
      <c r="A57">
        <v>95</v>
      </c>
      <c r="B57">
        <f>VLOOKUP(A57,[2]battleParameter.xml!$A$28:$D$107,3,0)</f>
        <v>8050</v>
      </c>
      <c r="C57">
        <f>战斗力成长!S22+战斗力成长!B22*战斗力成长!C$26</f>
        <v>33439.152000000002</v>
      </c>
      <c r="D57">
        <v>7</v>
      </c>
      <c r="E57">
        <f t="shared" si="13"/>
        <v>35779.892640000005</v>
      </c>
      <c r="F57">
        <f t="shared" si="14"/>
        <v>5.1539319254658382</v>
      </c>
      <c r="G57">
        <f t="shared" si="15"/>
        <v>5.4447071602484485</v>
      </c>
      <c r="H57">
        <f t="shared" si="16"/>
        <v>1.0564181364805916</v>
      </c>
      <c r="K57">
        <v>95</v>
      </c>
      <c r="L57">
        <f>VLOOKUP(K57,[2]battleParameter.xml!$A$28:$D$107,3,0)</f>
        <v>8050</v>
      </c>
      <c r="M57">
        <f>战斗力成长!S118</f>
        <v>16993.152000000006</v>
      </c>
      <c r="N57">
        <v>7</v>
      </c>
      <c r="O57">
        <f t="shared" si="17"/>
        <v>18182.672640000008</v>
      </c>
      <c r="P57">
        <f t="shared" si="18"/>
        <v>3.1109505590062119</v>
      </c>
      <c r="Q57">
        <f t="shared" si="19"/>
        <v>3.2587170981366467</v>
      </c>
      <c r="R57">
        <f t="shared" si="20"/>
        <v>1.0474988388043167</v>
      </c>
    </row>
    <row r="58" spans="1:18">
      <c r="A58">
        <v>100</v>
      </c>
      <c r="B58">
        <f>VLOOKUP(A58,[2]battleParameter.xml!$A$28:$D$107,3,0)</f>
        <v>9700</v>
      </c>
      <c r="C58">
        <f>战斗力成长!S23+战斗力成长!B23*战斗力成长!C$26</f>
        <v>40211.683333333334</v>
      </c>
      <c r="D58">
        <v>7</v>
      </c>
      <c r="E58">
        <f t="shared" si="13"/>
        <v>43026.501166666669</v>
      </c>
      <c r="F58">
        <f t="shared" si="14"/>
        <v>5.1455343642611693</v>
      </c>
      <c r="G58">
        <f t="shared" si="15"/>
        <v>5.4357217697594491</v>
      </c>
      <c r="H58">
        <f t="shared" si="16"/>
        <v>1.0563959707496671</v>
      </c>
      <c r="K58">
        <v>100</v>
      </c>
      <c r="L58">
        <f>VLOOKUP(K58,[2]battleParameter.xml!$A$28:$D$107,3,0)</f>
        <v>9700</v>
      </c>
      <c r="M58">
        <f>战斗力成长!S119</f>
        <v>22001.683333333334</v>
      </c>
      <c r="N58">
        <v>7</v>
      </c>
      <c r="O58">
        <f t="shared" si="17"/>
        <v>23541.801166666668</v>
      </c>
      <c r="P58">
        <f t="shared" si="18"/>
        <v>3.268214776632302</v>
      </c>
      <c r="Q58">
        <f t="shared" si="19"/>
        <v>3.4269898109965635</v>
      </c>
      <c r="R58">
        <f t="shared" si="20"/>
        <v>1.0485815790013255</v>
      </c>
    </row>
  </sheetData>
  <phoneticPr fontId="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7"/>
  <dimension ref="A1:M21"/>
  <sheetViews>
    <sheetView workbookViewId="0">
      <selection activeCell="A28" sqref="A28:XFD32"/>
    </sheetView>
  </sheetViews>
  <sheetFormatPr defaultRowHeight="13.5"/>
  <cols>
    <col min="6" max="6" width="14" customWidth="1"/>
    <col min="12" max="12" width="12.125" customWidth="1"/>
  </cols>
  <sheetData>
    <row r="1" spans="1:13">
      <c r="F1" t="s">
        <v>331</v>
      </c>
      <c r="G1">
        <v>0.05</v>
      </c>
      <c r="H1" t="s">
        <v>330</v>
      </c>
      <c r="I1">
        <v>1000</v>
      </c>
      <c r="J1" t="s">
        <v>329</v>
      </c>
      <c r="K1">
        <v>2000</v>
      </c>
      <c r="L1" t="s">
        <v>337</v>
      </c>
      <c r="M1">
        <v>3000</v>
      </c>
    </row>
    <row r="6" spans="1:13">
      <c r="A6" t="s">
        <v>323</v>
      </c>
      <c r="E6" t="s">
        <v>333</v>
      </c>
      <c r="F6" t="s">
        <v>332</v>
      </c>
      <c r="G6" t="s">
        <v>334</v>
      </c>
      <c r="H6" t="s">
        <v>335</v>
      </c>
      <c r="J6" t="s">
        <v>336</v>
      </c>
    </row>
    <row r="7" spans="1:13">
      <c r="A7">
        <v>1</v>
      </c>
      <c r="B7">
        <v>1</v>
      </c>
      <c r="D7">
        <f>K$1+I$1*B7</f>
        <v>3000</v>
      </c>
      <c r="E7">
        <f>ROUND((1+G$1*A7)^3,2)</f>
        <v>1.1599999999999999</v>
      </c>
      <c r="F7">
        <f>(E7-1)/$D7*1000</f>
        <v>5.3333333333333309E-2</v>
      </c>
      <c r="G7">
        <v>1.1599999999999999</v>
      </c>
      <c r="H7">
        <f>(G7-1)/D7*1000</f>
        <v>5.3333333333333309E-2</v>
      </c>
      <c r="J7">
        <f>D7/M$1*3</f>
        <v>3</v>
      </c>
    </row>
    <row r="8" spans="1:13">
      <c r="A8">
        <v>2</v>
      </c>
      <c r="B8">
        <v>3</v>
      </c>
      <c r="D8">
        <f>K$1+I$1*SUM(B$7:B8)</f>
        <v>6000</v>
      </c>
      <c r="E8">
        <f t="shared" ref="E8:E21" si="0">ROUND((1+G$1*A8)^3,2)</f>
        <v>1.33</v>
      </c>
      <c r="F8">
        <f t="shared" ref="F8:F21" si="1">(E8-1)/$D8*1000</f>
        <v>5.5000000000000007E-2</v>
      </c>
      <c r="G8">
        <f>ROUND(E8/E7,2)</f>
        <v>1.1499999999999999</v>
      </c>
      <c r="H8">
        <f t="shared" ref="H8:H21" si="2">(G8-1)/D8*1000</f>
        <v>2.4999999999999984E-2</v>
      </c>
      <c r="J8">
        <f t="shared" ref="J8:J21" si="3">D8/M$1*3</f>
        <v>6</v>
      </c>
    </row>
    <row r="9" spans="1:13">
      <c r="A9">
        <v>3</v>
      </c>
      <c r="B9">
        <v>5</v>
      </c>
      <c r="D9">
        <f>K$1+I$1*SUM(B$6:B9)</f>
        <v>11000</v>
      </c>
      <c r="E9">
        <f t="shared" si="0"/>
        <v>1.52</v>
      </c>
      <c r="F9">
        <f t="shared" si="1"/>
        <v>4.7272727272727272E-2</v>
      </c>
      <c r="G9">
        <f t="shared" ref="G9:G21" si="4">ROUND(E9/E8,2)</f>
        <v>1.1399999999999999</v>
      </c>
      <c r="H9">
        <f t="shared" si="2"/>
        <v>1.2727272727272719E-2</v>
      </c>
      <c r="J9">
        <f t="shared" si="3"/>
        <v>11</v>
      </c>
    </row>
    <row r="10" spans="1:13">
      <c r="A10">
        <v>4</v>
      </c>
      <c r="B10">
        <f>B8+B9</f>
        <v>8</v>
      </c>
      <c r="D10">
        <f>K$1+I$1*SUM(B$6:B10)</f>
        <v>19000</v>
      </c>
      <c r="E10">
        <f t="shared" si="0"/>
        <v>1.73</v>
      </c>
      <c r="F10">
        <f t="shared" si="1"/>
        <v>3.8421052631578946E-2</v>
      </c>
      <c r="G10">
        <f t="shared" si="4"/>
        <v>1.1399999999999999</v>
      </c>
      <c r="H10">
        <f t="shared" si="2"/>
        <v>7.3684210526315744E-3</v>
      </c>
      <c r="J10">
        <f t="shared" si="3"/>
        <v>19</v>
      </c>
    </row>
    <row r="11" spans="1:13">
      <c r="A11">
        <v>5</v>
      </c>
      <c r="B11">
        <v>12</v>
      </c>
      <c r="D11">
        <f>K$1+I$1*SUM(B$6:B11)</f>
        <v>31000</v>
      </c>
      <c r="E11">
        <f t="shared" si="0"/>
        <v>1.95</v>
      </c>
      <c r="F11">
        <f t="shared" si="1"/>
        <v>3.0645161290322579E-2</v>
      </c>
      <c r="G11">
        <f t="shared" si="4"/>
        <v>1.1299999999999999</v>
      </c>
      <c r="H11">
        <f t="shared" si="2"/>
        <v>4.1935483870967714E-3</v>
      </c>
      <c r="J11">
        <f t="shared" si="3"/>
        <v>31</v>
      </c>
    </row>
    <row r="12" spans="1:13">
      <c r="A12">
        <v>6</v>
      </c>
      <c r="B12">
        <v>20</v>
      </c>
      <c r="D12">
        <f>K$1+I$1*SUM(B$6:B12)</f>
        <v>51000</v>
      </c>
      <c r="E12">
        <f t="shared" si="0"/>
        <v>2.2000000000000002</v>
      </c>
      <c r="F12">
        <f t="shared" si="1"/>
        <v>2.3529411764705885E-2</v>
      </c>
      <c r="G12">
        <f t="shared" si="4"/>
        <v>1.1299999999999999</v>
      </c>
      <c r="H12">
        <f t="shared" si="2"/>
        <v>2.5490196078431352E-3</v>
      </c>
      <c r="J12">
        <f t="shared" si="3"/>
        <v>51</v>
      </c>
    </row>
    <row r="13" spans="1:13">
      <c r="A13">
        <v>7</v>
      </c>
      <c r="B13">
        <v>24</v>
      </c>
      <c r="D13">
        <f>K$1+I$1*SUM(B$6:B13)</f>
        <v>75000</v>
      </c>
      <c r="E13">
        <f t="shared" si="0"/>
        <v>2.46</v>
      </c>
      <c r="F13">
        <f t="shared" si="1"/>
        <v>1.9466666666666667E-2</v>
      </c>
      <c r="G13">
        <f t="shared" si="4"/>
        <v>1.1200000000000001</v>
      </c>
      <c r="H13">
        <f t="shared" si="2"/>
        <v>1.6000000000000014E-3</v>
      </c>
      <c r="J13">
        <f t="shared" si="3"/>
        <v>75</v>
      </c>
    </row>
    <row r="14" spans="1:13">
      <c r="A14">
        <v>8</v>
      </c>
      <c r="B14">
        <v>27</v>
      </c>
      <c r="D14">
        <f>K$1+I$1*SUM(B$6:B14)</f>
        <v>102000</v>
      </c>
      <c r="E14">
        <f t="shared" si="0"/>
        <v>2.74</v>
      </c>
      <c r="F14">
        <f t="shared" si="1"/>
        <v>1.7058823529411765E-2</v>
      </c>
      <c r="G14">
        <f t="shared" si="4"/>
        <v>1.1100000000000001</v>
      </c>
      <c r="H14">
        <f t="shared" si="2"/>
        <v>1.0784313725490204E-3</v>
      </c>
      <c r="J14">
        <f t="shared" si="3"/>
        <v>102</v>
      </c>
    </row>
    <row r="15" spans="1:13">
      <c r="A15">
        <v>9</v>
      </c>
      <c r="B15">
        <v>30</v>
      </c>
      <c r="D15">
        <f>K$1+I$1*SUM(B$6:B15)</f>
        <v>132000</v>
      </c>
      <c r="E15">
        <f t="shared" si="0"/>
        <v>3.05</v>
      </c>
      <c r="F15">
        <f t="shared" si="1"/>
        <v>1.5530303030303028E-2</v>
      </c>
      <c r="G15">
        <f t="shared" si="4"/>
        <v>1.1100000000000001</v>
      </c>
      <c r="H15">
        <f t="shared" si="2"/>
        <v>8.3333333333333404E-4</v>
      </c>
      <c r="J15">
        <f t="shared" si="3"/>
        <v>132</v>
      </c>
    </row>
    <row r="16" spans="1:13">
      <c r="A16">
        <v>10</v>
      </c>
      <c r="B16">
        <v>33</v>
      </c>
      <c r="D16">
        <f>K$1+I$1*SUM(B$6:B16)</f>
        <v>165000</v>
      </c>
      <c r="E16">
        <f t="shared" si="0"/>
        <v>3.38</v>
      </c>
      <c r="F16">
        <f t="shared" si="1"/>
        <v>1.4424242424242423E-2</v>
      </c>
      <c r="G16">
        <f t="shared" si="4"/>
        <v>1.1100000000000001</v>
      </c>
      <c r="H16">
        <f t="shared" si="2"/>
        <v>6.6666666666666719E-4</v>
      </c>
      <c r="J16">
        <f t="shared" si="3"/>
        <v>165</v>
      </c>
    </row>
    <row r="17" spans="1:10">
      <c r="A17">
        <v>11</v>
      </c>
      <c r="B17">
        <v>36</v>
      </c>
      <c r="D17">
        <f>K$1+I$1*SUM(B$6:B17)</f>
        <v>201000</v>
      </c>
      <c r="E17">
        <f t="shared" si="0"/>
        <v>3.72</v>
      </c>
      <c r="F17">
        <f t="shared" si="1"/>
        <v>1.3532338308457712E-2</v>
      </c>
      <c r="G17">
        <f t="shared" si="4"/>
        <v>1.1000000000000001</v>
      </c>
      <c r="H17">
        <f t="shared" si="2"/>
        <v>4.9751243781094578E-4</v>
      </c>
      <c r="J17">
        <f t="shared" si="3"/>
        <v>201</v>
      </c>
    </row>
    <row r="18" spans="1:10">
      <c r="A18">
        <v>12</v>
      </c>
      <c r="B18">
        <v>39</v>
      </c>
      <c r="D18">
        <f>K$1+I$1*SUM(B$6:B18)</f>
        <v>240000</v>
      </c>
      <c r="E18">
        <f t="shared" si="0"/>
        <v>4.0999999999999996</v>
      </c>
      <c r="F18">
        <f t="shared" si="1"/>
        <v>1.2916666666666665E-2</v>
      </c>
      <c r="G18">
        <f t="shared" si="4"/>
        <v>1.1000000000000001</v>
      </c>
      <c r="H18">
        <f t="shared" si="2"/>
        <v>4.1666666666666702E-4</v>
      </c>
      <c r="J18">
        <f t="shared" si="3"/>
        <v>240</v>
      </c>
    </row>
    <row r="19" spans="1:10">
      <c r="A19">
        <v>13</v>
      </c>
      <c r="B19">
        <v>42</v>
      </c>
      <c r="D19">
        <f>K$1+I$1*SUM(B$6:B19)</f>
        <v>282000</v>
      </c>
      <c r="E19">
        <f t="shared" si="0"/>
        <v>4.49</v>
      </c>
      <c r="F19">
        <f t="shared" si="1"/>
        <v>1.2375886524822697E-2</v>
      </c>
      <c r="G19">
        <f t="shared" si="4"/>
        <v>1.1000000000000001</v>
      </c>
      <c r="H19">
        <f t="shared" si="2"/>
        <v>3.5460992907801453E-4</v>
      </c>
      <c r="J19">
        <f t="shared" si="3"/>
        <v>282</v>
      </c>
    </row>
    <row r="20" spans="1:10">
      <c r="A20">
        <v>14</v>
      </c>
      <c r="B20">
        <v>45</v>
      </c>
      <c r="D20">
        <f>K$1+I$1*SUM(B$6:B20)</f>
        <v>327000</v>
      </c>
      <c r="E20">
        <f t="shared" si="0"/>
        <v>4.91</v>
      </c>
      <c r="F20">
        <f t="shared" si="1"/>
        <v>1.1957186544342508E-2</v>
      </c>
      <c r="G20">
        <f t="shared" si="4"/>
        <v>1.0900000000000001</v>
      </c>
      <c r="H20">
        <f t="shared" si="2"/>
        <v>2.7522935779816538E-4</v>
      </c>
      <c r="J20">
        <f t="shared" si="3"/>
        <v>327</v>
      </c>
    </row>
    <row r="21" spans="1:10">
      <c r="A21">
        <v>15</v>
      </c>
      <c r="B21">
        <v>48</v>
      </c>
      <c r="D21">
        <f>K$1+I$1*SUM(B$6:B21)</f>
        <v>375000</v>
      </c>
      <c r="E21">
        <f t="shared" si="0"/>
        <v>5.36</v>
      </c>
      <c r="F21">
        <f t="shared" si="1"/>
        <v>1.1626666666666669E-2</v>
      </c>
      <c r="G21">
        <f t="shared" si="4"/>
        <v>1.0900000000000001</v>
      </c>
      <c r="H21">
        <f t="shared" si="2"/>
        <v>2.400000000000002E-4</v>
      </c>
      <c r="J21">
        <f t="shared" si="3"/>
        <v>375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天天挂机经验</vt:lpstr>
      <vt:lpstr>数值拟合</vt:lpstr>
      <vt:lpstr>特效</vt:lpstr>
      <vt:lpstr>经验值</vt:lpstr>
      <vt:lpstr>等级属性</vt:lpstr>
      <vt:lpstr>强化规则</vt:lpstr>
      <vt:lpstr>战斗力成长</vt:lpstr>
      <vt:lpstr>装备属性设计</vt:lpstr>
      <vt:lpstr>地图强度</vt:lpstr>
      <vt:lpstr>佣兵培养</vt:lpstr>
      <vt:lpstr>魔兽估算</vt:lpstr>
      <vt:lpstr>神器强度</vt:lpstr>
      <vt:lpstr>神器经验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2014-07-31T17:45:00Z</dcterms:created>
  <dcterms:modified xsi:type="dcterms:W3CDTF">2014-10-29T15:30:45Z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2052-9.1.0.4764</vt:lpwstr>
  </property>
</Properties>
</file>