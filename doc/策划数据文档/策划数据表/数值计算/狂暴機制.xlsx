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3" sheetId="3" r:id="rId2"/>
  </sheets>
  <calcPr calcId="124519"/>
</workbook>
</file>

<file path=xl/calcChain.xml><?xml version="1.0" encoding="utf-8"?>
<calcChain xmlns="http://schemas.openxmlformats.org/spreadsheetml/2006/main">
  <c r="N4" i="1"/>
  <c r="K4" s="1"/>
  <c r="F10"/>
  <c r="F12"/>
  <c r="F18"/>
  <c r="F20"/>
  <c r="F16"/>
  <c r="E3"/>
  <c r="F3"/>
  <c r="E4"/>
  <c r="E5"/>
  <c r="F5"/>
  <c r="E6"/>
  <c r="F6"/>
  <c r="E7"/>
  <c r="F7"/>
  <c r="E8"/>
  <c r="F8"/>
  <c r="E9"/>
  <c r="F9"/>
  <c r="E10"/>
  <c r="E11"/>
  <c r="F11"/>
  <c r="E12"/>
  <c r="E13"/>
  <c r="F13"/>
  <c r="E14"/>
  <c r="F14"/>
  <c r="E15"/>
  <c r="F15"/>
  <c r="E16"/>
  <c r="E17"/>
  <c r="F17"/>
  <c r="E18"/>
  <c r="E19"/>
  <c r="F19"/>
  <c r="E20"/>
  <c r="E21"/>
  <c r="F21"/>
  <c r="N3"/>
  <c r="K3" s="1"/>
  <c r="N5"/>
  <c r="K5" s="1"/>
  <c r="N6"/>
  <c r="K6" s="1"/>
  <c r="N7"/>
  <c r="K7" s="1"/>
  <c r="N8"/>
  <c r="K8" s="1"/>
  <c r="N9"/>
  <c r="K9" s="1"/>
  <c r="N11"/>
  <c r="K11" s="1"/>
  <c r="N12"/>
  <c r="K12" s="1"/>
  <c r="N13"/>
  <c r="K13" s="1"/>
  <c r="N14"/>
  <c r="K14" s="1"/>
  <c r="N15"/>
  <c r="K15" s="1"/>
  <c r="N17"/>
  <c r="K17" s="1"/>
  <c r="N18"/>
  <c r="K18" s="1"/>
  <c r="K19"/>
  <c r="N19"/>
  <c r="N20"/>
  <c r="K20" s="1"/>
  <c r="N21"/>
  <c r="K21" s="1"/>
  <c r="E2"/>
  <c r="F2"/>
  <c r="G13" l="1"/>
  <c r="G21"/>
  <c r="G9"/>
  <c r="G10"/>
  <c r="N10"/>
  <c r="K10" s="1"/>
  <c r="F4"/>
  <c r="G4" s="1"/>
  <c r="G5"/>
  <c r="G19"/>
  <c r="N16"/>
  <c r="G16" s="1"/>
  <c r="G17"/>
  <c r="G14"/>
  <c r="G8"/>
  <c r="G3"/>
  <c r="G7"/>
  <c r="G18"/>
  <c r="G11"/>
  <c r="G12"/>
  <c r="G20"/>
  <c r="G15"/>
  <c r="G6"/>
  <c r="K16" l="1"/>
  <c r="C5" i="3" l="1"/>
  <c r="D5" s="1"/>
  <c r="E5" s="1"/>
  <c r="F5" s="1"/>
  <c r="G5" s="1"/>
  <c r="H5" s="1"/>
  <c r="I5" l="1"/>
  <c r="N2" i="1" l="1"/>
  <c r="K2" l="1"/>
  <c r="G2"/>
  <c r="I8"/>
  <c r="I12" l="1"/>
  <c r="I20"/>
  <c r="I7"/>
  <c r="I6"/>
  <c r="I14"/>
  <c r="I9"/>
  <c r="I17"/>
  <c r="I2"/>
  <c r="I16"/>
  <c r="I11"/>
  <c r="I18"/>
  <c r="I21"/>
  <c r="I4"/>
  <c r="I3"/>
  <c r="I19"/>
  <c r="I10"/>
  <c r="I5"/>
  <c r="I13"/>
  <c r="I15"/>
</calcChain>
</file>

<file path=xl/sharedStrings.xml><?xml version="1.0" encoding="utf-8"?>
<sst xmlns="http://schemas.openxmlformats.org/spreadsheetml/2006/main" count="15" uniqueCount="15">
  <si>
    <t>玩家输出</t>
    <phoneticPr fontId="1" type="noConversion"/>
  </si>
  <si>
    <t>BOSS血量</t>
    <phoneticPr fontId="1" type="noConversion"/>
  </si>
  <si>
    <t>狂暴回合</t>
    <phoneticPr fontId="1" type="noConversion"/>
  </si>
  <si>
    <t>狂暴伤害</t>
    <phoneticPr fontId="1" type="noConversion"/>
  </si>
  <si>
    <t>BOSS攻击力</t>
    <phoneticPr fontId="1" type="noConversion"/>
  </si>
  <si>
    <t>通过BOSS所需EHP</t>
    <phoneticPr fontId="1" type="noConversion"/>
  </si>
  <si>
    <t>所需回合</t>
    <phoneticPr fontId="1" type="noConversion"/>
  </si>
  <si>
    <t>回血EHP</t>
    <phoneticPr fontId="1" type="noConversion"/>
  </si>
  <si>
    <t>吸血EHP</t>
    <phoneticPr fontId="1" type="noConversion"/>
  </si>
  <si>
    <t>减伤</t>
    <phoneticPr fontId="1" type="noConversion"/>
  </si>
  <si>
    <t>HP</t>
    <phoneticPr fontId="1" type="noConversion"/>
  </si>
  <si>
    <t>EHP</t>
    <phoneticPr fontId="1" type="noConversion"/>
  </si>
  <si>
    <t>回血神器</t>
    <phoneticPr fontId="1" type="noConversion"/>
  </si>
  <si>
    <t>吸血神器</t>
    <phoneticPr fontId="1" type="noConversion"/>
  </si>
  <si>
    <t>比值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</si>
</sst>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smoothMarker"/>
        <c:ser>
          <c:idx val="0"/>
          <c:order val="0"/>
          <c:marker>
            <c:symbol val="none"/>
          </c:marker>
          <c:xVal>
            <c:numRef>
              <c:f>Sheet1!$B$2:$B$21</c:f>
              <c:numCache>
                <c:formatCode>General</c:formatCode>
                <c:ptCount val="20"/>
                <c:pt idx="0">
                  <c:v>49850</c:v>
                </c:pt>
                <c:pt idx="1">
                  <c:v>51400</c:v>
                </c:pt>
                <c:pt idx="2">
                  <c:v>52950</c:v>
                </c:pt>
                <c:pt idx="3">
                  <c:v>54500</c:v>
                </c:pt>
                <c:pt idx="4">
                  <c:v>56050</c:v>
                </c:pt>
                <c:pt idx="5">
                  <c:v>57600</c:v>
                </c:pt>
                <c:pt idx="6">
                  <c:v>59150</c:v>
                </c:pt>
                <c:pt idx="7">
                  <c:v>60700</c:v>
                </c:pt>
                <c:pt idx="8">
                  <c:v>62250</c:v>
                </c:pt>
                <c:pt idx="9">
                  <c:v>63800</c:v>
                </c:pt>
                <c:pt idx="10">
                  <c:v>65350</c:v>
                </c:pt>
                <c:pt idx="11">
                  <c:v>66900</c:v>
                </c:pt>
                <c:pt idx="12">
                  <c:v>68450</c:v>
                </c:pt>
                <c:pt idx="13">
                  <c:v>70000</c:v>
                </c:pt>
                <c:pt idx="14">
                  <c:v>71550</c:v>
                </c:pt>
                <c:pt idx="15">
                  <c:v>73100</c:v>
                </c:pt>
                <c:pt idx="16">
                  <c:v>74650</c:v>
                </c:pt>
                <c:pt idx="17">
                  <c:v>76200</c:v>
                </c:pt>
                <c:pt idx="18">
                  <c:v>77750</c:v>
                </c:pt>
                <c:pt idx="19">
                  <c:v>99999</c:v>
                </c:pt>
              </c:numCache>
            </c:numRef>
          </c:xVal>
          <c:yVal>
            <c:numRef>
              <c:f>Sheet1!$H$2:$H$21</c:f>
              <c:numCache>
                <c:formatCode>General</c:formatCode>
                <c:ptCount val="20"/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trendline>
            <c:trendlineType val="power"/>
            <c:dispEq val="1"/>
            <c:trendlineLbl>
              <c:layout>
                <c:manualLayout>
                  <c:x val="-0.16708989501312341"/>
                  <c:y val="-0.13108377077865255"/>
                </c:manualLayout>
              </c:layout>
              <c:numFmt formatCode="General" sourceLinked="0"/>
            </c:trendlineLbl>
          </c:trendline>
          <c:xVal>
            <c:numRef>
              <c:f>Sheet1!$B$2:$B$21</c:f>
              <c:numCache>
                <c:formatCode>General</c:formatCode>
                <c:ptCount val="20"/>
                <c:pt idx="0">
                  <c:v>49850</c:v>
                </c:pt>
                <c:pt idx="1">
                  <c:v>51400</c:v>
                </c:pt>
                <c:pt idx="2">
                  <c:v>52950</c:v>
                </c:pt>
                <c:pt idx="3">
                  <c:v>54500</c:v>
                </c:pt>
                <c:pt idx="4">
                  <c:v>56050</c:v>
                </c:pt>
                <c:pt idx="5">
                  <c:v>57600</c:v>
                </c:pt>
                <c:pt idx="6">
                  <c:v>59150</c:v>
                </c:pt>
                <c:pt idx="7">
                  <c:v>60700</c:v>
                </c:pt>
                <c:pt idx="8">
                  <c:v>62250</c:v>
                </c:pt>
                <c:pt idx="9">
                  <c:v>63800</c:v>
                </c:pt>
                <c:pt idx="10">
                  <c:v>65350</c:v>
                </c:pt>
                <c:pt idx="11">
                  <c:v>66900</c:v>
                </c:pt>
                <c:pt idx="12">
                  <c:v>68450</c:v>
                </c:pt>
                <c:pt idx="13">
                  <c:v>70000</c:v>
                </c:pt>
                <c:pt idx="14">
                  <c:v>71550</c:v>
                </c:pt>
                <c:pt idx="15">
                  <c:v>73100</c:v>
                </c:pt>
                <c:pt idx="16">
                  <c:v>74650</c:v>
                </c:pt>
                <c:pt idx="17">
                  <c:v>76200</c:v>
                </c:pt>
                <c:pt idx="18">
                  <c:v>77750</c:v>
                </c:pt>
                <c:pt idx="19">
                  <c:v>99999</c:v>
                </c:pt>
              </c:numCache>
            </c:numRef>
          </c:xVal>
          <c:yVal>
            <c:numRef>
              <c:f>Sheet1!$K$2:$K$21</c:f>
              <c:numCache>
                <c:formatCode>General</c:formatCode>
                <c:ptCount val="20"/>
                <c:pt idx="0">
                  <c:v>15132469.384080021</c:v>
                </c:pt>
                <c:pt idx="1">
                  <c:v>13829374.55525443</c:v>
                </c:pt>
                <c:pt idx="2">
                  <c:v>12660359.685094975</c:v>
                </c:pt>
                <c:pt idx="3">
                  <c:v>11609194.512246443</c:v>
                </c:pt>
                <c:pt idx="4">
                  <c:v>10661959.334447946</c:v>
                </c:pt>
                <c:pt idx="5">
                  <c:v>9806666.6666666642</c:v>
                </c:pt>
                <c:pt idx="6">
                  <c:v>9032952.7134546973</c:v>
                </c:pt>
                <c:pt idx="7">
                  <c:v>8331824.3773222342</c:v>
                </c:pt>
                <c:pt idx="8">
                  <c:v>7695450.7185367998</c:v>
                </c:pt>
                <c:pt idx="9">
                  <c:v>7116990.2025333876</c:v>
                </c:pt>
                <c:pt idx="10">
                  <c:v>6590446.9196235463</c:v>
                </c:pt>
                <c:pt idx="11">
                  <c:v>6110550.383076272</c:v>
                </c:pt>
                <c:pt idx="12">
                  <c:v>5672654.6118503157</c:v>
                </c:pt>
                <c:pt idx="13">
                  <c:v>5272653.0612244885</c:v>
                </c:pt>
                <c:pt idx="14">
                  <c:v>4906906.63607716</c:v>
                </c:pt>
                <c:pt idx="15">
                  <c:v>4572182.5507475268</c:v>
                </c:pt>
                <c:pt idx="16">
                  <c:v>4265602.2187040299</c:v>
                </c:pt>
                <c:pt idx="17">
                  <c:v>3984596.6891933787</c:v>
                </c:pt>
                <c:pt idx="18">
                  <c:v>3726868.4153389651</c:v>
                </c:pt>
                <c:pt idx="19">
                  <c:v>1680046.8013320218</c:v>
                </c:pt>
              </c:numCache>
            </c:numRef>
          </c:yVal>
          <c:smooth val="1"/>
        </c:ser>
        <c:axId val="73743744"/>
        <c:axId val="76181888"/>
      </c:scatterChart>
      <c:valAx>
        <c:axId val="73743744"/>
        <c:scaling>
          <c:orientation val="minMax"/>
        </c:scaling>
        <c:axPos val="b"/>
        <c:numFmt formatCode="General" sourceLinked="1"/>
        <c:tickLblPos val="nextTo"/>
        <c:crossAx val="76181888"/>
        <c:crosses val="autoZero"/>
        <c:crossBetween val="midCat"/>
      </c:valAx>
      <c:valAx>
        <c:axId val="76181888"/>
        <c:scaling>
          <c:orientation val="minMax"/>
        </c:scaling>
        <c:axPos val="l"/>
        <c:majorGridlines/>
        <c:numFmt formatCode="General" sourceLinked="1"/>
        <c:tickLblPos val="nextTo"/>
        <c:crossAx val="7374374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495300</xdr:colOff>
      <xdr:row>1</xdr:row>
      <xdr:rowOff>38100</xdr:rowOff>
    </xdr:from>
    <xdr:to>
      <xdr:col>24</xdr:col>
      <xdr:colOff>266700</xdr:colOff>
      <xdr:row>19</xdr:row>
      <xdr:rowOff>66675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tabSelected="1" workbookViewId="0">
      <selection activeCell="G21" sqref="G21"/>
    </sheetView>
  </sheetViews>
  <sheetFormatPr defaultRowHeight="13.5"/>
  <cols>
    <col min="5" max="5" width="9.5" bestFit="1" customWidth="1"/>
    <col min="7" max="7" width="10.5" bestFit="1" customWidth="1"/>
    <col min="11" max="11" width="12" customWidth="1"/>
    <col min="13" max="13" width="9.5" bestFit="1" customWidth="1"/>
  </cols>
  <sheetData>
    <row r="1" spans="2:16">
      <c r="B1" t="s">
        <v>0</v>
      </c>
      <c r="C1" t="s">
        <v>10</v>
      </c>
      <c r="D1" t="s">
        <v>9</v>
      </c>
      <c r="E1" t="s">
        <v>7</v>
      </c>
      <c r="F1" t="s">
        <v>8</v>
      </c>
      <c r="G1" t="s">
        <v>11</v>
      </c>
      <c r="I1" t="s">
        <v>14</v>
      </c>
      <c r="K1" t="s">
        <v>5</v>
      </c>
      <c r="L1" t="s">
        <v>4</v>
      </c>
      <c r="M1" t="s">
        <v>1</v>
      </c>
      <c r="N1" t="s">
        <v>6</v>
      </c>
      <c r="O1" t="s">
        <v>2</v>
      </c>
      <c r="P1" t="s">
        <v>3</v>
      </c>
    </row>
    <row r="2" spans="2:16">
      <c r="B2">
        <v>49850</v>
      </c>
      <c r="C2">
        <v>140000</v>
      </c>
      <c r="D2">
        <v>0.9</v>
      </c>
      <c r="E2">
        <f t="shared" ref="E2" si="0">C2/(1-D2)*B$27/100</f>
        <v>28000.000000000004</v>
      </c>
      <c r="F2">
        <f>B2*B$28/100/(1-D2)*0.5*0.84</f>
        <v>50248.80000000001</v>
      </c>
      <c r="G2">
        <f t="shared" ref="G2" si="1">C2/(1-D2)+(E2+F2)*N2</f>
        <v>5167244.1323971925</v>
      </c>
      <c r="I2">
        <f t="shared" ref="I2:I20" si="2">G2/K2</f>
        <v>0.34146734424147229</v>
      </c>
      <c r="K2">
        <f t="shared" ref="K2" si="3">IF(M2/B2&lt;O2,(M2/B2*L2),(O2-1)*L2+(N2-O2)/2*(L2*(1+P2)+L2*(1+P2*(N2-O2))))</f>
        <v>15132469.384080021</v>
      </c>
      <c r="L2">
        <v>60000</v>
      </c>
      <c r="M2">
        <v>2400000</v>
      </c>
      <c r="N2">
        <f t="shared" ref="N2" si="4">M2/B2</f>
        <v>48.144433299899696</v>
      </c>
      <c r="O2">
        <v>20</v>
      </c>
      <c r="P2">
        <v>0.5</v>
      </c>
    </row>
    <row r="3" spans="2:16">
      <c r="B3">
        <v>51400</v>
      </c>
      <c r="C3">
        <v>140000</v>
      </c>
      <c r="D3">
        <v>0.9</v>
      </c>
      <c r="E3">
        <f t="shared" ref="E3:E21" si="5">C3/(1-D3)*B$27/100</f>
        <v>28000.000000000004</v>
      </c>
      <c r="F3">
        <f t="shared" ref="F3:F21" si="6">B3*B$28/100/(1-D3)*0.5*0.84</f>
        <v>51811.200000000012</v>
      </c>
      <c r="G3">
        <f t="shared" ref="G3:G21" si="7">C3/(1-D3)+(E3+F3)*N3</f>
        <v>5126592.9961089501</v>
      </c>
      <c r="I3">
        <f t="shared" si="2"/>
        <v>0.37070317067673292</v>
      </c>
      <c r="K3">
        <f t="shared" ref="K3:K21" si="8">IF(M3/B3&lt;O3,(M3/B3*L3),(O3-1)*L3+(N3-O3)/2*(L3*(1+P3)+L3*(1+P3*(N3-O3))))</f>
        <v>13829374.55525443</v>
      </c>
      <c r="L3">
        <v>60000</v>
      </c>
      <c r="M3">
        <v>2400000</v>
      </c>
      <c r="N3">
        <f t="shared" ref="N3:N21" si="9">M3/B3</f>
        <v>46.692607003891048</v>
      </c>
      <c r="O3">
        <v>20</v>
      </c>
      <c r="P3">
        <v>0.5</v>
      </c>
    </row>
    <row r="4" spans="2:16">
      <c r="B4">
        <v>52950</v>
      </c>
      <c r="C4">
        <v>140000</v>
      </c>
      <c r="D4">
        <v>0.9</v>
      </c>
      <c r="E4">
        <f t="shared" si="5"/>
        <v>28000.000000000004</v>
      </c>
      <c r="F4">
        <f t="shared" si="6"/>
        <v>53373.600000000013</v>
      </c>
      <c r="G4">
        <f t="shared" si="7"/>
        <v>5088321.8130311621</v>
      </c>
      <c r="I4">
        <f t="shared" si="2"/>
        <v>0.40190973555211362</v>
      </c>
      <c r="K4">
        <f t="shared" si="8"/>
        <v>12660359.685094975</v>
      </c>
      <c r="L4">
        <v>60000</v>
      </c>
      <c r="M4">
        <v>2400000</v>
      </c>
      <c r="N4">
        <f t="shared" si="9"/>
        <v>45.325779036827193</v>
      </c>
      <c r="O4">
        <v>20</v>
      </c>
      <c r="P4">
        <v>0.5</v>
      </c>
    </row>
    <row r="5" spans="2:16">
      <c r="B5">
        <v>54500</v>
      </c>
      <c r="C5">
        <v>140000</v>
      </c>
      <c r="D5">
        <v>0.9</v>
      </c>
      <c r="E5">
        <f t="shared" si="5"/>
        <v>28000.000000000004</v>
      </c>
      <c r="F5">
        <f t="shared" si="6"/>
        <v>54936.000000000007</v>
      </c>
      <c r="G5">
        <f t="shared" si="7"/>
        <v>5052227.5229357807</v>
      </c>
      <c r="I5">
        <f t="shared" si="2"/>
        <v>0.43519190910327393</v>
      </c>
      <c r="K5">
        <f t="shared" si="8"/>
        <v>11609194.512246443</v>
      </c>
      <c r="L5">
        <v>60000</v>
      </c>
      <c r="M5">
        <v>2400000</v>
      </c>
      <c r="N5">
        <f t="shared" si="9"/>
        <v>44.036697247706421</v>
      </c>
      <c r="O5">
        <v>20</v>
      </c>
      <c r="P5">
        <v>0.5</v>
      </c>
    </row>
    <row r="6" spans="2:16">
      <c r="B6">
        <v>56050</v>
      </c>
      <c r="C6">
        <v>140000</v>
      </c>
      <c r="D6">
        <v>0.9</v>
      </c>
      <c r="E6">
        <f t="shared" si="5"/>
        <v>28000.000000000004</v>
      </c>
      <c r="F6">
        <f t="shared" si="6"/>
        <v>56498.400000000009</v>
      </c>
      <c r="G6">
        <f t="shared" si="7"/>
        <v>5018129.5272078505</v>
      </c>
      <c r="I6">
        <f t="shared" si="2"/>
        <v>0.47065735009836995</v>
      </c>
      <c r="K6">
        <f t="shared" si="8"/>
        <v>10661959.334447946</v>
      </c>
      <c r="L6">
        <v>60000</v>
      </c>
      <c r="M6">
        <v>2400000</v>
      </c>
      <c r="N6">
        <f t="shared" si="9"/>
        <v>42.818911685994649</v>
      </c>
      <c r="O6">
        <v>20</v>
      </c>
      <c r="P6">
        <v>0.5</v>
      </c>
    </row>
    <row r="7" spans="2:16">
      <c r="B7">
        <v>57600</v>
      </c>
      <c r="C7">
        <v>140000</v>
      </c>
      <c r="D7">
        <v>0.9</v>
      </c>
      <c r="E7">
        <f t="shared" si="5"/>
        <v>28000.000000000004</v>
      </c>
      <c r="F7">
        <f t="shared" si="6"/>
        <v>58060.80000000001</v>
      </c>
      <c r="G7">
        <f t="shared" si="7"/>
        <v>4985866.666666667</v>
      </c>
      <c r="I7">
        <f t="shared" si="2"/>
        <v>0.50841604350781799</v>
      </c>
      <c r="K7">
        <f t="shared" si="8"/>
        <v>9806666.6666666642</v>
      </c>
      <c r="L7">
        <v>60000</v>
      </c>
      <c r="M7">
        <v>2400000</v>
      </c>
      <c r="N7">
        <f t="shared" si="9"/>
        <v>41.666666666666664</v>
      </c>
      <c r="O7">
        <v>20</v>
      </c>
      <c r="P7">
        <v>0.5</v>
      </c>
    </row>
    <row r="8" spans="2:16">
      <c r="B8">
        <v>59150</v>
      </c>
      <c r="C8">
        <v>140000</v>
      </c>
      <c r="D8">
        <v>0.9</v>
      </c>
      <c r="E8">
        <f t="shared" si="5"/>
        <v>28000.000000000004</v>
      </c>
      <c r="F8">
        <f t="shared" si="6"/>
        <v>59623.200000000012</v>
      </c>
      <c r="G8">
        <f t="shared" si="7"/>
        <v>4955294.6745562134</v>
      </c>
      <c r="I8">
        <f t="shared" si="2"/>
        <v>0.54857972046894909</v>
      </c>
      <c r="K8">
        <f t="shared" si="8"/>
        <v>9032952.7134546973</v>
      </c>
      <c r="L8">
        <v>60000</v>
      </c>
      <c r="M8">
        <v>2400000</v>
      </c>
      <c r="N8">
        <f t="shared" si="9"/>
        <v>40.574809805579036</v>
      </c>
      <c r="O8">
        <v>20</v>
      </c>
      <c r="P8">
        <v>0.5</v>
      </c>
    </row>
    <row r="9" spans="2:16">
      <c r="B9">
        <v>60700</v>
      </c>
      <c r="C9">
        <v>140000</v>
      </c>
      <c r="D9">
        <v>0.9</v>
      </c>
      <c r="E9">
        <f t="shared" si="5"/>
        <v>28000.000000000004</v>
      </c>
      <c r="F9">
        <f t="shared" si="6"/>
        <v>61185.600000000013</v>
      </c>
      <c r="G9">
        <f t="shared" si="7"/>
        <v>4926284.0197693584</v>
      </c>
      <c r="I9">
        <f t="shared" si="2"/>
        <v>0.59126114481935554</v>
      </c>
      <c r="K9">
        <f t="shared" si="8"/>
        <v>8331824.3773222342</v>
      </c>
      <c r="L9">
        <v>60000</v>
      </c>
      <c r="M9">
        <v>2400000</v>
      </c>
      <c r="N9">
        <f t="shared" si="9"/>
        <v>39.538714991762767</v>
      </c>
      <c r="O9">
        <v>20</v>
      </c>
      <c r="P9">
        <v>0.5</v>
      </c>
    </row>
    <row r="10" spans="2:16">
      <c r="B10">
        <v>62250</v>
      </c>
      <c r="C10">
        <v>140000</v>
      </c>
      <c r="D10">
        <v>0.9</v>
      </c>
      <c r="E10">
        <f t="shared" si="5"/>
        <v>28000.000000000004</v>
      </c>
      <c r="F10">
        <f t="shared" si="6"/>
        <v>62748.000000000007</v>
      </c>
      <c r="G10">
        <f t="shared" si="7"/>
        <v>4898718.0722891577</v>
      </c>
      <c r="I10">
        <f t="shared" si="2"/>
        <v>0.63657324976289265</v>
      </c>
      <c r="K10">
        <f t="shared" si="8"/>
        <v>7695450.7185367998</v>
      </c>
      <c r="L10">
        <v>60000</v>
      </c>
      <c r="M10">
        <v>2400000</v>
      </c>
      <c r="N10">
        <f t="shared" si="9"/>
        <v>38.554216867469883</v>
      </c>
      <c r="O10">
        <v>20</v>
      </c>
      <c r="P10">
        <v>0.5</v>
      </c>
    </row>
    <row r="11" spans="2:16">
      <c r="B11">
        <v>63800</v>
      </c>
      <c r="C11">
        <v>140000</v>
      </c>
      <c r="D11">
        <v>0.9</v>
      </c>
      <c r="E11">
        <f t="shared" si="5"/>
        <v>28000.000000000004</v>
      </c>
      <c r="F11">
        <f t="shared" si="6"/>
        <v>64310.400000000009</v>
      </c>
      <c r="G11">
        <f t="shared" si="7"/>
        <v>4872491.5360501576</v>
      </c>
      <c r="I11">
        <f t="shared" si="2"/>
        <v>0.6846281078644354</v>
      </c>
      <c r="K11">
        <f t="shared" si="8"/>
        <v>7116990.2025333876</v>
      </c>
      <c r="L11">
        <v>60000</v>
      </c>
      <c r="M11">
        <v>2400000</v>
      </c>
      <c r="N11">
        <f t="shared" si="9"/>
        <v>37.61755485893417</v>
      </c>
      <c r="O11">
        <v>20</v>
      </c>
      <c r="P11">
        <v>0.5</v>
      </c>
    </row>
    <row r="12" spans="2:16">
      <c r="B12">
        <v>65350</v>
      </c>
      <c r="C12">
        <v>140000</v>
      </c>
      <c r="D12">
        <v>0.9</v>
      </c>
      <c r="E12">
        <f t="shared" si="5"/>
        <v>28000.000000000004</v>
      </c>
      <c r="F12">
        <f t="shared" si="6"/>
        <v>65872.800000000003</v>
      </c>
      <c r="G12">
        <f t="shared" si="7"/>
        <v>4847509.1048201993</v>
      </c>
      <c r="I12">
        <f t="shared" si="2"/>
        <v>0.73553571767437809</v>
      </c>
      <c r="K12">
        <f t="shared" si="8"/>
        <v>6590446.9196235463</v>
      </c>
      <c r="L12">
        <v>60000</v>
      </c>
      <c r="M12">
        <v>2400000</v>
      </c>
      <c r="N12">
        <f t="shared" si="9"/>
        <v>36.725325172149965</v>
      </c>
      <c r="O12">
        <v>20</v>
      </c>
      <c r="P12">
        <v>0.5</v>
      </c>
    </row>
    <row r="13" spans="2:16">
      <c r="B13">
        <v>66900</v>
      </c>
      <c r="C13">
        <v>140000</v>
      </c>
      <c r="D13">
        <v>0.9</v>
      </c>
      <c r="E13">
        <f t="shared" si="5"/>
        <v>28000.000000000004</v>
      </c>
      <c r="F13">
        <f t="shared" si="6"/>
        <v>67435.200000000012</v>
      </c>
      <c r="G13">
        <f t="shared" si="7"/>
        <v>4823684.3049327359</v>
      </c>
      <c r="I13">
        <f t="shared" si="2"/>
        <v>0.78940259101575705</v>
      </c>
      <c r="K13">
        <f t="shared" si="8"/>
        <v>6110550.383076272</v>
      </c>
      <c r="L13">
        <v>60000</v>
      </c>
      <c r="M13">
        <v>2400000</v>
      </c>
      <c r="N13">
        <f t="shared" si="9"/>
        <v>35.874439461883405</v>
      </c>
      <c r="O13">
        <v>20</v>
      </c>
      <c r="P13">
        <v>0.5</v>
      </c>
    </row>
    <row r="14" spans="2:16">
      <c r="B14">
        <v>68450</v>
      </c>
      <c r="C14">
        <v>140000</v>
      </c>
      <c r="D14">
        <v>0.9</v>
      </c>
      <c r="E14">
        <f t="shared" si="5"/>
        <v>28000.000000000004</v>
      </c>
      <c r="F14">
        <f t="shared" si="6"/>
        <v>68997.600000000006</v>
      </c>
      <c r="G14">
        <f t="shared" si="7"/>
        <v>4800938.4952520095</v>
      </c>
      <c r="I14">
        <f t="shared" si="2"/>
        <v>0.84633012650245443</v>
      </c>
      <c r="K14">
        <f t="shared" si="8"/>
        <v>5672654.6118503157</v>
      </c>
      <c r="L14">
        <v>60000</v>
      </c>
      <c r="M14">
        <v>2400000</v>
      </c>
      <c r="N14">
        <f t="shared" si="9"/>
        <v>35.06208911614317</v>
      </c>
      <c r="O14">
        <v>20</v>
      </c>
      <c r="P14">
        <v>0.5</v>
      </c>
    </row>
    <row r="15" spans="2:16">
      <c r="B15">
        <v>70000</v>
      </c>
      <c r="C15">
        <v>140000</v>
      </c>
      <c r="D15">
        <v>0.9</v>
      </c>
      <c r="E15">
        <f t="shared" si="5"/>
        <v>28000.000000000004</v>
      </c>
      <c r="F15">
        <f t="shared" si="6"/>
        <v>70560.000000000015</v>
      </c>
      <c r="G15">
        <f t="shared" si="7"/>
        <v>4779200.0000000009</v>
      </c>
      <c r="I15">
        <f t="shared" si="2"/>
        <v>0.90641275739278571</v>
      </c>
      <c r="K15">
        <f t="shared" si="8"/>
        <v>5272653.0612244885</v>
      </c>
      <c r="L15">
        <v>60000</v>
      </c>
      <c r="M15">
        <v>2400000</v>
      </c>
      <c r="N15">
        <f t="shared" si="9"/>
        <v>34.285714285714285</v>
      </c>
      <c r="O15">
        <v>20</v>
      </c>
      <c r="P15">
        <v>0.5</v>
      </c>
    </row>
    <row r="16" spans="2:16">
      <c r="B16">
        <v>71550</v>
      </c>
      <c r="C16">
        <v>120000</v>
      </c>
      <c r="D16">
        <v>0.9</v>
      </c>
      <c r="E16">
        <f t="shared" si="5"/>
        <v>24000.000000000004</v>
      </c>
      <c r="F16">
        <f>B16*B$28/100/(1-D16)</f>
        <v>171720.00000000003</v>
      </c>
      <c r="G16">
        <f t="shared" si="7"/>
        <v>7765031.4465408819</v>
      </c>
      <c r="I16">
        <f t="shared" si="2"/>
        <v>1.5824697762639024</v>
      </c>
      <c r="K16">
        <f t="shared" si="8"/>
        <v>4906906.63607716</v>
      </c>
      <c r="L16">
        <v>60000</v>
      </c>
      <c r="M16">
        <v>2400000</v>
      </c>
      <c r="N16">
        <f t="shared" si="9"/>
        <v>33.542976939203356</v>
      </c>
      <c r="O16">
        <v>20</v>
      </c>
      <c r="P16">
        <v>0.5</v>
      </c>
    </row>
    <row r="17" spans="1:16">
      <c r="B17">
        <v>73100</v>
      </c>
      <c r="C17">
        <v>140000</v>
      </c>
      <c r="D17">
        <v>0.9</v>
      </c>
      <c r="E17">
        <f t="shared" si="5"/>
        <v>28000.000000000004</v>
      </c>
      <c r="F17">
        <f t="shared" si="6"/>
        <v>73684.800000000003</v>
      </c>
      <c r="G17">
        <f t="shared" si="7"/>
        <v>4738488.6456908341</v>
      </c>
      <c r="I17">
        <f t="shared" si="2"/>
        <v>1.0363734590859932</v>
      </c>
      <c r="K17">
        <f t="shared" si="8"/>
        <v>4572182.5507475268</v>
      </c>
      <c r="L17">
        <v>60000</v>
      </c>
      <c r="M17">
        <v>2400000</v>
      </c>
      <c r="N17">
        <f t="shared" si="9"/>
        <v>32.831737346101228</v>
      </c>
      <c r="O17">
        <v>20</v>
      </c>
      <c r="P17">
        <v>0.5</v>
      </c>
    </row>
    <row r="18" spans="1:16">
      <c r="B18">
        <v>74650</v>
      </c>
      <c r="C18">
        <v>140000</v>
      </c>
      <c r="D18">
        <v>0.9</v>
      </c>
      <c r="E18">
        <f t="shared" si="5"/>
        <v>28000.000000000004</v>
      </c>
      <c r="F18">
        <f t="shared" si="6"/>
        <v>75247.200000000012</v>
      </c>
      <c r="G18">
        <f t="shared" si="7"/>
        <v>4719400.9377093101</v>
      </c>
      <c r="I18">
        <f t="shared" si="2"/>
        <v>1.106385615849373</v>
      </c>
      <c r="K18">
        <f t="shared" si="8"/>
        <v>4265602.2187040299</v>
      </c>
      <c r="L18">
        <v>60000</v>
      </c>
      <c r="M18">
        <v>2400000</v>
      </c>
      <c r="N18">
        <f t="shared" si="9"/>
        <v>32.150033489618217</v>
      </c>
      <c r="O18">
        <v>20</v>
      </c>
      <c r="P18">
        <v>0.5</v>
      </c>
    </row>
    <row r="19" spans="1:16">
      <c r="B19">
        <v>76200</v>
      </c>
      <c r="C19">
        <v>140000</v>
      </c>
      <c r="D19">
        <v>0.9</v>
      </c>
      <c r="E19">
        <f t="shared" si="5"/>
        <v>28000.000000000004</v>
      </c>
      <c r="F19">
        <f t="shared" si="6"/>
        <v>76809.600000000006</v>
      </c>
      <c r="G19">
        <f t="shared" si="7"/>
        <v>4701089.7637795284</v>
      </c>
      <c r="I19">
        <f t="shared" si="2"/>
        <v>1.1798157079559268</v>
      </c>
      <c r="K19">
        <f t="shared" si="8"/>
        <v>3984596.6891933787</v>
      </c>
      <c r="L19">
        <v>60000</v>
      </c>
      <c r="M19">
        <v>2400000</v>
      </c>
      <c r="N19">
        <f t="shared" si="9"/>
        <v>31.496062992125985</v>
      </c>
      <c r="O19">
        <v>20</v>
      </c>
      <c r="P19">
        <v>0.5</v>
      </c>
    </row>
    <row r="20" spans="1:16">
      <c r="B20">
        <v>77750</v>
      </c>
      <c r="C20">
        <v>140000</v>
      </c>
      <c r="D20">
        <v>0.9</v>
      </c>
      <c r="E20">
        <f t="shared" si="5"/>
        <v>28000.000000000004</v>
      </c>
      <c r="F20">
        <f t="shared" si="6"/>
        <v>78372.000000000015</v>
      </c>
      <c r="G20">
        <f t="shared" si="7"/>
        <v>4683508.6816720264</v>
      </c>
      <c r="I20">
        <f t="shared" si="2"/>
        <v>1.2566874275452662</v>
      </c>
      <c r="K20">
        <f t="shared" si="8"/>
        <v>3726868.4153389651</v>
      </c>
      <c r="L20">
        <v>60000</v>
      </c>
      <c r="M20">
        <v>2400000</v>
      </c>
      <c r="N20">
        <f t="shared" si="9"/>
        <v>30.868167202572348</v>
      </c>
      <c r="O20">
        <v>20</v>
      </c>
      <c r="P20">
        <v>0.5</v>
      </c>
    </row>
    <row r="21" spans="1:16">
      <c r="B21">
        <v>99999</v>
      </c>
      <c r="C21">
        <v>177777</v>
      </c>
      <c r="D21">
        <v>0.9</v>
      </c>
      <c r="E21">
        <f t="shared" si="5"/>
        <v>35555.400000000009</v>
      </c>
      <c r="F21">
        <f t="shared" si="6"/>
        <v>100798.99200000001</v>
      </c>
      <c r="G21">
        <f t="shared" si="7"/>
        <v>5050308.1333813351</v>
      </c>
      <c r="I21">
        <f>G21/K21</f>
        <v>3.006052051274529</v>
      </c>
      <c r="K21">
        <f t="shared" si="8"/>
        <v>1680046.8013320218</v>
      </c>
      <c r="L21">
        <v>60000</v>
      </c>
      <c r="M21">
        <v>2400000</v>
      </c>
      <c r="N21">
        <f t="shared" si="9"/>
        <v>24.000240002400023</v>
      </c>
      <c r="O21">
        <v>20</v>
      </c>
      <c r="P21">
        <v>0.5</v>
      </c>
    </row>
    <row r="27" spans="1:16">
      <c r="A27" t="s">
        <v>12</v>
      </c>
      <c r="B27">
        <v>2</v>
      </c>
    </row>
    <row r="28" spans="1:16">
      <c r="A28" t="s">
        <v>13</v>
      </c>
      <c r="B28">
        <v>24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1:I5"/>
  <sheetViews>
    <sheetView workbookViewId="0">
      <selection activeCell="E37" sqref="E37"/>
    </sheetView>
  </sheetViews>
  <sheetFormatPr defaultRowHeight="13.5"/>
  <sheetData>
    <row r="1" spans="3:9">
      <c r="C1">
        <v>30000</v>
      </c>
      <c r="E1">
        <v>700</v>
      </c>
    </row>
    <row r="5" spans="3:9">
      <c r="C5">
        <f>C1*0.9-5*E1</f>
        <v>23500</v>
      </c>
      <c r="D5">
        <f>C5*0.9-5*$E$1</f>
        <v>17650</v>
      </c>
      <c r="E5">
        <f t="shared" ref="E5:H5" si="0">D5*0.9-5*$E$1</f>
        <v>12385</v>
      </c>
      <c r="F5">
        <f t="shared" si="0"/>
        <v>7646.5</v>
      </c>
      <c r="G5">
        <f t="shared" si="0"/>
        <v>3381.8500000000004</v>
      </c>
      <c r="H5">
        <f t="shared" si="0"/>
        <v>-456.33499999999958</v>
      </c>
      <c r="I5">
        <f t="shared" ref="I5" si="1">H5*0.9-5*J$1</f>
        <v>-410.70149999999961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2014-10-23T08:46:10Z</dcterms:modified>
</cp:coreProperties>
</file>