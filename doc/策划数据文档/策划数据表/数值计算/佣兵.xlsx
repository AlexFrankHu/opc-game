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0" yWindow="90" windowWidth="19200" windowHeight="11640"/>
  </bookViews>
  <sheets>
    <sheet name="佣兵星级" sheetId="1" r:id="rId1"/>
    <sheet name="Sheet2" sheetId="2" r:id="rId2"/>
    <sheet name="Sheet3" sheetId="3" r:id="rId3"/>
  </sheets>
  <definedNames>
    <definedName name="_xlnm._FilterDatabase" localSheetId="1" hidden="1">Sheet2!$B$1:$B$125</definedName>
  </definedNames>
  <calcPr calcId="124519"/>
</workbook>
</file>

<file path=xl/calcChain.xml><?xml version="1.0" encoding="utf-8"?>
<calcChain xmlns="http://schemas.openxmlformats.org/spreadsheetml/2006/main">
  <c r="I26" i="1"/>
  <c r="J26" s="1"/>
  <c r="C20"/>
  <c r="C21" s="1"/>
  <c r="C22" s="1"/>
  <c r="I19"/>
  <c r="I20"/>
  <c r="I21"/>
  <c r="G19"/>
  <c r="H20"/>
  <c r="H21"/>
  <c r="H19"/>
  <c r="G20"/>
  <c r="G21"/>
  <c r="F20"/>
  <c r="F21"/>
  <c r="F19"/>
  <c r="E19"/>
  <c r="E20"/>
  <c r="E21"/>
  <c r="C4"/>
  <c r="C5"/>
  <c r="C6" s="1"/>
  <c r="C7" s="1"/>
  <c r="C8" s="1"/>
  <c r="C9" s="1"/>
  <c r="C10" s="1"/>
  <c r="C11" s="1"/>
  <c r="C3"/>
  <c r="C2"/>
  <c r="D19"/>
  <c r="H22"/>
  <c r="D20" l="1"/>
  <c r="I22"/>
  <c r="F22"/>
  <c r="E22"/>
  <c r="G22"/>
  <c r="D21"/>
  <c r="D22"/>
  <c r="K3" l="1"/>
  <c r="K4"/>
  <c r="K5"/>
  <c r="K6"/>
  <c r="K7"/>
  <c r="K8"/>
  <c r="K9"/>
  <c r="K10"/>
  <c r="K11"/>
  <c r="R3"/>
  <c r="R4"/>
  <c r="R5"/>
  <c r="R6"/>
  <c r="R7"/>
  <c r="R8"/>
  <c r="R9"/>
  <c r="R10"/>
  <c r="R11"/>
  <c r="R2"/>
  <c r="K2"/>
  <c r="Y3" l="1"/>
  <c r="Y4"/>
  <c r="Y5"/>
  <c r="Y6"/>
  <c r="Y7"/>
  <c r="Y8"/>
  <c r="Y9"/>
  <c r="Y10"/>
  <c r="Y11"/>
  <c r="Y2"/>
  <c r="D4" l="1"/>
  <c r="D7" l="1"/>
  <c r="D11"/>
</calcChain>
</file>

<file path=xl/sharedStrings.xml><?xml version="1.0" encoding="utf-8"?>
<sst xmlns="http://schemas.openxmlformats.org/spreadsheetml/2006/main" count="67" uniqueCount="53">
  <si>
    <t>星级</t>
    <phoneticPr fontId="1" type="noConversion"/>
  </si>
  <si>
    <t>所需经验</t>
    <phoneticPr fontId="1" type="noConversion"/>
  </si>
  <si>
    <t>解锁光环</t>
    <phoneticPr fontId="1" type="noConversion"/>
  </si>
  <si>
    <t>耐力评分</t>
    <phoneticPr fontId="1" type="noConversion"/>
  </si>
  <si>
    <t>输出评分</t>
    <phoneticPr fontId="1" type="noConversion"/>
  </si>
  <si>
    <t>辅助评分</t>
    <phoneticPr fontId="1" type="noConversion"/>
  </si>
  <si>
    <t>光环评分</t>
    <phoneticPr fontId="1" type="noConversion"/>
  </si>
  <si>
    <t>战士总评</t>
    <phoneticPr fontId="1" type="noConversion"/>
  </si>
  <si>
    <t>法师总评</t>
    <phoneticPr fontId="1" type="noConversion"/>
  </si>
  <si>
    <t>猎人总评</t>
    <phoneticPr fontId="1" type="noConversion"/>
  </si>
  <si>
    <t>致死打击</t>
    <phoneticPr fontId="1" type="noConversion"/>
  </si>
  <si>
    <t>护甲光环</t>
    <phoneticPr fontId="1" type="noConversion"/>
  </si>
  <si>
    <t>英勇打击</t>
    <phoneticPr fontId="1" type="noConversion"/>
  </si>
  <si>
    <t>破甲攻击</t>
    <phoneticPr fontId="1" type="noConversion"/>
  </si>
  <si>
    <t>耐力光环</t>
    <phoneticPr fontId="1" type="noConversion"/>
  </si>
  <si>
    <t>雷霆一击</t>
    <phoneticPr fontId="1" type="noConversion"/>
  </si>
  <si>
    <t>剑刃风暴</t>
    <phoneticPr fontId="1" type="noConversion"/>
  </si>
  <si>
    <t>抗性光环</t>
    <phoneticPr fontId="1" type="noConversion"/>
  </si>
  <si>
    <t>冰霜新星</t>
    <phoneticPr fontId="1" type="noConversion"/>
  </si>
  <si>
    <t>MP光环</t>
    <phoneticPr fontId="1" type="noConversion"/>
  </si>
  <si>
    <t>暴风雪</t>
    <phoneticPr fontId="1" type="noConversion"/>
  </si>
  <si>
    <t>烈焰风暴</t>
    <phoneticPr fontId="1" type="noConversion"/>
  </si>
  <si>
    <t>韧性光环</t>
    <phoneticPr fontId="1" type="noConversion"/>
  </si>
  <si>
    <t>炎爆术</t>
    <phoneticPr fontId="1" type="noConversion"/>
  </si>
  <si>
    <t>冰甲术</t>
    <phoneticPr fontId="1" type="noConversion"/>
  </si>
  <si>
    <t>伤害光环</t>
    <phoneticPr fontId="1" type="noConversion"/>
  </si>
  <si>
    <t>吸取生命</t>
    <phoneticPr fontId="1" type="noConversion"/>
  </si>
  <si>
    <t>命中光环</t>
    <phoneticPr fontId="1" type="noConversion"/>
  </si>
  <si>
    <t>毒蛇钉刺</t>
    <phoneticPr fontId="1" type="noConversion"/>
  </si>
  <si>
    <t>奥术射击</t>
    <phoneticPr fontId="1" type="noConversion"/>
  </si>
  <si>
    <t>闪避光环</t>
    <phoneticPr fontId="1" type="noConversion"/>
  </si>
  <si>
    <t>多重射击</t>
    <phoneticPr fontId="1" type="noConversion"/>
  </si>
  <si>
    <t>眼镜蛇射击</t>
    <phoneticPr fontId="1" type="noConversion"/>
  </si>
  <si>
    <t>穿透光环</t>
    <phoneticPr fontId="1" type="noConversion"/>
  </si>
  <si>
    <t>技能伤害</t>
    <phoneticPr fontId="1" type="noConversion"/>
  </si>
  <si>
    <t>战士佣兵</t>
    <phoneticPr fontId="1" type="noConversion"/>
  </si>
  <si>
    <t>EHP</t>
    <phoneticPr fontId="1" type="noConversion"/>
  </si>
  <si>
    <t>猎人佣兵</t>
    <phoneticPr fontId="1" type="noConversion"/>
  </si>
  <si>
    <t>DPS</t>
    <phoneticPr fontId="1" type="noConversion"/>
  </si>
  <si>
    <t>法师佣兵</t>
    <phoneticPr fontId="1" type="noConversion"/>
  </si>
  <si>
    <t>低级</t>
    <phoneticPr fontId="1" type="noConversion"/>
  </si>
  <si>
    <t>高级</t>
    <phoneticPr fontId="1" type="noConversion"/>
  </si>
  <si>
    <t>中级</t>
    <phoneticPr fontId="1" type="noConversion"/>
  </si>
  <si>
    <t>特级</t>
    <phoneticPr fontId="1" type="noConversion"/>
  </si>
  <si>
    <t>价格</t>
    <phoneticPr fontId="1" type="noConversion"/>
  </si>
  <si>
    <t>性价比</t>
    <phoneticPr fontId="1" type="noConversion"/>
  </si>
  <si>
    <t>3星天数</t>
    <phoneticPr fontId="1" type="noConversion"/>
  </si>
  <si>
    <t>全3天数</t>
    <phoneticPr fontId="1" type="noConversion"/>
  </si>
  <si>
    <t>6星天数</t>
    <phoneticPr fontId="1" type="noConversion"/>
  </si>
  <si>
    <t>全6天数</t>
    <phoneticPr fontId="1" type="noConversion"/>
  </si>
  <si>
    <t>10星</t>
    <phoneticPr fontId="1" type="noConversion"/>
  </si>
  <si>
    <t>经验</t>
    <phoneticPr fontId="1" type="noConversion"/>
  </si>
  <si>
    <t>初级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</si>
</sst>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2" borderId="0" xfId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26"/>
  <sheetViews>
    <sheetView tabSelected="1" workbookViewId="0">
      <selection activeCell="L28" sqref="L28"/>
    </sheetView>
  </sheetViews>
  <sheetFormatPr defaultRowHeight="13.5"/>
  <sheetData>
    <row r="1" spans="1:25">
      <c r="A1" t="s">
        <v>0</v>
      </c>
      <c r="B1" t="s">
        <v>1</v>
      </c>
      <c r="D1" t="s">
        <v>2</v>
      </c>
      <c r="F1" t="s">
        <v>3</v>
      </c>
      <c r="G1" t="s">
        <v>4</v>
      </c>
      <c r="H1" t="s">
        <v>34</v>
      </c>
      <c r="I1" t="s">
        <v>5</v>
      </c>
      <c r="J1" t="s">
        <v>6</v>
      </c>
      <c r="K1" t="s">
        <v>7</v>
      </c>
      <c r="M1" t="s">
        <v>3</v>
      </c>
      <c r="N1" t="s">
        <v>4</v>
      </c>
      <c r="O1" t="s">
        <v>34</v>
      </c>
      <c r="P1" t="s">
        <v>5</v>
      </c>
      <c r="Q1" t="s">
        <v>6</v>
      </c>
      <c r="R1" t="s">
        <v>8</v>
      </c>
      <c r="T1" t="s">
        <v>3</v>
      </c>
      <c r="U1" t="s">
        <v>4</v>
      </c>
      <c r="V1" t="s">
        <v>34</v>
      </c>
      <c r="W1" t="s">
        <v>5</v>
      </c>
      <c r="X1" t="s">
        <v>6</v>
      </c>
      <c r="Y1" t="s">
        <v>9</v>
      </c>
    </row>
    <row r="2" spans="1:25">
      <c r="A2">
        <v>1</v>
      </c>
      <c r="B2">
        <v>100</v>
      </c>
      <c r="C2">
        <f>B2</f>
        <v>100</v>
      </c>
      <c r="E2" t="s">
        <v>10</v>
      </c>
      <c r="F2">
        <v>1.8199999999999998</v>
      </c>
      <c r="G2">
        <v>1</v>
      </c>
      <c r="H2">
        <v>1</v>
      </c>
      <c r="I2">
        <v>1.2</v>
      </c>
      <c r="J2">
        <v>1</v>
      </c>
      <c r="K2">
        <f>F2*G2*I2*J2*H2</f>
        <v>2.1839999999999997</v>
      </c>
      <c r="L2" t="s">
        <v>18</v>
      </c>
      <c r="M2">
        <v>1.3</v>
      </c>
      <c r="N2">
        <v>1</v>
      </c>
      <c r="O2">
        <v>1.1499999999999999</v>
      </c>
      <c r="P2">
        <v>1.1499999999999999</v>
      </c>
      <c r="Q2">
        <v>1</v>
      </c>
      <c r="R2">
        <f>M2*N2*P2*Q2*O2</f>
        <v>1.7192499999999997</v>
      </c>
      <c r="S2" t="s">
        <v>26</v>
      </c>
      <c r="T2">
        <v>1.4300000000000002</v>
      </c>
      <c r="U2">
        <v>1.1000000000000001</v>
      </c>
      <c r="V2">
        <v>1</v>
      </c>
      <c r="W2">
        <v>1.2</v>
      </c>
      <c r="X2">
        <v>1</v>
      </c>
      <c r="Y2">
        <f>T2*U2*W2*X2</f>
        <v>1.8876000000000004</v>
      </c>
    </row>
    <row r="3" spans="1:25">
      <c r="A3">
        <v>2</v>
      </c>
      <c r="B3">
        <v>240</v>
      </c>
      <c r="C3">
        <f>B3+C2</f>
        <v>340</v>
      </c>
      <c r="F3">
        <v>2.38</v>
      </c>
      <c r="G3">
        <v>1.0249999999999999</v>
      </c>
      <c r="H3">
        <v>1</v>
      </c>
      <c r="I3">
        <v>1.2</v>
      </c>
      <c r="J3">
        <v>1</v>
      </c>
      <c r="K3">
        <f t="shared" ref="K3:K11" si="0">F3*G3*I3*J3*H3</f>
        <v>2.9273999999999996</v>
      </c>
      <c r="M3">
        <v>1.7</v>
      </c>
      <c r="N3">
        <v>1.0249999999999999</v>
      </c>
      <c r="O3">
        <v>1.1499999999999999</v>
      </c>
      <c r="P3">
        <v>1.1499999999999999</v>
      </c>
      <c r="Q3">
        <v>1</v>
      </c>
      <c r="R3">
        <f t="shared" ref="R3:R11" si="1">M3*N3*P3*Q3*O3</f>
        <v>2.304456249999999</v>
      </c>
      <c r="T3">
        <v>1.87</v>
      </c>
      <c r="U3">
        <v>1.1299999999999999</v>
      </c>
      <c r="V3">
        <v>1</v>
      </c>
      <c r="W3">
        <v>1.2</v>
      </c>
      <c r="X3">
        <v>1</v>
      </c>
      <c r="Y3">
        <f t="shared" ref="Y3:Y11" si="2">T3*U3*W3*X3</f>
        <v>2.5357199999999995</v>
      </c>
    </row>
    <row r="4" spans="1:25">
      <c r="A4">
        <v>3</v>
      </c>
      <c r="B4">
        <v>780</v>
      </c>
      <c r="C4">
        <f t="shared" ref="C4:C11" si="3">B4+C3</f>
        <v>1120</v>
      </c>
      <c r="D4">
        <f>SUM(B$2:B4)</f>
        <v>1120</v>
      </c>
      <c r="E4" t="s">
        <v>11</v>
      </c>
      <c r="F4">
        <v>3.08</v>
      </c>
      <c r="G4">
        <v>1.05</v>
      </c>
      <c r="H4">
        <v>1</v>
      </c>
      <c r="I4">
        <v>1.2</v>
      </c>
      <c r="J4">
        <v>1.1499999999999999</v>
      </c>
      <c r="K4">
        <f t="shared" si="0"/>
        <v>4.4629199999999996</v>
      </c>
      <c r="L4" t="s">
        <v>19</v>
      </c>
      <c r="M4">
        <v>2.2000000000000002</v>
      </c>
      <c r="N4">
        <v>1.05</v>
      </c>
      <c r="O4">
        <v>1.1499999999999999</v>
      </c>
      <c r="P4">
        <v>1.1499999999999999</v>
      </c>
      <c r="Q4">
        <v>1.1000000000000001</v>
      </c>
      <c r="R4">
        <f t="shared" si="1"/>
        <v>3.3604725000000006</v>
      </c>
      <c r="S4" t="s">
        <v>27</v>
      </c>
      <c r="T4">
        <v>2.4200000000000004</v>
      </c>
      <c r="U4">
        <v>1.1600000000000001</v>
      </c>
      <c r="V4">
        <v>1</v>
      </c>
      <c r="W4">
        <v>1.2</v>
      </c>
      <c r="X4">
        <v>1.2</v>
      </c>
      <c r="Y4">
        <f t="shared" si="2"/>
        <v>4.0423680000000006</v>
      </c>
    </row>
    <row r="5" spans="1:25">
      <c r="A5">
        <v>4</v>
      </c>
      <c r="B5">
        <v>1240</v>
      </c>
      <c r="C5">
        <f t="shared" si="3"/>
        <v>2360</v>
      </c>
      <c r="E5" t="s">
        <v>12</v>
      </c>
      <c r="F5">
        <v>3.9199999999999995</v>
      </c>
      <c r="G5">
        <v>1.075</v>
      </c>
      <c r="H5">
        <v>1.25</v>
      </c>
      <c r="I5">
        <v>1.2</v>
      </c>
      <c r="J5">
        <v>1.1499999999999999</v>
      </c>
      <c r="K5">
        <f t="shared" si="0"/>
        <v>7.269149999999998</v>
      </c>
      <c r="L5" t="s">
        <v>20</v>
      </c>
      <c r="M5">
        <v>2.8</v>
      </c>
      <c r="N5">
        <v>1.075</v>
      </c>
      <c r="O5">
        <v>1.2</v>
      </c>
      <c r="P5">
        <v>1.3</v>
      </c>
      <c r="Q5">
        <v>1.1000000000000001</v>
      </c>
      <c r="R5">
        <f t="shared" si="1"/>
        <v>5.1651600000000002</v>
      </c>
      <c r="S5" t="s">
        <v>28</v>
      </c>
      <c r="T5">
        <v>3.08</v>
      </c>
      <c r="U5">
        <v>1.19</v>
      </c>
      <c r="V5">
        <v>1</v>
      </c>
      <c r="W5">
        <v>1.4</v>
      </c>
      <c r="X5">
        <v>1.2</v>
      </c>
      <c r="Y5">
        <f t="shared" si="2"/>
        <v>6.1575359999999995</v>
      </c>
    </row>
    <row r="6" spans="1:25">
      <c r="A6">
        <v>5</v>
      </c>
      <c r="B6">
        <v>1560</v>
      </c>
      <c r="C6">
        <f t="shared" si="3"/>
        <v>3920</v>
      </c>
      <c r="E6" t="s">
        <v>13</v>
      </c>
      <c r="F6">
        <v>4.34</v>
      </c>
      <c r="G6">
        <v>1.2</v>
      </c>
      <c r="H6">
        <v>1.25</v>
      </c>
      <c r="I6">
        <v>1.3</v>
      </c>
      <c r="J6">
        <v>1.1499999999999999</v>
      </c>
      <c r="K6">
        <f t="shared" si="0"/>
        <v>9.7324499999999983</v>
      </c>
      <c r="L6" t="s">
        <v>21</v>
      </c>
      <c r="M6">
        <v>3.1</v>
      </c>
      <c r="N6">
        <v>1.2</v>
      </c>
      <c r="O6">
        <v>1.5</v>
      </c>
      <c r="P6">
        <v>1.3</v>
      </c>
      <c r="Q6">
        <v>1.1000000000000001</v>
      </c>
      <c r="R6">
        <f t="shared" si="1"/>
        <v>7.9793999999999992</v>
      </c>
      <c r="S6" t="s">
        <v>29</v>
      </c>
      <c r="T6">
        <v>3.4100000000000006</v>
      </c>
      <c r="U6">
        <v>1.3399999999999999</v>
      </c>
      <c r="V6">
        <v>1.33</v>
      </c>
      <c r="W6">
        <v>1.4</v>
      </c>
      <c r="X6">
        <v>1.2</v>
      </c>
      <c r="Y6">
        <f t="shared" si="2"/>
        <v>7.6765919999999994</v>
      </c>
    </row>
    <row r="7" spans="1:25">
      <c r="A7">
        <v>6</v>
      </c>
      <c r="B7">
        <v>3060</v>
      </c>
      <c r="C7">
        <f t="shared" si="3"/>
        <v>6980</v>
      </c>
      <c r="D7">
        <f>SUM(B$2:B7)</f>
        <v>6980</v>
      </c>
      <c r="E7" t="s">
        <v>14</v>
      </c>
      <c r="F7">
        <v>4.76</v>
      </c>
      <c r="G7">
        <v>1.35</v>
      </c>
      <c r="H7">
        <v>1.25</v>
      </c>
      <c r="I7">
        <v>1.3</v>
      </c>
      <c r="J7">
        <v>1.6</v>
      </c>
      <c r="K7">
        <f t="shared" si="0"/>
        <v>16.707599999999999</v>
      </c>
      <c r="L7" t="s">
        <v>22</v>
      </c>
      <c r="M7">
        <v>3.4</v>
      </c>
      <c r="N7">
        <v>1.35</v>
      </c>
      <c r="O7">
        <v>1.5</v>
      </c>
      <c r="P7">
        <v>1.3</v>
      </c>
      <c r="Q7">
        <v>1.25</v>
      </c>
      <c r="R7">
        <f t="shared" si="1"/>
        <v>11.188124999999999</v>
      </c>
      <c r="S7" t="s">
        <v>30</v>
      </c>
      <c r="T7">
        <v>3.74</v>
      </c>
      <c r="U7">
        <v>1.52</v>
      </c>
      <c r="V7">
        <v>1.33</v>
      </c>
      <c r="W7">
        <v>1.4</v>
      </c>
      <c r="X7">
        <v>1.3</v>
      </c>
      <c r="Y7">
        <f t="shared" si="2"/>
        <v>10.346335999999999</v>
      </c>
    </row>
    <row r="8" spans="1:25">
      <c r="A8">
        <v>7</v>
      </c>
      <c r="B8">
        <v>4120</v>
      </c>
      <c r="C8">
        <f t="shared" si="3"/>
        <v>11100</v>
      </c>
      <c r="F8">
        <v>5.18</v>
      </c>
      <c r="G8">
        <v>1.5</v>
      </c>
      <c r="H8">
        <v>1.25</v>
      </c>
      <c r="I8">
        <v>1.3</v>
      </c>
      <c r="J8">
        <v>1.6</v>
      </c>
      <c r="K8">
        <f t="shared" si="0"/>
        <v>20.201999999999998</v>
      </c>
      <c r="M8">
        <v>3.7</v>
      </c>
      <c r="N8">
        <v>1.5</v>
      </c>
      <c r="O8">
        <v>1.8</v>
      </c>
      <c r="P8">
        <v>1.3</v>
      </c>
      <c r="Q8">
        <v>1.25</v>
      </c>
      <c r="R8">
        <f t="shared" si="1"/>
        <v>16.233750000000001</v>
      </c>
      <c r="T8">
        <v>4.07</v>
      </c>
      <c r="U8">
        <v>1.7</v>
      </c>
      <c r="V8">
        <v>1.33</v>
      </c>
      <c r="W8">
        <v>1.4</v>
      </c>
      <c r="X8">
        <v>1.3</v>
      </c>
      <c r="Y8">
        <f t="shared" si="2"/>
        <v>12.592580000000002</v>
      </c>
    </row>
    <row r="9" spans="1:25">
      <c r="A9">
        <v>8</v>
      </c>
      <c r="B9">
        <v>5600</v>
      </c>
      <c r="C9">
        <f t="shared" si="3"/>
        <v>16700</v>
      </c>
      <c r="E9" t="s">
        <v>15</v>
      </c>
      <c r="F9">
        <v>5.6</v>
      </c>
      <c r="G9">
        <v>1.65</v>
      </c>
      <c r="H9">
        <v>1.33</v>
      </c>
      <c r="I9">
        <v>1.45</v>
      </c>
      <c r="J9">
        <v>1.6</v>
      </c>
      <c r="K9">
        <f t="shared" si="0"/>
        <v>28.510943999999999</v>
      </c>
      <c r="L9" t="s">
        <v>23</v>
      </c>
      <c r="M9">
        <v>4</v>
      </c>
      <c r="N9">
        <v>1.65</v>
      </c>
      <c r="O9">
        <v>1.8</v>
      </c>
      <c r="P9">
        <v>1.3</v>
      </c>
      <c r="Q9">
        <v>1.25</v>
      </c>
      <c r="R9">
        <f t="shared" si="1"/>
        <v>19.305</v>
      </c>
      <c r="S9" t="s">
        <v>31</v>
      </c>
      <c r="T9">
        <v>4.4000000000000004</v>
      </c>
      <c r="U9">
        <v>1.88</v>
      </c>
      <c r="V9">
        <v>1.5</v>
      </c>
      <c r="W9">
        <v>1.4</v>
      </c>
      <c r="X9">
        <v>1.3</v>
      </c>
      <c r="Y9">
        <f t="shared" si="2"/>
        <v>15.05504</v>
      </c>
    </row>
    <row r="10" spans="1:25">
      <c r="A10">
        <v>9</v>
      </c>
      <c r="B10">
        <v>7880</v>
      </c>
      <c r="C10">
        <f t="shared" si="3"/>
        <v>24580</v>
      </c>
      <c r="E10" t="s">
        <v>16</v>
      </c>
      <c r="F10">
        <v>6.02</v>
      </c>
      <c r="G10">
        <v>1.8</v>
      </c>
      <c r="H10">
        <v>1.6</v>
      </c>
      <c r="I10">
        <v>1.45</v>
      </c>
      <c r="J10">
        <v>1.6</v>
      </c>
      <c r="K10">
        <f t="shared" si="0"/>
        <v>40.223232000000003</v>
      </c>
      <c r="L10" t="s">
        <v>24</v>
      </c>
      <c r="M10">
        <v>4.3</v>
      </c>
      <c r="N10">
        <v>1.8</v>
      </c>
      <c r="O10">
        <v>1.8</v>
      </c>
      <c r="P10">
        <v>1.8</v>
      </c>
      <c r="Q10">
        <v>1.25</v>
      </c>
      <c r="R10">
        <f t="shared" si="1"/>
        <v>31.346999999999998</v>
      </c>
      <c r="S10" t="s">
        <v>32</v>
      </c>
      <c r="T10">
        <v>4.7300000000000004</v>
      </c>
      <c r="U10">
        <v>2.06</v>
      </c>
      <c r="V10">
        <v>1.5</v>
      </c>
      <c r="W10">
        <v>2.5</v>
      </c>
      <c r="X10">
        <v>1.3</v>
      </c>
      <c r="Y10">
        <f t="shared" si="2"/>
        <v>31.667350000000006</v>
      </c>
    </row>
    <row r="11" spans="1:25">
      <c r="A11">
        <v>10</v>
      </c>
      <c r="B11">
        <v>11960</v>
      </c>
      <c r="C11">
        <f t="shared" si="3"/>
        <v>36540</v>
      </c>
      <c r="D11">
        <f>SUM(B$2:B11)</f>
        <v>36540</v>
      </c>
      <c r="E11" t="s">
        <v>17</v>
      </c>
      <c r="F11">
        <v>6.4399999999999995</v>
      </c>
      <c r="G11">
        <v>1.95</v>
      </c>
      <c r="H11">
        <v>1.6</v>
      </c>
      <c r="I11">
        <v>1.45</v>
      </c>
      <c r="J11">
        <v>2</v>
      </c>
      <c r="K11">
        <f t="shared" si="0"/>
        <v>58.269119999999987</v>
      </c>
      <c r="L11" t="s">
        <v>25</v>
      </c>
      <c r="M11">
        <v>4.5999999999999996</v>
      </c>
      <c r="N11">
        <v>1.95</v>
      </c>
      <c r="O11">
        <v>1.8</v>
      </c>
      <c r="P11">
        <v>1.8</v>
      </c>
      <c r="Q11">
        <v>2</v>
      </c>
      <c r="R11">
        <f t="shared" si="1"/>
        <v>58.125599999999991</v>
      </c>
      <c r="S11" t="s">
        <v>33</v>
      </c>
      <c r="T11">
        <v>5.0599999999999996</v>
      </c>
      <c r="U11">
        <v>2.2400000000000002</v>
      </c>
      <c r="V11">
        <v>1.5</v>
      </c>
      <c r="W11">
        <v>2.5</v>
      </c>
      <c r="X11">
        <v>1.8</v>
      </c>
      <c r="Y11">
        <f t="shared" si="2"/>
        <v>51.004800000000003</v>
      </c>
    </row>
    <row r="17" spans="1:20">
      <c r="B17" t="s">
        <v>51</v>
      </c>
      <c r="C17" t="s">
        <v>44</v>
      </c>
      <c r="D17" t="s">
        <v>45</v>
      </c>
      <c r="E17" t="s">
        <v>46</v>
      </c>
      <c r="F17" t="s">
        <v>47</v>
      </c>
      <c r="G17" t="s">
        <v>48</v>
      </c>
      <c r="H17" t="s">
        <v>49</v>
      </c>
      <c r="I17" t="s">
        <v>50</v>
      </c>
    </row>
    <row r="18" spans="1:20">
      <c r="A18" t="s">
        <v>52</v>
      </c>
      <c r="B18">
        <v>0</v>
      </c>
      <c r="C18">
        <v>2</v>
      </c>
    </row>
    <row r="19" spans="1:20">
      <c r="A19" t="s">
        <v>40</v>
      </c>
      <c r="B19">
        <v>30</v>
      </c>
      <c r="C19">
        <v>10</v>
      </c>
      <c r="D19">
        <f>B19/C19</f>
        <v>3</v>
      </c>
      <c r="E19" s="1">
        <f>$C$4/$B19/3</f>
        <v>12.444444444444445</v>
      </c>
      <c r="F19" s="1">
        <f>$C$4/$B19</f>
        <v>37.333333333333336</v>
      </c>
      <c r="G19">
        <f>($C$4+$D$7-$D$4)/$B19/3</f>
        <v>77.555555555555557</v>
      </c>
      <c r="H19">
        <f>($C$7*3)/$B19/3</f>
        <v>232.66666666666666</v>
      </c>
      <c r="I19">
        <f>D$11/B19/3</f>
        <v>406</v>
      </c>
      <c r="P19" t="s">
        <v>35</v>
      </c>
      <c r="Q19" t="s">
        <v>36</v>
      </c>
      <c r="R19">
        <v>1.4</v>
      </c>
      <c r="S19" t="s">
        <v>38</v>
      </c>
      <c r="T19">
        <v>1</v>
      </c>
    </row>
    <row r="20" spans="1:20">
      <c r="A20" t="s">
        <v>42</v>
      </c>
      <c r="B20">
        <v>75</v>
      </c>
      <c r="C20">
        <f>3*C19+10</f>
        <v>40</v>
      </c>
      <c r="D20">
        <f>B20/C20</f>
        <v>1.875</v>
      </c>
      <c r="E20">
        <f>$C$4/B20/3</f>
        <v>4.9777777777777779</v>
      </c>
      <c r="F20">
        <f>$C$4/$B20</f>
        <v>14.933333333333334</v>
      </c>
      <c r="G20" s="1">
        <f>($C$4+D$7-D$4)/$B20/3</f>
        <v>31.022222222222222</v>
      </c>
      <c r="H20">
        <f>($C$7*3)/$B20/3</f>
        <v>93.066666666666663</v>
      </c>
      <c r="I20">
        <f>D$11/B20/3</f>
        <v>162.4</v>
      </c>
      <c r="P20" t="s">
        <v>37</v>
      </c>
      <c r="Q20" t="s">
        <v>36</v>
      </c>
      <c r="R20">
        <v>1.2</v>
      </c>
      <c r="S20" t="s">
        <v>38</v>
      </c>
      <c r="T20">
        <v>1.2</v>
      </c>
    </row>
    <row r="21" spans="1:20">
      <c r="A21" t="s">
        <v>41</v>
      </c>
      <c r="B21">
        <v>150</v>
      </c>
      <c r="C21">
        <f>3*C20+25</f>
        <v>145</v>
      </c>
      <c r="D21">
        <f>B21/C21</f>
        <v>1.0344827586206897</v>
      </c>
      <c r="E21">
        <f>$C$4/B21/3</f>
        <v>2.4888888888888889</v>
      </c>
      <c r="F21" s="1">
        <f>$C$4/$B21</f>
        <v>7.4666666666666668</v>
      </c>
      <c r="G21">
        <f>($C$4+D$7-D$4)/$B21/3</f>
        <v>15.511111111111111</v>
      </c>
      <c r="H21">
        <f>($C$7*3)/$B21/3</f>
        <v>46.533333333333331</v>
      </c>
      <c r="I21">
        <f>D$11/B21/3</f>
        <v>81.2</v>
      </c>
      <c r="P21" t="s">
        <v>39</v>
      </c>
      <c r="Q21" t="s">
        <v>36</v>
      </c>
      <c r="R21">
        <v>1</v>
      </c>
      <c r="S21" t="s">
        <v>38</v>
      </c>
      <c r="T21">
        <v>1.2</v>
      </c>
    </row>
    <row r="22" spans="1:20">
      <c r="A22" t="s">
        <v>43</v>
      </c>
      <c r="B22">
        <v>300</v>
      </c>
      <c r="C22">
        <f>3*C21+60</f>
        <v>495</v>
      </c>
      <c r="D22">
        <f>B22/C22</f>
        <v>0.60606060606060608</v>
      </c>
      <c r="E22">
        <f>$C$4/B22/3</f>
        <v>1.2444444444444445</v>
      </c>
      <c r="F22">
        <f>$C$4/$B22</f>
        <v>3.7333333333333334</v>
      </c>
      <c r="G22" s="1">
        <f>($C$4+D$7-D$4)/$B22/3</f>
        <v>7.7555555555555555</v>
      </c>
      <c r="H22" s="1">
        <f>($C$7*3)/$B22/3</f>
        <v>23.266666666666666</v>
      </c>
      <c r="I22">
        <f>D$11/B22/3</f>
        <v>40.6</v>
      </c>
    </row>
    <row r="26" spans="1:20">
      <c r="H26">
        <v>81</v>
      </c>
      <c r="I26">
        <f>H26*6</f>
        <v>486</v>
      </c>
      <c r="J26">
        <f>I26/12</f>
        <v>40.5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B125"/>
  <sheetViews>
    <sheetView workbookViewId="0">
      <selection activeCell="L20" sqref="L20"/>
    </sheetView>
  </sheetViews>
  <sheetFormatPr defaultRowHeight="13.5"/>
  <sheetData>
    <row r="1" spans="1:2">
      <c r="A1">
        <v>50303065</v>
      </c>
      <c r="B1">
        <v>0.10617402595511205</v>
      </c>
    </row>
    <row r="2" spans="1:2">
      <c r="A2">
        <v>50301055</v>
      </c>
      <c r="B2">
        <v>0.41097387316198231</v>
      </c>
    </row>
    <row r="3" spans="1:2">
      <c r="A3">
        <v>50301065</v>
      </c>
      <c r="B3">
        <v>0.51216674107218108</v>
      </c>
    </row>
    <row r="4" spans="1:2">
      <c r="A4">
        <v>50302055</v>
      </c>
      <c r="B4">
        <v>0.53687597223300298</v>
      </c>
    </row>
    <row r="5" spans="1:2">
      <c r="A5">
        <v>50303055</v>
      </c>
      <c r="B5">
        <v>0.67313794975133501</v>
      </c>
    </row>
    <row r="6" spans="1:2">
      <c r="A6">
        <v>50300015</v>
      </c>
      <c r="B6">
        <v>0.68609212083281879</v>
      </c>
    </row>
    <row r="7" spans="1:2">
      <c r="A7">
        <v>50351066</v>
      </c>
      <c r="B7">
        <v>0.86522352821065063</v>
      </c>
    </row>
    <row r="8" spans="1:2">
      <c r="A8">
        <v>50302065</v>
      </c>
      <c r="B8">
        <v>0.92302567738451913</v>
      </c>
    </row>
    <row r="9" spans="1:2">
      <c r="A9">
        <v>50300035</v>
      </c>
      <c r="B9">
        <v>0.99602316934342738</v>
      </c>
    </row>
    <row r="10" spans="1:2">
      <c r="A10">
        <v>50353065</v>
      </c>
      <c r="B10">
        <v>1.0111002998420213</v>
      </c>
    </row>
    <row r="11" spans="1:2">
      <c r="A11">
        <v>50352055</v>
      </c>
      <c r="B11">
        <v>1.231199136376504</v>
      </c>
    </row>
    <row r="12" spans="1:2">
      <c r="A12">
        <v>50351055</v>
      </c>
      <c r="B12">
        <v>1.2540047299737633</v>
      </c>
    </row>
    <row r="13" spans="1:2">
      <c r="A13">
        <v>50401065</v>
      </c>
      <c r="B13">
        <v>1.3582582344660354</v>
      </c>
    </row>
    <row r="14" spans="1:2">
      <c r="A14">
        <v>50351065</v>
      </c>
      <c r="B14">
        <v>1.4304536848419724</v>
      </c>
    </row>
    <row r="15" spans="1:2">
      <c r="A15">
        <v>50350015</v>
      </c>
      <c r="B15">
        <v>1.6384370095103034</v>
      </c>
    </row>
    <row r="16" spans="1:2">
      <c r="A16">
        <v>50353055</v>
      </c>
      <c r="B16">
        <v>1.75540192500188</v>
      </c>
    </row>
    <row r="17" spans="1:2">
      <c r="A17">
        <v>50350035</v>
      </c>
      <c r="B17">
        <v>1.8389917520699566</v>
      </c>
    </row>
    <row r="18" spans="1:2">
      <c r="A18">
        <v>50352065</v>
      </c>
      <c r="B18">
        <v>1.9591836212856049</v>
      </c>
    </row>
    <row r="19" spans="1:2">
      <c r="A19">
        <v>50403065</v>
      </c>
      <c r="B19">
        <v>2.017729334355673</v>
      </c>
    </row>
    <row r="20" spans="1:2">
      <c r="A20">
        <v>50400015</v>
      </c>
      <c r="B20">
        <v>2.1420359794993606</v>
      </c>
    </row>
    <row r="21" spans="1:2">
      <c r="A21">
        <v>50401055</v>
      </c>
      <c r="B21">
        <v>2.1986794069439739</v>
      </c>
    </row>
    <row r="22" spans="1:2">
      <c r="A22">
        <v>50401065</v>
      </c>
      <c r="B22">
        <v>2.4380866494001241</v>
      </c>
    </row>
    <row r="23" spans="1:2">
      <c r="A23">
        <v>50402065</v>
      </c>
      <c r="B23">
        <v>2.6714063391389091</v>
      </c>
    </row>
    <row r="24" spans="1:2">
      <c r="A24">
        <v>50402055</v>
      </c>
      <c r="B24">
        <v>2.7115039191707657</v>
      </c>
    </row>
    <row r="25" spans="1:2">
      <c r="A25">
        <v>50451065</v>
      </c>
      <c r="B25">
        <v>2.8619975714144612</v>
      </c>
    </row>
    <row r="26" spans="1:2">
      <c r="A26">
        <v>50400035</v>
      </c>
      <c r="B26">
        <v>2.9238408267892471</v>
      </c>
    </row>
    <row r="27" spans="1:2">
      <c r="A27">
        <v>50403055</v>
      </c>
      <c r="B27">
        <v>2.9938576348965373</v>
      </c>
    </row>
    <row r="28" spans="1:2">
      <c r="A28">
        <v>50452065</v>
      </c>
      <c r="B28">
        <v>3.064613020964198</v>
      </c>
    </row>
    <row r="29" spans="1:2">
      <c r="A29">
        <v>50451065</v>
      </c>
      <c r="B29">
        <v>3.2833506736663125</v>
      </c>
    </row>
    <row r="30" spans="1:2">
      <c r="A30">
        <v>50452055</v>
      </c>
      <c r="B30">
        <v>3.5511079733154398</v>
      </c>
    </row>
    <row r="31" spans="1:2">
      <c r="A31">
        <v>50453055</v>
      </c>
      <c r="B31">
        <v>3.6604513399466381</v>
      </c>
    </row>
    <row r="32" spans="1:2">
      <c r="A32">
        <v>50451055</v>
      </c>
      <c r="B32">
        <v>3.742654843599023</v>
      </c>
    </row>
    <row r="33" spans="1:2">
      <c r="A33">
        <v>50453065</v>
      </c>
      <c r="B33">
        <v>3.7702861331681525</v>
      </c>
    </row>
    <row r="34" spans="1:2">
      <c r="A34">
        <v>50501066</v>
      </c>
      <c r="B34">
        <v>3.8384878693392084</v>
      </c>
    </row>
    <row r="35" spans="1:2">
      <c r="A35">
        <v>50450035</v>
      </c>
      <c r="B35">
        <v>3.9261783987887169</v>
      </c>
    </row>
    <row r="36" spans="1:2">
      <c r="A36">
        <v>50450015</v>
      </c>
      <c r="B36">
        <v>3.9271223932027137</v>
      </c>
    </row>
    <row r="37" spans="1:2">
      <c r="A37">
        <v>50502065</v>
      </c>
      <c r="B37">
        <v>4.080285345417404</v>
      </c>
    </row>
    <row r="38" spans="1:2">
      <c r="A38">
        <v>50501055</v>
      </c>
      <c r="B38">
        <v>4.1136437746241512</v>
      </c>
    </row>
    <row r="39" spans="1:2">
      <c r="A39">
        <v>50503055</v>
      </c>
      <c r="B39">
        <v>4.459749532499095</v>
      </c>
    </row>
    <row r="40" spans="1:2">
      <c r="A40">
        <v>50503065</v>
      </c>
      <c r="B40">
        <v>4.4865492359643078</v>
      </c>
    </row>
    <row r="41" spans="1:2">
      <c r="A41">
        <v>50551066</v>
      </c>
      <c r="B41">
        <v>4.5231419969345179</v>
      </c>
    </row>
    <row r="42" spans="1:2">
      <c r="A42">
        <v>50500035</v>
      </c>
      <c r="B42">
        <v>4.6199433493815736</v>
      </c>
    </row>
    <row r="43" spans="1:2">
      <c r="A43">
        <v>50501065</v>
      </c>
      <c r="B43">
        <v>4.7152594565520651</v>
      </c>
    </row>
    <row r="44" spans="1:2">
      <c r="A44">
        <v>50500015</v>
      </c>
      <c r="B44">
        <v>4.7565491031897142</v>
      </c>
    </row>
    <row r="45" spans="1:2">
      <c r="A45">
        <v>50502055</v>
      </c>
      <c r="B45">
        <v>4.7703520594929207</v>
      </c>
    </row>
    <row r="46" spans="1:2">
      <c r="A46">
        <v>50550035</v>
      </c>
      <c r="B46">
        <v>5.2714128446666022</v>
      </c>
    </row>
    <row r="47" spans="1:2">
      <c r="A47">
        <v>50553055</v>
      </c>
      <c r="B47">
        <v>5.3115443145083363</v>
      </c>
    </row>
    <row r="48" spans="1:2">
      <c r="A48">
        <v>50601065</v>
      </c>
      <c r="B48">
        <v>5.3175847637523015</v>
      </c>
    </row>
    <row r="49" spans="1:2">
      <c r="A49">
        <v>50553065</v>
      </c>
      <c r="B49">
        <v>5.3986073508778691</v>
      </c>
    </row>
    <row r="50" spans="1:2">
      <c r="A50">
        <v>50551055</v>
      </c>
      <c r="B50">
        <v>5.5208572165426357</v>
      </c>
    </row>
    <row r="51" spans="1:2">
      <c r="A51">
        <v>50550015</v>
      </c>
      <c r="B51">
        <v>5.5786591279607256</v>
      </c>
    </row>
    <row r="52" spans="1:2">
      <c r="A52">
        <v>50552055</v>
      </c>
      <c r="B52">
        <v>5.5895469583725212</v>
      </c>
    </row>
    <row r="53" spans="1:2">
      <c r="A53">
        <v>50551065</v>
      </c>
      <c r="B53">
        <v>5.6762643486764333</v>
      </c>
    </row>
    <row r="54" spans="1:2">
      <c r="A54">
        <v>50552065</v>
      </c>
      <c r="B54">
        <v>5.7441557538883705</v>
      </c>
    </row>
    <row r="55" spans="1:2">
      <c r="A55">
        <v>50603055</v>
      </c>
      <c r="B55">
        <v>6.0379960005364515</v>
      </c>
    </row>
    <row r="56" spans="1:2">
      <c r="A56">
        <v>50602065</v>
      </c>
      <c r="B56">
        <v>6.2299748249374538</v>
      </c>
    </row>
    <row r="57" spans="1:2">
      <c r="A57">
        <v>50601055</v>
      </c>
      <c r="B57">
        <v>6.3753198720773652</v>
      </c>
    </row>
    <row r="58" spans="1:2">
      <c r="A58">
        <v>50600015</v>
      </c>
      <c r="B58">
        <v>6.4756886351003491</v>
      </c>
    </row>
    <row r="59" spans="1:2">
      <c r="A59">
        <v>50602055</v>
      </c>
      <c r="B59">
        <v>6.6968636830265389</v>
      </c>
    </row>
    <row r="60" spans="1:2">
      <c r="A60">
        <v>50601065</v>
      </c>
      <c r="B60">
        <v>6.7451581943559997</v>
      </c>
    </row>
    <row r="61" spans="1:2">
      <c r="A61">
        <v>50603065</v>
      </c>
      <c r="B61">
        <v>6.7652310026566909</v>
      </c>
    </row>
    <row r="62" spans="1:2">
      <c r="A62">
        <v>50651065</v>
      </c>
      <c r="B62">
        <v>6.8405758186938037</v>
      </c>
    </row>
    <row r="63" spans="1:2">
      <c r="A63">
        <v>50600035</v>
      </c>
      <c r="B63">
        <v>6.8994066186866245</v>
      </c>
    </row>
    <row r="64" spans="1:2">
      <c r="A64">
        <v>50650015</v>
      </c>
      <c r="B64">
        <v>7.0549557062508166</v>
      </c>
    </row>
    <row r="65" spans="1:2">
      <c r="A65">
        <v>50651065</v>
      </c>
      <c r="B65">
        <v>7.068581515524456</v>
      </c>
    </row>
    <row r="66" spans="1:2">
      <c r="A66">
        <v>50701065</v>
      </c>
      <c r="B66">
        <v>7.4676274891421013</v>
      </c>
    </row>
    <row r="67" spans="1:2">
      <c r="A67">
        <v>50653065</v>
      </c>
      <c r="B67">
        <v>7.5107741969582005</v>
      </c>
    </row>
    <row r="68" spans="1:2">
      <c r="A68">
        <v>50653055</v>
      </c>
      <c r="B68">
        <v>7.542537483074943</v>
      </c>
    </row>
    <row r="69" spans="1:2">
      <c r="A69">
        <v>50652065</v>
      </c>
      <c r="B69">
        <v>7.6153318807853623</v>
      </c>
    </row>
    <row r="70" spans="1:2">
      <c r="A70">
        <v>50652055</v>
      </c>
      <c r="B70">
        <v>7.6712634781376057</v>
      </c>
    </row>
    <row r="71" spans="1:2">
      <c r="A71">
        <v>50650035</v>
      </c>
      <c r="B71">
        <v>7.9441439392367617</v>
      </c>
    </row>
    <row r="72" spans="1:2">
      <c r="A72">
        <v>50651055</v>
      </c>
      <c r="B72">
        <v>7.9760666164093985</v>
      </c>
    </row>
    <row r="73" spans="1:2">
      <c r="A73">
        <v>50700015</v>
      </c>
      <c r="B73">
        <v>8.0081043762596948</v>
      </c>
    </row>
    <row r="74" spans="1:2">
      <c r="A74">
        <v>50701065</v>
      </c>
      <c r="B74">
        <v>8.183000171066233</v>
      </c>
    </row>
    <row r="75" spans="1:2">
      <c r="A75">
        <v>50702055</v>
      </c>
      <c r="B75">
        <v>8.4613294100691743</v>
      </c>
    </row>
    <row r="76" spans="1:2">
      <c r="A76">
        <v>50751066</v>
      </c>
      <c r="B76">
        <v>8.5452176242181022</v>
      </c>
    </row>
    <row r="77" spans="1:2">
      <c r="A77">
        <v>50703065</v>
      </c>
      <c r="B77">
        <v>8.564452406947817</v>
      </c>
    </row>
    <row r="78" spans="1:2">
      <c r="A78">
        <v>50702065</v>
      </c>
      <c r="B78">
        <v>8.572795925606906</v>
      </c>
    </row>
    <row r="79" spans="1:2">
      <c r="A79">
        <v>50700035</v>
      </c>
      <c r="B79">
        <v>8.9004143903181792</v>
      </c>
    </row>
    <row r="80" spans="1:2">
      <c r="A80">
        <v>50703055</v>
      </c>
      <c r="B80">
        <v>8.9129063933146568</v>
      </c>
    </row>
    <row r="81" spans="1:2">
      <c r="A81">
        <v>50701055</v>
      </c>
      <c r="B81">
        <v>8.9866168985190651</v>
      </c>
    </row>
    <row r="82" spans="1:2">
      <c r="A82">
        <v>50752055</v>
      </c>
      <c r="B82">
        <v>9.0964891735225706</v>
      </c>
    </row>
    <row r="83" spans="1:2">
      <c r="A83">
        <v>50801066</v>
      </c>
      <c r="B83">
        <v>9.1435692980826744</v>
      </c>
    </row>
    <row r="84" spans="1:2">
      <c r="A84">
        <v>50751065</v>
      </c>
      <c r="B84">
        <v>9.2110809077086877</v>
      </c>
    </row>
    <row r="85" spans="1:2">
      <c r="A85">
        <v>50750035</v>
      </c>
      <c r="B85">
        <v>9.4448649441533803</v>
      </c>
    </row>
    <row r="86" spans="1:2">
      <c r="A86">
        <v>50753065</v>
      </c>
      <c r="B86">
        <v>9.5441626760079341</v>
      </c>
    </row>
    <row r="87" spans="1:2">
      <c r="A87">
        <v>50752065</v>
      </c>
      <c r="B87">
        <v>9.5597810081344612</v>
      </c>
    </row>
    <row r="88" spans="1:2">
      <c r="A88">
        <v>50753055</v>
      </c>
      <c r="B88">
        <v>9.6282105732551386</v>
      </c>
    </row>
    <row r="89" spans="1:2">
      <c r="A89">
        <v>50751055</v>
      </c>
      <c r="B89">
        <v>9.7941302041855813</v>
      </c>
    </row>
    <row r="90" spans="1:2">
      <c r="A90">
        <v>50750015</v>
      </c>
      <c r="B90">
        <v>9.9526886020894629</v>
      </c>
    </row>
    <row r="91" spans="1:2">
      <c r="A91">
        <v>50802065</v>
      </c>
      <c r="B91">
        <v>10.097058205364016</v>
      </c>
    </row>
    <row r="92" spans="1:2">
      <c r="A92">
        <v>50802055</v>
      </c>
      <c r="B92">
        <v>10.265845144624794</v>
      </c>
    </row>
    <row r="93" spans="1:2">
      <c r="A93">
        <v>50800015</v>
      </c>
      <c r="B93">
        <v>10.461356626546078</v>
      </c>
    </row>
    <row r="94" spans="1:2">
      <c r="A94">
        <v>50801055</v>
      </c>
      <c r="B94">
        <v>10.477112349365855</v>
      </c>
    </row>
    <row r="95" spans="1:2">
      <c r="A95">
        <v>50801065</v>
      </c>
      <c r="B95">
        <v>10.491544122375313</v>
      </c>
    </row>
    <row r="96" spans="1:2">
      <c r="A96">
        <v>50803055</v>
      </c>
      <c r="B96">
        <v>10.534066193244648</v>
      </c>
    </row>
    <row r="97" spans="1:2">
      <c r="A97">
        <v>50803065</v>
      </c>
      <c r="B97">
        <v>10.637792998729584</v>
      </c>
    </row>
    <row r="98" spans="1:2">
      <c r="A98">
        <v>50800035</v>
      </c>
      <c r="B98">
        <v>10.645114299968702</v>
      </c>
    </row>
    <row r="99" spans="1:2">
      <c r="A99">
        <v>50851066</v>
      </c>
      <c r="B99">
        <v>10.796543711254895</v>
      </c>
    </row>
    <row r="100" spans="1:2">
      <c r="A100">
        <v>50852065</v>
      </c>
      <c r="B100">
        <v>11.363239794865322</v>
      </c>
    </row>
    <row r="101" spans="1:2">
      <c r="A101">
        <v>50853065</v>
      </c>
      <c r="B101">
        <v>11.450249840178152</v>
      </c>
    </row>
    <row r="102" spans="1:2">
      <c r="A102">
        <v>50851055</v>
      </c>
      <c r="B102">
        <v>11.503119392329186</v>
      </c>
    </row>
    <row r="103" spans="1:2">
      <c r="A103">
        <v>50851065</v>
      </c>
      <c r="B103">
        <v>11.558559762415586</v>
      </c>
    </row>
    <row r="104" spans="1:2">
      <c r="A104">
        <v>50850035</v>
      </c>
      <c r="B104">
        <v>11.58515969946915</v>
      </c>
    </row>
    <row r="105" spans="1:2">
      <c r="A105">
        <v>50850015</v>
      </c>
      <c r="B105">
        <v>11.606942675733352</v>
      </c>
    </row>
    <row r="106" spans="1:2">
      <c r="A106">
        <v>50853055</v>
      </c>
      <c r="B106">
        <v>11.784962302311524</v>
      </c>
    </row>
    <row r="107" spans="1:2">
      <c r="A107">
        <v>50852055</v>
      </c>
      <c r="B107">
        <v>11.946996529873633</v>
      </c>
    </row>
    <row r="108" spans="1:2">
      <c r="A108">
        <v>50901066</v>
      </c>
      <c r="B108">
        <v>11.957071446707236</v>
      </c>
    </row>
    <row r="109" spans="1:2">
      <c r="A109">
        <v>50902055</v>
      </c>
      <c r="B109">
        <v>12.187169319306745</v>
      </c>
    </row>
    <row r="110" spans="1:2">
      <c r="A110">
        <v>50900035</v>
      </c>
      <c r="B110">
        <v>12.261628124157458</v>
      </c>
    </row>
    <row r="111" spans="1:2">
      <c r="A111">
        <v>50902065</v>
      </c>
      <c r="B111">
        <v>12.512256749053718</v>
      </c>
    </row>
    <row r="112" spans="1:2">
      <c r="A112">
        <v>50901055</v>
      </c>
      <c r="B112">
        <v>12.582083470096428</v>
      </c>
    </row>
    <row r="113" spans="1:2">
      <c r="A113">
        <v>50951065</v>
      </c>
      <c r="B113">
        <v>12.605335205740642</v>
      </c>
    </row>
    <row r="114" spans="1:2">
      <c r="A114">
        <v>50900015</v>
      </c>
      <c r="B114">
        <v>12.62251274230362</v>
      </c>
    </row>
    <row r="115" spans="1:2">
      <c r="A115">
        <v>50901065</v>
      </c>
      <c r="B115">
        <v>12.647212953625777</v>
      </c>
    </row>
    <row r="116" spans="1:2">
      <c r="A116">
        <v>50903055</v>
      </c>
      <c r="B116">
        <v>12.950760962563571</v>
      </c>
    </row>
    <row r="117" spans="1:2">
      <c r="A117">
        <v>50903065</v>
      </c>
      <c r="B117">
        <v>12.955888944947</v>
      </c>
    </row>
    <row r="118" spans="1:2">
      <c r="A118">
        <v>50950015</v>
      </c>
      <c r="B118">
        <v>13.058392891678228</v>
      </c>
    </row>
    <row r="119" spans="1:2">
      <c r="A119">
        <v>50952055</v>
      </c>
      <c r="B119">
        <v>13.273093504047988</v>
      </c>
    </row>
    <row r="120" spans="1:2">
      <c r="A120">
        <v>50952065</v>
      </c>
      <c r="B120">
        <v>13.490563228553203</v>
      </c>
    </row>
    <row r="121" spans="1:2">
      <c r="A121">
        <v>50950035</v>
      </c>
      <c r="B121">
        <v>13.516158061977958</v>
      </c>
    </row>
    <row r="122" spans="1:2">
      <c r="A122">
        <v>50953065</v>
      </c>
      <c r="B122">
        <v>13.604083981064505</v>
      </c>
    </row>
    <row r="123" spans="1:2">
      <c r="A123">
        <v>50951055</v>
      </c>
      <c r="B123">
        <v>13.6459540864704</v>
      </c>
    </row>
    <row r="124" spans="1:2">
      <c r="A124">
        <v>50951065</v>
      </c>
      <c r="B124">
        <v>13.93888867115974</v>
      </c>
    </row>
    <row r="125" spans="1:2">
      <c r="A125">
        <v>50953055</v>
      </c>
      <c r="B125">
        <v>13.997723514183392</v>
      </c>
    </row>
  </sheetData>
  <sortState ref="A1:B125">
    <sortCondition ref="B1:B125"/>
  </sortState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佣兵星级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2014-10-28T14:35:22Z</dcterms:modified>
</cp:coreProperties>
</file>