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9440" windowHeight="12240" activeTab="2"/>
  </bookViews>
  <sheets>
    <sheet name="alliance.xml" sheetId="1" r:id="rId1"/>
    <sheet name="工会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A3" i="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2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3"/>
  <c r="B4"/>
  <c r="B5"/>
  <c r="B6"/>
  <c r="B7"/>
  <c r="B2"/>
  <c r="A3" i="2"/>
  <c r="B3"/>
  <c r="C3"/>
  <c r="D3"/>
  <c r="E3"/>
  <c r="F3"/>
  <c r="A4"/>
  <c r="B4"/>
  <c r="C4"/>
  <c r="D4"/>
  <c r="E4"/>
  <c r="F4"/>
  <c r="A5"/>
  <c r="B5"/>
  <c r="C5"/>
  <c r="D5"/>
  <c r="E5"/>
  <c r="F5"/>
  <c r="A6"/>
  <c r="B6"/>
  <c r="C6"/>
  <c r="D6"/>
  <c r="E6"/>
  <c r="F6"/>
  <c r="A7"/>
  <c r="B7"/>
  <c r="C7"/>
  <c r="D7"/>
  <c r="E7"/>
  <c r="F7"/>
  <c r="A8"/>
  <c r="B8"/>
  <c r="C8"/>
  <c r="D8"/>
  <c r="E8"/>
  <c r="F8"/>
  <c r="A9"/>
  <c r="B9"/>
  <c r="C9"/>
  <c r="D9"/>
  <c r="E9"/>
  <c r="F9"/>
  <c r="A10"/>
  <c r="B10"/>
  <c r="C10"/>
  <c r="D10"/>
  <c r="E10"/>
  <c r="F10"/>
  <c r="A11"/>
  <c r="B11"/>
  <c r="C11"/>
  <c r="D11"/>
  <c r="E11"/>
  <c r="F11"/>
  <c r="A12"/>
  <c r="B12"/>
  <c r="C12"/>
  <c r="D12"/>
  <c r="E12"/>
  <c r="F12"/>
  <c r="A13"/>
  <c r="B13"/>
  <c r="C13"/>
  <c r="D13"/>
  <c r="E13"/>
  <c r="F13"/>
  <c r="A14"/>
  <c r="B14"/>
  <c r="C14"/>
  <c r="D14"/>
  <c r="E14"/>
  <c r="F14"/>
  <c r="A15"/>
  <c r="B15"/>
  <c r="C15"/>
  <c r="D15"/>
  <c r="E15"/>
  <c r="F15"/>
  <c r="A16"/>
  <c r="B16"/>
  <c r="C16"/>
  <c r="D16"/>
  <c r="E16"/>
  <c r="F16"/>
  <c r="A17"/>
  <c r="B17"/>
  <c r="C17"/>
  <c r="D17"/>
  <c r="E17"/>
  <c r="F17"/>
  <c r="A18"/>
  <c r="B18"/>
  <c r="C18"/>
  <c r="D18"/>
  <c r="E18"/>
  <c r="F18"/>
  <c r="A19"/>
  <c r="B19"/>
  <c r="C19"/>
  <c r="D19"/>
  <c r="E19"/>
  <c r="F19"/>
  <c r="A20"/>
  <c r="B20"/>
  <c r="C20"/>
  <c r="D20"/>
  <c r="E20"/>
  <c r="F20"/>
  <c r="A21"/>
  <c r="B21"/>
  <c r="C21"/>
  <c r="D21"/>
  <c r="E21"/>
  <c r="F21"/>
  <c r="A22"/>
  <c r="B22"/>
  <c r="C22"/>
  <c r="D22"/>
  <c r="E22"/>
  <c r="F22"/>
  <c r="A23"/>
  <c r="B23"/>
  <c r="C23"/>
  <c r="D23"/>
  <c r="E23"/>
  <c r="F23"/>
  <c r="A24"/>
  <c r="B24"/>
  <c r="C24"/>
  <c r="D24"/>
  <c r="E24"/>
  <c r="F24"/>
  <c r="A25"/>
  <c r="B25"/>
  <c r="C25"/>
  <c r="D25"/>
  <c r="E25"/>
  <c r="F25"/>
  <c r="A26"/>
  <c r="B26"/>
  <c r="C26"/>
  <c r="D26"/>
  <c r="E26"/>
  <c r="F26"/>
  <c r="A27"/>
  <c r="B27"/>
  <c r="C27"/>
  <c r="D27"/>
  <c r="E27"/>
  <c r="F27"/>
  <c r="A28"/>
  <c r="B28"/>
  <c r="C28"/>
  <c r="D28"/>
  <c r="E28"/>
  <c r="F28"/>
  <c r="A29"/>
  <c r="B29"/>
  <c r="C29"/>
  <c r="D29"/>
  <c r="E29"/>
  <c r="F29"/>
  <c r="A30"/>
  <c r="B30"/>
  <c r="C30"/>
  <c r="D30"/>
  <c r="E30"/>
  <c r="F30"/>
  <c r="A31"/>
  <c r="B31"/>
  <c r="C31"/>
  <c r="D31"/>
  <c r="E31"/>
  <c r="F31"/>
  <c r="A32"/>
  <c r="B32"/>
  <c r="C32"/>
  <c r="D32"/>
  <c r="E32"/>
  <c r="F32"/>
  <c r="A33"/>
  <c r="B33"/>
  <c r="C33"/>
  <c r="D33"/>
  <c r="E33"/>
  <c r="F33"/>
  <c r="A34"/>
  <c r="B34"/>
  <c r="C34"/>
  <c r="D34"/>
  <c r="E34"/>
  <c r="F34"/>
  <c r="A35"/>
  <c r="B35"/>
  <c r="C35"/>
  <c r="D35"/>
  <c r="E35"/>
  <c r="F35"/>
  <c r="A36"/>
  <c r="B36"/>
  <c r="C36"/>
  <c r="D36"/>
  <c r="E36"/>
  <c r="F36"/>
  <c r="A37"/>
  <c r="B37"/>
  <c r="C37"/>
  <c r="D37"/>
  <c r="E37"/>
  <c r="F37"/>
  <c r="A38"/>
  <c r="B38"/>
  <c r="C38"/>
  <c r="D38"/>
  <c r="E38"/>
  <c r="F38"/>
  <c r="A39"/>
  <c r="B39"/>
  <c r="C39"/>
  <c r="D39"/>
  <c r="E39"/>
  <c r="F39"/>
  <c r="A40"/>
  <c r="B40"/>
  <c r="C40"/>
  <c r="D40"/>
  <c r="E40"/>
  <c r="F40"/>
  <c r="A41"/>
  <c r="B41"/>
  <c r="C41"/>
  <c r="D41"/>
  <c r="E41"/>
  <c r="F41"/>
  <c r="A42"/>
  <c r="B42"/>
  <c r="C42"/>
  <c r="D42"/>
  <c r="E42"/>
  <c r="F42"/>
  <c r="A43"/>
  <c r="B43"/>
  <c r="C43"/>
  <c r="D43"/>
  <c r="E43"/>
  <c r="F43"/>
  <c r="A44"/>
  <c r="B44"/>
  <c r="C44"/>
  <c r="D44"/>
  <c r="E44"/>
  <c r="F44"/>
  <c r="A45"/>
  <c r="B45"/>
  <c r="C45"/>
  <c r="D45"/>
  <c r="E45"/>
  <c r="F45"/>
  <c r="A46"/>
  <c r="B46"/>
  <c r="C46"/>
  <c r="D46"/>
  <c r="E46"/>
  <c r="F46"/>
  <c r="A47"/>
  <c r="B47"/>
  <c r="C47"/>
  <c r="D47"/>
  <c r="E47"/>
  <c r="F47"/>
  <c r="A48"/>
  <c r="B48"/>
  <c r="C48"/>
  <c r="D48"/>
  <c r="E48"/>
  <c r="F48"/>
  <c r="A49"/>
  <c r="B49"/>
  <c r="C49"/>
  <c r="D49"/>
  <c r="E49"/>
  <c r="F49"/>
  <c r="A50"/>
  <c r="B50"/>
  <c r="C50"/>
  <c r="D50"/>
  <c r="E50"/>
  <c r="F50"/>
  <c r="A51"/>
  <c r="B51"/>
  <c r="C51"/>
  <c r="D51"/>
  <c r="E51"/>
  <c r="F51"/>
  <c r="A52"/>
  <c r="B52"/>
  <c r="C52"/>
  <c r="D52"/>
  <c r="E52"/>
  <c r="F52"/>
  <c r="A53"/>
  <c r="B53"/>
  <c r="C53"/>
  <c r="D53"/>
  <c r="E53"/>
  <c r="F53"/>
  <c r="A54"/>
  <c r="B54"/>
  <c r="C54"/>
  <c r="D54"/>
  <c r="E54"/>
  <c r="F54"/>
  <c r="A55"/>
  <c r="B55"/>
  <c r="C55"/>
  <c r="D55"/>
  <c r="E55"/>
  <c r="F55"/>
  <c r="A56"/>
  <c r="B56"/>
  <c r="C56"/>
  <c r="D56"/>
  <c r="E56"/>
  <c r="F56"/>
  <c r="A57"/>
  <c r="B57"/>
  <c r="C57"/>
  <c r="D57"/>
  <c r="E57"/>
  <c r="F57"/>
  <c r="A58"/>
  <c r="B58"/>
  <c r="C58"/>
  <c r="D58"/>
  <c r="E58"/>
  <c r="F58"/>
  <c r="A59"/>
  <c r="B59"/>
  <c r="C59"/>
  <c r="D59"/>
  <c r="E59"/>
  <c r="F59"/>
  <c r="A60"/>
  <c r="B60"/>
  <c r="C60"/>
  <c r="D60"/>
  <c r="E60"/>
  <c r="F60"/>
  <c r="A61"/>
  <c r="B61"/>
  <c r="C61"/>
  <c r="D61"/>
  <c r="E61"/>
  <c r="F61"/>
  <c r="A62"/>
  <c r="B62"/>
  <c r="C62"/>
  <c r="D62"/>
  <c r="E62"/>
  <c r="F62"/>
  <c r="A63"/>
  <c r="B63"/>
  <c r="C63"/>
  <c r="D63"/>
  <c r="E63"/>
  <c r="F63"/>
  <c r="A64"/>
  <c r="B64"/>
  <c r="C64"/>
  <c r="D64"/>
  <c r="E64"/>
  <c r="F64"/>
  <c r="A65"/>
  <c r="B65"/>
  <c r="C65"/>
  <c r="D65"/>
  <c r="E65"/>
  <c r="F65"/>
  <c r="A66"/>
  <c r="B66"/>
  <c r="C66"/>
  <c r="D66"/>
  <c r="E66"/>
  <c r="F66"/>
  <c r="A67"/>
  <c r="B67"/>
  <c r="C67"/>
  <c r="D67"/>
  <c r="E67"/>
  <c r="F67"/>
  <c r="A68"/>
  <c r="B68"/>
  <c r="C68"/>
  <c r="D68"/>
  <c r="E68"/>
  <c r="F68"/>
  <c r="A69"/>
  <c r="B69"/>
  <c r="C69"/>
  <c r="D69"/>
  <c r="E69"/>
  <c r="F69"/>
  <c r="A70"/>
  <c r="B70"/>
  <c r="C70"/>
  <c r="D70"/>
  <c r="E70"/>
  <c r="F70"/>
  <c r="A71"/>
  <c r="B71"/>
  <c r="C71"/>
  <c r="D71"/>
  <c r="E71"/>
  <c r="F71"/>
  <c r="A72"/>
  <c r="B72"/>
  <c r="C72"/>
  <c r="D72"/>
  <c r="E72"/>
  <c r="F72"/>
  <c r="A73"/>
  <c r="B73"/>
  <c r="C73"/>
  <c r="D73"/>
  <c r="E73"/>
  <c r="F73"/>
  <c r="A74"/>
  <c r="B74"/>
  <c r="C74"/>
  <c r="D74"/>
  <c r="E74"/>
  <c r="F74"/>
  <c r="A75"/>
  <c r="B75"/>
  <c r="C75"/>
  <c r="D75"/>
  <c r="E75"/>
  <c r="F75"/>
  <c r="A76"/>
  <c r="B76"/>
  <c r="C76"/>
  <c r="D76"/>
  <c r="E76"/>
  <c r="F76"/>
  <c r="A77"/>
  <c r="B77"/>
  <c r="C77"/>
  <c r="D77"/>
  <c r="E77"/>
  <c r="F77"/>
  <c r="A78"/>
  <c r="B78"/>
  <c r="C78"/>
  <c r="D78"/>
  <c r="E78"/>
  <c r="F78"/>
  <c r="A79"/>
  <c r="B79"/>
  <c r="C79"/>
  <c r="D79"/>
  <c r="E79"/>
  <c r="F79"/>
  <c r="A80"/>
  <c r="B80"/>
  <c r="C80"/>
  <c r="D80"/>
  <c r="E80"/>
  <c r="F80"/>
  <c r="A81"/>
  <c r="B81"/>
  <c r="C81"/>
  <c r="D81"/>
  <c r="E81"/>
  <c r="F81"/>
  <c r="A82"/>
  <c r="B82"/>
  <c r="C82"/>
  <c r="D82"/>
  <c r="E82"/>
  <c r="F82"/>
  <c r="A83"/>
  <c r="B83"/>
  <c r="C83"/>
  <c r="D83"/>
  <c r="E83"/>
  <c r="F83"/>
  <c r="A84"/>
  <c r="B84"/>
  <c r="C84"/>
  <c r="D84"/>
  <c r="E84"/>
  <c r="F84"/>
  <c r="A85"/>
  <c r="B85"/>
  <c r="C85"/>
  <c r="D85"/>
  <c r="E85"/>
  <c r="F85"/>
  <c r="A86"/>
  <c r="B86"/>
  <c r="C86"/>
  <c r="D86"/>
  <c r="E86"/>
  <c r="F86"/>
  <c r="A87"/>
  <c r="B87"/>
  <c r="C87"/>
  <c r="D87"/>
  <c r="E87"/>
  <c r="F87"/>
  <c r="A88"/>
  <c r="B88"/>
  <c r="C88"/>
  <c r="D88"/>
  <c r="E88"/>
  <c r="F88"/>
  <c r="A89"/>
  <c r="B89"/>
  <c r="C89"/>
  <c r="D89"/>
  <c r="E89"/>
  <c r="F89"/>
  <c r="A90"/>
  <c r="B90"/>
  <c r="C90"/>
  <c r="D90"/>
  <c r="E90"/>
  <c r="F90"/>
  <c r="A91"/>
  <c r="B91"/>
  <c r="C91"/>
  <c r="D91"/>
  <c r="E91"/>
  <c r="F91"/>
  <c r="A92"/>
  <c r="B92"/>
  <c r="C92"/>
  <c r="D92"/>
  <c r="E92"/>
  <c r="F92"/>
  <c r="A93"/>
  <c r="B93"/>
  <c r="C93"/>
  <c r="D93"/>
  <c r="E93"/>
  <c r="F93"/>
  <c r="A94"/>
  <c r="B94"/>
  <c r="C94"/>
  <c r="D94"/>
  <c r="E94"/>
  <c r="F94"/>
  <c r="A95"/>
  <c r="B95"/>
  <c r="C95"/>
  <c r="D95"/>
  <c r="E95"/>
  <c r="F95"/>
  <c r="A96"/>
  <c r="B96"/>
  <c r="C96"/>
  <c r="D96"/>
  <c r="E96"/>
  <c r="F96"/>
  <c r="A97"/>
  <c r="B97"/>
  <c r="C97"/>
  <c r="D97"/>
  <c r="E97"/>
  <c r="F97"/>
  <c r="A98"/>
  <c r="B98"/>
  <c r="C98"/>
  <c r="D98"/>
  <c r="E98"/>
  <c r="F98"/>
  <c r="A99"/>
  <c r="B99"/>
  <c r="C99"/>
  <c r="D99"/>
  <c r="E99"/>
  <c r="F99"/>
  <c r="A100"/>
  <c r="B100"/>
  <c r="C100"/>
  <c r="D100"/>
  <c r="E100"/>
  <c r="F100"/>
  <c r="A101"/>
  <c r="B101"/>
  <c r="C101"/>
  <c r="D101"/>
  <c r="E101"/>
  <c r="F101"/>
  <c r="A102"/>
  <c r="B102"/>
  <c r="C102"/>
  <c r="D102"/>
  <c r="E102"/>
  <c r="F102"/>
  <c r="A103"/>
  <c r="B103"/>
  <c r="C103"/>
  <c r="D103"/>
  <c r="E103"/>
  <c r="F103"/>
  <c r="A104"/>
  <c r="B104"/>
  <c r="C104"/>
  <c r="D104"/>
  <c r="E104"/>
  <c r="F104"/>
  <c r="A105"/>
  <c r="B105"/>
  <c r="C105"/>
  <c r="D105"/>
  <c r="E105"/>
  <c r="F105"/>
  <c r="A106"/>
  <c r="B106"/>
  <c r="C106"/>
  <c r="D106"/>
  <c r="E106"/>
  <c r="F106"/>
  <c r="A107"/>
  <c r="B107"/>
  <c r="C107"/>
  <c r="D107"/>
  <c r="E107"/>
  <c r="F107"/>
  <c r="A108"/>
  <c r="B108"/>
  <c r="C108"/>
  <c r="D108"/>
  <c r="E108"/>
  <c r="F108"/>
  <c r="A109"/>
  <c r="B109"/>
  <c r="C109"/>
  <c r="D109"/>
  <c r="E109"/>
  <c r="F109"/>
  <c r="A110"/>
  <c r="B110"/>
  <c r="C110"/>
  <c r="D110"/>
  <c r="E110"/>
  <c r="F110"/>
  <c r="A111"/>
  <c r="B111"/>
  <c r="C111"/>
  <c r="D111"/>
  <c r="E111"/>
  <c r="F111"/>
  <c r="A112"/>
  <c r="B112"/>
  <c r="C112"/>
  <c r="D112"/>
  <c r="E112"/>
  <c r="F112"/>
  <c r="A113"/>
  <c r="B113"/>
  <c r="C113"/>
  <c r="D113"/>
  <c r="E113"/>
  <c r="F113"/>
  <c r="A114"/>
  <c r="B114"/>
  <c r="C114"/>
  <c r="D114"/>
  <c r="E114"/>
  <c r="F114"/>
  <c r="A115"/>
  <c r="B115"/>
  <c r="C115"/>
  <c r="D115"/>
  <c r="E115"/>
  <c r="F115"/>
  <c r="A116"/>
  <c r="B116"/>
  <c r="C116"/>
  <c r="D116"/>
  <c r="E116"/>
  <c r="F116"/>
  <c r="A117"/>
  <c r="B117"/>
  <c r="C117"/>
  <c r="D117"/>
  <c r="E117"/>
  <c r="F117"/>
  <c r="A118"/>
  <c r="B118"/>
  <c r="C118"/>
  <c r="D118"/>
  <c r="E118"/>
  <c r="F118"/>
  <c r="A119"/>
  <c r="B119"/>
  <c r="C119"/>
  <c r="D119"/>
  <c r="E119"/>
  <c r="F119"/>
  <c r="A120"/>
  <c r="B120"/>
  <c r="C120"/>
  <c r="D120"/>
  <c r="E120"/>
  <c r="F120"/>
  <c r="A121"/>
  <c r="B121"/>
  <c r="C121"/>
  <c r="D121"/>
  <c r="E121"/>
  <c r="F121"/>
  <c r="E2"/>
  <c r="F2"/>
  <c r="D2"/>
  <c r="C2"/>
  <c r="B2"/>
  <c r="A2"/>
  <c r="G125" i="1"/>
  <c r="G124"/>
  <c r="G123"/>
  <c r="G122"/>
  <c r="D122"/>
  <c r="C123" s="1"/>
  <c r="G121"/>
  <c r="G120"/>
  <c r="G119"/>
  <c r="G118"/>
  <c r="D118"/>
  <c r="C119" s="1"/>
  <c r="G117"/>
  <c r="G116"/>
  <c r="G115"/>
  <c r="G114"/>
  <c r="D114"/>
  <c r="C115" s="1"/>
  <c r="G113"/>
  <c r="G112"/>
  <c r="G111"/>
  <c r="G110"/>
  <c r="D110"/>
  <c r="D113" s="1"/>
  <c r="G109"/>
  <c r="G108"/>
  <c r="G107"/>
  <c r="G106"/>
  <c r="D106"/>
  <c r="C107" s="1"/>
  <c r="G105"/>
  <c r="G104"/>
  <c r="G103"/>
  <c r="G102"/>
  <c r="D102"/>
  <c r="C103" s="1"/>
  <c r="G101"/>
  <c r="G100"/>
  <c r="G99"/>
  <c r="G98"/>
  <c r="D98"/>
  <c r="C99" s="1"/>
  <c r="G97"/>
  <c r="G96"/>
  <c r="G95"/>
  <c r="G94"/>
  <c r="D94"/>
  <c r="D97" s="1"/>
  <c r="G93"/>
  <c r="G92"/>
  <c r="G91"/>
  <c r="G90"/>
  <c r="D90"/>
  <c r="C91" s="1"/>
  <c r="G89"/>
  <c r="G88"/>
  <c r="G87"/>
  <c r="G86"/>
  <c r="D86"/>
  <c r="C87" s="1"/>
  <c r="G85"/>
  <c r="G84"/>
  <c r="G83"/>
  <c r="G82"/>
  <c r="D82"/>
  <c r="C83" s="1"/>
  <c r="G81"/>
  <c r="G80"/>
  <c r="G79"/>
  <c r="C79"/>
  <c r="G78"/>
  <c r="D78"/>
  <c r="D81" s="1"/>
  <c r="G77"/>
  <c r="G76"/>
  <c r="G75"/>
  <c r="G74"/>
  <c r="D74"/>
  <c r="C75" s="1"/>
  <c r="G73"/>
  <c r="G72"/>
  <c r="G71"/>
  <c r="G70"/>
  <c r="D70"/>
  <c r="C71" s="1"/>
  <c r="G69"/>
  <c r="G68"/>
  <c r="G67"/>
  <c r="K66"/>
  <c r="K67" s="1"/>
  <c r="K68" s="1"/>
  <c r="K69" s="1"/>
  <c r="K70" s="1"/>
  <c r="K71" s="1"/>
  <c r="K72" s="1"/>
  <c r="K73" s="1"/>
  <c r="K74" s="1"/>
  <c r="K75" s="1"/>
  <c r="K76" s="1"/>
  <c r="K77" s="1"/>
  <c r="K78" s="1"/>
  <c r="K79" s="1"/>
  <c r="K80" s="1"/>
  <c r="K81" s="1"/>
  <c r="K82" s="1"/>
  <c r="K83" s="1"/>
  <c r="K84" s="1"/>
  <c r="K85" s="1"/>
  <c r="K86" s="1"/>
  <c r="K87" s="1"/>
  <c r="K88" s="1"/>
  <c r="K89" s="1"/>
  <c r="K90" s="1"/>
  <c r="K91" s="1"/>
  <c r="K92" s="1"/>
  <c r="K93" s="1"/>
  <c r="K94" s="1"/>
  <c r="K95" s="1"/>
  <c r="K96" s="1"/>
  <c r="K97" s="1"/>
  <c r="K98" s="1"/>
  <c r="K99" s="1"/>
  <c r="K100" s="1"/>
  <c r="K101" s="1"/>
  <c r="K102" s="1"/>
  <c r="K103" s="1"/>
  <c r="K104" s="1"/>
  <c r="K105" s="1"/>
  <c r="K106" s="1"/>
  <c r="K107" s="1"/>
  <c r="K108" s="1"/>
  <c r="K109" s="1"/>
  <c r="K110" s="1"/>
  <c r="K111" s="1"/>
  <c r="K112" s="1"/>
  <c r="K113" s="1"/>
  <c r="K114" s="1"/>
  <c r="K115" s="1"/>
  <c r="K116" s="1"/>
  <c r="K117" s="1"/>
  <c r="K118" s="1"/>
  <c r="K119" s="1"/>
  <c r="K120" s="1"/>
  <c r="K121" s="1"/>
  <c r="K122" s="1"/>
  <c r="K123" s="1"/>
  <c r="K124" s="1"/>
  <c r="K125" s="1"/>
  <c r="G66"/>
  <c r="D66"/>
  <c r="C67" s="1"/>
  <c r="G65"/>
  <c r="G64"/>
  <c r="G63"/>
  <c r="K62"/>
  <c r="K63" s="1"/>
  <c r="K64" s="1"/>
  <c r="G62"/>
  <c r="D62"/>
  <c r="C63" s="1"/>
  <c r="G61"/>
  <c r="G60"/>
  <c r="G59"/>
  <c r="K58"/>
  <c r="K59" s="1"/>
  <c r="K60" s="1"/>
  <c r="G58"/>
  <c r="D58"/>
  <c r="D61" s="1"/>
  <c r="G57"/>
  <c r="G56"/>
  <c r="G55"/>
  <c r="K54"/>
  <c r="K55" s="1"/>
  <c r="K56" s="1"/>
  <c r="G54"/>
  <c r="D54"/>
  <c r="C55" s="1"/>
  <c r="G53"/>
  <c r="G52"/>
  <c r="G51"/>
  <c r="K50"/>
  <c r="K51" s="1"/>
  <c r="K52" s="1"/>
  <c r="G50"/>
  <c r="D50"/>
  <c r="D53" s="1"/>
  <c r="G49"/>
  <c r="G48"/>
  <c r="G47"/>
  <c r="K46"/>
  <c r="K47" s="1"/>
  <c r="K48" s="1"/>
  <c r="G46"/>
  <c r="D46"/>
  <c r="C47" s="1"/>
  <c r="G45"/>
  <c r="G44"/>
  <c r="G43"/>
  <c r="K42"/>
  <c r="K43" s="1"/>
  <c r="K44" s="1"/>
  <c r="G42"/>
  <c r="D42"/>
  <c r="D45" s="1"/>
  <c r="G41"/>
  <c r="D41"/>
  <c r="G40"/>
  <c r="G39"/>
  <c r="D39"/>
  <c r="C40" s="1"/>
  <c r="K38"/>
  <c r="K39" s="1"/>
  <c r="K40" s="1"/>
  <c r="D38"/>
  <c r="C39" s="1"/>
  <c r="K34"/>
  <c r="K35" s="1"/>
  <c r="K36" s="1"/>
  <c r="D34"/>
  <c r="D37" s="1"/>
  <c r="K30"/>
  <c r="K31" s="1"/>
  <c r="K32" s="1"/>
  <c r="D30"/>
  <c r="D32" s="1"/>
  <c r="C33" s="1"/>
  <c r="D29"/>
  <c r="D27"/>
  <c r="C28" s="1"/>
  <c r="C27"/>
  <c r="K26"/>
  <c r="K27" s="1"/>
  <c r="K28" s="1"/>
  <c r="D26"/>
  <c r="D28" s="1"/>
  <c r="C29" s="1"/>
  <c r="K22"/>
  <c r="K23" s="1"/>
  <c r="K24" s="1"/>
  <c r="D22"/>
  <c r="D24" s="1"/>
  <c r="C25" s="1"/>
  <c r="C21"/>
  <c r="C20"/>
  <c r="C19"/>
  <c r="K18"/>
  <c r="K19" s="1"/>
  <c r="K20" s="1"/>
  <c r="C17"/>
  <c r="C16"/>
  <c r="C15"/>
  <c r="K14"/>
  <c r="K15" s="1"/>
  <c r="K16" s="1"/>
  <c r="C13"/>
  <c r="C12"/>
  <c r="C11"/>
  <c r="K10"/>
  <c r="K11" s="1"/>
  <c r="K12" s="1"/>
  <c r="C9"/>
  <c r="C8"/>
  <c r="K7"/>
  <c r="K8" s="1"/>
  <c r="C7"/>
  <c r="D25" l="1"/>
  <c r="D36"/>
  <c r="C37" s="1"/>
  <c r="D33"/>
  <c r="D35"/>
  <c r="C36" s="1"/>
  <c r="D23"/>
  <c r="C24" s="1"/>
  <c r="C35"/>
  <c r="D40"/>
  <c r="C41" s="1"/>
  <c r="C111"/>
  <c r="D31"/>
  <c r="C32" s="1"/>
  <c r="C95"/>
  <c r="D67"/>
  <c r="C68" s="1"/>
  <c r="D68"/>
  <c r="C69" s="1"/>
  <c r="D69"/>
  <c r="D83"/>
  <c r="C84" s="1"/>
  <c r="D84"/>
  <c r="C85" s="1"/>
  <c r="D85"/>
  <c r="D99"/>
  <c r="C100" s="1"/>
  <c r="D100"/>
  <c r="C101" s="1"/>
  <c r="D101"/>
  <c r="D115"/>
  <c r="C116" s="1"/>
  <c r="D116"/>
  <c r="C117" s="1"/>
  <c r="D117"/>
  <c r="C43"/>
  <c r="C51"/>
  <c r="C59"/>
  <c r="D71"/>
  <c r="C72" s="1"/>
  <c r="D72"/>
  <c r="C73" s="1"/>
  <c r="D73"/>
  <c r="D87"/>
  <c r="C88" s="1"/>
  <c r="D88"/>
  <c r="C89" s="1"/>
  <c r="D89"/>
  <c r="D103"/>
  <c r="C104" s="1"/>
  <c r="D104"/>
  <c r="C105" s="1"/>
  <c r="D105"/>
  <c r="D119"/>
  <c r="C120" s="1"/>
  <c r="D120"/>
  <c r="C121" s="1"/>
  <c r="D121"/>
  <c r="D43"/>
  <c r="C44" s="1"/>
  <c r="D44"/>
  <c r="C45" s="1"/>
  <c r="D51"/>
  <c r="C52" s="1"/>
  <c r="D52"/>
  <c r="C53" s="1"/>
  <c r="D59"/>
  <c r="C60" s="1"/>
  <c r="D60"/>
  <c r="C61" s="1"/>
  <c r="D47"/>
  <c r="C48" s="1"/>
  <c r="D48"/>
  <c r="C49" s="1"/>
  <c r="D49"/>
  <c r="D55"/>
  <c r="C56" s="1"/>
  <c r="D56"/>
  <c r="C57" s="1"/>
  <c r="D57"/>
  <c r="D63"/>
  <c r="C64" s="1"/>
  <c r="D64"/>
  <c r="C65" s="1"/>
  <c r="D65"/>
  <c r="D75"/>
  <c r="C76" s="1"/>
  <c r="D76"/>
  <c r="C77" s="1"/>
  <c r="D77"/>
  <c r="D91"/>
  <c r="C92" s="1"/>
  <c r="D92"/>
  <c r="C93" s="1"/>
  <c r="D93"/>
  <c r="D107"/>
  <c r="C108" s="1"/>
  <c r="D108"/>
  <c r="C109" s="1"/>
  <c r="D109"/>
  <c r="D123"/>
  <c r="C124" s="1"/>
  <c r="D124"/>
  <c r="C125" s="1"/>
  <c r="D125"/>
  <c r="C23"/>
  <c r="C31"/>
  <c r="D79"/>
  <c r="C80" s="1"/>
  <c r="D80"/>
  <c r="C81" s="1"/>
  <c r="D95"/>
  <c r="C96" s="1"/>
  <c r="D96"/>
  <c r="C97" s="1"/>
  <c r="D111"/>
  <c r="C112" s="1"/>
  <c r="D112"/>
  <c r="C113" s="1"/>
</calcChain>
</file>

<file path=xl/sharedStrings.xml><?xml version="1.0" encoding="utf-8"?>
<sst xmlns="http://schemas.openxmlformats.org/spreadsheetml/2006/main" count="155" uniqueCount="32">
  <si>
    <t>攻击次数(id)</t>
    <phoneticPr fontId="2" type="noConversion"/>
  </si>
  <si>
    <t>公会等级</t>
    <phoneticPr fontId="10" type="noConversion"/>
  </si>
  <si>
    <t>经验区间段</t>
    <phoneticPr fontId="10" type="noConversion"/>
  </si>
  <si>
    <t>名字</t>
    <phoneticPr fontId="10" type="noConversion"/>
  </si>
  <si>
    <t>Boss等级</t>
    <phoneticPr fontId="10" type="noConversion"/>
  </si>
  <si>
    <t>人数上限(popSize)</t>
    <phoneticPr fontId="10" type="noConversion"/>
  </si>
  <si>
    <t>贡献</t>
    <phoneticPr fontId="10" type="noConversion"/>
  </si>
  <si>
    <t>活动时间</t>
    <phoneticPr fontId="10" type="noConversion"/>
  </si>
  <si>
    <t>怪物ID</t>
    <phoneticPr fontId="10" type="noConversion"/>
  </si>
  <si>
    <t>怪物血量</t>
    <phoneticPr fontId="10" type="noConversion"/>
  </si>
  <si>
    <t>魔兽</t>
    <phoneticPr fontId="10" type="noConversion"/>
  </si>
  <si>
    <t>id</t>
    <phoneticPr fontId="2" type="noConversion"/>
  </si>
  <si>
    <t>level</t>
    <phoneticPr fontId="10" type="noConversion"/>
  </si>
  <si>
    <t>expStart</t>
    <phoneticPr fontId="10" type="noConversion"/>
  </si>
  <si>
    <t>expEnd</t>
    <phoneticPr fontId="10" type="noConversion"/>
  </si>
  <si>
    <t>name</t>
    <phoneticPr fontId="10" type="noConversion"/>
  </si>
  <si>
    <t>monsterLevel</t>
    <phoneticPr fontId="10" type="noConversion"/>
  </si>
  <si>
    <t>popSize</t>
    <phoneticPr fontId="10" type="noConversion"/>
  </si>
  <si>
    <t>contribution</t>
    <phoneticPr fontId="10" type="noConversion"/>
  </si>
  <si>
    <t>time</t>
    <phoneticPr fontId="10" type="noConversion"/>
  </si>
  <si>
    <t>bossId</t>
    <phoneticPr fontId="10" type="noConversion"/>
  </si>
  <si>
    <t>bossHp</t>
    <phoneticPr fontId="10" type="noConversion"/>
  </si>
  <si>
    <t>openBossVitality</t>
    <phoneticPr fontId="10" type="noConversion"/>
  </si>
  <si>
    <t>data</t>
    <phoneticPr fontId="2" type="noConversion"/>
  </si>
  <si>
    <t>No</t>
    <phoneticPr fontId="2" type="noConversion"/>
  </si>
  <si>
    <t>攻击次数(id)</t>
    <phoneticPr fontId="2" type="noConversion"/>
  </si>
  <si>
    <t>名字</t>
    <phoneticPr fontId="10" type="noConversion"/>
  </si>
  <si>
    <t>Boss等级</t>
    <phoneticPr fontId="10" type="noConversion"/>
  </si>
  <si>
    <t>贡献</t>
    <phoneticPr fontId="10" type="noConversion"/>
  </si>
  <si>
    <t>怪物血量</t>
    <phoneticPr fontId="10" type="noConversion"/>
  </si>
  <si>
    <t>等级</t>
    <phoneticPr fontId="2" type="noConversion"/>
  </si>
  <si>
    <t>经验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</si>
</sst>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0_);[Red]\(0\)"/>
  </numFmts>
  <fonts count="11">
    <font>
      <sz val="11"/>
      <color indexed="8"/>
      <name val="宋体"/>
      <family val="2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  <font>
      <sz val="11"/>
      <color theme="0"/>
      <name val="宋体"/>
      <family val="2"/>
      <charset val="134"/>
    </font>
    <font>
      <sz val="11"/>
      <color indexed="8"/>
      <name val="宋体"/>
      <family val="2"/>
      <charset val="134"/>
    </font>
    <font>
      <b/>
      <sz val="11"/>
      <color indexed="52"/>
      <name val="宋体"/>
      <family val="2"/>
      <charset val="134"/>
    </font>
    <font>
      <sz val="11"/>
      <color indexed="60"/>
      <name val="宋体"/>
      <family val="2"/>
      <charset val="134"/>
    </font>
    <font>
      <b/>
      <sz val="11"/>
      <color indexed="63"/>
      <name val="宋体"/>
      <family val="2"/>
      <charset val="134"/>
    </font>
    <font>
      <sz val="11"/>
      <color indexed="17"/>
      <name val="宋体"/>
      <family val="2"/>
      <charset val="134"/>
    </font>
    <font>
      <sz val="9"/>
      <name val="宋体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9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5" fillId="0" borderId="0">
      <alignment vertical="center"/>
    </xf>
    <xf numFmtId="0" fontId="7" fillId="3" borderId="0" applyNumberFormat="0" applyBorder="0" applyAlignment="0" applyProtection="0">
      <alignment vertical="center"/>
    </xf>
    <xf numFmtId="0" fontId="6" fillId="2" borderId="1" applyNumberFormat="0" applyAlignment="0" applyProtection="0">
      <alignment vertical="center"/>
    </xf>
    <xf numFmtId="0" fontId="8" fillId="2" borderId="2" applyNumberFormat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4" fillId="0" borderId="0" xfId="0" applyFont="1">
      <alignment vertical="center"/>
    </xf>
  </cellXfs>
  <cellStyles count="9">
    <cellStyle name="差 2" xfId="6"/>
    <cellStyle name="常规" xfId="0" builtinId="0"/>
    <cellStyle name="常规 2 2" xfId="3"/>
    <cellStyle name="常规 2 2 2" xfId="1"/>
    <cellStyle name="常规 2 3" xfId="2"/>
    <cellStyle name="常规 3" xfId="5"/>
    <cellStyle name="好 2" xfId="4"/>
    <cellStyle name="计算 2" xfId="7"/>
    <cellStyle name="输出 2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25"/>
  <sheetViews>
    <sheetView workbookViewId="0">
      <selection activeCell="D10" sqref="D10"/>
    </sheetView>
  </sheetViews>
  <sheetFormatPr defaultRowHeight="13.5"/>
  <cols>
    <col min="2" max="2" width="14.875" customWidth="1"/>
    <col min="3" max="3" width="19.625" customWidth="1"/>
    <col min="4" max="4" width="15" customWidth="1"/>
    <col min="5" max="5" width="14.375" customWidth="1"/>
    <col min="6" max="7" width="13.125" customWidth="1"/>
    <col min="8" max="8" width="17.625" customWidth="1"/>
    <col min="9" max="9" width="15.875" customWidth="1"/>
    <col min="12" max="12" width="13.5" style="3" customWidth="1"/>
    <col min="13" max="13" width="16.625" customWidth="1"/>
    <col min="14" max="17" width="9" style="1"/>
    <col min="18" max="18" width="81.5" style="1" bestFit="1" customWidth="1"/>
    <col min="19" max="16384" width="9" style="1"/>
  </cols>
  <sheetData>
    <row r="1" spans="1:17">
      <c r="A1" t="s">
        <v>23</v>
      </c>
    </row>
    <row r="2" spans="1:17" s="2" customFormat="1">
      <c r="A2" s="4"/>
      <c r="B2" s="4"/>
      <c r="C2" s="4"/>
      <c r="D2" s="4"/>
      <c r="E2" s="4" t="s">
        <v>24</v>
      </c>
      <c r="F2" s="4" t="s">
        <v>24</v>
      </c>
      <c r="G2" s="4"/>
      <c r="H2" s="4"/>
      <c r="I2" s="4"/>
      <c r="J2"/>
      <c r="K2"/>
      <c r="L2" s="3"/>
      <c r="M2"/>
    </row>
    <row r="3" spans="1:17">
      <c r="A3" t="s">
        <v>0</v>
      </c>
      <c r="B3" t="s">
        <v>1</v>
      </c>
      <c r="C3" t="s">
        <v>2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I3" t="s">
        <v>7</v>
      </c>
      <c r="J3" t="s">
        <v>8</v>
      </c>
      <c r="K3" s="3" t="s">
        <v>9</v>
      </c>
      <c r="L3" t="s">
        <v>10</v>
      </c>
      <c r="N3"/>
      <c r="O3"/>
      <c r="P3"/>
      <c r="Q3"/>
    </row>
    <row r="4" spans="1:17">
      <c r="A4" t="s">
        <v>11</v>
      </c>
      <c r="B4" t="s">
        <v>12</v>
      </c>
      <c r="C4" t="s">
        <v>13</v>
      </c>
      <c r="D4" t="s">
        <v>14</v>
      </c>
      <c r="E4" t="s">
        <v>15</v>
      </c>
      <c r="F4" t="s">
        <v>16</v>
      </c>
      <c r="G4" s="1" t="s">
        <v>17</v>
      </c>
      <c r="H4" t="s">
        <v>18</v>
      </c>
      <c r="I4" t="s">
        <v>19</v>
      </c>
      <c r="J4" t="s">
        <v>20</v>
      </c>
      <c r="K4" s="3" t="s">
        <v>21</v>
      </c>
      <c r="L4" t="s">
        <v>22</v>
      </c>
      <c r="N4"/>
      <c r="O4"/>
      <c r="P4"/>
      <c r="Q4"/>
    </row>
    <row r="5" spans="1:17">
      <c r="K5" s="3"/>
      <c r="L5"/>
    </row>
    <row r="6" spans="1:17">
      <c r="A6">
        <v>1</v>
      </c>
      <c r="B6">
        <v>1</v>
      </c>
      <c r="C6">
        <v>0</v>
      </c>
      <c r="D6">
        <v>1000</v>
      </c>
      <c r="E6" t="s">
        <v>10</v>
      </c>
      <c r="F6">
        <v>20</v>
      </c>
      <c r="G6">
        <v>20</v>
      </c>
      <c r="H6">
        <v>1000</v>
      </c>
      <c r="I6">
        <v>240</v>
      </c>
      <c r="J6">
        <v>1</v>
      </c>
      <c r="K6" s="3">
        <v>160000</v>
      </c>
      <c r="L6">
        <v>1000</v>
      </c>
    </row>
    <row r="7" spans="1:17">
      <c r="A7">
        <v>2</v>
      </c>
      <c r="B7">
        <v>1</v>
      </c>
      <c r="C7">
        <f>D6+1</f>
        <v>1001</v>
      </c>
      <c r="D7">
        <v>2000</v>
      </c>
      <c r="E7" t="s">
        <v>10</v>
      </c>
      <c r="F7">
        <v>25</v>
      </c>
      <c r="G7">
        <v>20</v>
      </c>
      <c r="H7">
        <v>1100</v>
      </c>
      <c r="I7">
        <v>240</v>
      </c>
      <c r="J7">
        <v>2</v>
      </c>
      <c r="K7" s="3">
        <f>ROUND(POWER(K$9/K$6,1/3)*K6,-2)</f>
        <v>191900</v>
      </c>
      <c r="L7">
        <v>1050</v>
      </c>
    </row>
    <row r="8" spans="1:17">
      <c r="A8">
        <v>3</v>
      </c>
      <c r="B8">
        <v>1</v>
      </c>
      <c r="C8">
        <f t="shared" ref="C8:C9" si="0">D7+1</f>
        <v>2001</v>
      </c>
      <c r="D8">
        <v>3000</v>
      </c>
      <c r="E8" t="s">
        <v>10</v>
      </c>
      <c r="F8">
        <v>30</v>
      </c>
      <c r="G8">
        <v>20</v>
      </c>
      <c r="H8">
        <v>1200</v>
      </c>
      <c r="I8">
        <v>240</v>
      </c>
      <c r="J8">
        <v>3</v>
      </c>
      <c r="K8" s="3">
        <f>ROUND(POWER(K$9/K$6,1/3)*K7,-2)</f>
        <v>230100</v>
      </c>
      <c r="L8">
        <v>1100</v>
      </c>
    </row>
    <row r="9" spans="1:17">
      <c r="A9">
        <v>4</v>
      </c>
      <c r="B9">
        <v>1</v>
      </c>
      <c r="C9">
        <f t="shared" si="0"/>
        <v>3001</v>
      </c>
      <c r="D9">
        <v>4000</v>
      </c>
      <c r="E9" t="s">
        <v>10</v>
      </c>
      <c r="F9">
        <v>35</v>
      </c>
      <c r="G9">
        <v>20</v>
      </c>
      <c r="H9">
        <v>1300</v>
      </c>
      <c r="I9">
        <v>240</v>
      </c>
      <c r="J9">
        <v>4</v>
      </c>
      <c r="K9" s="3">
        <v>275900</v>
      </c>
      <c r="L9">
        <v>1150</v>
      </c>
    </row>
    <row r="10" spans="1:17">
      <c r="A10">
        <v>5</v>
      </c>
      <c r="B10">
        <v>2</v>
      </c>
      <c r="C10">
        <v>0</v>
      </c>
      <c r="D10">
        <v>2000</v>
      </c>
      <c r="E10" t="s">
        <v>10</v>
      </c>
      <c r="F10">
        <v>40</v>
      </c>
      <c r="G10">
        <v>22</v>
      </c>
      <c r="H10">
        <v>1400</v>
      </c>
      <c r="I10">
        <v>240</v>
      </c>
      <c r="J10">
        <v>5</v>
      </c>
      <c r="K10" s="3">
        <f>ROUND(POWER(K13/K9,1/4)*K9,-2)</f>
        <v>376200</v>
      </c>
      <c r="L10">
        <v>1200</v>
      </c>
    </row>
    <row r="11" spans="1:17">
      <c r="A11">
        <v>6</v>
      </c>
      <c r="B11">
        <v>2</v>
      </c>
      <c r="C11">
        <f>D10+1</f>
        <v>2001</v>
      </c>
      <c r="D11">
        <v>4000</v>
      </c>
      <c r="E11" t="s">
        <v>10</v>
      </c>
      <c r="F11">
        <v>45</v>
      </c>
      <c r="G11">
        <v>22</v>
      </c>
      <c r="H11">
        <v>1500</v>
      </c>
      <c r="I11">
        <v>240</v>
      </c>
      <c r="J11">
        <v>6</v>
      </c>
      <c r="K11" s="3">
        <f>ROUND(POWER(K13/K9,1/4)*K10,-2)</f>
        <v>513000</v>
      </c>
      <c r="L11">
        <v>1250</v>
      </c>
    </row>
    <row r="12" spans="1:17">
      <c r="A12">
        <v>7</v>
      </c>
      <c r="B12">
        <v>2</v>
      </c>
      <c r="C12">
        <f t="shared" ref="C12:C13" si="1">D11+1</f>
        <v>4001</v>
      </c>
      <c r="D12">
        <v>6000</v>
      </c>
      <c r="E12" t="s">
        <v>10</v>
      </c>
      <c r="F12">
        <v>50</v>
      </c>
      <c r="G12">
        <v>22</v>
      </c>
      <c r="H12">
        <v>1600</v>
      </c>
      <c r="I12">
        <v>240</v>
      </c>
      <c r="J12">
        <v>7</v>
      </c>
      <c r="K12" s="3">
        <f>ROUND(POWER(K13/K9,1/4)*K11,-2)</f>
        <v>699500</v>
      </c>
      <c r="L12">
        <v>1300</v>
      </c>
    </row>
    <row r="13" spans="1:17">
      <c r="A13">
        <v>8</v>
      </c>
      <c r="B13">
        <v>2</v>
      </c>
      <c r="C13">
        <f t="shared" si="1"/>
        <v>6001</v>
      </c>
      <c r="D13">
        <v>8000</v>
      </c>
      <c r="E13" t="s">
        <v>10</v>
      </c>
      <c r="F13">
        <v>55</v>
      </c>
      <c r="G13">
        <v>22</v>
      </c>
      <c r="H13">
        <v>1700</v>
      </c>
      <c r="I13">
        <v>240</v>
      </c>
      <c r="J13">
        <v>8</v>
      </c>
      <c r="K13" s="3">
        <v>953800</v>
      </c>
      <c r="L13">
        <v>1350</v>
      </c>
    </row>
    <row r="14" spans="1:17">
      <c r="A14">
        <v>9</v>
      </c>
      <c r="B14">
        <v>3</v>
      </c>
      <c r="C14">
        <v>0</v>
      </c>
      <c r="D14">
        <v>3000</v>
      </c>
      <c r="E14" t="s">
        <v>10</v>
      </c>
      <c r="F14">
        <v>60</v>
      </c>
      <c r="G14">
        <v>24</v>
      </c>
      <c r="H14">
        <v>1800</v>
      </c>
      <c r="I14">
        <v>240</v>
      </c>
      <c r="J14">
        <v>9</v>
      </c>
      <c r="K14" s="3">
        <f>ROUND(POWER(K17/K13,1/4)*K13,-2)</f>
        <v>1127600</v>
      </c>
      <c r="L14">
        <v>1400</v>
      </c>
    </row>
    <row r="15" spans="1:17">
      <c r="A15">
        <v>10</v>
      </c>
      <c r="B15">
        <v>3</v>
      </c>
      <c r="C15">
        <f>D14+1</f>
        <v>3001</v>
      </c>
      <c r="D15">
        <v>6000</v>
      </c>
      <c r="E15" t="s">
        <v>10</v>
      </c>
      <c r="F15">
        <v>65</v>
      </c>
      <c r="G15">
        <v>24</v>
      </c>
      <c r="H15">
        <v>1900</v>
      </c>
      <c r="I15">
        <v>240</v>
      </c>
      <c r="J15">
        <v>10</v>
      </c>
      <c r="K15" s="3">
        <f>ROUND(POWER(K17/K13,1/4)*K14,-2)</f>
        <v>1333100</v>
      </c>
      <c r="L15">
        <v>1450</v>
      </c>
    </row>
    <row r="16" spans="1:17">
      <c r="A16">
        <v>11</v>
      </c>
      <c r="B16">
        <v>3</v>
      </c>
      <c r="C16">
        <f t="shared" ref="C16:C17" si="2">D15+1</f>
        <v>6001</v>
      </c>
      <c r="D16">
        <v>9000</v>
      </c>
      <c r="E16" t="s">
        <v>10</v>
      </c>
      <c r="F16">
        <v>70</v>
      </c>
      <c r="G16">
        <v>24</v>
      </c>
      <c r="H16">
        <v>2000</v>
      </c>
      <c r="I16">
        <v>240</v>
      </c>
      <c r="J16">
        <v>11</v>
      </c>
      <c r="K16" s="3">
        <f>ROUND(POWER(K17/K13,1/4)*K15,-2)</f>
        <v>1576100</v>
      </c>
      <c r="L16">
        <v>1500</v>
      </c>
      <c r="N16"/>
      <c r="O16"/>
      <c r="P16"/>
      <c r="Q16"/>
    </row>
    <row r="17" spans="1:12">
      <c r="A17">
        <v>12</v>
      </c>
      <c r="B17">
        <v>3</v>
      </c>
      <c r="C17">
        <f t="shared" si="2"/>
        <v>9001</v>
      </c>
      <c r="D17">
        <v>12000</v>
      </c>
      <c r="E17" t="s">
        <v>10</v>
      </c>
      <c r="F17">
        <v>75</v>
      </c>
      <c r="G17">
        <v>24</v>
      </c>
      <c r="H17">
        <v>2100</v>
      </c>
      <c r="I17">
        <v>240</v>
      </c>
      <c r="J17">
        <v>12</v>
      </c>
      <c r="K17" s="3">
        <v>1863400</v>
      </c>
      <c r="L17">
        <v>1550</v>
      </c>
    </row>
    <row r="18" spans="1:12">
      <c r="A18">
        <v>13</v>
      </c>
      <c r="B18">
        <v>4</v>
      </c>
      <c r="C18">
        <v>0</v>
      </c>
      <c r="D18">
        <v>4500</v>
      </c>
      <c r="E18" t="s">
        <v>10</v>
      </c>
      <c r="F18">
        <v>80</v>
      </c>
      <c r="G18">
        <v>26</v>
      </c>
      <c r="H18">
        <v>2200</v>
      </c>
      <c r="I18">
        <v>240</v>
      </c>
      <c r="J18">
        <v>13</v>
      </c>
      <c r="K18" s="3">
        <f>ROUND(POWER(K21/K17,1/4)*K17,-2)</f>
        <v>2092600</v>
      </c>
      <c r="L18">
        <v>1600</v>
      </c>
    </row>
    <row r="19" spans="1:12">
      <c r="A19">
        <v>14</v>
      </c>
      <c r="B19">
        <v>4</v>
      </c>
      <c r="C19">
        <f>D18+1</f>
        <v>4501</v>
      </c>
      <c r="D19">
        <v>9000</v>
      </c>
      <c r="E19" t="s">
        <v>10</v>
      </c>
      <c r="F19">
        <v>85</v>
      </c>
      <c r="G19">
        <v>26</v>
      </c>
      <c r="H19">
        <v>2300</v>
      </c>
      <c r="I19">
        <v>240</v>
      </c>
      <c r="J19">
        <v>14</v>
      </c>
      <c r="K19" s="3">
        <f>ROUND(POWER(K21/K17,1/4)*K18,-2)</f>
        <v>2350000</v>
      </c>
      <c r="L19">
        <v>1650</v>
      </c>
    </row>
    <row r="20" spans="1:12">
      <c r="A20">
        <v>15</v>
      </c>
      <c r="B20">
        <v>4</v>
      </c>
      <c r="C20">
        <f t="shared" ref="C20:C21" si="3">D19+1</f>
        <v>9001</v>
      </c>
      <c r="D20">
        <v>13500</v>
      </c>
      <c r="E20" t="s">
        <v>10</v>
      </c>
      <c r="F20">
        <v>90</v>
      </c>
      <c r="G20">
        <v>26</v>
      </c>
      <c r="H20">
        <v>2400</v>
      </c>
      <c r="I20">
        <v>240</v>
      </c>
      <c r="J20">
        <v>15</v>
      </c>
      <c r="K20" s="3">
        <f>ROUND(POWER(K21/K17,1/4)*K19,-2)</f>
        <v>2639100</v>
      </c>
      <c r="L20">
        <v>1700</v>
      </c>
    </row>
    <row r="21" spans="1:12">
      <c r="A21">
        <v>16</v>
      </c>
      <c r="B21">
        <v>4</v>
      </c>
      <c r="C21">
        <f t="shared" si="3"/>
        <v>13501</v>
      </c>
      <c r="D21">
        <v>18000</v>
      </c>
      <c r="E21" t="s">
        <v>10</v>
      </c>
      <c r="F21">
        <v>95</v>
      </c>
      <c r="G21">
        <v>26</v>
      </c>
      <c r="H21">
        <v>2500</v>
      </c>
      <c r="I21">
        <v>240</v>
      </c>
      <c r="J21">
        <v>16</v>
      </c>
      <c r="K21" s="3">
        <v>2963800</v>
      </c>
      <c r="L21">
        <v>1750</v>
      </c>
    </row>
    <row r="22" spans="1:12">
      <c r="A22">
        <v>17</v>
      </c>
      <c r="B22">
        <v>5</v>
      </c>
      <c r="C22">
        <v>0</v>
      </c>
      <c r="D22">
        <f>(B22*B22+B22+20)*120</f>
        <v>6000</v>
      </c>
      <c r="E22" t="s">
        <v>10</v>
      </c>
      <c r="F22">
        <v>100</v>
      </c>
      <c r="G22">
        <v>28</v>
      </c>
      <c r="H22">
        <v>2600</v>
      </c>
      <c r="I22">
        <v>240</v>
      </c>
      <c r="J22">
        <v>17</v>
      </c>
      <c r="K22" s="3">
        <f>ROUND(POWER(K25/K21,1/4)*K21,-2)</f>
        <v>3330900</v>
      </c>
      <c r="L22">
        <v>1800</v>
      </c>
    </row>
    <row r="23" spans="1:12">
      <c r="A23">
        <v>18</v>
      </c>
      <c r="B23">
        <v>5</v>
      </c>
      <c r="C23">
        <f>D22+1</f>
        <v>6001</v>
      </c>
      <c r="D23">
        <f>D22*2</f>
        <v>12000</v>
      </c>
      <c r="E23" t="s">
        <v>10</v>
      </c>
      <c r="F23">
        <v>105</v>
      </c>
      <c r="G23">
        <v>28</v>
      </c>
      <c r="H23">
        <v>2700</v>
      </c>
      <c r="I23">
        <v>240</v>
      </c>
      <c r="J23">
        <v>18</v>
      </c>
      <c r="K23" s="3">
        <f>ROUND(POWER(K25/K21,1/4)*K22,-2)</f>
        <v>3743500</v>
      </c>
      <c r="L23">
        <v>1850</v>
      </c>
    </row>
    <row r="24" spans="1:12">
      <c r="A24">
        <v>19</v>
      </c>
      <c r="B24">
        <v>5</v>
      </c>
      <c r="C24">
        <f t="shared" ref="C24:C25" si="4">D23+1</f>
        <v>12001</v>
      </c>
      <c r="D24">
        <f>D22*3</f>
        <v>18000</v>
      </c>
      <c r="E24" t="s">
        <v>10</v>
      </c>
      <c r="F24">
        <v>110</v>
      </c>
      <c r="G24">
        <v>28</v>
      </c>
      <c r="H24">
        <v>2800</v>
      </c>
      <c r="I24">
        <v>240</v>
      </c>
      <c r="J24">
        <v>19</v>
      </c>
      <c r="K24" s="3">
        <f>ROUND(POWER(K25/K21,1/4)*K23,-2)</f>
        <v>4207200</v>
      </c>
      <c r="L24">
        <v>1900</v>
      </c>
    </row>
    <row r="25" spans="1:12">
      <c r="A25">
        <v>20</v>
      </c>
      <c r="B25">
        <v>5</v>
      </c>
      <c r="C25">
        <f t="shared" si="4"/>
        <v>18001</v>
      </c>
      <c r="D25">
        <f>D22*4</f>
        <v>24000</v>
      </c>
      <c r="E25" t="s">
        <v>10</v>
      </c>
      <c r="F25">
        <v>115</v>
      </c>
      <c r="G25">
        <v>28</v>
      </c>
      <c r="H25">
        <v>2900</v>
      </c>
      <c r="I25">
        <v>240</v>
      </c>
      <c r="J25">
        <v>20</v>
      </c>
      <c r="K25" s="3">
        <v>4728200</v>
      </c>
      <c r="L25">
        <v>1950</v>
      </c>
    </row>
    <row r="26" spans="1:12">
      <c r="A26">
        <v>21</v>
      </c>
      <c r="B26">
        <v>6</v>
      </c>
      <c r="C26">
        <v>0</v>
      </c>
      <c r="D26">
        <f>(B26*B26+B26+20)*120</f>
        <v>7440</v>
      </c>
      <c r="E26" t="s">
        <v>10</v>
      </c>
      <c r="F26">
        <v>120</v>
      </c>
      <c r="G26">
        <v>30</v>
      </c>
      <c r="H26">
        <v>3000</v>
      </c>
      <c r="I26">
        <v>240</v>
      </c>
      <c r="J26">
        <v>21</v>
      </c>
      <c r="K26" s="3">
        <f>ROUND(POWER(K29/K25,1/4)*K25,-2)</f>
        <v>5419900</v>
      </c>
      <c r="L26">
        <v>2000</v>
      </c>
    </row>
    <row r="27" spans="1:12">
      <c r="A27">
        <v>22</v>
      </c>
      <c r="B27">
        <v>6</v>
      </c>
      <c r="C27">
        <f>D26+1</f>
        <v>7441</v>
      </c>
      <c r="D27">
        <f>D26*2</f>
        <v>14880</v>
      </c>
      <c r="E27" t="s">
        <v>10</v>
      </c>
      <c r="F27">
        <v>125</v>
      </c>
      <c r="G27">
        <v>30</v>
      </c>
      <c r="H27">
        <v>3100</v>
      </c>
      <c r="I27">
        <v>240</v>
      </c>
      <c r="J27">
        <v>22</v>
      </c>
      <c r="K27" s="3">
        <f>ROUND(POWER(K29/K25,1/4)*K26,-2)</f>
        <v>6212800</v>
      </c>
      <c r="L27">
        <v>2050</v>
      </c>
    </row>
    <row r="28" spans="1:12">
      <c r="A28">
        <v>23</v>
      </c>
      <c r="B28">
        <v>6</v>
      </c>
      <c r="C28">
        <f t="shared" ref="C28:C29" si="5">D27+1</f>
        <v>14881</v>
      </c>
      <c r="D28">
        <f>D26*3</f>
        <v>22320</v>
      </c>
      <c r="E28" t="s">
        <v>10</v>
      </c>
      <c r="F28">
        <v>130</v>
      </c>
      <c r="G28">
        <v>30</v>
      </c>
      <c r="H28">
        <v>3200</v>
      </c>
      <c r="I28">
        <v>240</v>
      </c>
      <c r="J28">
        <v>23</v>
      </c>
      <c r="K28" s="3">
        <f>ROUND(POWER(K29/K25,1/4)*K27,-2)</f>
        <v>7121700</v>
      </c>
      <c r="L28">
        <v>2100</v>
      </c>
    </row>
    <row r="29" spans="1:12">
      <c r="A29">
        <v>24</v>
      </c>
      <c r="B29">
        <v>6</v>
      </c>
      <c r="C29">
        <f t="shared" si="5"/>
        <v>22321</v>
      </c>
      <c r="D29">
        <f>D26*4</f>
        <v>29760</v>
      </c>
      <c r="E29" t="s">
        <v>10</v>
      </c>
      <c r="F29">
        <v>135</v>
      </c>
      <c r="G29">
        <v>30</v>
      </c>
      <c r="H29">
        <v>3300</v>
      </c>
      <c r="I29">
        <v>240</v>
      </c>
      <c r="J29">
        <v>24</v>
      </c>
      <c r="K29" s="3">
        <v>8163400</v>
      </c>
      <c r="L29">
        <v>2150</v>
      </c>
    </row>
    <row r="30" spans="1:12">
      <c r="A30">
        <v>25</v>
      </c>
      <c r="B30">
        <v>7</v>
      </c>
      <c r="C30">
        <v>0</v>
      </c>
      <c r="D30">
        <f>(B30*B30+B30+20)*120</f>
        <v>9120</v>
      </c>
      <c r="E30" t="s">
        <v>10</v>
      </c>
      <c r="F30">
        <v>140</v>
      </c>
      <c r="G30">
        <v>32</v>
      </c>
      <c r="H30">
        <v>3400</v>
      </c>
      <c r="I30">
        <v>240</v>
      </c>
      <c r="J30">
        <v>25</v>
      </c>
      <c r="K30" s="3">
        <f>ROUND(POWER(K33/K29,1/4)*K29,-2)</f>
        <v>9074800</v>
      </c>
      <c r="L30">
        <v>2200</v>
      </c>
    </row>
    <row r="31" spans="1:12">
      <c r="A31">
        <v>26</v>
      </c>
      <c r="B31">
        <v>7</v>
      </c>
      <c r="C31">
        <f>D30+1</f>
        <v>9121</v>
      </c>
      <c r="D31">
        <f>D30*2</f>
        <v>18240</v>
      </c>
      <c r="E31" t="s">
        <v>10</v>
      </c>
      <c r="F31">
        <v>145</v>
      </c>
      <c r="G31">
        <v>32</v>
      </c>
      <c r="H31">
        <v>3500</v>
      </c>
      <c r="I31">
        <v>240</v>
      </c>
      <c r="J31">
        <v>26</v>
      </c>
      <c r="K31" s="3">
        <f>ROUND(POWER(K33/K29,1/4)*K30,-2)</f>
        <v>10087900</v>
      </c>
      <c r="L31">
        <v>2250</v>
      </c>
    </row>
    <row r="32" spans="1:12">
      <c r="A32">
        <v>27</v>
      </c>
      <c r="B32">
        <v>7</v>
      </c>
      <c r="C32">
        <f t="shared" ref="C32:C33" si="6">D31+1</f>
        <v>18241</v>
      </c>
      <c r="D32">
        <f>D30*3</f>
        <v>27360</v>
      </c>
      <c r="E32" t="s">
        <v>10</v>
      </c>
      <c r="F32">
        <v>150</v>
      </c>
      <c r="G32">
        <v>32</v>
      </c>
      <c r="H32">
        <v>3600</v>
      </c>
      <c r="I32">
        <v>240</v>
      </c>
      <c r="J32">
        <v>27</v>
      </c>
      <c r="K32" s="3">
        <f>ROUND(POWER(K33/K29,1/4)*K31,-2)</f>
        <v>11214100</v>
      </c>
      <c r="L32">
        <v>2300</v>
      </c>
    </row>
    <row r="33" spans="1:12">
      <c r="A33">
        <v>28</v>
      </c>
      <c r="B33">
        <v>7</v>
      </c>
      <c r="C33">
        <f t="shared" si="6"/>
        <v>27361</v>
      </c>
      <c r="D33">
        <f>D30*4</f>
        <v>36480</v>
      </c>
      <c r="E33" t="s">
        <v>10</v>
      </c>
      <c r="F33">
        <v>155</v>
      </c>
      <c r="G33">
        <v>32</v>
      </c>
      <c r="H33">
        <v>3700</v>
      </c>
      <c r="I33">
        <v>240</v>
      </c>
      <c r="J33">
        <v>28</v>
      </c>
      <c r="K33" s="3">
        <v>12466000</v>
      </c>
      <c r="L33">
        <v>2350</v>
      </c>
    </row>
    <row r="34" spans="1:12">
      <c r="A34">
        <v>29</v>
      </c>
      <c r="B34">
        <v>8</v>
      </c>
      <c r="C34">
        <v>0</v>
      </c>
      <c r="D34">
        <f>(B34*B34+B34+20)*120</f>
        <v>11040</v>
      </c>
      <c r="E34" t="s">
        <v>10</v>
      </c>
      <c r="F34">
        <v>160</v>
      </c>
      <c r="G34">
        <v>34</v>
      </c>
      <c r="H34">
        <v>3800</v>
      </c>
      <c r="I34">
        <v>240</v>
      </c>
      <c r="J34">
        <v>29</v>
      </c>
      <c r="K34" s="3">
        <f>ROUND(POWER(K37/K33,1/4)*K33,-2)</f>
        <v>13271200</v>
      </c>
      <c r="L34">
        <v>2400</v>
      </c>
    </row>
    <row r="35" spans="1:12">
      <c r="A35">
        <v>30</v>
      </c>
      <c r="B35">
        <v>8</v>
      </c>
      <c r="C35">
        <f>D34+1</f>
        <v>11041</v>
      </c>
      <c r="D35">
        <f>D34*2</f>
        <v>22080</v>
      </c>
      <c r="E35" t="s">
        <v>10</v>
      </c>
      <c r="F35">
        <v>165</v>
      </c>
      <c r="G35">
        <v>34</v>
      </c>
      <c r="H35">
        <v>3900</v>
      </c>
      <c r="I35">
        <v>240</v>
      </c>
      <c r="J35">
        <v>30</v>
      </c>
      <c r="K35" s="3">
        <f>ROUND(POWER(K37/K33,1/4)*K34,-2)</f>
        <v>14128400</v>
      </c>
      <c r="L35">
        <v>2450</v>
      </c>
    </row>
    <row r="36" spans="1:12">
      <c r="A36">
        <v>31</v>
      </c>
      <c r="B36">
        <v>8</v>
      </c>
      <c r="C36">
        <f t="shared" ref="C36:C37" si="7">D35+1</f>
        <v>22081</v>
      </c>
      <c r="D36">
        <f>D34*3</f>
        <v>33120</v>
      </c>
      <c r="E36" t="s">
        <v>10</v>
      </c>
      <c r="F36">
        <v>170</v>
      </c>
      <c r="G36">
        <v>34</v>
      </c>
      <c r="H36">
        <v>4000</v>
      </c>
      <c r="I36">
        <v>240</v>
      </c>
      <c r="J36">
        <v>31</v>
      </c>
      <c r="K36" s="3">
        <f>ROUND(POWER(K37/K33,1/4)*K35,-2)</f>
        <v>15041000</v>
      </c>
      <c r="L36">
        <v>2500</v>
      </c>
    </row>
    <row r="37" spans="1:12">
      <c r="A37">
        <v>32</v>
      </c>
      <c r="B37">
        <v>8</v>
      </c>
      <c r="C37">
        <f t="shared" si="7"/>
        <v>33121</v>
      </c>
      <c r="D37">
        <f>D34*4</f>
        <v>44160</v>
      </c>
      <c r="E37" t="s">
        <v>10</v>
      </c>
      <c r="F37">
        <v>175</v>
      </c>
      <c r="G37">
        <v>34</v>
      </c>
      <c r="H37">
        <v>4100</v>
      </c>
      <c r="I37">
        <v>240</v>
      </c>
      <c r="J37">
        <v>32</v>
      </c>
      <c r="K37" s="3">
        <v>16012500</v>
      </c>
      <c r="L37">
        <v>2550</v>
      </c>
    </row>
    <row r="38" spans="1:12">
      <c r="A38">
        <v>33</v>
      </c>
      <c r="B38">
        <v>9</v>
      </c>
      <c r="C38">
        <v>0</v>
      </c>
      <c r="D38">
        <f>(B38*B38+B38+20)*120</f>
        <v>13200</v>
      </c>
      <c r="E38" t="s">
        <v>10</v>
      </c>
      <c r="F38">
        <v>180</v>
      </c>
      <c r="G38">
        <v>36</v>
      </c>
      <c r="H38">
        <v>4200</v>
      </c>
      <c r="I38">
        <v>240</v>
      </c>
      <c r="J38">
        <v>33</v>
      </c>
      <c r="K38" s="3">
        <f>ROUND(POWER(K41/K37,1/4)*K37,-2)</f>
        <v>16774500</v>
      </c>
      <c r="L38">
        <v>2600</v>
      </c>
    </row>
    <row r="39" spans="1:12">
      <c r="A39">
        <v>34</v>
      </c>
      <c r="B39">
        <v>9</v>
      </c>
      <c r="C39">
        <f>D38+1</f>
        <v>13201</v>
      </c>
      <c r="D39">
        <f>D38*2</f>
        <v>26400</v>
      </c>
      <c r="E39" t="s">
        <v>10</v>
      </c>
      <c r="F39">
        <v>185</v>
      </c>
      <c r="G39">
        <f>B39*2+18</f>
        <v>36</v>
      </c>
      <c r="H39">
        <v>4300</v>
      </c>
      <c r="I39">
        <v>240</v>
      </c>
      <c r="J39">
        <v>34</v>
      </c>
      <c r="K39" s="3">
        <f>ROUND(POWER(K41/K37,1/4)*K38,-2)</f>
        <v>17572800</v>
      </c>
      <c r="L39">
        <v>2650</v>
      </c>
    </row>
    <row r="40" spans="1:12">
      <c r="A40">
        <v>35</v>
      </c>
      <c r="B40">
        <v>9</v>
      </c>
      <c r="C40">
        <f t="shared" ref="C40:C41" si="8">D39+1</f>
        <v>26401</v>
      </c>
      <c r="D40">
        <f>D38*3</f>
        <v>39600</v>
      </c>
      <c r="E40" t="s">
        <v>10</v>
      </c>
      <c r="F40">
        <v>190</v>
      </c>
      <c r="G40">
        <f t="shared" ref="G40:G103" si="9">B40*2+18</f>
        <v>36</v>
      </c>
      <c r="H40">
        <v>4400</v>
      </c>
      <c r="I40">
        <v>240</v>
      </c>
      <c r="J40">
        <v>35</v>
      </c>
      <c r="K40" s="3">
        <f>ROUND(POWER(K41/K37,1/4)*K39,-2)</f>
        <v>18409100</v>
      </c>
      <c r="L40">
        <v>2700</v>
      </c>
    </row>
    <row r="41" spans="1:12">
      <c r="A41">
        <v>36</v>
      </c>
      <c r="B41">
        <v>9</v>
      </c>
      <c r="C41">
        <f t="shared" si="8"/>
        <v>39601</v>
      </c>
      <c r="D41">
        <f>D38*4</f>
        <v>52800</v>
      </c>
      <c r="E41" t="s">
        <v>10</v>
      </c>
      <c r="F41">
        <v>195</v>
      </c>
      <c r="G41">
        <f t="shared" si="9"/>
        <v>36</v>
      </c>
      <c r="H41">
        <v>4500</v>
      </c>
      <c r="I41">
        <v>240</v>
      </c>
      <c r="J41">
        <v>36</v>
      </c>
      <c r="K41" s="3">
        <v>19285200</v>
      </c>
      <c r="L41">
        <v>2750</v>
      </c>
    </row>
    <row r="42" spans="1:12">
      <c r="A42">
        <v>37</v>
      </c>
      <c r="B42">
        <v>10</v>
      </c>
      <c r="C42">
        <v>0</v>
      </c>
      <c r="D42">
        <f>(B42*B42+B42+20)*120</f>
        <v>15600</v>
      </c>
      <c r="E42" t="s">
        <v>10</v>
      </c>
      <c r="F42">
        <v>200</v>
      </c>
      <c r="G42">
        <f t="shared" si="9"/>
        <v>38</v>
      </c>
      <c r="H42">
        <v>4600</v>
      </c>
      <c r="I42">
        <v>240</v>
      </c>
      <c r="J42">
        <v>37</v>
      </c>
      <c r="K42" s="3">
        <f>ROUND(POWER(K45/K41,1/4)*K41,-2)</f>
        <v>20157000</v>
      </c>
      <c r="L42">
        <v>2800</v>
      </c>
    </row>
    <row r="43" spans="1:12">
      <c r="A43">
        <v>38</v>
      </c>
      <c r="B43">
        <v>10</v>
      </c>
      <c r="C43">
        <f>D42+1</f>
        <v>15601</v>
      </c>
      <c r="D43">
        <f>D42*2</f>
        <v>31200</v>
      </c>
      <c r="E43" t="s">
        <v>10</v>
      </c>
      <c r="F43">
        <v>205</v>
      </c>
      <c r="G43">
        <f>B43*2+18</f>
        <v>38</v>
      </c>
      <c r="H43">
        <v>4700</v>
      </c>
      <c r="I43">
        <v>240</v>
      </c>
      <c r="J43">
        <v>38</v>
      </c>
      <c r="K43" s="3">
        <f>ROUND(POWER(K45/K41,1/4)*K42,-2)</f>
        <v>21068200</v>
      </c>
      <c r="L43">
        <v>2850</v>
      </c>
    </row>
    <row r="44" spans="1:12">
      <c r="A44">
        <v>39</v>
      </c>
      <c r="B44">
        <v>10</v>
      </c>
      <c r="C44">
        <f t="shared" ref="C44:C45" si="10">D43+1</f>
        <v>31201</v>
      </c>
      <c r="D44">
        <f>D42*3</f>
        <v>46800</v>
      </c>
      <c r="E44" t="s">
        <v>10</v>
      </c>
      <c r="F44">
        <v>210</v>
      </c>
      <c r="G44">
        <f t="shared" si="9"/>
        <v>38</v>
      </c>
      <c r="H44">
        <v>4800</v>
      </c>
      <c r="I44">
        <v>240</v>
      </c>
      <c r="J44">
        <v>39</v>
      </c>
      <c r="K44" s="3">
        <f>ROUND(POWER(K45/K41,1/4)*K43,-2)</f>
        <v>22020600</v>
      </c>
      <c r="L44">
        <v>2900</v>
      </c>
    </row>
    <row r="45" spans="1:12">
      <c r="A45">
        <v>40</v>
      </c>
      <c r="B45">
        <v>10</v>
      </c>
      <c r="C45">
        <f t="shared" si="10"/>
        <v>46801</v>
      </c>
      <c r="D45">
        <f>D42*4</f>
        <v>62400</v>
      </c>
      <c r="E45" t="s">
        <v>10</v>
      </c>
      <c r="F45">
        <v>215</v>
      </c>
      <c r="G45">
        <f t="shared" si="9"/>
        <v>38</v>
      </c>
      <c r="H45">
        <v>4900</v>
      </c>
      <c r="I45">
        <v>240</v>
      </c>
      <c r="J45">
        <v>40</v>
      </c>
      <c r="K45" s="3">
        <v>23015900</v>
      </c>
      <c r="L45">
        <v>2950</v>
      </c>
    </row>
    <row r="46" spans="1:12">
      <c r="A46">
        <v>41</v>
      </c>
      <c r="B46">
        <v>11</v>
      </c>
      <c r="C46">
        <v>0</v>
      </c>
      <c r="D46">
        <f>(B46*B46+B46+20)*120</f>
        <v>18240</v>
      </c>
      <c r="E46" t="s">
        <v>10</v>
      </c>
      <c r="F46">
        <v>220</v>
      </c>
      <c r="G46">
        <f t="shared" si="9"/>
        <v>40</v>
      </c>
      <c r="H46">
        <v>5000</v>
      </c>
      <c r="I46">
        <v>240</v>
      </c>
      <c r="J46">
        <v>41</v>
      </c>
      <c r="K46" s="3">
        <f>ROUND(POWER(K49/K45,1/4)*K45,-2)</f>
        <v>23784000</v>
      </c>
      <c r="L46">
        <v>3000</v>
      </c>
    </row>
    <row r="47" spans="1:12">
      <c r="A47">
        <v>42</v>
      </c>
      <c r="B47">
        <v>11</v>
      </c>
      <c r="C47">
        <f>D46+1</f>
        <v>18241</v>
      </c>
      <c r="D47">
        <f>D46*2</f>
        <v>36480</v>
      </c>
      <c r="E47" t="s">
        <v>10</v>
      </c>
      <c r="F47">
        <v>225</v>
      </c>
      <c r="G47">
        <f t="shared" si="9"/>
        <v>40</v>
      </c>
      <c r="H47">
        <v>5100</v>
      </c>
      <c r="I47">
        <v>240</v>
      </c>
      <c r="J47">
        <v>42</v>
      </c>
      <c r="K47" s="3">
        <f>ROUND(POWER(K49/K45,1/4)*K46,-2)</f>
        <v>24577800</v>
      </c>
      <c r="L47">
        <v>3050</v>
      </c>
    </row>
    <row r="48" spans="1:12">
      <c r="A48">
        <v>43</v>
      </c>
      <c r="B48">
        <v>11</v>
      </c>
      <c r="C48">
        <f t="shared" ref="C48:C49" si="11">D47+1</f>
        <v>36481</v>
      </c>
      <c r="D48">
        <f>D46*3</f>
        <v>54720</v>
      </c>
      <c r="E48" t="s">
        <v>10</v>
      </c>
      <c r="F48">
        <v>230</v>
      </c>
      <c r="G48">
        <f t="shared" si="9"/>
        <v>40</v>
      </c>
      <c r="H48">
        <v>5200</v>
      </c>
      <c r="I48">
        <v>240</v>
      </c>
      <c r="J48">
        <v>43</v>
      </c>
      <c r="K48" s="3">
        <f>ROUND(POWER(K49/K45,1/4)*K47,-2)</f>
        <v>25398100</v>
      </c>
      <c r="L48">
        <v>3100</v>
      </c>
    </row>
    <row r="49" spans="1:12">
      <c r="A49">
        <v>44</v>
      </c>
      <c r="B49">
        <v>11</v>
      </c>
      <c r="C49">
        <f t="shared" si="11"/>
        <v>54721</v>
      </c>
      <c r="D49">
        <f>D46*4</f>
        <v>72960</v>
      </c>
      <c r="E49" t="s">
        <v>10</v>
      </c>
      <c r="F49">
        <v>235</v>
      </c>
      <c r="G49">
        <f t="shared" si="9"/>
        <v>40</v>
      </c>
      <c r="H49">
        <v>5300</v>
      </c>
      <c r="I49">
        <v>240</v>
      </c>
      <c r="J49">
        <v>44</v>
      </c>
      <c r="K49" s="3">
        <v>26245700</v>
      </c>
      <c r="L49">
        <v>3150</v>
      </c>
    </row>
    <row r="50" spans="1:12">
      <c r="A50">
        <v>45</v>
      </c>
      <c r="B50">
        <v>12</v>
      </c>
      <c r="C50">
        <v>0</v>
      </c>
      <c r="D50">
        <f>(B50*B50+B50+20)*120</f>
        <v>21120</v>
      </c>
      <c r="E50" t="s">
        <v>10</v>
      </c>
      <c r="F50">
        <v>240</v>
      </c>
      <c r="G50">
        <f t="shared" si="9"/>
        <v>42</v>
      </c>
      <c r="H50">
        <v>5400</v>
      </c>
      <c r="I50">
        <v>240</v>
      </c>
      <c r="J50">
        <v>45</v>
      </c>
      <c r="K50" s="3">
        <f>ROUND(POWER(K53/K49,1/4)*K49,-2)</f>
        <v>27401200</v>
      </c>
      <c r="L50">
        <v>3200</v>
      </c>
    </row>
    <row r="51" spans="1:12">
      <c r="A51">
        <v>46</v>
      </c>
      <c r="B51">
        <v>12</v>
      </c>
      <c r="C51">
        <f>D50+1</f>
        <v>21121</v>
      </c>
      <c r="D51">
        <f>D50*2</f>
        <v>42240</v>
      </c>
      <c r="E51" t="s">
        <v>10</v>
      </c>
      <c r="F51">
        <v>245</v>
      </c>
      <c r="G51">
        <f t="shared" si="9"/>
        <v>42</v>
      </c>
      <c r="H51">
        <v>5500</v>
      </c>
      <c r="I51">
        <v>240</v>
      </c>
      <c r="J51">
        <v>46</v>
      </c>
      <c r="K51" s="3">
        <f>ROUND(POWER(K53/K49,1/4)*K50,-2)</f>
        <v>28607600</v>
      </c>
      <c r="L51">
        <v>3250</v>
      </c>
    </row>
    <row r="52" spans="1:12">
      <c r="A52">
        <v>47</v>
      </c>
      <c r="B52">
        <v>12</v>
      </c>
      <c r="C52">
        <f t="shared" ref="C52:C53" si="12">D51+1</f>
        <v>42241</v>
      </c>
      <c r="D52">
        <f>D50*3</f>
        <v>63360</v>
      </c>
      <c r="E52" t="s">
        <v>10</v>
      </c>
      <c r="F52">
        <v>250</v>
      </c>
      <c r="G52">
        <f t="shared" si="9"/>
        <v>42</v>
      </c>
      <c r="H52">
        <v>5600</v>
      </c>
      <c r="I52">
        <v>240</v>
      </c>
      <c r="J52">
        <v>47</v>
      </c>
      <c r="K52" s="3">
        <f>ROUND(POWER(K53/K49,1/4)*K51,-2)</f>
        <v>29867100</v>
      </c>
      <c r="L52">
        <v>3300</v>
      </c>
    </row>
    <row r="53" spans="1:12">
      <c r="A53">
        <v>48</v>
      </c>
      <c r="B53">
        <v>12</v>
      </c>
      <c r="C53">
        <f t="shared" si="12"/>
        <v>63361</v>
      </c>
      <c r="D53">
        <f>D50*4</f>
        <v>84480</v>
      </c>
      <c r="E53" t="s">
        <v>10</v>
      </c>
      <c r="F53">
        <v>255</v>
      </c>
      <c r="G53">
        <f t="shared" si="9"/>
        <v>42</v>
      </c>
      <c r="H53">
        <v>5700</v>
      </c>
      <c r="I53">
        <v>240</v>
      </c>
      <c r="J53">
        <v>48</v>
      </c>
      <c r="K53" s="3">
        <v>31182200</v>
      </c>
      <c r="L53">
        <v>3350</v>
      </c>
    </row>
    <row r="54" spans="1:12">
      <c r="A54">
        <v>49</v>
      </c>
      <c r="B54">
        <v>13</v>
      </c>
      <c r="C54">
        <v>0</v>
      </c>
      <c r="D54">
        <f>(B54*B54+B54+20)*120</f>
        <v>24240</v>
      </c>
      <c r="E54" t="s">
        <v>10</v>
      </c>
      <c r="F54">
        <v>260</v>
      </c>
      <c r="G54">
        <f t="shared" si="9"/>
        <v>44</v>
      </c>
      <c r="H54">
        <v>5800</v>
      </c>
      <c r="I54">
        <v>240</v>
      </c>
      <c r="J54">
        <v>49</v>
      </c>
      <c r="K54" s="3">
        <f>ROUND(POWER(K57/K53,1/4)*K53,-2)</f>
        <v>32172700</v>
      </c>
      <c r="L54">
        <v>3400</v>
      </c>
    </row>
    <row r="55" spans="1:12">
      <c r="A55">
        <v>50</v>
      </c>
      <c r="B55">
        <v>13</v>
      </c>
      <c r="C55">
        <f>D54+1</f>
        <v>24241</v>
      </c>
      <c r="D55">
        <f>D54*2</f>
        <v>48480</v>
      </c>
      <c r="E55" t="s">
        <v>10</v>
      </c>
      <c r="F55">
        <v>265</v>
      </c>
      <c r="G55">
        <f t="shared" si="9"/>
        <v>44</v>
      </c>
      <c r="H55">
        <v>5900</v>
      </c>
      <c r="I55">
        <v>240</v>
      </c>
      <c r="J55">
        <v>50</v>
      </c>
      <c r="K55" s="3">
        <f>ROUND(POWER(K57/K53,1/4)*K54,-2)</f>
        <v>33194700</v>
      </c>
      <c r="L55">
        <v>3450</v>
      </c>
    </row>
    <row r="56" spans="1:12">
      <c r="A56">
        <v>51</v>
      </c>
      <c r="B56">
        <v>13</v>
      </c>
      <c r="C56">
        <f t="shared" ref="C56:C57" si="13">D55+1</f>
        <v>48481</v>
      </c>
      <c r="D56">
        <f>D54*3</f>
        <v>72720</v>
      </c>
      <c r="E56" t="s">
        <v>10</v>
      </c>
      <c r="F56">
        <v>270</v>
      </c>
      <c r="G56">
        <f t="shared" si="9"/>
        <v>44</v>
      </c>
      <c r="H56">
        <v>6000</v>
      </c>
      <c r="I56">
        <v>240</v>
      </c>
      <c r="J56">
        <v>51</v>
      </c>
      <c r="K56" s="3">
        <f>ROUND(POWER(K57/K53,1/4)*K55,-2)</f>
        <v>34249100</v>
      </c>
      <c r="L56">
        <v>3500</v>
      </c>
    </row>
    <row r="57" spans="1:12">
      <c r="A57">
        <v>52</v>
      </c>
      <c r="B57">
        <v>13</v>
      </c>
      <c r="C57">
        <f t="shared" si="13"/>
        <v>72721</v>
      </c>
      <c r="D57">
        <f>D54*4</f>
        <v>96960</v>
      </c>
      <c r="E57" t="s">
        <v>10</v>
      </c>
      <c r="F57">
        <v>275</v>
      </c>
      <c r="G57">
        <f t="shared" si="9"/>
        <v>44</v>
      </c>
      <c r="H57">
        <v>6100</v>
      </c>
      <c r="I57">
        <v>240</v>
      </c>
      <c r="J57">
        <v>52</v>
      </c>
      <c r="K57" s="3">
        <v>35337000</v>
      </c>
      <c r="L57">
        <v>3550</v>
      </c>
    </row>
    <row r="58" spans="1:12">
      <c r="A58">
        <v>53</v>
      </c>
      <c r="B58">
        <v>14</v>
      </c>
      <c r="C58">
        <v>0</v>
      </c>
      <c r="D58">
        <f>(B58*B58+B58+20)*120</f>
        <v>27600</v>
      </c>
      <c r="E58" t="s">
        <v>10</v>
      </c>
      <c r="F58">
        <v>280</v>
      </c>
      <c r="G58">
        <f t="shared" si="9"/>
        <v>46</v>
      </c>
      <c r="H58">
        <v>6200</v>
      </c>
      <c r="I58">
        <v>240</v>
      </c>
      <c r="J58">
        <v>53</v>
      </c>
      <c r="K58" s="3">
        <f>ROUND(POWER(K61/K57,1/4)*K57,-2)</f>
        <v>36428300</v>
      </c>
      <c r="L58">
        <v>3600</v>
      </c>
    </row>
    <row r="59" spans="1:12">
      <c r="A59">
        <v>54</v>
      </c>
      <c r="B59">
        <v>14</v>
      </c>
      <c r="C59">
        <f>D58+1</f>
        <v>27601</v>
      </c>
      <c r="D59">
        <f>D58*2</f>
        <v>55200</v>
      </c>
      <c r="E59" t="s">
        <v>10</v>
      </c>
      <c r="F59">
        <v>285</v>
      </c>
      <c r="G59">
        <f t="shared" si="9"/>
        <v>46</v>
      </c>
      <c r="H59">
        <v>6300</v>
      </c>
      <c r="I59">
        <v>240</v>
      </c>
      <c r="J59">
        <v>54</v>
      </c>
      <c r="K59" s="3">
        <f>ROUND(POWER(K61/K57,1/4)*K58,-2)</f>
        <v>37553300</v>
      </c>
      <c r="L59">
        <v>3650</v>
      </c>
    </row>
    <row r="60" spans="1:12">
      <c r="A60">
        <v>55</v>
      </c>
      <c r="B60">
        <v>14</v>
      </c>
      <c r="C60">
        <f t="shared" ref="C60:C61" si="14">D59+1</f>
        <v>55201</v>
      </c>
      <c r="D60">
        <f>D58*3</f>
        <v>82800</v>
      </c>
      <c r="E60" t="s">
        <v>10</v>
      </c>
      <c r="F60">
        <v>290</v>
      </c>
      <c r="G60">
        <f t="shared" si="9"/>
        <v>46</v>
      </c>
      <c r="H60">
        <v>6400</v>
      </c>
      <c r="I60">
        <v>240</v>
      </c>
      <c r="J60">
        <v>55</v>
      </c>
      <c r="K60" s="3">
        <f>ROUND(POWER(K61/K57,1/4)*K59,-2)</f>
        <v>38713000</v>
      </c>
      <c r="L60">
        <v>3700</v>
      </c>
    </row>
    <row r="61" spans="1:12">
      <c r="A61">
        <v>56</v>
      </c>
      <c r="B61">
        <v>14</v>
      </c>
      <c r="C61">
        <f t="shared" si="14"/>
        <v>82801</v>
      </c>
      <c r="D61">
        <f>D58*4</f>
        <v>110400</v>
      </c>
      <c r="E61" t="s">
        <v>10</v>
      </c>
      <c r="F61">
        <v>295</v>
      </c>
      <c r="G61">
        <f t="shared" si="9"/>
        <v>46</v>
      </c>
      <c r="H61">
        <v>6500</v>
      </c>
      <c r="I61">
        <v>240</v>
      </c>
      <c r="J61">
        <v>56</v>
      </c>
      <c r="K61" s="3">
        <v>39908500</v>
      </c>
      <c r="L61">
        <v>3750</v>
      </c>
    </row>
    <row r="62" spans="1:12">
      <c r="A62">
        <v>57</v>
      </c>
      <c r="B62">
        <v>15</v>
      </c>
      <c r="C62">
        <v>0</v>
      </c>
      <c r="D62">
        <f>(B62*B62+B62+20)*120</f>
        <v>31200</v>
      </c>
      <c r="E62" t="s">
        <v>10</v>
      </c>
      <c r="F62">
        <v>300</v>
      </c>
      <c r="G62">
        <f t="shared" si="9"/>
        <v>48</v>
      </c>
      <c r="H62">
        <v>6600</v>
      </c>
      <c r="I62">
        <v>240</v>
      </c>
      <c r="J62">
        <v>57</v>
      </c>
      <c r="K62" s="3">
        <f>ROUND(POWER(K65/K61,1/4)*K61,-2)</f>
        <v>41123300</v>
      </c>
      <c r="L62">
        <v>3800</v>
      </c>
    </row>
    <row r="63" spans="1:12">
      <c r="A63">
        <v>58</v>
      </c>
      <c r="B63">
        <v>15</v>
      </c>
      <c r="C63">
        <f>D62+1</f>
        <v>31201</v>
      </c>
      <c r="D63">
        <f>D62*2</f>
        <v>62400</v>
      </c>
      <c r="E63" t="s">
        <v>10</v>
      </c>
      <c r="F63">
        <v>305</v>
      </c>
      <c r="G63">
        <f t="shared" si="9"/>
        <v>48</v>
      </c>
      <c r="H63">
        <v>6700</v>
      </c>
      <c r="I63">
        <v>240</v>
      </c>
      <c r="J63">
        <v>58</v>
      </c>
      <c r="K63" s="3">
        <f>ROUND(POWER(K65/K61,1/4)*K62,-2)</f>
        <v>42375100</v>
      </c>
      <c r="L63">
        <v>3850</v>
      </c>
    </row>
    <row r="64" spans="1:12">
      <c r="A64">
        <v>59</v>
      </c>
      <c r="B64">
        <v>15</v>
      </c>
      <c r="C64">
        <f t="shared" ref="C64:C65" si="15">D63+1</f>
        <v>62401</v>
      </c>
      <c r="D64">
        <f>D62*3</f>
        <v>93600</v>
      </c>
      <c r="E64" t="s">
        <v>10</v>
      </c>
      <c r="F64">
        <v>310</v>
      </c>
      <c r="G64">
        <f t="shared" si="9"/>
        <v>48</v>
      </c>
      <c r="H64">
        <v>6800</v>
      </c>
      <c r="I64">
        <v>240</v>
      </c>
      <c r="J64">
        <v>59</v>
      </c>
      <c r="K64" s="3">
        <f>ROUND(POWER(K65/K61,1/4)*K63,-2)</f>
        <v>43665000</v>
      </c>
      <c r="L64">
        <v>3900</v>
      </c>
    </row>
    <row r="65" spans="1:12">
      <c r="A65">
        <v>60</v>
      </c>
      <c r="B65">
        <v>15</v>
      </c>
      <c r="C65">
        <f t="shared" si="15"/>
        <v>93601</v>
      </c>
      <c r="D65">
        <f>D62*4</f>
        <v>124800</v>
      </c>
      <c r="E65" t="s">
        <v>10</v>
      </c>
      <c r="F65">
        <v>315</v>
      </c>
      <c r="G65">
        <f t="shared" si="9"/>
        <v>48</v>
      </c>
      <c r="H65">
        <v>6900</v>
      </c>
      <c r="I65">
        <v>240</v>
      </c>
      <c r="J65">
        <v>60</v>
      </c>
      <c r="K65" s="3">
        <v>44994100</v>
      </c>
      <c r="L65">
        <v>3950</v>
      </c>
    </row>
    <row r="66" spans="1:12">
      <c r="A66">
        <v>61</v>
      </c>
      <c r="B66">
        <v>16</v>
      </c>
      <c r="C66">
        <v>0</v>
      </c>
      <c r="D66">
        <f>(B66*B66+B66+20)*120</f>
        <v>35040</v>
      </c>
      <c r="E66" t="s">
        <v>10</v>
      </c>
      <c r="F66">
        <v>320</v>
      </c>
      <c r="G66">
        <f t="shared" si="9"/>
        <v>50</v>
      </c>
      <c r="H66">
        <v>7000</v>
      </c>
      <c r="I66">
        <v>240</v>
      </c>
      <c r="J66">
        <v>61</v>
      </c>
      <c r="K66" s="3">
        <f>ROUND(K65*1.02,-2)</f>
        <v>45894000</v>
      </c>
      <c r="L66">
        <v>4000</v>
      </c>
    </row>
    <row r="67" spans="1:12">
      <c r="A67">
        <v>62</v>
      </c>
      <c r="B67">
        <v>16</v>
      </c>
      <c r="C67">
        <f>D66+1</f>
        <v>35041</v>
      </c>
      <c r="D67">
        <f>D66*2</f>
        <v>70080</v>
      </c>
      <c r="E67" t="s">
        <v>10</v>
      </c>
      <c r="F67">
        <v>325</v>
      </c>
      <c r="G67">
        <f t="shared" si="9"/>
        <v>50</v>
      </c>
      <c r="H67">
        <v>7100</v>
      </c>
      <c r="I67">
        <v>240</v>
      </c>
      <c r="J67">
        <v>62</v>
      </c>
      <c r="K67" s="3">
        <f t="shared" ref="K67:K125" si="16">ROUND(K66*1.02,-2)</f>
        <v>46811900</v>
      </c>
      <c r="L67">
        <v>4050</v>
      </c>
    </row>
    <row r="68" spans="1:12">
      <c r="A68">
        <v>63</v>
      </c>
      <c r="B68">
        <v>16</v>
      </c>
      <c r="C68">
        <f t="shared" ref="C68:C69" si="17">D67+1</f>
        <v>70081</v>
      </c>
      <c r="D68">
        <f>D66*3</f>
        <v>105120</v>
      </c>
      <c r="E68" t="s">
        <v>10</v>
      </c>
      <c r="F68">
        <v>330</v>
      </c>
      <c r="G68">
        <f t="shared" si="9"/>
        <v>50</v>
      </c>
      <c r="H68">
        <v>7200</v>
      </c>
      <c r="I68">
        <v>240</v>
      </c>
      <c r="J68">
        <v>63</v>
      </c>
      <c r="K68" s="3">
        <f t="shared" si="16"/>
        <v>47748100</v>
      </c>
      <c r="L68">
        <v>4100</v>
      </c>
    </row>
    <row r="69" spans="1:12">
      <c r="A69">
        <v>64</v>
      </c>
      <c r="B69">
        <v>16</v>
      </c>
      <c r="C69">
        <f t="shared" si="17"/>
        <v>105121</v>
      </c>
      <c r="D69">
        <f>D66*4</f>
        <v>140160</v>
      </c>
      <c r="E69" t="s">
        <v>10</v>
      </c>
      <c r="F69">
        <v>335</v>
      </c>
      <c r="G69">
        <f t="shared" si="9"/>
        <v>50</v>
      </c>
      <c r="H69">
        <v>7300</v>
      </c>
      <c r="I69">
        <v>240</v>
      </c>
      <c r="J69">
        <v>64</v>
      </c>
      <c r="K69" s="3">
        <f t="shared" si="16"/>
        <v>48703100</v>
      </c>
      <c r="L69">
        <v>4150</v>
      </c>
    </row>
    <row r="70" spans="1:12">
      <c r="A70">
        <v>65</v>
      </c>
      <c r="B70">
        <v>17</v>
      </c>
      <c r="C70">
        <v>0</v>
      </c>
      <c r="D70">
        <f>(B70*B70+B70+20)*120</f>
        <v>39120</v>
      </c>
      <c r="E70" t="s">
        <v>10</v>
      </c>
      <c r="F70">
        <v>340</v>
      </c>
      <c r="G70">
        <f t="shared" si="9"/>
        <v>52</v>
      </c>
      <c r="H70">
        <v>7400</v>
      </c>
      <c r="I70">
        <v>240</v>
      </c>
      <c r="J70">
        <v>65</v>
      </c>
      <c r="K70" s="3">
        <f t="shared" si="16"/>
        <v>49677200</v>
      </c>
      <c r="L70">
        <v>4200</v>
      </c>
    </row>
    <row r="71" spans="1:12">
      <c r="A71">
        <v>66</v>
      </c>
      <c r="B71">
        <v>17</v>
      </c>
      <c r="C71">
        <f>D70+1</f>
        <v>39121</v>
      </c>
      <c r="D71">
        <f>D70*2</f>
        <v>78240</v>
      </c>
      <c r="E71" t="s">
        <v>10</v>
      </c>
      <c r="F71">
        <v>345</v>
      </c>
      <c r="G71">
        <f t="shared" si="9"/>
        <v>52</v>
      </c>
      <c r="H71">
        <v>7500</v>
      </c>
      <c r="I71">
        <v>240</v>
      </c>
      <c r="J71">
        <v>66</v>
      </c>
      <c r="K71" s="3">
        <f t="shared" si="16"/>
        <v>50670700</v>
      </c>
      <c r="L71">
        <v>4250</v>
      </c>
    </row>
    <row r="72" spans="1:12">
      <c r="A72">
        <v>67</v>
      </c>
      <c r="B72">
        <v>17</v>
      </c>
      <c r="C72">
        <f t="shared" ref="C72:C73" si="18">D71+1</f>
        <v>78241</v>
      </c>
      <c r="D72">
        <f>D70*3</f>
        <v>117360</v>
      </c>
      <c r="E72" t="s">
        <v>10</v>
      </c>
      <c r="F72">
        <v>350</v>
      </c>
      <c r="G72">
        <f t="shared" si="9"/>
        <v>52</v>
      </c>
      <c r="H72">
        <v>7600</v>
      </c>
      <c r="I72">
        <v>240</v>
      </c>
      <c r="J72">
        <v>67</v>
      </c>
      <c r="K72" s="3">
        <f t="shared" si="16"/>
        <v>51684100</v>
      </c>
      <c r="L72">
        <v>4300</v>
      </c>
    </row>
    <row r="73" spans="1:12">
      <c r="A73">
        <v>68</v>
      </c>
      <c r="B73">
        <v>17</v>
      </c>
      <c r="C73">
        <f t="shared" si="18"/>
        <v>117361</v>
      </c>
      <c r="D73">
        <f>D70*4</f>
        <v>156480</v>
      </c>
      <c r="E73" t="s">
        <v>10</v>
      </c>
      <c r="F73">
        <v>355</v>
      </c>
      <c r="G73">
        <f t="shared" si="9"/>
        <v>52</v>
      </c>
      <c r="H73">
        <v>7700</v>
      </c>
      <c r="I73">
        <v>240</v>
      </c>
      <c r="J73">
        <v>68</v>
      </c>
      <c r="K73" s="3">
        <f t="shared" si="16"/>
        <v>52717800</v>
      </c>
      <c r="L73">
        <v>4350</v>
      </c>
    </row>
    <row r="74" spans="1:12">
      <c r="A74">
        <v>69</v>
      </c>
      <c r="B74">
        <v>18</v>
      </c>
      <c r="C74">
        <v>0</v>
      </c>
      <c r="D74">
        <f>(B74*B74+B74+20)*120</f>
        <v>43440</v>
      </c>
      <c r="E74" t="s">
        <v>10</v>
      </c>
      <c r="F74">
        <v>360</v>
      </c>
      <c r="G74">
        <f t="shared" si="9"/>
        <v>54</v>
      </c>
      <c r="H74">
        <v>7800</v>
      </c>
      <c r="I74">
        <v>240</v>
      </c>
      <c r="J74">
        <v>69</v>
      </c>
      <c r="K74" s="3">
        <f t="shared" si="16"/>
        <v>53772200</v>
      </c>
      <c r="L74">
        <v>4400</v>
      </c>
    </row>
    <row r="75" spans="1:12">
      <c r="A75">
        <v>70</v>
      </c>
      <c r="B75">
        <v>18</v>
      </c>
      <c r="C75">
        <f>D74+1</f>
        <v>43441</v>
      </c>
      <c r="D75">
        <f>D74*2</f>
        <v>86880</v>
      </c>
      <c r="E75" t="s">
        <v>10</v>
      </c>
      <c r="F75">
        <v>365</v>
      </c>
      <c r="G75">
        <f t="shared" si="9"/>
        <v>54</v>
      </c>
      <c r="H75">
        <v>7900</v>
      </c>
      <c r="I75">
        <v>240</v>
      </c>
      <c r="J75">
        <v>70</v>
      </c>
      <c r="K75" s="3">
        <f t="shared" si="16"/>
        <v>54847600</v>
      </c>
      <c r="L75">
        <v>4450</v>
      </c>
    </row>
    <row r="76" spans="1:12">
      <c r="A76">
        <v>71</v>
      </c>
      <c r="B76">
        <v>18</v>
      </c>
      <c r="C76">
        <f t="shared" ref="C76:C77" si="19">D75+1</f>
        <v>86881</v>
      </c>
      <c r="D76">
        <f>D74*3</f>
        <v>130320</v>
      </c>
      <c r="E76" t="s">
        <v>10</v>
      </c>
      <c r="F76">
        <v>370</v>
      </c>
      <c r="G76">
        <f t="shared" si="9"/>
        <v>54</v>
      </c>
      <c r="H76">
        <v>8000</v>
      </c>
      <c r="I76">
        <v>240</v>
      </c>
      <c r="J76">
        <v>71</v>
      </c>
      <c r="K76" s="3">
        <f t="shared" si="16"/>
        <v>55944600</v>
      </c>
      <c r="L76">
        <v>4500</v>
      </c>
    </row>
    <row r="77" spans="1:12">
      <c r="A77">
        <v>72</v>
      </c>
      <c r="B77">
        <v>18</v>
      </c>
      <c r="C77">
        <f t="shared" si="19"/>
        <v>130321</v>
      </c>
      <c r="D77">
        <f>D74*4</f>
        <v>173760</v>
      </c>
      <c r="E77" t="s">
        <v>10</v>
      </c>
      <c r="F77">
        <v>375</v>
      </c>
      <c r="G77">
        <f t="shared" si="9"/>
        <v>54</v>
      </c>
      <c r="H77">
        <v>8100</v>
      </c>
      <c r="I77">
        <v>240</v>
      </c>
      <c r="J77">
        <v>72</v>
      </c>
      <c r="K77" s="3">
        <f t="shared" si="16"/>
        <v>57063500</v>
      </c>
      <c r="L77">
        <v>4550</v>
      </c>
    </row>
    <row r="78" spans="1:12">
      <c r="A78">
        <v>73</v>
      </c>
      <c r="B78">
        <v>19</v>
      </c>
      <c r="C78">
        <v>0</v>
      </c>
      <c r="D78">
        <f>(B78*B78+B78+20)*120</f>
        <v>48000</v>
      </c>
      <c r="E78" t="s">
        <v>10</v>
      </c>
      <c r="F78">
        <v>380</v>
      </c>
      <c r="G78">
        <f t="shared" si="9"/>
        <v>56</v>
      </c>
      <c r="H78">
        <v>8200</v>
      </c>
      <c r="I78">
        <v>240</v>
      </c>
      <c r="J78">
        <v>73</v>
      </c>
      <c r="K78" s="3">
        <f t="shared" si="16"/>
        <v>58204800</v>
      </c>
      <c r="L78">
        <v>4600</v>
      </c>
    </row>
    <row r="79" spans="1:12">
      <c r="A79">
        <v>74</v>
      </c>
      <c r="B79">
        <v>19</v>
      </c>
      <c r="C79">
        <f>D78+1</f>
        <v>48001</v>
      </c>
      <c r="D79">
        <f>D78*2</f>
        <v>96000</v>
      </c>
      <c r="E79" t="s">
        <v>10</v>
      </c>
      <c r="F79">
        <v>385</v>
      </c>
      <c r="G79">
        <f t="shared" si="9"/>
        <v>56</v>
      </c>
      <c r="H79">
        <v>8300</v>
      </c>
      <c r="I79">
        <v>240</v>
      </c>
      <c r="J79">
        <v>74</v>
      </c>
      <c r="K79" s="3">
        <f t="shared" si="16"/>
        <v>59368900</v>
      </c>
      <c r="L79">
        <v>4650</v>
      </c>
    </row>
    <row r="80" spans="1:12">
      <c r="A80">
        <v>75</v>
      </c>
      <c r="B80">
        <v>19</v>
      </c>
      <c r="C80">
        <f t="shared" ref="C80:C81" si="20">D79+1</f>
        <v>96001</v>
      </c>
      <c r="D80">
        <f>D78*3</f>
        <v>144000</v>
      </c>
      <c r="E80" t="s">
        <v>10</v>
      </c>
      <c r="F80">
        <v>390</v>
      </c>
      <c r="G80">
        <f t="shared" si="9"/>
        <v>56</v>
      </c>
      <c r="H80">
        <v>8400</v>
      </c>
      <c r="I80">
        <v>240</v>
      </c>
      <c r="J80">
        <v>75</v>
      </c>
      <c r="K80" s="3">
        <f t="shared" si="16"/>
        <v>60556300</v>
      </c>
      <c r="L80">
        <v>4700</v>
      </c>
    </row>
    <row r="81" spans="1:12">
      <c r="A81">
        <v>76</v>
      </c>
      <c r="B81">
        <v>19</v>
      </c>
      <c r="C81">
        <f t="shared" si="20"/>
        <v>144001</v>
      </c>
      <c r="D81">
        <f>D78*4</f>
        <v>192000</v>
      </c>
      <c r="E81" t="s">
        <v>10</v>
      </c>
      <c r="F81">
        <v>395</v>
      </c>
      <c r="G81">
        <f t="shared" si="9"/>
        <v>56</v>
      </c>
      <c r="H81">
        <v>8500</v>
      </c>
      <c r="I81">
        <v>240</v>
      </c>
      <c r="J81">
        <v>76</v>
      </c>
      <c r="K81" s="3">
        <f t="shared" si="16"/>
        <v>61767400</v>
      </c>
      <c r="L81">
        <v>4750</v>
      </c>
    </row>
    <row r="82" spans="1:12">
      <c r="A82">
        <v>77</v>
      </c>
      <c r="B82">
        <v>20</v>
      </c>
      <c r="C82">
        <v>0</v>
      </c>
      <c r="D82">
        <f>(B82*B82+B82+20)*120</f>
        <v>52800</v>
      </c>
      <c r="E82" t="s">
        <v>10</v>
      </c>
      <c r="F82">
        <v>400</v>
      </c>
      <c r="G82">
        <f t="shared" si="9"/>
        <v>58</v>
      </c>
      <c r="H82">
        <v>8600</v>
      </c>
      <c r="I82">
        <v>240</v>
      </c>
      <c r="J82">
        <v>77</v>
      </c>
      <c r="K82" s="3">
        <f t="shared" si="16"/>
        <v>63002700</v>
      </c>
      <c r="L82">
        <v>4800</v>
      </c>
    </row>
    <row r="83" spans="1:12">
      <c r="A83">
        <v>78</v>
      </c>
      <c r="B83">
        <v>20</v>
      </c>
      <c r="C83">
        <f>D82+1</f>
        <v>52801</v>
      </c>
      <c r="D83">
        <f>D82*2</f>
        <v>105600</v>
      </c>
      <c r="E83" t="s">
        <v>10</v>
      </c>
      <c r="F83">
        <v>405</v>
      </c>
      <c r="G83">
        <f t="shared" si="9"/>
        <v>58</v>
      </c>
      <c r="H83">
        <v>8700</v>
      </c>
      <c r="I83">
        <v>240</v>
      </c>
      <c r="J83">
        <v>78</v>
      </c>
      <c r="K83" s="3">
        <f t="shared" si="16"/>
        <v>64262800</v>
      </c>
      <c r="L83">
        <v>4850</v>
      </c>
    </row>
    <row r="84" spans="1:12">
      <c r="A84">
        <v>79</v>
      </c>
      <c r="B84">
        <v>20</v>
      </c>
      <c r="C84">
        <f t="shared" ref="C84:C85" si="21">D83+1</f>
        <v>105601</v>
      </c>
      <c r="D84">
        <f>D82*3</f>
        <v>158400</v>
      </c>
      <c r="E84" t="s">
        <v>10</v>
      </c>
      <c r="F84">
        <v>410</v>
      </c>
      <c r="G84">
        <f t="shared" si="9"/>
        <v>58</v>
      </c>
      <c r="H84">
        <v>8800</v>
      </c>
      <c r="I84">
        <v>240</v>
      </c>
      <c r="J84">
        <v>79</v>
      </c>
      <c r="K84" s="3">
        <f t="shared" si="16"/>
        <v>65548100</v>
      </c>
      <c r="L84">
        <v>4900</v>
      </c>
    </row>
    <row r="85" spans="1:12">
      <c r="A85">
        <v>80</v>
      </c>
      <c r="B85">
        <v>20</v>
      </c>
      <c r="C85">
        <f t="shared" si="21"/>
        <v>158401</v>
      </c>
      <c r="D85">
        <f>D82*4</f>
        <v>211200</v>
      </c>
      <c r="E85" t="s">
        <v>10</v>
      </c>
      <c r="F85">
        <v>415</v>
      </c>
      <c r="G85">
        <f t="shared" si="9"/>
        <v>58</v>
      </c>
      <c r="H85">
        <v>8900</v>
      </c>
      <c r="I85">
        <v>240</v>
      </c>
      <c r="J85">
        <v>80</v>
      </c>
      <c r="K85" s="3">
        <f t="shared" si="16"/>
        <v>66859100</v>
      </c>
      <c r="L85">
        <v>4950</v>
      </c>
    </row>
    <row r="86" spans="1:12">
      <c r="A86">
        <v>81</v>
      </c>
      <c r="B86">
        <v>21</v>
      </c>
      <c r="C86">
        <v>0</v>
      </c>
      <c r="D86">
        <f>(B86*B86+B86+20)*120</f>
        <v>57840</v>
      </c>
      <c r="E86" t="s">
        <v>10</v>
      </c>
      <c r="F86">
        <v>420</v>
      </c>
      <c r="G86">
        <f t="shared" si="9"/>
        <v>60</v>
      </c>
      <c r="H86">
        <v>9000</v>
      </c>
      <c r="I86">
        <v>240</v>
      </c>
      <c r="J86">
        <v>81</v>
      </c>
      <c r="K86" s="3">
        <f t="shared" si="16"/>
        <v>68196300</v>
      </c>
      <c r="L86">
        <v>5000</v>
      </c>
    </row>
    <row r="87" spans="1:12">
      <c r="A87">
        <v>82</v>
      </c>
      <c r="B87">
        <v>21</v>
      </c>
      <c r="C87">
        <f>D86+1</f>
        <v>57841</v>
      </c>
      <c r="D87">
        <f>D86*2</f>
        <v>115680</v>
      </c>
      <c r="E87" t="s">
        <v>10</v>
      </c>
      <c r="F87">
        <v>425</v>
      </c>
      <c r="G87">
        <f t="shared" si="9"/>
        <v>60</v>
      </c>
      <c r="H87">
        <v>9100</v>
      </c>
      <c r="I87">
        <v>240</v>
      </c>
      <c r="J87">
        <v>82</v>
      </c>
      <c r="K87" s="3">
        <f t="shared" si="16"/>
        <v>69560200</v>
      </c>
      <c r="L87">
        <v>5050</v>
      </c>
    </row>
    <row r="88" spans="1:12">
      <c r="A88">
        <v>83</v>
      </c>
      <c r="B88">
        <v>21</v>
      </c>
      <c r="C88">
        <f t="shared" ref="C88:C89" si="22">D87+1</f>
        <v>115681</v>
      </c>
      <c r="D88">
        <f>D86*3</f>
        <v>173520</v>
      </c>
      <c r="E88" t="s">
        <v>10</v>
      </c>
      <c r="F88">
        <v>430</v>
      </c>
      <c r="G88">
        <f t="shared" si="9"/>
        <v>60</v>
      </c>
      <c r="H88">
        <v>9200</v>
      </c>
      <c r="I88">
        <v>240</v>
      </c>
      <c r="J88">
        <v>83</v>
      </c>
      <c r="K88" s="3">
        <f t="shared" si="16"/>
        <v>70951400</v>
      </c>
      <c r="L88">
        <v>5100</v>
      </c>
    </row>
    <row r="89" spans="1:12">
      <c r="A89">
        <v>84</v>
      </c>
      <c r="B89">
        <v>21</v>
      </c>
      <c r="C89">
        <f t="shared" si="22"/>
        <v>173521</v>
      </c>
      <c r="D89">
        <f>D86*4</f>
        <v>231360</v>
      </c>
      <c r="E89" t="s">
        <v>10</v>
      </c>
      <c r="F89">
        <v>435</v>
      </c>
      <c r="G89">
        <f t="shared" si="9"/>
        <v>60</v>
      </c>
      <c r="H89">
        <v>9300</v>
      </c>
      <c r="I89">
        <v>240</v>
      </c>
      <c r="J89">
        <v>84</v>
      </c>
      <c r="K89" s="3">
        <f t="shared" si="16"/>
        <v>72370400</v>
      </c>
      <c r="L89">
        <v>5150</v>
      </c>
    </row>
    <row r="90" spans="1:12">
      <c r="A90">
        <v>85</v>
      </c>
      <c r="B90">
        <v>22</v>
      </c>
      <c r="C90">
        <v>0</v>
      </c>
      <c r="D90">
        <f>(B90*B90+B90+20)*120</f>
        <v>63120</v>
      </c>
      <c r="E90" t="s">
        <v>10</v>
      </c>
      <c r="F90">
        <v>440</v>
      </c>
      <c r="G90">
        <f t="shared" si="9"/>
        <v>62</v>
      </c>
      <c r="H90">
        <v>9400</v>
      </c>
      <c r="I90">
        <v>240</v>
      </c>
      <c r="J90">
        <v>85</v>
      </c>
      <c r="K90" s="3">
        <f t="shared" si="16"/>
        <v>73817800</v>
      </c>
      <c r="L90">
        <v>5200</v>
      </c>
    </row>
    <row r="91" spans="1:12">
      <c r="A91">
        <v>86</v>
      </c>
      <c r="B91">
        <v>22</v>
      </c>
      <c r="C91">
        <f>D90+1</f>
        <v>63121</v>
      </c>
      <c r="D91">
        <f>D90*2</f>
        <v>126240</v>
      </c>
      <c r="E91" t="s">
        <v>10</v>
      </c>
      <c r="F91">
        <v>445</v>
      </c>
      <c r="G91">
        <f t="shared" si="9"/>
        <v>62</v>
      </c>
      <c r="H91">
        <v>9500</v>
      </c>
      <c r="I91">
        <v>240</v>
      </c>
      <c r="J91">
        <v>86</v>
      </c>
      <c r="K91" s="3">
        <f t="shared" si="16"/>
        <v>75294200</v>
      </c>
      <c r="L91">
        <v>5250</v>
      </c>
    </row>
    <row r="92" spans="1:12">
      <c r="A92">
        <v>87</v>
      </c>
      <c r="B92">
        <v>22</v>
      </c>
      <c r="C92">
        <f t="shared" ref="C92:C93" si="23">D91+1</f>
        <v>126241</v>
      </c>
      <c r="D92">
        <f>D90*3</f>
        <v>189360</v>
      </c>
      <c r="E92" t="s">
        <v>10</v>
      </c>
      <c r="F92">
        <v>450</v>
      </c>
      <c r="G92">
        <f t="shared" si="9"/>
        <v>62</v>
      </c>
      <c r="H92">
        <v>9600</v>
      </c>
      <c r="I92">
        <v>240</v>
      </c>
      <c r="J92">
        <v>87</v>
      </c>
      <c r="K92" s="3">
        <f t="shared" si="16"/>
        <v>76800100</v>
      </c>
      <c r="L92">
        <v>5300</v>
      </c>
    </row>
    <row r="93" spans="1:12">
      <c r="A93">
        <v>88</v>
      </c>
      <c r="B93">
        <v>22</v>
      </c>
      <c r="C93">
        <f t="shared" si="23"/>
        <v>189361</v>
      </c>
      <c r="D93">
        <f>D90*4</f>
        <v>252480</v>
      </c>
      <c r="E93" t="s">
        <v>10</v>
      </c>
      <c r="F93">
        <v>455</v>
      </c>
      <c r="G93">
        <f t="shared" si="9"/>
        <v>62</v>
      </c>
      <c r="H93">
        <v>9700</v>
      </c>
      <c r="I93">
        <v>240</v>
      </c>
      <c r="J93">
        <v>88</v>
      </c>
      <c r="K93" s="3">
        <f t="shared" si="16"/>
        <v>78336100</v>
      </c>
      <c r="L93">
        <v>5350</v>
      </c>
    </row>
    <row r="94" spans="1:12">
      <c r="A94">
        <v>89</v>
      </c>
      <c r="B94">
        <v>23</v>
      </c>
      <c r="C94">
        <v>0</v>
      </c>
      <c r="D94">
        <f>(B94*B94+B94+20)*120</f>
        <v>68640</v>
      </c>
      <c r="E94" t="s">
        <v>10</v>
      </c>
      <c r="F94">
        <v>460</v>
      </c>
      <c r="G94">
        <f t="shared" si="9"/>
        <v>64</v>
      </c>
      <c r="H94">
        <v>9800</v>
      </c>
      <c r="I94">
        <v>240</v>
      </c>
      <c r="J94">
        <v>89</v>
      </c>
      <c r="K94" s="3">
        <f t="shared" si="16"/>
        <v>79902800</v>
      </c>
      <c r="L94">
        <v>5400</v>
      </c>
    </row>
    <row r="95" spans="1:12">
      <c r="A95">
        <v>90</v>
      </c>
      <c r="B95">
        <v>23</v>
      </c>
      <c r="C95">
        <f>D94+1</f>
        <v>68641</v>
      </c>
      <c r="D95">
        <f>D94*2</f>
        <v>137280</v>
      </c>
      <c r="E95" t="s">
        <v>10</v>
      </c>
      <c r="F95">
        <v>465</v>
      </c>
      <c r="G95">
        <f t="shared" si="9"/>
        <v>64</v>
      </c>
      <c r="H95">
        <v>9900</v>
      </c>
      <c r="I95">
        <v>240</v>
      </c>
      <c r="J95">
        <v>90</v>
      </c>
      <c r="K95" s="3">
        <f t="shared" si="16"/>
        <v>81500900</v>
      </c>
      <c r="L95">
        <v>5450</v>
      </c>
    </row>
    <row r="96" spans="1:12">
      <c r="A96">
        <v>91</v>
      </c>
      <c r="B96">
        <v>23</v>
      </c>
      <c r="C96">
        <f t="shared" ref="C96:C97" si="24">D95+1</f>
        <v>137281</v>
      </c>
      <c r="D96">
        <f>D94*3</f>
        <v>205920</v>
      </c>
      <c r="E96" t="s">
        <v>10</v>
      </c>
      <c r="F96">
        <v>470</v>
      </c>
      <c r="G96">
        <f t="shared" si="9"/>
        <v>64</v>
      </c>
      <c r="H96">
        <v>10000</v>
      </c>
      <c r="I96">
        <v>240</v>
      </c>
      <c r="J96">
        <v>91</v>
      </c>
      <c r="K96" s="3">
        <f t="shared" si="16"/>
        <v>83130900</v>
      </c>
      <c r="L96">
        <v>5500</v>
      </c>
    </row>
    <row r="97" spans="1:12">
      <c r="A97">
        <v>92</v>
      </c>
      <c r="B97">
        <v>23</v>
      </c>
      <c r="C97">
        <f t="shared" si="24"/>
        <v>205921</v>
      </c>
      <c r="D97">
        <f>D94*4</f>
        <v>274560</v>
      </c>
      <c r="E97" t="s">
        <v>10</v>
      </c>
      <c r="F97">
        <v>475</v>
      </c>
      <c r="G97">
        <f t="shared" si="9"/>
        <v>64</v>
      </c>
      <c r="H97">
        <v>10100</v>
      </c>
      <c r="I97">
        <v>240</v>
      </c>
      <c r="J97">
        <v>92</v>
      </c>
      <c r="K97" s="3">
        <f t="shared" si="16"/>
        <v>84793500</v>
      </c>
      <c r="L97">
        <v>5550</v>
      </c>
    </row>
    <row r="98" spans="1:12">
      <c r="A98">
        <v>93</v>
      </c>
      <c r="B98">
        <v>24</v>
      </c>
      <c r="C98">
        <v>0</v>
      </c>
      <c r="D98">
        <f>(B98*B98+B98+20)*120</f>
        <v>74400</v>
      </c>
      <c r="E98" t="s">
        <v>10</v>
      </c>
      <c r="F98">
        <v>480</v>
      </c>
      <c r="G98">
        <f t="shared" si="9"/>
        <v>66</v>
      </c>
      <c r="H98">
        <v>10200</v>
      </c>
      <c r="I98">
        <v>240</v>
      </c>
      <c r="J98">
        <v>93</v>
      </c>
      <c r="K98" s="3">
        <f t="shared" si="16"/>
        <v>86489400</v>
      </c>
      <c r="L98">
        <v>5600</v>
      </c>
    </row>
    <row r="99" spans="1:12">
      <c r="A99">
        <v>94</v>
      </c>
      <c r="B99">
        <v>24</v>
      </c>
      <c r="C99">
        <f>D98+1</f>
        <v>74401</v>
      </c>
      <c r="D99">
        <f>D98*2</f>
        <v>148800</v>
      </c>
      <c r="E99" t="s">
        <v>10</v>
      </c>
      <c r="F99">
        <v>485</v>
      </c>
      <c r="G99">
        <f t="shared" si="9"/>
        <v>66</v>
      </c>
      <c r="H99">
        <v>10300</v>
      </c>
      <c r="I99">
        <v>240</v>
      </c>
      <c r="J99">
        <v>94</v>
      </c>
      <c r="K99" s="3">
        <f t="shared" si="16"/>
        <v>88219200</v>
      </c>
      <c r="L99">
        <v>5650</v>
      </c>
    </row>
    <row r="100" spans="1:12">
      <c r="A100">
        <v>95</v>
      </c>
      <c r="B100">
        <v>24</v>
      </c>
      <c r="C100">
        <f t="shared" ref="C100:C101" si="25">D99+1</f>
        <v>148801</v>
      </c>
      <c r="D100">
        <f>D98*3</f>
        <v>223200</v>
      </c>
      <c r="E100" t="s">
        <v>10</v>
      </c>
      <c r="F100">
        <v>490</v>
      </c>
      <c r="G100">
        <f t="shared" si="9"/>
        <v>66</v>
      </c>
      <c r="H100">
        <v>10400</v>
      </c>
      <c r="I100">
        <v>240</v>
      </c>
      <c r="J100">
        <v>95</v>
      </c>
      <c r="K100" s="3">
        <f t="shared" si="16"/>
        <v>89983600</v>
      </c>
      <c r="L100">
        <v>5700</v>
      </c>
    </row>
    <row r="101" spans="1:12">
      <c r="A101">
        <v>96</v>
      </c>
      <c r="B101">
        <v>24</v>
      </c>
      <c r="C101">
        <f t="shared" si="25"/>
        <v>223201</v>
      </c>
      <c r="D101">
        <f>D98*4</f>
        <v>297600</v>
      </c>
      <c r="E101" t="s">
        <v>10</v>
      </c>
      <c r="F101">
        <v>495</v>
      </c>
      <c r="G101">
        <f t="shared" si="9"/>
        <v>66</v>
      </c>
      <c r="H101">
        <v>10500</v>
      </c>
      <c r="I101">
        <v>240</v>
      </c>
      <c r="J101">
        <v>96</v>
      </c>
      <c r="K101" s="3">
        <f t="shared" si="16"/>
        <v>91783300</v>
      </c>
      <c r="L101">
        <v>5750</v>
      </c>
    </row>
    <row r="102" spans="1:12">
      <c r="A102">
        <v>97</v>
      </c>
      <c r="B102">
        <v>25</v>
      </c>
      <c r="C102">
        <v>0</v>
      </c>
      <c r="D102">
        <f>(B102*B102+B102+20)*120</f>
        <v>80400</v>
      </c>
      <c r="E102" t="s">
        <v>10</v>
      </c>
      <c r="F102">
        <v>500</v>
      </c>
      <c r="G102">
        <f t="shared" si="9"/>
        <v>68</v>
      </c>
      <c r="H102">
        <v>10600</v>
      </c>
      <c r="I102">
        <v>240</v>
      </c>
      <c r="J102">
        <v>97</v>
      </c>
      <c r="K102" s="3">
        <f t="shared" si="16"/>
        <v>93619000</v>
      </c>
      <c r="L102">
        <v>5800</v>
      </c>
    </row>
    <row r="103" spans="1:12">
      <c r="A103">
        <v>98</v>
      </c>
      <c r="B103">
        <v>25</v>
      </c>
      <c r="C103">
        <f>D102+1</f>
        <v>80401</v>
      </c>
      <c r="D103">
        <f>D102*2</f>
        <v>160800</v>
      </c>
      <c r="E103" t="s">
        <v>10</v>
      </c>
      <c r="F103">
        <v>505</v>
      </c>
      <c r="G103">
        <f t="shared" si="9"/>
        <v>68</v>
      </c>
      <c r="H103">
        <v>10700</v>
      </c>
      <c r="I103">
        <v>240</v>
      </c>
      <c r="J103">
        <v>98</v>
      </c>
      <c r="K103" s="3">
        <f t="shared" si="16"/>
        <v>95491400</v>
      </c>
      <c r="L103">
        <v>5850</v>
      </c>
    </row>
    <row r="104" spans="1:12">
      <c r="A104">
        <v>99</v>
      </c>
      <c r="B104">
        <v>25</v>
      </c>
      <c r="C104">
        <f t="shared" ref="C104:C105" si="26">D103+1</f>
        <v>160801</v>
      </c>
      <c r="D104">
        <f>D102*3</f>
        <v>241200</v>
      </c>
      <c r="E104" t="s">
        <v>10</v>
      </c>
      <c r="F104">
        <v>510</v>
      </c>
      <c r="G104">
        <f t="shared" ref="G104:G125" si="27">B104*2+18</f>
        <v>68</v>
      </c>
      <c r="H104">
        <v>10800</v>
      </c>
      <c r="I104">
        <v>240</v>
      </c>
      <c r="J104">
        <v>99</v>
      </c>
      <c r="K104" s="3">
        <f t="shared" si="16"/>
        <v>97401200</v>
      </c>
      <c r="L104">
        <v>5900</v>
      </c>
    </row>
    <row r="105" spans="1:12">
      <c r="A105">
        <v>100</v>
      </c>
      <c r="B105">
        <v>25</v>
      </c>
      <c r="C105">
        <f t="shared" si="26"/>
        <v>241201</v>
      </c>
      <c r="D105">
        <f>D102*4</f>
        <v>321600</v>
      </c>
      <c r="E105" t="s">
        <v>10</v>
      </c>
      <c r="F105">
        <v>515</v>
      </c>
      <c r="G105">
        <f t="shared" si="27"/>
        <v>68</v>
      </c>
      <c r="H105">
        <v>10900</v>
      </c>
      <c r="I105">
        <v>240</v>
      </c>
      <c r="J105">
        <v>100</v>
      </c>
      <c r="K105" s="3">
        <f t="shared" si="16"/>
        <v>99349200</v>
      </c>
      <c r="L105">
        <v>5950</v>
      </c>
    </row>
    <row r="106" spans="1:12">
      <c r="A106">
        <v>101</v>
      </c>
      <c r="B106">
        <v>26</v>
      </c>
      <c r="C106">
        <v>0</v>
      </c>
      <c r="D106">
        <f>(B106*B106+B106+20)*120</f>
        <v>86640</v>
      </c>
      <c r="E106" t="s">
        <v>10</v>
      </c>
      <c r="F106">
        <v>520</v>
      </c>
      <c r="G106">
        <f t="shared" si="27"/>
        <v>70</v>
      </c>
      <c r="H106">
        <v>11000</v>
      </c>
      <c r="I106">
        <v>240</v>
      </c>
      <c r="J106">
        <v>101</v>
      </c>
      <c r="K106" s="3">
        <f t="shared" si="16"/>
        <v>101336200</v>
      </c>
      <c r="L106">
        <v>6000</v>
      </c>
    </row>
    <row r="107" spans="1:12">
      <c r="A107">
        <v>102</v>
      </c>
      <c r="B107">
        <v>26</v>
      </c>
      <c r="C107">
        <f>D106+1</f>
        <v>86641</v>
      </c>
      <c r="D107">
        <f>D106*2</f>
        <v>173280</v>
      </c>
      <c r="E107" t="s">
        <v>10</v>
      </c>
      <c r="F107">
        <v>525</v>
      </c>
      <c r="G107">
        <f t="shared" si="27"/>
        <v>70</v>
      </c>
      <c r="H107">
        <v>11100</v>
      </c>
      <c r="I107">
        <v>240</v>
      </c>
      <c r="J107">
        <v>102</v>
      </c>
      <c r="K107" s="3">
        <f t="shared" si="16"/>
        <v>103362900</v>
      </c>
      <c r="L107">
        <v>6050</v>
      </c>
    </row>
    <row r="108" spans="1:12">
      <c r="A108">
        <v>103</v>
      </c>
      <c r="B108">
        <v>26</v>
      </c>
      <c r="C108">
        <f t="shared" ref="C108:C109" si="28">D107+1</f>
        <v>173281</v>
      </c>
      <c r="D108">
        <f>D106*3</f>
        <v>259920</v>
      </c>
      <c r="E108" t="s">
        <v>10</v>
      </c>
      <c r="F108">
        <v>530</v>
      </c>
      <c r="G108">
        <f t="shared" si="27"/>
        <v>70</v>
      </c>
      <c r="H108">
        <v>11200</v>
      </c>
      <c r="I108">
        <v>240</v>
      </c>
      <c r="J108">
        <v>103</v>
      </c>
      <c r="K108" s="3">
        <f t="shared" si="16"/>
        <v>105430200</v>
      </c>
      <c r="L108">
        <v>6100</v>
      </c>
    </row>
    <row r="109" spans="1:12">
      <c r="A109">
        <v>104</v>
      </c>
      <c r="B109">
        <v>26</v>
      </c>
      <c r="C109">
        <f t="shared" si="28"/>
        <v>259921</v>
      </c>
      <c r="D109">
        <f>D106*4</f>
        <v>346560</v>
      </c>
      <c r="E109" t="s">
        <v>10</v>
      </c>
      <c r="F109">
        <v>535</v>
      </c>
      <c r="G109">
        <f t="shared" si="27"/>
        <v>70</v>
      </c>
      <c r="H109">
        <v>11300</v>
      </c>
      <c r="I109">
        <v>240</v>
      </c>
      <c r="J109">
        <v>104</v>
      </c>
      <c r="K109" s="3">
        <f t="shared" si="16"/>
        <v>107538800</v>
      </c>
      <c r="L109">
        <v>6150</v>
      </c>
    </row>
    <row r="110" spans="1:12">
      <c r="A110">
        <v>105</v>
      </c>
      <c r="B110">
        <v>27</v>
      </c>
      <c r="C110">
        <v>0</v>
      </c>
      <c r="D110">
        <f>(B110*B110+B110+20)*120</f>
        <v>93120</v>
      </c>
      <c r="E110" t="s">
        <v>10</v>
      </c>
      <c r="F110">
        <v>540</v>
      </c>
      <c r="G110">
        <f t="shared" si="27"/>
        <v>72</v>
      </c>
      <c r="H110">
        <v>11400</v>
      </c>
      <c r="I110">
        <v>240</v>
      </c>
      <c r="J110">
        <v>105</v>
      </c>
      <c r="K110" s="3">
        <f t="shared" si="16"/>
        <v>109689600</v>
      </c>
      <c r="L110">
        <v>6200</v>
      </c>
    </row>
    <row r="111" spans="1:12">
      <c r="A111">
        <v>106</v>
      </c>
      <c r="B111">
        <v>27</v>
      </c>
      <c r="C111">
        <f>D110+1</f>
        <v>93121</v>
      </c>
      <c r="D111">
        <f>D110*2</f>
        <v>186240</v>
      </c>
      <c r="E111" t="s">
        <v>10</v>
      </c>
      <c r="F111">
        <v>545</v>
      </c>
      <c r="G111">
        <f t="shared" si="27"/>
        <v>72</v>
      </c>
      <c r="H111">
        <v>11500</v>
      </c>
      <c r="I111">
        <v>240</v>
      </c>
      <c r="J111">
        <v>106</v>
      </c>
      <c r="K111" s="3">
        <f t="shared" si="16"/>
        <v>111883400</v>
      </c>
      <c r="L111">
        <v>6250</v>
      </c>
    </row>
    <row r="112" spans="1:12">
      <c r="A112">
        <v>107</v>
      </c>
      <c r="B112">
        <v>27</v>
      </c>
      <c r="C112">
        <f t="shared" ref="C112:C113" si="29">D111+1</f>
        <v>186241</v>
      </c>
      <c r="D112">
        <f>D110*3</f>
        <v>279360</v>
      </c>
      <c r="E112" t="s">
        <v>10</v>
      </c>
      <c r="F112">
        <v>550</v>
      </c>
      <c r="G112">
        <f t="shared" si="27"/>
        <v>72</v>
      </c>
      <c r="H112">
        <v>11600</v>
      </c>
      <c r="I112">
        <v>240</v>
      </c>
      <c r="J112">
        <v>107</v>
      </c>
      <c r="K112" s="3">
        <f t="shared" si="16"/>
        <v>114121100</v>
      </c>
      <c r="L112">
        <v>6300</v>
      </c>
    </row>
    <row r="113" spans="1:12">
      <c r="A113">
        <v>108</v>
      </c>
      <c r="B113">
        <v>27</v>
      </c>
      <c r="C113">
        <f t="shared" si="29"/>
        <v>279361</v>
      </c>
      <c r="D113">
        <f>D110*4</f>
        <v>372480</v>
      </c>
      <c r="E113" t="s">
        <v>10</v>
      </c>
      <c r="F113">
        <v>555</v>
      </c>
      <c r="G113">
        <f t="shared" si="27"/>
        <v>72</v>
      </c>
      <c r="H113">
        <v>11700</v>
      </c>
      <c r="I113">
        <v>240</v>
      </c>
      <c r="J113">
        <v>108</v>
      </c>
      <c r="K113" s="3">
        <f t="shared" si="16"/>
        <v>116403500</v>
      </c>
      <c r="L113">
        <v>6350</v>
      </c>
    </row>
    <row r="114" spans="1:12">
      <c r="A114">
        <v>109</v>
      </c>
      <c r="B114">
        <v>28</v>
      </c>
      <c r="C114">
        <v>0</v>
      </c>
      <c r="D114">
        <f>(B114*B114+B114+20)*120</f>
        <v>99840</v>
      </c>
      <c r="E114" t="s">
        <v>10</v>
      </c>
      <c r="F114">
        <v>560</v>
      </c>
      <c r="G114">
        <f t="shared" si="27"/>
        <v>74</v>
      </c>
      <c r="H114">
        <v>11800</v>
      </c>
      <c r="I114">
        <v>240</v>
      </c>
      <c r="J114">
        <v>109</v>
      </c>
      <c r="K114" s="3">
        <f t="shared" si="16"/>
        <v>118731600</v>
      </c>
      <c r="L114">
        <v>6400</v>
      </c>
    </row>
    <row r="115" spans="1:12">
      <c r="A115">
        <v>110</v>
      </c>
      <c r="B115">
        <v>28</v>
      </c>
      <c r="C115">
        <f>D114+1</f>
        <v>99841</v>
      </c>
      <c r="D115">
        <f>D114*2</f>
        <v>199680</v>
      </c>
      <c r="E115" t="s">
        <v>10</v>
      </c>
      <c r="F115">
        <v>565</v>
      </c>
      <c r="G115">
        <f t="shared" si="27"/>
        <v>74</v>
      </c>
      <c r="H115">
        <v>11900</v>
      </c>
      <c r="I115">
        <v>240</v>
      </c>
      <c r="J115">
        <v>110</v>
      </c>
      <c r="K115" s="3">
        <f t="shared" si="16"/>
        <v>121106200</v>
      </c>
      <c r="L115">
        <v>6450</v>
      </c>
    </row>
    <row r="116" spans="1:12">
      <c r="A116">
        <v>111</v>
      </c>
      <c r="B116">
        <v>28</v>
      </c>
      <c r="C116">
        <f t="shared" ref="C116:C117" si="30">D115+1</f>
        <v>199681</v>
      </c>
      <c r="D116">
        <f>D114*3</f>
        <v>299520</v>
      </c>
      <c r="E116" t="s">
        <v>10</v>
      </c>
      <c r="F116">
        <v>570</v>
      </c>
      <c r="G116">
        <f t="shared" si="27"/>
        <v>74</v>
      </c>
      <c r="H116">
        <v>12000</v>
      </c>
      <c r="I116">
        <v>240</v>
      </c>
      <c r="J116">
        <v>111</v>
      </c>
      <c r="K116" s="3">
        <f t="shared" si="16"/>
        <v>123528300</v>
      </c>
      <c r="L116">
        <v>6500</v>
      </c>
    </row>
    <row r="117" spans="1:12">
      <c r="A117">
        <v>112</v>
      </c>
      <c r="B117">
        <v>28</v>
      </c>
      <c r="C117">
        <f t="shared" si="30"/>
        <v>299521</v>
      </c>
      <c r="D117">
        <f>D114*4</f>
        <v>399360</v>
      </c>
      <c r="E117" t="s">
        <v>10</v>
      </c>
      <c r="F117">
        <v>575</v>
      </c>
      <c r="G117">
        <f t="shared" si="27"/>
        <v>74</v>
      </c>
      <c r="H117">
        <v>12100</v>
      </c>
      <c r="I117">
        <v>240</v>
      </c>
      <c r="J117">
        <v>112</v>
      </c>
      <c r="K117" s="3">
        <f t="shared" si="16"/>
        <v>125998900</v>
      </c>
      <c r="L117">
        <v>6550</v>
      </c>
    </row>
    <row r="118" spans="1:12">
      <c r="A118">
        <v>113</v>
      </c>
      <c r="B118">
        <v>29</v>
      </c>
      <c r="C118">
        <v>0</v>
      </c>
      <c r="D118">
        <f>(B118*B118+B118+20)*120</f>
        <v>106800</v>
      </c>
      <c r="E118" t="s">
        <v>10</v>
      </c>
      <c r="F118">
        <v>580</v>
      </c>
      <c r="G118">
        <f t="shared" si="27"/>
        <v>76</v>
      </c>
      <c r="H118">
        <v>12200</v>
      </c>
      <c r="I118">
        <v>240</v>
      </c>
      <c r="J118">
        <v>113</v>
      </c>
      <c r="K118" s="3">
        <f t="shared" si="16"/>
        <v>128518900</v>
      </c>
      <c r="L118">
        <v>6600</v>
      </c>
    </row>
    <row r="119" spans="1:12">
      <c r="A119">
        <v>114</v>
      </c>
      <c r="B119">
        <v>29</v>
      </c>
      <c r="C119">
        <f>D118+1</f>
        <v>106801</v>
      </c>
      <c r="D119">
        <f>D118*2</f>
        <v>213600</v>
      </c>
      <c r="E119" t="s">
        <v>10</v>
      </c>
      <c r="F119">
        <v>585</v>
      </c>
      <c r="G119">
        <f t="shared" si="27"/>
        <v>76</v>
      </c>
      <c r="H119">
        <v>12300</v>
      </c>
      <c r="I119">
        <v>240</v>
      </c>
      <c r="J119">
        <v>114</v>
      </c>
      <c r="K119" s="3">
        <f t="shared" si="16"/>
        <v>131089300</v>
      </c>
      <c r="L119">
        <v>6650</v>
      </c>
    </row>
    <row r="120" spans="1:12">
      <c r="A120">
        <v>115</v>
      </c>
      <c r="B120">
        <v>29</v>
      </c>
      <c r="C120">
        <f t="shared" ref="C120:C121" si="31">D119+1</f>
        <v>213601</v>
      </c>
      <c r="D120">
        <f>D118*3</f>
        <v>320400</v>
      </c>
      <c r="E120" t="s">
        <v>10</v>
      </c>
      <c r="F120">
        <v>590</v>
      </c>
      <c r="G120">
        <f t="shared" si="27"/>
        <v>76</v>
      </c>
      <c r="H120">
        <v>12400</v>
      </c>
      <c r="I120">
        <v>240</v>
      </c>
      <c r="J120">
        <v>115</v>
      </c>
      <c r="K120" s="3">
        <f t="shared" si="16"/>
        <v>133711100</v>
      </c>
      <c r="L120">
        <v>6700</v>
      </c>
    </row>
    <row r="121" spans="1:12">
      <c r="A121">
        <v>116</v>
      </c>
      <c r="B121">
        <v>29</v>
      </c>
      <c r="C121">
        <f t="shared" si="31"/>
        <v>320401</v>
      </c>
      <c r="D121">
        <f>D118*4</f>
        <v>427200</v>
      </c>
      <c r="E121" t="s">
        <v>10</v>
      </c>
      <c r="F121">
        <v>595</v>
      </c>
      <c r="G121">
        <f t="shared" si="27"/>
        <v>76</v>
      </c>
      <c r="H121">
        <v>12500</v>
      </c>
      <c r="I121">
        <v>240</v>
      </c>
      <c r="J121">
        <v>116</v>
      </c>
      <c r="K121" s="3">
        <f t="shared" si="16"/>
        <v>136385300</v>
      </c>
      <c r="L121">
        <v>6750</v>
      </c>
    </row>
    <row r="122" spans="1:12">
      <c r="A122">
        <v>117</v>
      </c>
      <c r="B122">
        <v>30</v>
      </c>
      <c r="C122">
        <v>0</v>
      </c>
      <c r="D122">
        <f>(B122*B122+B122+20)*120</f>
        <v>114000</v>
      </c>
      <c r="E122" t="s">
        <v>10</v>
      </c>
      <c r="F122">
        <v>600</v>
      </c>
      <c r="G122">
        <f t="shared" si="27"/>
        <v>78</v>
      </c>
      <c r="H122">
        <v>12600</v>
      </c>
      <c r="I122">
        <v>240</v>
      </c>
      <c r="J122">
        <v>117</v>
      </c>
      <c r="K122" s="3">
        <f t="shared" si="16"/>
        <v>139113000</v>
      </c>
      <c r="L122">
        <v>6800</v>
      </c>
    </row>
    <row r="123" spans="1:12">
      <c r="A123">
        <v>118</v>
      </c>
      <c r="B123">
        <v>30</v>
      </c>
      <c r="C123">
        <f>D122+1</f>
        <v>114001</v>
      </c>
      <c r="D123">
        <f>D122*2</f>
        <v>228000</v>
      </c>
      <c r="E123" t="s">
        <v>10</v>
      </c>
      <c r="F123">
        <v>605</v>
      </c>
      <c r="G123">
        <f t="shared" si="27"/>
        <v>78</v>
      </c>
      <c r="H123">
        <v>12700</v>
      </c>
      <c r="I123">
        <v>240</v>
      </c>
      <c r="J123">
        <v>118</v>
      </c>
      <c r="K123" s="3">
        <f t="shared" si="16"/>
        <v>141895300</v>
      </c>
      <c r="L123">
        <v>6850</v>
      </c>
    </row>
    <row r="124" spans="1:12">
      <c r="A124">
        <v>119</v>
      </c>
      <c r="B124">
        <v>30</v>
      </c>
      <c r="C124">
        <f t="shared" ref="C124:C125" si="32">D123+1</f>
        <v>228001</v>
      </c>
      <c r="D124">
        <f>D122*3</f>
        <v>342000</v>
      </c>
      <c r="E124" t="s">
        <v>10</v>
      </c>
      <c r="F124">
        <v>610</v>
      </c>
      <c r="G124">
        <f t="shared" si="27"/>
        <v>78</v>
      </c>
      <c r="H124">
        <v>12800</v>
      </c>
      <c r="I124">
        <v>240</v>
      </c>
      <c r="J124">
        <v>119</v>
      </c>
      <c r="K124" s="3">
        <f t="shared" si="16"/>
        <v>144733200</v>
      </c>
      <c r="L124">
        <v>6900</v>
      </c>
    </row>
    <row r="125" spans="1:12">
      <c r="A125">
        <v>120</v>
      </c>
      <c r="B125">
        <v>30</v>
      </c>
      <c r="C125">
        <f t="shared" si="32"/>
        <v>342001</v>
      </c>
      <c r="D125">
        <f>D122*4</f>
        <v>456000</v>
      </c>
      <c r="E125" t="s">
        <v>10</v>
      </c>
      <c r="F125">
        <v>615</v>
      </c>
      <c r="G125">
        <f t="shared" si="27"/>
        <v>78</v>
      </c>
      <c r="H125">
        <v>12900</v>
      </c>
      <c r="I125">
        <v>240</v>
      </c>
      <c r="J125">
        <v>120</v>
      </c>
      <c r="K125" s="3">
        <f t="shared" si="16"/>
        <v>147627900</v>
      </c>
      <c r="L125">
        <v>6950</v>
      </c>
    </row>
  </sheetData>
  <phoneticPr fontId="2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121"/>
  <sheetViews>
    <sheetView topLeftCell="A64" workbookViewId="0">
      <selection activeCell="A106" sqref="A106"/>
    </sheetView>
  </sheetViews>
  <sheetFormatPr defaultColWidth="9" defaultRowHeight="13.5"/>
  <cols>
    <col min="1" max="1" width="17.25" customWidth="1"/>
    <col min="2" max="2" width="11.375" bestFit="1" customWidth="1"/>
  </cols>
  <sheetData>
    <row r="1" spans="1:6" s="1" customFormat="1">
      <c r="A1" t="s">
        <v>25</v>
      </c>
      <c r="B1" t="s">
        <v>26</v>
      </c>
      <c r="C1" t="s">
        <v>27</v>
      </c>
      <c r="D1" t="s">
        <v>28</v>
      </c>
      <c r="E1" t="s">
        <v>8</v>
      </c>
      <c r="F1" t="s">
        <v>29</v>
      </c>
    </row>
    <row r="2" spans="1:6" s="1" customFormat="1">
      <c r="A2" s="1">
        <f>alliance.xml!A6</f>
        <v>1</v>
      </c>
      <c r="B2" s="1" t="str">
        <f>alliance.xml!E6</f>
        <v>魔兽</v>
      </c>
      <c r="C2" s="1">
        <f>alliance.xml!F6</f>
        <v>20</v>
      </c>
      <c r="D2" s="1">
        <f>alliance.xml!H6</f>
        <v>1000</v>
      </c>
      <c r="E2" s="1">
        <f>alliance.xml!J6</f>
        <v>1</v>
      </c>
      <c r="F2" s="1">
        <f>alliance.xml!K6</f>
        <v>160000</v>
      </c>
    </row>
    <row r="3" spans="1:6" s="1" customFormat="1">
      <c r="A3" s="1">
        <f>alliance.xml!A7</f>
        <v>2</v>
      </c>
      <c r="B3" s="1" t="str">
        <f>alliance.xml!E7</f>
        <v>魔兽</v>
      </c>
      <c r="C3" s="1">
        <f>alliance.xml!F7</f>
        <v>25</v>
      </c>
      <c r="D3" s="1">
        <f>alliance.xml!H7</f>
        <v>1100</v>
      </c>
      <c r="E3" s="1">
        <f>alliance.xml!J7</f>
        <v>2</v>
      </c>
      <c r="F3" s="1">
        <f>alliance.xml!K7</f>
        <v>191900</v>
      </c>
    </row>
    <row r="4" spans="1:6" s="1" customFormat="1">
      <c r="A4" s="1">
        <f>alliance.xml!A8</f>
        <v>3</v>
      </c>
      <c r="B4" s="1" t="str">
        <f>alliance.xml!E8</f>
        <v>魔兽</v>
      </c>
      <c r="C4" s="1">
        <f>alliance.xml!F8</f>
        <v>30</v>
      </c>
      <c r="D4" s="1">
        <f>alliance.xml!H8</f>
        <v>1200</v>
      </c>
      <c r="E4" s="1">
        <f>alliance.xml!J8</f>
        <v>3</v>
      </c>
      <c r="F4" s="1">
        <f>alliance.xml!K8</f>
        <v>230100</v>
      </c>
    </row>
    <row r="5" spans="1:6" s="1" customFormat="1">
      <c r="A5" s="1">
        <f>alliance.xml!A9</f>
        <v>4</v>
      </c>
      <c r="B5" s="1" t="str">
        <f>alliance.xml!E9</f>
        <v>魔兽</v>
      </c>
      <c r="C5" s="1">
        <f>alliance.xml!F9</f>
        <v>35</v>
      </c>
      <c r="D5" s="1">
        <f>alliance.xml!H9</f>
        <v>1300</v>
      </c>
      <c r="E5" s="1">
        <f>alliance.xml!J9</f>
        <v>4</v>
      </c>
      <c r="F5" s="1">
        <f>alliance.xml!K9</f>
        <v>275900</v>
      </c>
    </row>
    <row r="6" spans="1:6" s="1" customFormat="1">
      <c r="A6" s="1">
        <f>alliance.xml!A10</f>
        <v>5</v>
      </c>
      <c r="B6" s="1" t="str">
        <f>alliance.xml!E10</f>
        <v>魔兽</v>
      </c>
      <c r="C6" s="1">
        <f>alliance.xml!F10</f>
        <v>40</v>
      </c>
      <c r="D6" s="1">
        <f>alliance.xml!H10</f>
        <v>1400</v>
      </c>
      <c r="E6" s="1">
        <f>alliance.xml!J10</f>
        <v>5</v>
      </c>
      <c r="F6" s="1">
        <f>alliance.xml!K10</f>
        <v>376200</v>
      </c>
    </row>
    <row r="7" spans="1:6" s="1" customFormat="1">
      <c r="A7" s="1">
        <f>alliance.xml!A11</f>
        <v>6</v>
      </c>
      <c r="B7" s="1" t="str">
        <f>alliance.xml!E11</f>
        <v>魔兽</v>
      </c>
      <c r="C7" s="1">
        <f>alliance.xml!F11</f>
        <v>45</v>
      </c>
      <c r="D7" s="1">
        <f>alliance.xml!H11</f>
        <v>1500</v>
      </c>
      <c r="E7" s="1">
        <f>alliance.xml!J11</f>
        <v>6</v>
      </c>
      <c r="F7" s="1">
        <f>alliance.xml!K11</f>
        <v>513000</v>
      </c>
    </row>
    <row r="8" spans="1:6" s="1" customFormat="1">
      <c r="A8" s="1">
        <f>alliance.xml!A12</f>
        <v>7</v>
      </c>
      <c r="B8" s="1" t="str">
        <f>alliance.xml!E12</f>
        <v>魔兽</v>
      </c>
      <c r="C8" s="1">
        <f>alliance.xml!F12</f>
        <v>50</v>
      </c>
      <c r="D8" s="1">
        <f>alliance.xml!H12</f>
        <v>1600</v>
      </c>
      <c r="E8" s="1">
        <f>alliance.xml!J12</f>
        <v>7</v>
      </c>
      <c r="F8" s="1">
        <f>alliance.xml!K12</f>
        <v>699500</v>
      </c>
    </row>
    <row r="9" spans="1:6" s="1" customFormat="1">
      <c r="A9" s="1">
        <f>alliance.xml!A13</f>
        <v>8</v>
      </c>
      <c r="B9" s="1" t="str">
        <f>alliance.xml!E13</f>
        <v>魔兽</v>
      </c>
      <c r="C9" s="1">
        <f>alliance.xml!F13</f>
        <v>55</v>
      </c>
      <c r="D9" s="1">
        <f>alliance.xml!H13</f>
        <v>1700</v>
      </c>
      <c r="E9" s="1">
        <f>alliance.xml!J13</f>
        <v>8</v>
      </c>
      <c r="F9" s="1">
        <f>alliance.xml!K13</f>
        <v>953800</v>
      </c>
    </row>
    <row r="10" spans="1:6" s="1" customFormat="1">
      <c r="A10" s="1">
        <f>alliance.xml!A14</f>
        <v>9</v>
      </c>
      <c r="B10" s="1" t="str">
        <f>alliance.xml!E14</f>
        <v>魔兽</v>
      </c>
      <c r="C10" s="1">
        <f>alliance.xml!F14</f>
        <v>60</v>
      </c>
      <c r="D10" s="1">
        <f>alliance.xml!H14</f>
        <v>1800</v>
      </c>
      <c r="E10" s="1">
        <f>alliance.xml!J14</f>
        <v>9</v>
      </c>
      <c r="F10" s="1">
        <f>alliance.xml!K14</f>
        <v>1127600</v>
      </c>
    </row>
    <row r="11" spans="1:6" s="1" customFormat="1">
      <c r="A11" s="1">
        <f>alliance.xml!A15</f>
        <v>10</v>
      </c>
      <c r="B11" s="1" t="str">
        <f>alliance.xml!E15</f>
        <v>魔兽</v>
      </c>
      <c r="C11" s="1">
        <f>alliance.xml!F15</f>
        <v>65</v>
      </c>
      <c r="D11" s="1">
        <f>alliance.xml!H15</f>
        <v>1900</v>
      </c>
      <c r="E11" s="1">
        <f>alliance.xml!J15</f>
        <v>10</v>
      </c>
      <c r="F11" s="1">
        <f>alliance.xml!K15</f>
        <v>1333100</v>
      </c>
    </row>
    <row r="12" spans="1:6">
      <c r="A12" s="1">
        <f>alliance.xml!A16</f>
        <v>11</v>
      </c>
      <c r="B12" s="1" t="str">
        <f>alliance.xml!E16</f>
        <v>魔兽</v>
      </c>
      <c r="C12" s="1">
        <f>alliance.xml!F16</f>
        <v>70</v>
      </c>
      <c r="D12" s="1">
        <f>alliance.xml!H16</f>
        <v>2000</v>
      </c>
      <c r="E12" s="1">
        <f>alliance.xml!J16</f>
        <v>11</v>
      </c>
      <c r="F12" s="1">
        <f>alliance.xml!K16</f>
        <v>1576100</v>
      </c>
    </row>
    <row r="13" spans="1:6">
      <c r="A13" s="1">
        <f>alliance.xml!A17</f>
        <v>12</v>
      </c>
      <c r="B13" s="1" t="str">
        <f>alliance.xml!E17</f>
        <v>魔兽</v>
      </c>
      <c r="C13" s="1">
        <f>alliance.xml!F17</f>
        <v>75</v>
      </c>
      <c r="D13" s="1">
        <f>alliance.xml!H17</f>
        <v>2100</v>
      </c>
      <c r="E13" s="1">
        <f>alliance.xml!J17</f>
        <v>12</v>
      </c>
      <c r="F13" s="1">
        <f>alliance.xml!K17</f>
        <v>1863400</v>
      </c>
    </row>
    <row r="14" spans="1:6">
      <c r="A14" s="1">
        <f>alliance.xml!A18</f>
        <v>13</v>
      </c>
      <c r="B14" s="1" t="str">
        <f>alliance.xml!E18</f>
        <v>魔兽</v>
      </c>
      <c r="C14" s="1">
        <f>alliance.xml!F18</f>
        <v>80</v>
      </c>
      <c r="D14" s="1">
        <f>alliance.xml!H18</f>
        <v>2200</v>
      </c>
      <c r="E14" s="1">
        <f>alliance.xml!J18</f>
        <v>13</v>
      </c>
      <c r="F14" s="1">
        <f>alliance.xml!K18</f>
        <v>2092600</v>
      </c>
    </row>
    <row r="15" spans="1:6">
      <c r="A15" s="1">
        <f>alliance.xml!A19</f>
        <v>14</v>
      </c>
      <c r="B15" s="1" t="str">
        <f>alliance.xml!E19</f>
        <v>魔兽</v>
      </c>
      <c r="C15" s="1">
        <f>alliance.xml!F19</f>
        <v>85</v>
      </c>
      <c r="D15" s="1">
        <f>alliance.xml!H19</f>
        <v>2300</v>
      </c>
      <c r="E15" s="1">
        <f>alliance.xml!J19</f>
        <v>14</v>
      </c>
      <c r="F15" s="1">
        <f>alliance.xml!K19</f>
        <v>2350000</v>
      </c>
    </row>
    <row r="16" spans="1:6">
      <c r="A16" s="1">
        <f>alliance.xml!A20</f>
        <v>15</v>
      </c>
      <c r="B16" s="1" t="str">
        <f>alliance.xml!E20</f>
        <v>魔兽</v>
      </c>
      <c r="C16" s="1">
        <f>alliance.xml!F20</f>
        <v>90</v>
      </c>
      <c r="D16" s="1">
        <f>alliance.xml!H20</f>
        <v>2400</v>
      </c>
      <c r="E16" s="1">
        <f>alliance.xml!J20</f>
        <v>15</v>
      </c>
      <c r="F16" s="1">
        <f>alliance.xml!K20</f>
        <v>2639100</v>
      </c>
    </row>
    <row r="17" spans="1:6">
      <c r="A17" s="1">
        <f>alliance.xml!A21</f>
        <v>16</v>
      </c>
      <c r="B17" s="1" t="str">
        <f>alliance.xml!E21</f>
        <v>魔兽</v>
      </c>
      <c r="C17" s="1">
        <f>alliance.xml!F21</f>
        <v>95</v>
      </c>
      <c r="D17" s="1">
        <f>alliance.xml!H21</f>
        <v>2500</v>
      </c>
      <c r="E17" s="1">
        <f>alliance.xml!J21</f>
        <v>16</v>
      </c>
      <c r="F17" s="1">
        <f>alliance.xml!K21</f>
        <v>2963800</v>
      </c>
    </row>
    <row r="18" spans="1:6">
      <c r="A18" s="1">
        <f>alliance.xml!A22</f>
        <v>17</v>
      </c>
      <c r="B18" s="1" t="str">
        <f>alliance.xml!E22</f>
        <v>魔兽</v>
      </c>
      <c r="C18" s="1">
        <f>alliance.xml!F22</f>
        <v>100</v>
      </c>
      <c r="D18" s="1">
        <f>alliance.xml!H22</f>
        <v>2600</v>
      </c>
      <c r="E18" s="1">
        <f>alliance.xml!J22</f>
        <v>17</v>
      </c>
      <c r="F18" s="1">
        <f>alliance.xml!K22</f>
        <v>3330900</v>
      </c>
    </row>
    <row r="19" spans="1:6">
      <c r="A19" s="1">
        <f>alliance.xml!A23</f>
        <v>18</v>
      </c>
      <c r="B19" s="1" t="str">
        <f>alliance.xml!E23</f>
        <v>魔兽</v>
      </c>
      <c r="C19" s="1">
        <f>alliance.xml!F23</f>
        <v>105</v>
      </c>
      <c r="D19" s="1">
        <f>alliance.xml!H23</f>
        <v>2700</v>
      </c>
      <c r="E19" s="1">
        <f>alliance.xml!J23</f>
        <v>18</v>
      </c>
      <c r="F19" s="1">
        <f>alliance.xml!K23</f>
        <v>3743500</v>
      </c>
    </row>
    <row r="20" spans="1:6">
      <c r="A20" s="1">
        <f>alliance.xml!A24</f>
        <v>19</v>
      </c>
      <c r="B20" s="1" t="str">
        <f>alliance.xml!E24</f>
        <v>魔兽</v>
      </c>
      <c r="C20" s="1">
        <f>alliance.xml!F24</f>
        <v>110</v>
      </c>
      <c r="D20" s="1">
        <f>alliance.xml!H24</f>
        <v>2800</v>
      </c>
      <c r="E20" s="1">
        <f>alliance.xml!J24</f>
        <v>19</v>
      </c>
      <c r="F20" s="1">
        <f>alliance.xml!K24</f>
        <v>4207200</v>
      </c>
    </row>
    <row r="21" spans="1:6">
      <c r="A21" s="1">
        <f>alliance.xml!A25</f>
        <v>20</v>
      </c>
      <c r="B21" s="1" t="str">
        <f>alliance.xml!E25</f>
        <v>魔兽</v>
      </c>
      <c r="C21" s="1">
        <f>alliance.xml!F25</f>
        <v>115</v>
      </c>
      <c r="D21" s="1">
        <f>alliance.xml!H25</f>
        <v>2900</v>
      </c>
      <c r="E21" s="1">
        <f>alliance.xml!J25</f>
        <v>20</v>
      </c>
      <c r="F21" s="1">
        <f>alliance.xml!K25</f>
        <v>4728200</v>
      </c>
    </row>
    <row r="22" spans="1:6">
      <c r="A22" s="1">
        <f>alliance.xml!A26</f>
        <v>21</v>
      </c>
      <c r="B22" s="1" t="str">
        <f>alliance.xml!E26</f>
        <v>魔兽</v>
      </c>
      <c r="C22" s="1">
        <f>alliance.xml!F26</f>
        <v>120</v>
      </c>
      <c r="D22" s="1">
        <f>alliance.xml!H26</f>
        <v>3000</v>
      </c>
      <c r="E22" s="1">
        <f>alliance.xml!J26</f>
        <v>21</v>
      </c>
      <c r="F22" s="1">
        <f>alliance.xml!K26</f>
        <v>5419900</v>
      </c>
    </row>
    <row r="23" spans="1:6">
      <c r="A23" s="1">
        <f>alliance.xml!A27</f>
        <v>22</v>
      </c>
      <c r="B23" s="1" t="str">
        <f>alliance.xml!E27</f>
        <v>魔兽</v>
      </c>
      <c r="C23" s="1">
        <f>alliance.xml!F27</f>
        <v>125</v>
      </c>
      <c r="D23" s="1">
        <f>alliance.xml!H27</f>
        <v>3100</v>
      </c>
      <c r="E23" s="1">
        <f>alliance.xml!J27</f>
        <v>22</v>
      </c>
      <c r="F23" s="1">
        <f>alliance.xml!K27</f>
        <v>6212800</v>
      </c>
    </row>
    <row r="24" spans="1:6">
      <c r="A24" s="1">
        <f>alliance.xml!A28</f>
        <v>23</v>
      </c>
      <c r="B24" s="1" t="str">
        <f>alliance.xml!E28</f>
        <v>魔兽</v>
      </c>
      <c r="C24" s="1">
        <f>alliance.xml!F28</f>
        <v>130</v>
      </c>
      <c r="D24" s="1">
        <f>alliance.xml!H28</f>
        <v>3200</v>
      </c>
      <c r="E24" s="1">
        <f>alliance.xml!J28</f>
        <v>23</v>
      </c>
      <c r="F24" s="1">
        <f>alliance.xml!K28</f>
        <v>7121700</v>
      </c>
    </row>
    <row r="25" spans="1:6">
      <c r="A25" s="1">
        <f>alliance.xml!A29</f>
        <v>24</v>
      </c>
      <c r="B25" s="1" t="str">
        <f>alliance.xml!E29</f>
        <v>魔兽</v>
      </c>
      <c r="C25" s="1">
        <f>alliance.xml!F29</f>
        <v>135</v>
      </c>
      <c r="D25" s="1">
        <f>alliance.xml!H29</f>
        <v>3300</v>
      </c>
      <c r="E25" s="1">
        <f>alliance.xml!J29</f>
        <v>24</v>
      </c>
      <c r="F25" s="1">
        <f>alliance.xml!K29</f>
        <v>8163400</v>
      </c>
    </row>
    <row r="26" spans="1:6">
      <c r="A26" s="1">
        <f>alliance.xml!A30</f>
        <v>25</v>
      </c>
      <c r="B26" s="1" t="str">
        <f>alliance.xml!E30</f>
        <v>魔兽</v>
      </c>
      <c r="C26" s="1">
        <f>alliance.xml!F30</f>
        <v>140</v>
      </c>
      <c r="D26" s="1">
        <f>alliance.xml!H30</f>
        <v>3400</v>
      </c>
      <c r="E26" s="1">
        <f>alliance.xml!J30</f>
        <v>25</v>
      </c>
      <c r="F26" s="1">
        <f>alliance.xml!K30</f>
        <v>9074800</v>
      </c>
    </row>
    <row r="27" spans="1:6">
      <c r="A27" s="1">
        <f>alliance.xml!A31</f>
        <v>26</v>
      </c>
      <c r="B27" s="1" t="str">
        <f>alliance.xml!E31</f>
        <v>魔兽</v>
      </c>
      <c r="C27" s="1">
        <f>alliance.xml!F31</f>
        <v>145</v>
      </c>
      <c r="D27" s="1">
        <f>alliance.xml!H31</f>
        <v>3500</v>
      </c>
      <c r="E27" s="1">
        <f>alliance.xml!J31</f>
        <v>26</v>
      </c>
      <c r="F27" s="1">
        <f>alliance.xml!K31</f>
        <v>10087900</v>
      </c>
    </row>
    <row r="28" spans="1:6">
      <c r="A28" s="1">
        <f>alliance.xml!A32</f>
        <v>27</v>
      </c>
      <c r="B28" s="1" t="str">
        <f>alliance.xml!E32</f>
        <v>魔兽</v>
      </c>
      <c r="C28" s="1">
        <f>alliance.xml!F32</f>
        <v>150</v>
      </c>
      <c r="D28" s="1">
        <f>alliance.xml!H32</f>
        <v>3600</v>
      </c>
      <c r="E28" s="1">
        <f>alliance.xml!J32</f>
        <v>27</v>
      </c>
      <c r="F28" s="1">
        <f>alliance.xml!K32</f>
        <v>11214100</v>
      </c>
    </row>
    <row r="29" spans="1:6">
      <c r="A29" s="1">
        <f>alliance.xml!A33</f>
        <v>28</v>
      </c>
      <c r="B29" s="1" t="str">
        <f>alliance.xml!E33</f>
        <v>魔兽</v>
      </c>
      <c r="C29" s="1">
        <f>alliance.xml!F33</f>
        <v>155</v>
      </c>
      <c r="D29" s="1">
        <f>alliance.xml!H33</f>
        <v>3700</v>
      </c>
      <c r="E29" s="1">
        <f>alliance.xml!J33</f>
        <v>28</v>
      </c>
      <c r="F29" s="1">
        <f>alliance.xml!K33</f>
        <v>12466000</v>
      </c>
    </row>
    <row r="30" spans="1:6">
      <c r="A30" s="1">
        <f>alliance.xml!A34</f>
        <v>29</v>
      </c>
      <c r="B30" s="1" t="str">
        <f>alliance.xml!E34</f>
        <v>魔兽</v>
      </c>
      <c r="C30" s="1">
        <f>alliance.xml!F34</f>
        <v>160</v>
      </c>
      <c r="D30" s="1">
        <f>alliance.xml!H34</f>
        <v>3800</v>
      </c>
      <c r="E30" s="1">
        <f>alliance.xml!J34</f>
        <v>29</v>
      </c>
      <c r="F30" s="1">
        <f>alliance.xml!K34</f>
        <v>13271200</v>
      </c>
    </row>
    <row r="31" spans="1:6">
      <c r="A31" s="1">
        <f>alliance.xml!A35</f>
        <v>30</v>
      </c>
      <c r="B31" s="1" t="str">
        <f>alliance.xml!E35</f>
        <v>魔兽</v>
      </c>
      <c r="C31" s="1">
        <f>alliance.xml!F35</f>
        <v>165</v>
      </c>
      <c r="D31" s="1">
        <f>alliance.xml!H35</f>
        <v>3900</v>
      </c>
      <c r="E31" s="1">
        <f>alliance.xml!J35</f>
        <v>30</v>
      </c>
      <c r="F31" s="1">
        <f>alliance.xml!K35</f>
        <v>14128400</v>
      </c>
    </row>
    <row r="32" spans="1:6">
      <c r="A32" s="1">
        <f>alliance.xml!A36</f>
        <v>31</v>
      </c>
      <c r="B32" s="1" t="str">
        <f>alliance.xml!E36</f>
        <v>魔兽</v>
      </c>
      <c r="C32" s="1">
        <f>alliance.xml!F36</f>
        <v>170</v>
      </c>
      <c r="D32" s="1">
        <f>alliance.xml!H36</f>
        <v>4000</v>
      </c>
      <c r="E32" s="1">
        <f>alliance.xml!J36</f>
        <v>31</v>
      </c>
      <c r="F32" s="1">
        <f>alliance.xml!K36</f>
        <v>15041000</v>
      </c>
    </row>
    <row r="33" spans="1:6">
      <c r="A33" s="1">
        <f>alliance.xml!A37</f>
        <v>32</v>
      </c>
      <c r="B33" s="1" t="str">
        <f>alliance.xml!E37</f>
        <v>魔兽</v>
      </c>
      <c r="C33" s="1">
        <f>alliance.xml!F37</f>
        <v>175</v>
      </c>
      <c r="D33" s="1">
        <f>alliance.xml!H37</f>
        <v>4100</v>
      </c>
      <c r="E33" s="1">
        <f>alliance.xml!J37</f>
        <v>32</v>
      </c>
      <c r="F33" s="1">
        <f>alliance.xml!K37</f>
        <v>16012500</v>
      </c>
    </row>
    <row r="34" spans="1:6">
      <c r="A34" s="1">
        <f>alliance.xml!A38</f>
        <v>33</v>
      </c>
      <c r="B34" s="1" t="str">
        <f>alliance.xml!E38</f>
        <v>魔兽</v>
      </c>
      <c r="C34" s="1">
        <f>alliance.xml!F38</f>
        <v>180</v>
      </c>
      <c r="D34" s="1">
        <f>alliance.xml!H38</f>
        <v>4200</v>
      </c>
      <c r="E34" s="1">
        <f>alliance.xml!J38</f>
        <v>33</v>
      </c>
      <c r="F34" s="1">
        <f>alliance.xml!K38</f>
        <v>16774500</v>
      </c>
    </row>
    <row r="35" spans="1:6">
      <c r="A35" s="1">
        <f>alliance.xml!A39</f>
        <v>34</v>
      </c>
      <c r="B35" s="1" t="str">
        <f>alliance.xml!E39</f>
        <v>魔兽</v>
      </c>
      <c r="C35" s="1">
        <f>alliance.xml!F39</f>
        <v>185</v>
      </c>
      <c r="D35" s="1">
        <f>alliance.xml!H39</f>
        <v>4300</v>
      </c>
      <c r="E35" s="1">
        <f>alliance.xml!J39</f>
        <v>34</v>
      </c>
      <c r="F35" s="1">
        <f>alliance.xml!K39</f>
        <v>17572800</v>
      </c>
    </row>
    <row r="36" spans="1:6">
      <c r="A36" s="1">
        <f>alliance.xml!A40</f>
        <v>35</v>
      </c>
      <c r="B36" s="1" t="str">
        <f>alliance.xml!E40</f>
        <v>魔兽</v>
      </c>
      <c r="C36" s="1">
        <f>alliance.xml!F40</f>
        <v>190</v>
      </c>
      <c r="D36" s="1">
        <f>alliance.xml!H40</f>
        <v>4400</v>
      </c>
      <c r="E36" s="1">
        <f>alliance.xml!J40</f>
        <v>35</v>
      </c>
      <c r="F36" s="1">
        <f>alliance.xml!K40</f>
        <v>18409100</v>
      </c>
    </row>
    <row r="37" spans="1:6">
      <c r="A37" s="1">
        <f>alliance.xml!A41</f>
        <v>36</v>
      </c>
      <c r="B37" s="1" t="str">
        <f>alliance.xml!E41</f>
        <v>魔兽</v>
      </c>
      <c r="C37" s="1">
        <f>alliance.xml!F41</f>
        <v>195</v>
      </c>
      <c r="D37" s="1">
        <f>alliance.xml!H41</f>
        <v>4500</v>
      </c>
      <c r="E37" s="1">
        <f>alliance.xml!J41</f>
        <v>36</v>
      </c>
      <c r="F37" s="1">
        <f>alliance.xml!K41</f>
        <v>19285200</v>
      </c>
    </row>
    <row r="38" spans="1:6">
      <c r="A38" s="1">
        <f>alliance.xml!A42</f>
        <v>37</v>
      </c>
      <c r="B38" s="1" t="str">
        <f>alliance.xml!E42</f>
        <v>魔兽</v>
      </c>
      <c r="C38" s="1">
        <f>alliance.xml!F42</f>
        <v>200</v>
      </c>
      <c r="D38" s="1">
        <f>alliance.xml!H42</f>
        <v>4600</v>
      </c>
      <c r="E38" s="1">
        <f>alliance.xml!J42</f>
        <v>37</v>
      </c>
      <c r="F38" s="1">
        <f>alliance.xml!K42</f>
        <v>20157000</v>
      </c>
    </row>
    <row r="39" spans="1:6">
      <c r="A39" s="1">
        <f>alliance.xml!A43</f>
        <v>38</v>
      </c>
      <c r="B39" s="1" t="str">
        <f>alliance.xml!E43</f>
        <v>魔兽</v>
      </c>
      <c r="C39" s="1">
        <f>alliance.xml!F43</f>
        <v>205</v>
      </c>
      <c r="D39" s="1">
        <f>alliance.xml!H43</f>
        <v>4700</v>
      </c>
      <c r="E39" s="1">
        <f>alliance.xml!J43</f>
        <v>38</v>
      </c>
      <c r="F39" s="1">
        <f>alliance.xml!K43</f>
        <v>21068200</v>
      </c>
    </row>
    <row r="40" spans="1:6">
      <c r="A40" s="1">
        <f>alliance.xml!A44</f>
        <v>39</v>
      </c>
      <c r="B40" s="1" t="str">
        <f>alliance.xml!E44</f>
        <v>魔兽</v>
      </c>
      <c r="C40" s="1">
        <f>alliance.xml!F44</f>
        <v>210</v>
      </c>
      <c r="D40" s="1">
        <f>alliance.xml!H44</f>
        <v>4800</v>
      </c>
      <c r="E40" s="1">
        <f>alliance.xml!J44</f>
        <v>39</v>
      </c>
      <c r="F40" s="1">
        <f>alliance.xml!K44</f>
        <v>22020600</v>
      </c>
    </row>
    <row r="41" spans="1:6">
      <c r="A41" s="1">
        <f>alliance.xml!A45</f>
        <v>40</v>
      </c>
      <c r="B41" s="1" t="str">
        <f>alliance.xml!E45</f>
        <v>魔兽</v>
      </c>
      <c r="C41" s="1">
        <f>alliance.xml!F45</f>
        <v>215</v>
      </c>
      <c r="D41" s="1">
        <f>alliance.xml!H45</f>
        <v>4900</v>
      </c>
      <c r="E41" s="1">
        <f>alliance.xml!J45</f>
        <v>40</v>
      </c>
      <c r="F41" s="1">
        <f>alliance.xml!K45</f>
        <v>23015900</v>
      </c>
    </row>
    <row r="42" spans="1:6">
      <c r="A42" s="1">
        <f>alliance.xml!A46</f>
        <v>41</v>
      </c>
      <c r="B42" s="1" t="str">
        <f>alliance.xml!E46</f>
        <v>魔兽</v>
      </c>
      <c r="C42" s="1">
        <f>alliance.xml!F46</f>
        <v>220</v>
      </c>
      <c r="D42" s="1">
        <f>alliance.xml!H46</f>
        <v>5000</v>
      </c>
      <c r="E42" s="1">
        <f>alliance.xml!J46</f>
        <v>41</v>
      </c>
      <c r="F42" s="1">
        <f>alliance.xml!K46</f>
        <v>23784000</v>
      </c>
    </row>
    <row r="43" spans="1:6">
      <c r="A43" s="1">
        <f>alliance.xml!A47</f>
        <v>42</v>
      </c>
      <c r="B43" s="1" t="str">
        <f>alliance.xml!E47</f>
        <v>魔兽</v>
      </c>
      <c r="C43" s="1">
        <f>alliance.xml!F47</f>
        <v>225</v>
      </c>
      <c r="D43" s="1">
        <f>alliance.xml!H47</f>
        <v>5100</v>
      </c>
      <c r="E43" s="1">
        <f>alliance.xml!J47</f>
        <v>42</v>
      </c>
      <c r="F43" s="1">
        <f>alliance.xml!K47</f>
        <v>24577800</v>
      </c>
    </row>
    <row r="44" spans="1:6">
      <c r="A44" s="1">
        <f>alliance.xml!A48</f>
        <v>43</v>
      </c>
      <c r="B44" s="1" t="str">
        <f>alliance.xml!E48</f>
        <v>魔兽</v>
      </c>
      <c r="C44" s="1">
        <f>alliance.xml!F48</f>
        <v>230</v>
      </c>
      <c r="D44" s="1">
        <f>alliance.xml!H48</f>
        <v>5200</v>
      </c>
      <c r="E44" s="1">
        <f>alliance.xml!J48</f>
        <v>43</v>
      </c>
      <c r="F44" s="1">
        <f>alliance.xml!K48</f>
        <v>25398100</v>
      </c>
    </row>
    <row r="45" spans="1:6">
      <c r="A45" s="1">
        <f>alliance.xml!A49</f>
        <v>44</v>
      </c>
      <c r="B45" s="1" t="str">
        <f>alliance.xml!E49</f>
        <v>魔兽</v>
      </c>
      <c r="C45" s="1">
        <f>alliance.xml!F49</f>
        <v>235</v>
      </c>
      <c r="D45" s="1">
        <f>alliance.xml!H49</f>
        <v>5300</v>
      </c>
      <c r="E45" s="1">
        <f>alliance.xml!J49</f>
        <v>44</v>
      </c>
      <c r="F45" s="1">
        <f>alliance.xml!K49</f>
        <v>26245700</v>
      </c>
    </row>
    <row r="46" spans="1:6">
      <c r="A46" s="1">
        <f>alliance.xml!A50</f>
        <v>45</v>
      </c>
      <c r="B46" s="1" t="str">
        <f>alliance.xml!E50</f>
        <v>魔兽</v>
      </c>
      <c r="C46" s="1">
        <f>alliance.xml!F50</f>
        <v>240</v>
      </c>
      <c r="D46" s="1">
        <f>alliance.xml!H50</f>
        <v>5400</v>
      </c>
      <c r="E46" s="1">
        <f>alliance.xml!J50</f>
        <v>45</v>
      </c>
      <c r="F46" s="1">
        <f>alliance.xml!K50</f>
        <v>27401200</v>
      </c>
    </row>
    <row r="47" spans="1:6">
      <c r="A47" s="1">
        <f>alliance.xml!A51</f>
        <v>46</v>
      </c>
      <c r="B47" s="1" t="str">
        <f>alliance.xml!E51</f>
        <v>魔兽</v>
      </c>
      <c r="C47" s="1">
        <f>alliance.xml!F51</f>
        <v>245</v>
      </c>
      <c r="D47" s="1">
        <f>alliance.xml!H51</f>
        <v>5500</v>
      </c>
      <c r="E47" s="1">
        <f>alliance.xml!J51</f>
        <v>46</v>
      </c>
      <c r="F47" s="1">
        <f>alliance.xml!K51</f>
        <v>28607600</v>
      </c>
    </row>
    <row r="48" spans="1:6">
      <c r="A48" s="1">
        <f>alliance.xml!A52</f>
        <v>47</v>
      </c>
      <c r="B48" s="1" t="str">
        <f>alliance.xml!E52</f>
        <v>魔兽</v>
      </c>
      <c r="C48" s="1">
        <f>alliance.xml!F52</f>
        <v>250</v>
      </c>
      <c r="D48" s="1">
        <f>alliance.xml!H52</f>
        <v>5600</v>
      </c>
      <c r="E48" s="1">
        <f>alliance.xml!J52</f>
        <v>47</v>
      </c>
      <c r="F48" s="1">
        <f>alliance.xml!K52</f>
        <v>29867100</v>
      </c>
    </row>
    <row r="49" spans="1:6">
      <c r="A49" s="1">
        <f>alliance.xml!A53</f>
        <v>48</v>
      </c>
      <c r="B49" s="1" t="str">
        <f>alliance.xml!E53</f>
        <v>魔兽</v>
      </c>
      <c r="C49" s="1">
        <f>alliance.xml!F53</f>
        <v>255</v>
      </c>
      <c r="D49" s="1">
        <f>alliance.xml!H53</f>
        <v>5700</v>
      </c>
      <c r="E49" s="1">
        <f>alliance.xml!J53</f>
        <v>48</v>
      </c>
      <c r="F49" s="1">
        <f>alliance.xml!K53</f>
        <v>31182200</v>
      </c>
    </row>
    <row r="50" spans="1:6">
      <c r="A50" s="1">
        <f>alliance.xml!A54</f>
        <v>49</v>
      </c>
      <c r="B50" s="1" t="str">
        <f>alliance.xml!E54</f>
        <v>魔兽</v>
      </c>
      <c r="C50" s="1">
        <f>alliance.xml!F54</f>
        <v>260</v>
      </c>
      <c r="D50" s="1">
        <f>alliance.xml!H54</f>
        <v>5800</v>
      </c>
      <c r="E50" s="1">
        <f>alliance.xml!J54</f>
        <v>49</v>
      </c>
      <c r="F50" s="1">
        <f>alliance.xml!K54</f>
        <v>32172700</v>
      </c>
    </row>
    <row r="51" spans="1:6">
      <c r="A51" s="1">
        <f>alliance.xml!A55</f>
        <v>50</v>
      </c>
      <c r="B51" s="1" t="str">
        <f>alliance.xml!E55</f>
        <v>魔兽</v>
      </c>
      <c r="C51" s="1">
        <f>alliance.xml!F55</f>
        <v>265</v>
      </c>
      <c r="D51" s="1">
        <f>alliance.xml!H55</f>
        <v>5900</v>
      </c>
      <c r="E51" s="1">
        <f>alliance.xml!J55</f>
        <v>50</v>
      </c>
      <c r="F51" s="1">
        <f>alliance.xml!K55</f>
        <v>33194700</v>
      </c>
    </row>
    <row r="52" spans="1:6">
      <c r="A52" s="1">
        <f>alliance.xml!A56</f>
        <v>51</v>
      </c>
      <c r="B52" s="1" t="str">
        <f>alliance.xml!E56</f>
        <v>魔兽</v>
      </c>
      <c r="C52" s="1">
        <f>alliance.xml!F56</f>
        <v>270</v>
      </c>
      <c r="D52" s="1">
        <f>alliance.xml!H56</f>
        <v>6000</v>
      </c>
      <c r="E52" s="1">
        <f>alliance.xml!J56</f>
        <v>51</v>
      </c>
      <c r="F52" s="1">
        <f>alliance.xml!K56</f>
        <v>34249100</v>
      </c>
    </row>
    <row r="53" spans="1:6">
      <c r="A53" s="1">
        <f>alliance.xml!A57</f>
        <v>52</v>
      </c>
      <c r="B53" s="1" t="str">
        <f>alliance.xml!E57</f>
        <v>魔兽</v>
      </c>
      <c r="C53" s="1">
        <f>alliance.xml!F57</f>
        <v>275</v>
      </c>
      <c r="D53" s="1">
        <f>alliance.xml!H57</f>
        <v>6100</v>
      </c>
      <c r="E53" s="1">
        <f>alliance.xml!J57</f>
        <v>52</v>
      </c>
      <c r="F53" s="1">
        <f>alliance.xml!K57</f>
        <v>35337000</v>
      </c>
    </row>
    <row r="54" spans="1:6">
      <c r="A54" s="1">
        <f>alliance.xml!A58</f>
        <v>53</v>
      </c>
      <c r="B54" s="1" t="str">
        <f>alliance.xml!E58</f>
        <v>魔兽</v>
      </c>
      <c r="C54" s="1">
        <f>alliance.xml!F58</f>
        <v>280</v>
      </c>
      <c r="D54" s="1">
        <f>alliance.xml!H58</f>
        <v>6200</v>
      </c>
      <c r="E54" s="1">
        <f>alliance.xml!J58</f>
        <v>53</v>
      </c>
      <c r="F54" s="1">
        <f>alliance.xml!K58</f>
        <v>36428300</v>
      </c>
    </row>
    <row r="55" spans="1:6">
      <c r="A55" s="1">
        <f>alliance.xml!A59</f>
        <v>54</v>
      </c>
      <c r="B55" s="1" t="str">
        <f>alliance.xml!E59</f>
        <v>魔兽</v>
      </c>
      <c r="C55" s="1">
        <f>alliance.xml!F59</f>
        <v>285</v>
      </c>
      <c r="D55" s="1">
        <f>alliance.xml!H59</f>
        <v>6300</v>
      </c>
      <c r="E55" s="1">
        <f>alliance.xml!J59</f>
        <v>54</v>
      </c>
      <c r="F55" s="1">
        <f>alliance.xml!K59</f>
        <v>37553300</v>
      </c>
    </row>
    <row r="56" spans="1:6">
      <c r="A56" s="1">
        <f>alliance.xml!A60</f>
        <v>55</v>
      </c>
      <c r="B56" s="1" t="str">
        <f>alliance.xml!E60</f>
        <v>魔兽</v>
      </c>
      <c r="C56" s="1">
        <f>alliance.xml!F60</f>
        <v>290</v>
      </c>
      <c r="D56" s="1">
        <f>alliance.xml!H60</f>
        <v>6400</v>
      </c>
      <c r="E56" s="1">
        <f>alliance.xml!J60</f>
        <v>55</v>
      </c>
      <c r="F56" s="1">
        <f>alliance.xml!K60</f>
        <v>38713000</v>
      </c>
    </row>
    <row r="57" spans="1:6">
      <c r="A57" s="1">
        <f>alliance.xml!A61</f>
        <v>56</v>
      </c>
      <c r="B57" s="1" t="str">
        <f>alliance.xml!E61</f>
        <v>魔兽</v>
      </c>
      <c r="C57" s="1">
        <f>alliance.xml!F61</f>
        <v>295</v>
      </c>
      <c r="D57" s="1">
        <f>alliance.xml!H61</f>
        <v>6500</v>
      </c>
      <c r="E57" s="1">
        <f>alliance.xml!J61</f>
        <v>56</v>
      </c>
      <c r="F57" s="1">
        <f>alliance.xml!K61</f>
        <v>39908500</v>
      </c>
    </row>
    <row r="58" spans="1:6">
      <c r="A58" s="1">
        <f>alliance.xml!A62</f>
        <v>57</v>
      </c>
      <c r="B58" s="1" t="str">
        <f>alliance.xml!E62</f>
        <v>魔兽</v>
      </c>
      <c r="C58" s="1">
        <f>alliance.xml!F62</f>
        <v>300</v>
      </c>
      <c r="D58" s="1">
        <f>alliance.xml!H62</f>
        <v>6600</v>
      </c>
      <c r="E58" s="1">
        <f>alliance.xml!J62</f>
        <v>57</v>
      </c>
      <c r="F58" s="1">
        <f>alliance.xml!K62</f>
        <v>41123300</v>
      </c>
    </row>
    <row r="59" spans="1:6">
      <c r="A59" s="1">
        <f>alliance.xml!A63</f>
        <v>58</v>
      </c>
      <c r="B59" s="1" t="str">
        <f>alliance.xml!E63</f>
        <v>魔兽</v>
      </c>
      <c r="C59" s="1">
        <f>alliance.xml!F63</f>
        <v>305</v>
      </c>
      <c r="D59" s="1">
        <f>alliance.xml!H63</f>
        <v>6700</v>
      </c>
      <c r="E59" s="1">
        <f>alliance.xml!J63</f>
        <v>58</v>
      </c>
      <c r="F59" s="1">
        <f>alliance.xml!K63</f>
        <v>42375100</v>
      </c>
    </row>
    <row r="60" spans="1:6">
      <c r="A60" s="1">
        <f>alliance.xml!A64</f>
        <v>59</v>
      </c>
      <c r="B60" s="1" t="str">
        <f>alliance.xml!E64</f>
        <v>魔兽</v>
      </c>
      <c r="C60" s="1">
        <f>alliance.xml!F64</f>
        <v>310</v>
      </c>
      <c r="D60" s="1">
        <f>alliance.xml!H64</f>
        <v>6800</v>
      </c>
      <c r="E60" s="1">
        <f>alliance.xml!J64</f>
        <v>59</v>
      </c>
      <c r="F60" s="1">
        <f>alliance.xml!K64</f>
        <v>43665000</v>
      </c>
    </row>
    <row r="61" spans="1:6">
      <c r="A61" s="1">
        <f>alliance.xml!A65</f>
        <v>60</v>
      </c>
      <c r="B61" s="1" t="str">
        <f>alliance.xml!E65</f>
        <v>魔兽</v>
      </c>
      <c r="C61" s="1">
        <f>alliance.xml!F65</f>
        <v>315</v>
      </c>
      <c r="D61" s="1">
        <f>alliance.xml!H65</f>
        <v>6900</v>
      </c>
      <c r="E61" s="1">
        <f>alliance.xml!J65</f>
        <v>60</v>
      </c>
      <c r="F61" s="1">
        <f>alliance.xml!K65</f>
        <v>44994100</v>
      </c>
    </row>
    <row r="62" spans="1:6">
      <c r="A62" s="1">
        <f>alliance.xml!A66</f>
        <v>61</v>
      </c>
      <c r="B62" s="1" t="str">
        <f>alliance.xml!E66</f>
        <v>魔兽</v>
      </c>
      <c r="C62" s="1">
        <f>alliance.xml!F66</f>
        <v>320</v>
      </c>
      <c r="D62" s="1">
        <f>alliance.xml!H66</f>
        <v>7000</v>
      </c>
      <c r="E62" s="1">
        <f>alliance.xml!J66</f>
        <v>61</v>
      </c>
      <c r="F62" s="1">
        <f>alliance.xml!K66</f>
        <v>45894000</v>
      </c>
    </row>
    <row r="63" spans="1:6">
      <c r="A63" s="1">
        <f>alliance.xml!A67</f>
        <v>62</v>
      </c>
      <c r="B63" s="1" t="str">
        <f>alliance.xml!E67</f>
        <v>魔兽</v>
      </c>
      <c r="C63" s="1">
        <f>alliance.xml!F67</f>
        <v>325</v>
      </c>
      <c r="D63" s="1">
        <f>alliance.xml!H67</f>
        <v>7100</v>
      </c>
      <c r="E63" s="1">
        <f>alliance.xml!J67</f>
        <v>62</v>
      </c>
      <c r="F63" s="1">
        <f>alliance.xml!K67</f>
        <v>46811900</v>
      </c>
    </row>
    <row r="64" spans="1:6">
      <c r="A64" s="1">
        <f>alliance.xml!A68</f>
        <v>63</v>
      </c>
      <c r="B64" s="1" t="str">
        <f>alliance.xml!E68</f>
        <v>魔兽</v>
      </c>
      <c r="C64" s="1">
        <f>alliance.xml!F68</f>
        <v>330</v>
      </c>
      <c r="D64" s="1">
        <f>alliance.xml!H68</f>
        <v>7200</v>
      </c>
      <c r="E64" s="1">
        <f>alliance.xml!J68</f>
        <v>63</v>
      </c>
      <c r="F64" s="1">
        <f>alliance.xml!K68</f>
        <v>47748100</v>
      </c>
    </row>
    <row r="65" spans="1:6">
      <c r="A65" s="1">
        <f>alliance.xml!A69</f>
        <v>64</v>
      </c>
      <c r="B65" s="1" t="str">
        <f>alliance.xml!E69</f>
        <v>魔兽</v>
      </c>
      <c r="C65" s="1">
        <f>alliance.xml!F69</f>
        <v>335</v>
      </c>
      <c r="D65" s="1">
        <f>alliance.xml!H69</f>
        <v>7300</v>
      </c>
      <c r="E65" s="1">
        <f>alliance.xml!J69</f>
        <v>64</v>
      </c>
      <c r="F65" s="1">
        <f>alliance.xml!K69</f>
        <v>48703100</v>
      </c>
    </row>
    <row r="66" spans="1:6">
      <c r="A66" s="1">
        <f>alliance.xml!A70</f>
        <v>65</v>
      </c>
      <c r="B66" s="1" t="str">
        <f>alliance.xml!E70</f>
        <v>魔兽</v>
      </c>
      <c r="C66" s="1">
        <f>alliance.xml!F70</f>
        <v>340</v>
      </c>
      <c r="D66" s="1">
        <f>alliance.xml!H70</f>
        <v>7400</v>
      </c>
      <c r="E66" s="1">
        <f>alliance.xml!J70</f>
        <v>65</v>
      </c>
      <c r="F66" s="1">
        <f>alliance.xml!K70</f>
        <v>49677200</v>
      </c>
    </row>
    <row r="67" spans="1:6">
      <c r="A67" s="1">
        <f>alliance.xml!A71</f>
        <v>66</v>
      </c>
      <c r="B67" s="1" t="str">
        <f>alliance.xml!E71</f>
        <v>魔兽</v>
      </c>
      <c r="C67" s="1">
        <f>alliance.xml!F71</f>
        <v>345</v>
      </c>
      <c r="D67" s="1">
        <f>alliance.xml!H71</f>
        <v>7500</v>
      </c>
      <c r="E67" s="1">
        <f>alliance.xml!J71</f>
        <v>66</v>
      </c>
      <c r="F67" s="1">
        <f>alliance.xml!K71</f>
        <v>50670700</v>
      </c>
    </row>
    <row r="68" spans="1:6">
      <c r="A68" s="1">
        <f>alliance.xml!A72</f>
        <v>67</v>
      </c>
      <c r="B68" s="1" t="str">
        <f>alliance.xml!E72</f>
        <v>魔兽</v>
      </c>
      <c r="C68" s="1">
        <f>alliance.xml!F72</f>
        <v>350</v>
      </c>
      <c r="D68" s="1">
        <f>alliance.xml!H72</f>
        <v>7600</v>
      </c>
      <c r="E68" s="1">
        <f>alliance.xml!J72</f>
        <v>67</v>
      </c>
      <c r="F68" s="1">
        <f>alliance.xml!K72</f>
        <v>51684100</v>
      </c>
    </row>
    <row r="69" spans="1:6">
      <c r="A69" s="1">
        <f>alliance.xml!A73</f>
        <v>68</v>
      </c>
      <c r="B69" s="1" t="str">
        <f>alliance.xml!E73</f>
        <v>魔兽</v>
      </c>
      <c r="C69" s="1">
        <f>alliance.xml!F73</f>
        <v>355</v>
      </c>
      <c r="D69" s="1">
        <f>alliance.xml!H73</f>
        <v>7700</v>
      </c>
      <c r="E69" s="1">
        <f>alliance.xml!J73</f>
        <v>68</v>
      </c>
      <c r="F69" s="1">
        <f>alliance.xml!K73</f>
        <v>52717800</v>
      </c>
    </row>
    <row r="70" spans="1:6">
      <c r="A70" s="1">
        <f>alliance.xml!A74</f>
        <v>69</v>
      </c>
      <c r="B70" s="1" t="str">
        <f>alliance.xml!E74</f>
        <v>魔兽</v>
      </c>
      <c r="C70" s="1">
        <f>alliance.xml!F74</f>
        <v>360</v>
      </c>
      <c r="D70" s="1">
        <f>alliance.xml!H74</f>
        <v>7800</v>
      </c>
      <c r="E70" s="1">
        <f>alliance.xml!J74</f>
        <v>69</v>
      </c>
      <c r="F70" s="1">
        <f>alliance.xml!K74</f>
        <v>53772200</v>
      </c>
    </row>
    <row r="71" spans="1:6">
      <c r="A71" s="1">
        <f>alliance.xml!A75</f>
        <v>70</v>
      </c>
      <c r="B71" s="1" t="str">
        <f>alliance.xml!E75</f>
        <v>魔兽</v>
      </c>
      <c r="C71" s="1">
        <f>alliance.xml!F75</f>
        <v>365</v>
      </c>
      <c r="D71" s="1">
        <f>alliance.xml!H75</f>
        <v>7900</v>
      </c>
      <c r="E71" s="1">
        <f>alliance.xml!J75</f>
        <v>70</v>
      </c>
      <c r="F71" s="1">
        <f>alliance.xml!K75</f>
        <v>54847600</v>
      </c>
    </row>
    <row r="72" spans="1:6">
      <c r="A72" s="1">
        <f>alliance.xml!A76</f>
        <v>71</v>
      </c>
      <c r="B72" s="1" t="str">
        <f>alliance.xml!E76</f>
        <v>魔兽</v>
      </c>
      <c r="C72" s="1">
        <f>alliance.xml!F76</f>
        <v>370</v>
      </c>
      <c r="D72" s="1">
        <f>alliance.xml!H76</f>
        <v>8000</v>
      </c>
      <c r="E72" s="1">
        <f>alliance.xml!J76</f>
        <v>71</v>
      </c>
      <c r="F72" s="1">
        <f>alliance.xml!K76</f>
        <v>55944600</v>
      </c>
    </row>
    <row r="73" spans="1:6">
      <c r="A73" s="1">
        <f>alliance.xml!A77</f>
        <v>72</v>
      </c>
      <c r="B73" s="1" t="str">
        <f>alliance.xml!E77</f>
        <v>魔兽</v>
      </c>
      <c r="C73" s="1">
        <f>alliance.xml!F77</f>
        <v>375</v>
      </c>
      <c r="D73" s="1">
        <f>alliance.xml!H77</f>
        <v>8100</v>
      </c>
      <c r="E73" s="1">
        <f>alliance.xml!J77</f>
        <v>72</v>
      </c>
      <c r="F73" s="1">
        <f>alliance.xml!K77</f>
        <v>57063500</v>
      </c>
    </row>
    <row r="74" spans="1:6">
      <c r="A74" s="1">
        <f>alliance.xml!A78</f>
        <v>73</v>
      </c>
      <c r="B74" s="1" t="str">
        <f>alliance.xml!E78</f>
        <v>魔兽</v>
      </c>
      <c r="C74" s="1">
        <f>alliance.xml!F78</f>
        <v>380</v>
      </c>
      <c r="D74" s="1">
        <f>alliance.xml!H78</f>
        <v>8200</v>
      </c>
      <c r="E74" s="1">
        <f>alliance.xml!J78</f>
        <v>73</v>
      </c>
      <c r="F74" s="1">
        <f>alliance.xml!K78</f>
        <v>58204800</v>
      </c>
    </row>
    <row r="75" spans="1:6">
      <c r="A75" s="1">
        <f>alliance.xml!A79</f>
        <v>74</v>
      </c>
      <c r="B75" s="1" t="str">
        <f>alliance.xml!E79</f>
        <v>魔兽</v>
      </c>
      <c r="C75" s="1">
        <f>alliance.xml!F79</f>
        <v>385</v>
      </c>
      <c r="D75" s="1">
        <f>alliance.xml!H79</f>
        <v>8300</v>
      </c>
      <c r="E75" s="1">
        <f>alliance.xml!J79</f>
        <v>74</v>
      </c>
      <c r="F75" s="1">
        <f>alliance.xml!K79</f>
        <v>59368900</v>
      </c>
    </row>
    <row r="76" spans="1:6">
      <c r="A76" s="1">
        <f>alliance.xml!A80</f>
        <v>75</v>
      </c>
      <c r="B76" s="1" t="str">
        <f>alliance.xml!E80</f>
        <v>魔兽</v>
      </c>
      <c r="C76" s="1">
        <f>alliance.xml!F80</f>
        <v>390</v>
      </c>
      <c r="D76" s="1">
        <f>alliance.xml!H80</f>
        <v>8400</v>
      </c>
      <c r="E76" s="1">
        <f>alliance.xml!J80</f>
        <v>75</v>
      </c>
      <c r="F76" s="1">
        <f>alliance.xml!K80</f>
        <v>60556300</v>
      </c>
    </row>
    <row r="77" spans="1:6">
      <c r="A77" s="1">
        <f>alliance.xml!A81</f>
        <v>76</v>
      </c>
      <c r="B77" s="1" t="str">
        <f>alliance.xml!E81</f>
        <v>魔兽</v>
      </c>
      <c r="C77" s="1">
        <f>alliance.xml!F81</f>
        <v>395</v>
      </c>
      <c r="D77" s="1">
        <f>alliance.xml!H81</f>
        <v>8500</v>
      </c>
      <c r="E77" s="1">
        <f>alliance.xml!J81</f>
        <v>76</v>
      </c>
      <c r="F77" s="1">
        <f>alliance.xml!K81</f>
        <v>61767400</v>
      </c>
    </row>
    <row r="78" spans="1:6">
      <c r="A78" s="1">
        <f>alliance.xml!A82</f>
        <v>77</v>
      </c>
      <c r="B78" s="1" t="str">
        <f>alliance.xml!E82</f>
        <v>魔兽</v>
      </c>
      <c r="C78" s="1">
        <f>alliance.xml!F82</f>
        <v>400</v>
      </c>
      <c r="D78" s="1">
        <f>alliance.xml!H82</f>
        <v>8600</v>
      </c>
      <c r="E78" s="1">
        <f>alliance.xml!J82</f>
        <v>77</v>
      </c>
      <c r="F78" s="1">
        <f>alliance.xml!K82</f>
        <v>63002700</v>
      </c>
    </row>
    <row r="79" spans="1:6">
      <c r="A79" s="1">
        <f>alliance.xml!A83</f>
        <v>78</v>
      </c>
      <c r="B79" s="1" t="str">
        <f>alliance.xml!E83</f>
        <v>魔兽</v>
      </c>
      <c r="C79" s="1">
        <f>alliance.xml!F83</f>
        <v>405</v>
      </c>
      <c r="D79" s="1">
        <f>alliance.xml!H83</f>
        <v>8700</v>
      </c>
      <c r="E79" s="1">
        <f>alliance.xml!J83</f>
        <v>78</v>
      </c>
      <c r="F79" s="1">
        <f>alliance.xml!K83</f>
        <v>64262800</v>
      </c>
    </row>
    <row r="80" spans="1:6">
      <c r="A80" s="1">
        <f>alliance.xml!A84</f>
        <v>79</v>
      </c>
      <c r="B80" s="1" t="str">
        <f>alliance.xml!E84</f>
        <v>魔兽</v>
      </c>
      <c r="C80" s="1">
        <f>alliance.xml!F84</f>
        <v>410</v>
      </c>
      <c r="D80" s="1">
        <f>alliance.xml!H84</f>
        <v>8800</v>
      </c>
      <c r="E80" s="1">
        <f>alliance.xml!J84</f>
        <v>79</v>
      </c>
      <c r="F80" s="1">
        <f>alliance.xml!K84</f>
        <v>65548100</v>
      </c>
    </row>
    <row r="81" spans="1:6">
      <c r="A81" s="1">
        <f>alliance.xml!A85</f>
        <v>80</v>
      </c>
      <c r="B81" s="1" t="str">
        <f>alliance.xml!E85</f>
        <v>魔兽</v>
      </c>
      <c r="C81" s="1">
        <f>alliance.xml!F85</f>
        <v>415</v>
      </c>
      <c r="D81" s="1">
        <f>alliance.xml!H85</f>
        <v>8900</v>
      </c>
      <c r="E81" s="1">
        <f>alliance.xml!J85</f>
        <v>80</v>
      </c>
      <c r="F81" s="1">
        <f>alliance.xml!K85</f>
        <v>66859100</v>
      </c>
    </row>
    <row r="82" spans="1:6">
      <c r="A82" s="1">
        <f>alliance.xml!A86</f>
        <v>81</v>
      </c>
      <c r="B82" s="1" t="str">
        <f>alliance.xml!E86</f>
        <v>魔兽</v>
      </c>
      <c r="C82" s="1">
        <f>alliance.xml!F86</f>
        <v>420</v>
      </c>
      <c r="D82" s="1">
        <f>alliance.xml!H86</f>
        <v>9000</v>
      </c>
      <c r="E82" s="1">
        <f>alliance.xml!J86</f>
        <v>81</v>
      </c>
      <c r="F82" s="1">
        <f>alliance.xml!K86</f>
        <v>68196300</v>
      </c>
    </row>
    <row r="83" spans="1:6">
      <c r="A83" s="1">
        <f>alliance.xml!A87</f>
        <v>82</v>
      </c>
      <c r="B83" s="1" t="str">
        <f>alliance.xml!E87</f>
        <v>魔兽</v>
      </c>
      <c r="C83" s="1">
        <f>alliance.xml!F87</f>
        <v>425</v>
      </c>
      <c r="D83" s="1">
        <f>alliance.xml!H87</f>
        <v>9100</v>
      </c>
      <c r="E83" s="1">
        <f>alliance.xml!J87</f>
        <v>82</v>
      </c>
      <c r="F83" s="1">
        <f>alliance.xml!K87</f>
        <v>69560200</v>
      </c>
    </row>
    <row r="84" spans="1:6">
      <c r="A84" s="1">
        <f>alliance.xml!A88</f>
        <v>83</v>
      </c>
      <c r="B84" s="1" t="str">
        <f>alliance.xml!E88</f>
        <v>魔兽</v>
      </c>
      <c r="C84" s="1">
        <f>alliance.xml!F88</f>
        <v>430</v>
      </c>
      <c r="D84" s="1">
        <f>alliance.xml!H88</f>
        <v>9200</v>
      </c>
      <c r="E84" s="1">
        <f>alliance.xml!J88</f>
        <v>83</v>
      </c>
      <c r="F84" s="1">
        <f>alliance.xml!K88</f>
        <v>70951400</v>
      </c>
    </row>
    <row r="85" spans="1:6">
      <c r="A85" s="1">
        <f>alliance.xml!A89</f>
        <v>84</v>
      </c>
      <c r="B85" s="1" t="str">
        <f>alliance.xml!E89</f>
        <v>魔兽</v>
      </c>
      <c r="C85" s="1">
        <f>alliance.xml!F89</f>
        <v>435</v>
      </c>
      <c r="D85" s="1">
        <f>alliance.xml!H89</f>
        <v>9300</v>
      </c>
      <c r="E85" s="1">
        <f>alliance.xml!J89</f>
        <v>84</v>
      </c>
      <c r="F85" s="1">
        <f>alliance.xml!K89</f>
        <v>72370400</v>
      </c>
    </row>
    <row r="86" spans="1:6">
      <c r="A86" s="1">
        <f>alliance.xml!A90</f>
        <v>85</v>
      </c>
      <c r="B86" s="1" t="str">
        <f>alliance.xml!E90</f>
        <v>魔兽</v>
      </c>
      <c r="C86" s="1">
        <f>alliance.xml!F90</f>
        <v>440</v>
      </c>
      <c r="D86" s="1">
        <f>alliance.xml!H90</f>
        <v>9400</v>
      </c>
      <c r="E86" s="1">
        <f>alliance.xml!J90</f>
        <v>85</v>
      </c>
      <c r="F86" s="1">
        <f>alliance.xml!K90</f>
        <v>73817800</v>
      </c>
    </row>
    <row r="87" spans="1:6">
      <c r="A87" s="1">
        <f>alliance.xml!A91</f>
        <v>86</v>
      </c>
      <c r="B87" s="1" t="str">
        <f>alliance.xml!E91</f>
        <v>魔兽</v>
      </c>
      <c r="C87" s="1">
        <f>alliance.xml!F91</f>
        <v>445</v>
      </c>
      <c r="D87" s="1">
        <f>alliance.xml!H91</f>
        <v>9500</v>
      </c>
      <c r="E87" s="1">
        <f>alliance.xml!J91</f>
        <v>86</v>
      </c>
      <c r="F87" s="1">
        <f>alliance.xml!K91</f>
        <v>75294200</v>
      </c>
    </row>
    <row r="88" spans="1:6">
      <c r="A88" s="1">
        <f>alliance.xml!A92</f>
        <v>87</v>
      </c>
      <c r="B88" s="1" t="str">
        <f>alliance.xml!E92</f>
        <v>魔兽</v>
      </c>
      <c r="C88" s="1">
        <f>alliance.xml!F92</f>
        <v>450</v>
      </c>
      <c r="D88" s="1">
        <f>alliance.xml!H92</f>
        <v>9600</v>
      </c>
      <c r="E88" s="1">
        <f>alliance.xml!J92</f>
        <v>87</v>
      </c>
      <c r="F88" s="1">
        <f>alliance.xml!K92</f>
        <v>76800100</v>
      </c>
    </row>
    <row r="89" spans="1:6">
      <c r="A89" s="1">
        <f>alliance.xml!A93</f>
        <v>88</v>
      </c>
      <c r="B89" s="1" t="str">
        <f>alliance.xml!E93</f>
        <v>魔兽</v>
      </c>
      <c r="C89" s="1">
        <f>alliance.xml!F93</f>
        <v>455</v>
      </c>
      <c r="D89" s="1">
        <f>alliance.xml!H93</f>
        <v>9700</v>
      </c>
      <c r="E89" s="1">
        <f>alliance.xml!J93</f>
        <v>88</v>
      </c>
      <c r="F89" s="1">
        <f>alliance.xml!K93</f>
        <v>78336100</v>
      </c>
    </row>
    <row r="90" spans="1:6">
      <c r="A90" s="1">
        <f>alliance.xml!A94</f>
        <v>89</v>
      </c>
      <c r="B90" s="1" t="str">
        <f>alliance.xml!E94</f>
        <v>魔兽</v>
      </c>
      <c r="C90" s="1">
        <f>alliance.xml!F94</f>
        <v>460</v>
      </c>
      <c r="D90" s="1">
        <f>alliance.xml!H94</f>
        <v>9800</v>
      </c>
      <c r="E90" s="1">
        <f>alliance.xml!J94</f>
        <v>89</v>
      </c>
      <c r="F90" s="1">
        <f>alliance.xml!K94</f>
        <v>79902800</v>
      </c>
    </row>
    <row r="91" spans="1:6">
      <c r="A91" s="1">
        <f>alliance.xml!A95</f>
        <v>90</v>
      </c>
      <c r="B91" s="1" t="str">
        <f>alliance.xml!E95</f>
        <v>魔兽</v>
      </c>
      <c r="C91" s="1">
        <f>alliance.xml!F95</f>
        <v>465</v>
      </c>
      <c r="D91" s="1">
        <f>alliance.xml!H95</f>
        <v>9900</v>
      </c>
      <c r="E91" s="1">
        <f>alliance.xml!J95</f>
        <v>90</v>
      </c>
      <c r="F91" s="1">
        <f>alliance.xml!K95</f>
        <v>81500900</v>
      </c>
    </row>
    <row r="92" spans="1:6">
      <c r="A92" s="1">
        <f>alliance.xml!A96</f>
        <v>91</v>
      </c>
      <c r="B92" s="1" t="str">
        <f>alliance.xml!E96</f>
        <v>魔兽</v>
      </c>
      <c r="C92" s="1">
        <f>alliance.xml!F96</f>
        <v>470</v>
      </c>
      <c r="D92" s="1">
        <f>alliance.xml!H96</f>
        <v>10000</v>
      </c>
      <c r="E92" s="1">
        <f>alliance.xml!J96</f>
        <v>91</v>
      </c>
      <c r="F92" s="1">
        <f>alliance.xml!K96</f>
        <v>83130900</v>
      </c>
    </row>
    <row r="93" spans="1:6">
      <c r="A93" s="1">
        <f>alliance.xml!A97</f>
        <v>92</v>
      </c>
      <c r="B93" s="1" t="str">
        <f>alliance.xml!E97</f>
        <v>魔兽</v>
      </c>
      <c r="C93" s="1">
        <f>alliance.xml!F97</f>
        <v>475</v>
      </c>
      <c r="D93" s="1">
        <f>alliance.xml!H97</f>
        <v>10100</v>
      </c>
      <c r="E93" s="1">
        <f>alliance.xml!J97</f>
        <v>92</v>
      </c>
      <c r="F93" s="1">
        <f>alliance.xml!K97</f>
        <v>84793500</v>
      </c>
    </row>
    <row r="94" spans="1:6">
      <c r="A94" s="1">
        <f>alliance.xml!A98</f>
        <v>93</v>
      </c>
      <c r="B94" s="1" t="str">
        <f>alliance.xml!E98</f>
        <v>魔兽</v>
      </c>
      <c r="C94" s="1">
        <f>alliance.xml!F98</f>
        <v>480</v>
      </c>
      <c r="D94" s="1">
        <f>alliance.xml!H98</f>
        <v>10200</v>
      </c>
      <c r="E94" s="1">
        <f>alliance.xml!J98</f>
        <v>93</v>
      </c>
      <c r="F94" s="1">
        <f>alliance.xml!K98</f>
        <v>86489400</v>
      </c>
    </row>
    <row r="95" spans="1:6">
      <c r="A95" s="1">
        <f>alliance.xml!A99</f>
        <v>94</v>
      </c>
      <c r="B95" s="1" t="str">
        <f>alliance.xml!E99</f>
        <v>魔兽</v>
      </c>
      <c r="C95" s="1">
        <f>alliance.xml!F99</f>
        <v>485</v>
      </c>
      <c r="D95" s="1">
        <f>alliance.xml!H99</f>
        <v>10300</v>
      </c>
      <c r="E95" s="1">
        <f>alliance.xml!J99</f>
        <v>94</v>
      </c>
      <c r="F95" s="1">
        <f>alliance.xml!K99</f>
        <v>88219200</v>
      </c>
    </row>
    <row r="96" spans="1:6">
      <c r="A96" s="1">
        <f>alliance.xml!A100</f>
        <v>95</v>
      </c>
      <c r="B96" s="1" t="str">
        <f>alliance.xml!E100</f>
        <v>魔兽</v>
      </c>
      <c r="C96" s="1">
        <f>alliance.xml!F100</f>
        <v>490</v>
      </c>
      <c r="D96" s="1">
        <f>alliance.xml!H100</f>
        <v>10400</v>
      </c>
      <c r="E96" s="1">
        <f>alliance.xml!J100</f>
        <v>95</v>
      </c>
      <c r="F96" s="1">
        <f>alliance.xml!K100</f>
        <v>89983600</v>
      </c>
    </row>
    <row r="97" spans="1:6">
      <c r="A97" s="1">
        <f>alliance.xml!A101</f>
        <v>96</v>
      </c>
      <c r="B97" s="1" t="str">
        <f>alliance.xml!E101</f>
        <v>魔兽</v>
      </c>
      <c r="C97" s="1">
        <f>alliance.xml!F101</f>
        <v>495</v>
      </c>
      <c r="D97" s="1">
        <f>alliance.xml!H101</f>
        <v>10500</v>
      </c>
      <c r="E97" s="1">
        <f>alliance.xml!J101</f>
        <v>96</v>
      </c>
      <c r="F97" s="1">
        <f>alliance.xml!K101</f>
        <v>91783300</v>
      </c>
    </row>
    <row r="98" spans="1:6">
      <c r="A98" s="1">
        <f>alliance.xml!A102</f>
        <v>97</v>
      </c>
      <c r="B98" s="1" t="str">
        <f>alliance.xml!E102</f>
        <v>魔兽</v>
      </c>
      <c r="C98" s="1">
        <f>alliance.xml!F102</f>
        <v>500</v>
      </c>
      <c r="D98" s="1">
        <f>alliance.xml!H102</f>
        <v>10600</v>
      </c>
      <c r="E98" s="1">
        <f>alliance.xml!J102</f>
        <v>97</v>
      </c>
      <c r="F98" s="1">
        <f>alliance.xml!K102</f>
        <v>93619000</v>
      </c>
    </row>
    <row r="99" spans="1:6">
      <c r="A99" s="1">
        <f>alliance.xml!A103</f>
        <v>98</v>
      </c>
      <c r="B99" s="1" t="str">
        <f>alliance.xml!E103</f>
        <v>魔兽</v>
      </c>
      <c r="C99" s="1">
        <f>alliance.xml!F103</f>
        <v>505</v>
      </c>
      <c r="D99" s="1">
        <f>alliance.xml!H103</f>
        <v>10700</v>
      </c>
      <c r="E99" s="1">
        <f>alliance.xml!J103</f>
        <v>98</v>
      </c>
      <c r="F99" s="1">
        <f>alliance.xml!K103</f>
        <v>95491400</v>
      </c>
    </row>
    <row r="100" spans="1:6">
      <c r="A100" s="1">
        <f>alliance.xml!A104</f>
        <v>99</v>
      </c>
      <c r="B100" s="1" t="str">
        <f>alliance.xml!E104</f>
        <v>魔兽</v>
      </c>
      <c r="C100" s="1">
        <f>alliance.xml!F104</f>
        <v>510</v>
      </c>
      <c r="D100" s="1">
        <f>alliance.xml!H104</f>
        <v>10800</v>
      </c>
      <c r="E100" s="1">
        <f>alliance.xml!J104</f>
        <v>99</v>
      </c>
      <c r="F100" s="1">
        <f>alliance.xml!K104</f>
        <v>97401200</v>
      </c>
    </row>
    <row r="101" spans="1:6">
      <c r="A101" s="1">
        <f>alliance.xml!A105</f>
        <v>100</v>
      </c>
      <c r="B101" s="1" t="str">
        <f>alliance.xml!E105</f>
        <v>魔兽</v>
      </c>
      <c r="C101" s="1">
        <f>alliance.xml!F105</f>
        <v>515</v>
      </c>
      <c r="D101" s="1">
        <f>alliance.xml!H105</f>
        <v>10900</v>
      </c>
      <c r="E101" s="1">
        <f>alliance.xml!J105</f>
        <v>100</v>
      </c>
      <c r="F101" s="1">
        <f>alliance.xml!K105</f>
        <v>99349200</v>
      </c>
    </row>
    <row r="102" spans="1:6">
      <c r="A102" s="1">
        <f>alliance.xml!A106</f>
        <v>101</v>
      </c>
      <c r="B102" s="1" t="str">
        <f>alliance.xml!E106</f>
        <v>魔兽</v>
      </c>
      <c r="C102" s="1">
        <f>alliance.xml!F106</f>
        <v>520</v>
      </c>
      <c r="D102" s="1">
        <f>alliance.xml!H106</f>
        <v>11000</v>
      </c>
      <c r="E102" s="1">
        <f>alliance.xml!J106</f>
        <v>101</v>
      </c>
      <c r="F102" s="1">
        <f>alliance.xml!K106</f>
        <v>101336200</v>
      </c>
    </row>
    <row r="103" spans="1:6">
      <c r="A103" s="1">
        <f>alliance.xml!A107</f>
        <v>102</v>
      </c>
      <c r="B103" s="1" t="str">
        <f>alliance.xml!E107</f>
        <v>魔兽</v>
      </c>
      <c r="C103" s="1">
        <f>alliance.xml!F107</f>
        <v>525</v>
      </c>
      <c r="D103" s="1">
        <f>alliance.xml!H107</f>
        <v>11100</v>
      </c>
      <c r="E103" s="1">
        <f>alliance.xml!J107</f>
        <v>102</v>
      </c>
      <c r="F103" s="1">
        <f>alliance.xml!K107</f>
        <v>103362900</v>
      </c>
    </row>
    <row r="104" spans="1:6">
      <c r="A104" s="1">
        <f>alliance.xml!A108</f>
        <v>103</v>
      </c>
      <c r="B104" s="1" t="str">
        <f>alliance.xml!E108</f>
        <v>魔兽</v>
      </c>
      <c r="C104" s="1">
        <f>alliance.xml!F108</f>
        <v>530</v>
      </c>
      <c r="D104" s="1">
        <f>alliance.xml!H108</f>
        <v>11200</v>
      </c>
      <c r="E104" s="1">
        <f>alliance.xml!J108</f>
        <v>103</v>
      </c>
      <c r="F104" s="1">
        <f>alliance.xml!K108</f>
        <v>105430200</v>
      </c>
    </row>
    <row r="105" spans="1:6">
      <c r="A105" s="1">
        <f>alliance.xml!A109</f>
        <v>104</v>
      </c>
      <c r="B105" s="1" t="str">
        <f>alliance.xml!E109</f>
        <v>魔兽</v>
      </c>
      <c r="C105" s="1">
        <f>alliance.xml!F109</f>
        <v>535</v>
      </c>
      <c r="D105" s="1">
        <f>alliance.xml!H109</f>
        <v>11300</v>
      </c>
      <c r="E105" s="1">
        <f>alliance.xml!J109</f>
        <v>104</v>
      </c>
      <c r="F105" s="1">
        <f>alliance.xml!K109</f>
        <v>107538800</v>
      </c>
    </row>
    <row r="106" spans="1:6">
      <c r="A106" s="1">
        <f>alliance.xml!A110</f>
        <v>105</v>
      </c>
      <c r="B106" s="1" t="str">
        <f>alliance.xml!E110</f>
        <v>魔兽</v>
      </c>
      <c r="C106" s="1">
        <f>alliance.xml!F110</f>
        <v>540</v>
      </c>
      <c r="D106" s="1">
        <f>alliance.xml!H110</f>
        <v>11400</v>
      </c>
      <c r="E106" s="1">
        <f>alliance.xml!J110</f>
        <v>105</v>
      </c>
      <c r="F106" s="1">
        <f>alliance.xml!K110</f>
        <v>109689600</v>
      </c>
    </row>
    <row r="107" spans="1:6">
      <c r="A107" s="1">
        <f>alliance.xml!A111</f>
        <v>106</v>
      </c>
      <c r="B107" s="1" t="str">
        <f>alliance.xml!E111</f>
        <v>魔兽</v>
      </c>
      <c r="C107" s="1">
        <f>alliance.xml!F111</f>
        <v>545</v>
      </c>
      <c r="D107" s="1">
        <f>alliance.xml!H111</f>
        <v>11500</v>
      </c>
      <c r="E107" s="1">
        <f>alliance.xml!J111</f>
        <v>106</v>
      </c>
      <c r="F107" s="1">
        <f>alliance.xml!K111</f>
        <v>111883400</v>
      </c>
    </row>
    <row r="108" spans="1:6">
      <c r="A108" s="1">
        <f>alliance.xml!A112</f>
        <v>107</v>
      </c>
      <c r="B108" s="1" t="str">
        <f>alliance.xml!E112</f>
        <v>魔兽</v>
      </c>
      <c r="C108" s="1">
        <f>alliance.xml!F112</f>
        <v>550</v>
      </c>
      <c r="D108" s="1">
        <f>alliance.xml!H112</f>
        <v>11600</v>
      </c>
      <c r="E108" s="1">
        <f>alliance.xml!J112</f>
        <v>107</v>
      </c>
      <c r="F108" s="1">
        <f>alliance.xml!K112</f>
        <v>114121100</v>
      </c>
    </row>
    <row r="109" spans="1:6">
      <c r="A109" s="1">
        <f>alliance.xml!A113</f>
        <v>108</v>
      </c>
      <c r="B109" s="1" t="str">
        <f>alliance.xml!E113</f>
        <v>魔兽</v>
      </c>
      <c r="C109" s="1">
        <f>alliance.xml!F113</f>
        <v>555</v>
      </c>
      <c r="D109" s="1">
        <f>alliance.xml!H113</f>
        <v>11700</v>
      </c>
      <c r="E109" s="1">
        <f>alliance.xml!J113</f>
        <v>108</v>
      </c>
      <c r="F109" s="1">
        <f>alliance.xml!K113</f>
        <v>116403500</v>
      </c>
    </row>
    <row r="110" spans="1:6">
      <c r="A110" s="1">
        <f>alliance.xml!A114</f>
        <v>109</v>
      </c>
      <c r="B110" s="1" t="str">
        <f>alliance.xml!E114</f>
        <v>魔兽</v>
      </c>
      <c r="C110" s="1">
        <f>alliance.xml!F114</f>
        <v>560</v>
      </c>
      <c r="D110" s="1">
        <f>alliance.xml!H114</f>
        <v>11800</v>
      </c>
      <c r="E110" s="1">
        <f>alliance.xml!J114</f>
        <v>109</v>
      </c>
      <c r="F110" s="1">
        <f>alliance.xml!K114</f>
        <v>118731600</v>
      </c>
    </row>
    <row r="111" spans="1:6">
      <c r="A111" s="1">
        <f>alliance.xml!A115</f>
        <v>110</v>
      </c>
      <c r="B111" s="1" t="str">
        <f>alliance.xml!E115</f>
        <v>魔兽</v>
      </c>
      <c r="C111" s="1">
        <f>alliance.xml!F115</f>
        <v>565</v>
      </c>
      <c r="D111" s="1">
        <f>alliance.xml!H115</f>
        <v>11900</v>
      </c>
      <c r="E111" s="1">
        <f>alliance.xml!J115</f>
        <v>110</v>
      </c>
      <c r="F111" s="1">
        <f>alliance.xml!K115</f>
        <v>121106200</v>
      </c>
    </row>
    <row r="112" spans="1:6">
      <c r="A112" s="1">
        <f>alliance.xml!A116</f>
        <v>111</v>
      </c>
      <c r="B112" s="1" t="str">
        <f>alliance.xml!E116</f>
        <v>魔兽</v>
      </c>
      <c r="C112" s="1">
        <f>alliance.xml!F116</f>
        <v>570</v>
      </c>
      <c r="D112" s="1">
        <f>alliance.xml!H116</f>
        <v>12000</v>
      </c>
      <c r="E112" s="1">
        <f>alliance.xml!J116</f>
        <v>111</v>
      </c>
      <c r="F112" s="1">
        <f>alliance.xml!K116</f>
        <v>123528300</v>
      </c>
    </row>
    <row r="113" spans="1:6">
      <c r="A113" s="1">
        <f>alliance.xml!A117</f>
        <v>112</v>
      </c>
      <c r="B113" s="1" t="str">
        <f>alliance.xml!E117</f>
        <v>魔兽</v>
      </c>
      <c r="C113" s="1">
        <f>alliance.xml!F117</f>
        <v>575</v>
      </c>
      <c r="D113" s="1">
        <f>alliance.xml!H117</f>
        <v>12100</v>
      </c>
      <c r="E113" s="1">
        <f>alliance.xml!J117</f>
        <v>112</v>
      </c>
      <c r="F113" s="1">
        <f>alliance.xml!K117</f>
        <v>125998900</v>
      </c>
    </row>
    <row r="114" spans="1:6">
      <c r="A114" s="1">
        <f>alliance.xml!A118</f>
        <v>113</v>
      </c>
      <c r="B114" s="1" t="str">
        <f>alliance.xml!E118</f>
        <v>魔兽</v>
      </c>
      <c r="C114" s="1">
        <f>alliance.xml!F118</f>
        <v>580</v>
      </c>
      <c r="D114" s="1">
        <f>alliance.xml!H118</f>
        <v>12200</v>
      </c>
      <c r="E114" s="1">
        <f>alliance.xml!J118</f>
        <v>113</v>
      </c>
      <c r="F114" s="1">
        <f>alliance.xml!K118</f>
        <v>128518900</v>
      </c>
    </row>
    <row r="115" spans="1:6">
      <c r="A115" s="1">
        <f>alliance.xml!A119</f>
        <v>114</v>
      </c>
      <c r="B115" s="1" t="str">
        <f>alliance.xml!E119</f>
        <v>魔兽</v>
      </c>
      <c r="C115" s="1">
        <f>alliance.xml!F119</f>
        <v>585</v>
      </c>
      <c r="D115" s="1">
        <f>alliance.xml!H119</f>
        <v>12300</v>
      </c>
      <c r="E115" s="1">
        <f>alliance.xml!J119</f>
        <v>114</v>
      </c>
      <c r="F115" s="1">
        <f>alliance.xml!K119</f>
        <v>131089300</v>
      </c>
    </row>
    <row r="116" spans="1:6">
      <c r="A116" s="1">
        <f>alliance.xml!A120</f>
        <v>115</v>
      </c>
      <c r="B116" s="1" t="str">
        <f>alliance.xml!E120</f>
        <v>魔兽</v>
      </c>
      <c r="C116" s="1">
        <f>alliance.xml!F120</f>
        <v>590</v>
      </c>
      <c r="D116" s="1">
        <f>alliance.xml!H120</f>
        <v>12400</v>
      </c>
      <c r="E116" s="1">
        <f>alliance.xml!J120</f>
        <v>115</v>
      </c>
      <c r="F116" s="1">
        <f>alliance.xml!K120</f>
        <v>133711100</v>
      </c>
    </row>
    <row r="117" spans="1:6">
      <c r="A117" s="1">
        <f>alliance.xml!A121</f>
        <v>116</v>
      </c>
      <c r="B117" s="1" t="str">
        <f>alliance.xml!E121</f>
        <v>魔兽</v>
      </c>
      <c r="C117" s="1">
        <f>alliance.xml!F121</f>
        <v>595</v>
      </c>
      <c r="D117" s="1">
        <f>alliance.xml!H121</f>
        <v>12500</v>
      </c>
      <c r="E117" s="1">
        <f>alliance.xml!J121</f>
        <v>116</v>
      </c>
      <c r="F117" s="1">
        <f>alliance.xml!K121</f>
        <v>136385300</v>
      </c>
    </row>
    <row r="118" spans="1:6">
      <c r="A118" s="1">
        <f>alliance.xml!A122</f>
        <v>117</v>
      </c>
      <c r="B118" s="1" t="str">
        <f>alliance.xml!E122</f>
        <v>魔兽</v>
      </c>
      <c r="C118" s="1">
        <f>alliance.xml!F122</f>
        <v>600</v>
      </c>
      <c r="D118" s="1">
        <f>alliance.xml!H122</f>
        <v>12600</v>
      </c>
      <c r="E118" s="1">
        <f>alliance.xml!J122</f>
        <v>117</v>
      </c>
      <c r="F118" s="1">
        <f>alliance.xml!K122</f>
        <v>139113000</v>
      </c>
    </row>
    <row r="119" spans="1:6">
      <c r="A119" s="1">
        <f>alliance.xml!A123</f>
        <v>118</v>
      </c>
      <c r="B119" s="1" t="str">
        <f>alliance.xml!E123</f>
        <v>魔兽</v>
      </c>
      <c r="C119" s="1">
        <f>alliance.xml!F123</f>
        <v>605</v>
      </c>
      <c r="D119" s="1">
        <f>alliance.xml!H123</f>
        <v>12700</v>
      </c>
      <c r="E119" s="1">
        <f>alliance.xml!J123</f>
        <v>118</v>
      </c>
      <c r="F119" s="1">
        <f>alliance.xml!K123</f>
        <v>141895300</v>
      </c>
    </row>
    <row r="120" spans="1:6">
      <c r="A120" s="1">
        <f>alliance.xml!A124</f>
        <v>119</v>
      </c>
      <c r="B120" s="1" t="str">
        <f>alliance.xml!E124</f>
        <v>魔兽</v>
      </c>
      <c r="C120" s="1">
        <f>alliance.xml!F124</f>
        <v>610</v>
      </c>
      <c r="D120" s="1">
        <f>alliance.xml!H124</f>
        <v>12800</v>
      </c>
      <c r="E120" s="1">
        <f>alliance.xml!J124</f>
        <v>119</v>
      </c>
      <c r="F120" s="1">
        <f>alliance.xml!K124</f>
        <v>144733200</v>
      </c>
    </row>
    <row r="121" spans="1:6">
      <c r="A121" s="1">
        <f>alliance.xml!A125</f>
        <v>120</v>
      </c>
      <c r="B121" s="1" t="str">
        <f>alliance.xml!E125</f>
        <v>魔兽</v>
      </c>
      <c r="C121" s="1">
        <f>alliance.xml!F125</f>
        <v>615</v>
      </c>
      <c r="D121" s="1">
        <f>alliance.xml!H125</f>
        <v>12900</v>
      </c>
      <c r="E121" s="1">
        <f>alliance.xml!J125</f>
        <v>120</v>
      </c>
      <c r="F121" s="1">
        <f>alliance.xml!K125</f>
        <v>147627900</v>
      </c>
    </row>
  </sheetData>
  <phoneticPr fontId="2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80"/>
  <sheetViews>
    <sheetView tabSelected="1" topLeftCell="A7" workbookViewId="0">
      <selection activeCell="A31" sqref="A1:B31"/>
    </sheetView>
  </sheetViews>
  <sheetFormatPr defaultColWidth="9" defaultRowHeight="13.5"/>
  <sheetData>
    <row r="1" spans="1:3">
      <c r="A1" t="s">
        <v>30</v>
      </c>
      <c r="B1" t="s">
        <v>31</v>
      </c>
    </row>
    <row r="2" spans="1:3">
      <c r="A2">
        <f>INDEX(alliance.xml!B:B,5+C2)</f>
        <v>1</v>
      </c>
      <c r="B2">
        <f>INDEX(alliance.xml!D:D,5+C2)</f>
        <v>1000</v>
      </c>
      <c r="C2">
        <v>1</v>
      </c>
    </row>
    <row r="3" spans="1:3">
      <c r="A3">
        <f>INDEX(alliance.xml!B:B,5+C3)</f>
        <v>2</v>
      </c>
      <c r="B3">
        <f>INDEX(alliance.xml!D:D,5+C3)</f>
        <v>2000</v>
      </c>
      <c r="C3">
        <v>5</v>
      </c>
    </row>
    <row r="4" spans="1:3">
      <c r="A4">
        <f>INDEX(alliance.xml!B:B,5+C4)</f>
        <v>3</v>
      </c>
      <c r="B4">
        <f>INDEX(alliance.xml!D:D,5+C4)</f>
        <v>3000</v>
      </c>
      <c r="C4">
        <v>9</v>
      </c>
    </row>
    <row r="5" spans="1:3">
      <c r="A5">
        <f>INDEX(alliance.xml!B:B,5+C5)</f>
        <v>4</v>
      </c>
      <c r="B5">
        <f>INDEX(alliance.xml!D:D,5+C5)</f>
        <v>4500</v>
      </c>
      <c r="C5">
        <v>13</v>
      </c>
    </row>
    <row r="6" spans="1:3">
      <c r="A6">
        <f>INDEX(alliance.xml!B:B,5+C6)</f>
        <v>5</v>
      </c>
      <c r="B6">
        <f>INDEX(alliance.xml!D:D,5+C6)</f>
        <v>6000</v>
      </c>
      <c r="C6">
        <v>17</v>
      </c>
    </row>
    <row r="7" spans="1:3">
      <c r="A7">
        <f>INDEX(alliance.xml!B:B,5+C7)</f>
        <v>6</v>
      </c>
      <c r="B7">
        <f>INDEX(alliance.xml!D:D,5+C7)</f>
        <v>7440</v>
      </c>
      <c r="C7">
        <v>21</v>
      </c>
    </row>
    <row r="8" spans="1:3">
      <c r="A8">
        <f>INDEX(alliance.xml!B:B,5+C8)</f>
        <v>7</v>
      </c>
      <c r="B8">
        <f>INDEX(alliance.xml!D:D,5+C8)</f>
        <v>9120</v>
      </c>
      <c r="C8">
        <v>25</v>
      </c>
    </row>
    <row r="9" spans="1:3">
      <c r="A9">
        <f>INDEX(alliance.xml!B:B,5+C9)</f>
        <v>8</v>
      </c>
      <c r="B9">
        <f>INDEX(alliance.xml!D:D,5+C9)</f>
        <v>11040</v>
      </c>
      <c r="C9">
        <v>29</v>
      </c>
    </row>
    <row r="10" spans="1:3">
      <c r="A10">
        <f>INDEX(alliance.xml!B:B,5+C10)</f>
        <v>9</v>
      </c>
      <c r="B10">
        <f>INDEX(alliance.xml!D:D,5+C10)</f>
        <v>13200</v>
      </c>
      <c r="C10">
        <v>33</v>
      </c>
    </row>
    <row r="11" spans="1:3">
      <c r="A11">
        <f>INDEX(alliance.xml!B:B,5+C11)</f>
        <v>10</v>
      </c>
      <c r="B11">
        <f>INDEX(alliance.xml!D:D,5+C11)</f>
        <v>15600</v>
      </c>
      <c r="C11">
        <v>37</v>
      </c>
    </row>
    <row r="12" spans="1:3">
      <c r="A12">
        <f>INDEX(alliance.xml!B:B,5+C12)</f>
        <v>11</v>
      </c>
      <c r="B12">
        <f>INDEX(alliance.xml!D:D,5+C12)</f>
        <v>18240</v>
      </c>
      <c r="C12">
        <v>41</v>
      </c>
    </row>
    <row r="13" spans="1:3">
      <c r="A13">
        <f>INDEX(alliance.xml!B:B,5+C13)</f>
        <v>12</v>
      </c>
      <c r="B13">
        <f>INDEX(alliance.xml!D:D,5+C13)</f>
        <v>21120</v>
      </c>
      <c r="C13">
        <v>45</v>
      </c>
    </row>
    <row r="14" spans="1:3">
      <c r="A14">
        <f>INDEX(alliance.xml!B:B,5+C14)</f>
        <v>13</v>
      </c>
      <c r="B14">
        <f>INDEX(alliance.xml!D:D,5+C14)</f>
        <v>24240</v>
      </c>
      <c r="C14">
        <v>49</v>
      </c>
    </row>
    <row r="15" spans="1:3">
      <c r="A15">
        <f>INDEX(alliance.xml!B:B,5+C15)</f>
        <v>14</v>
      </c>
      <c r="B15">
        <f>INDEX(alliance.xml!D:D,5+C15)</f>
        <v>27600</v>
      </c>
      <c r="C15">
        <v>53</v>
      </c>
    </row>
    <row r="16" spans="1:3">
      <c r="A16">
        <f>INDEX(alliance.xml!B:B,5+C16)</f>
        <v>15</v>
      </c>
      <c r="B16">
        <f>INDEX(alliance.xml!D:D,5+C16)</f>
        <v>31200</v>
      </c>
      <c r="C16">
        <v>57</v>
      </c>
    </row>
    <row r="17" spans="1:3">
      <c r="A17">
        <f>INDEX(alliance.xml!B:B,5+C17)</f>
        <v>16</v>
      </c>
      <c r="B17">
        <f>INDEX(alliance.xml!D:D,5+C17)</f>
        <v>35040</v>
      </c>
      <c r="C17">
        <v>61</v>
      </c>
    </row>
    <row r="18" spans="1:3">
      <c r="A18">
        <f>INDEX(alliance.xml!B:B,5+C18)</f>
        <v>17</v>
      </c>
      <c r="B18">
        <f>INDEX(alliance.xml!D:D,5+C18)</f>
        <v>39120</v>
      </c>
      <c r="C18">
        <v>65</v>
      </c>
    </row>
    <row r="19" spans="1:3">
      <c r="A19">
        <f>INDEX(alliance.xml!B:B,5+C19)</f>
        <v>18</v>
      </c>
      <c r="B19">
        <f>INDEX(alliance.xml!D:D,5+C19)</f>
        <v>43440</v>
      </c>
      <c r="C19">
        <v>69</v>
      </c>
    </row>
    <row r="20" spans="1:3">
      <c r="A20">
        <f>INDEX(alliance.xml!B:B,5+C20)</f>
        <v>19</v>
      </c>
      <c r="B20">
        <f>INDEX(alliance.xml!D:D,5+C20)</f>
        <v>48000</v>
      </c>
      <c r="C20">
        <v>73</v>
      </c>
    </row>
    <row r="21" spans="1:3">
      <c r="A21">
        <f>INDEX(alliance.xml!B:B,5+C21)</f>
        <v>20</v>
      </c>
      <c r="B21">
        <f>INDEX(alliance.xml!D:D,5+C21)</f>
        <v>52800</v>
      </c>
      <c r="C21">
        <v>77</v>
      </c>
    </row>
    <row r="22" spans="1:3">
      <c r="A22">
        <f>INDEX(alliance.xml!B:B,5+C22)</f>
        <v>21</v>
      </c>
      <c r="B22">
        <f>INDEX(alliance.xml!D:D,5+C22)</f>
        <v>57840</v>
      </c>
      <c r="C22">
        <v>81</v>
      </c>
    </row>
    <row r="23" spans="1:3">
      <c r="A23">
        <f>INDEX(alliance.xml!B:B,5+C23)</f>
        <v>22</v>
      </c>
      <c r="B23">
        <f>INDEX(alliance.xml!D:D,5+C23)</f>
        <v>63120</v>
      </c>
      <c r="C23">
        <v>85</v>
      </c>
    </row>
    <row r="24" spans="1:3">
      <c r="A24">
        <f>INDEX(alliance.xml!B:B,5+C24)</f>
        <v>23</v>
      </c>
      <c r="B24">
        <f>INDEX(alliance.xml!D:D,5+C24)</f>
        <v>68640</v>
      </c>
      <c r="C24">
        <v>89</v>
      </c>
    </row>
    <row r="25" spans="1:3">
      <c r="A25">
        <f>INDEX(alliance.xml!B:B,5+C25)</f>
        <v>24</v>
      </c>
      <c r="B25">
        <f>INDEX(alliance.xml!D:D,5+C25)</f>
        <v>74400</v>
      </c>
      <c r="C25">
        <v>93</v>
      </c>
    </row>
    <row r="26" spans="1:3">
      <c r="A26">
        <f>INDEX(alliance.xml!B:B,5+C26)</f>
        <v>25</v>
      </c>
      <c r="B26">
        <f>INDEX(alliance.xml!D:D,5+C26)</f>
        <v>80400</v>
      </c>
      <c r="C26">
        <v>97</v>
      </c>
    </row>
    <row r="27" spans="1:3">
      <c r="A27">
        <f>INDEX(alliance.xml!B:B,5+C27)</f>
        <v>26</v>
      </c>
      <c r="B27">
        <f>INDEX(alliance.xml!D:D,5+C27)</f>
        <v>86640</v>
      </c>
      <c r="C27">
        <v>101</v>
      </c>
    </row>
    <row r="28" spans="1:3">
      <c r="A28">
        <f>INDEX(alliance.xml!B:B,5+C28)</f>
        <v>27</v>
      </c>
      <c r="B28">
        <f>INDEX(alliance.xml!D:D,5+C28)</f>
        <v>93120</v>
      </c>
      <c r="C28">
        <v>105</v>
      </c>
    </row>
    <row r="29" spans="1:3">
      <c r="A29">
        <f>INDEX(alliance.xml!B:B,5+C29)</f>
        <v>28</v>
      </c>
      <c r="B29">
        <f>INDEX(alliance.xml!D:D,5+C29)</f>
        <v>99840</v>
      </c>
      <c r="C29">
        <v>109</v>
      </c>
    </row>
    <row r="30" spans="1:3">
      <c r="A30">
        <f>INDEX(alliance.xml!B:B,5+C30)</f>
        <v>29</v>
      </c>
      <c r="B30">
        <f>INDEX(alliance.xml!D:D,5+C30)</f>
        <v>106800</v>
      </c>
      <c r="C30">
        <v>113</v>
      </c>
    </row>
    <row r="31" spans="1:3">
      <c r="A31">
        <f>INDEX(alliance.xml!B:B,5+C31)</f>
        <v>30</v>
      </c>
      <c r="B31">
        <f>INDEX(alliance.xml!D:D,5+C31)</f>
        <v>114000</v>
      </c>
      <c r="C31">
        <v>117</v>
      </c>
    </row>
    <row r="32" spans="1:3">
      <c r="A32">
        <f>INDEX(alliance.xml!B:B,5+C32)</f>
        <v>0</v>
      </c>
      <c r="B32">
        <f>INDEX(alliance.xml!D:D,5+C32)</f>
        <v>0</v>
      </c>
      <c r="C32">
        <v>121</v>
      </c>
    </row>
    <row r="33" spans="1:3">
      <c r="A33">
        <f>INDEX(alliance.xml!B:B,5+C33)</f>
        <v>0</v>
      </c>
      <c r="B33">
        <f>INDEX(alliance.xml!D:D,5+C33)</f>
        <v>0</v>
      </c>
      <c r="C33">
        <v>125</v>
      </c>
    </row>
    <row r="34" spans="1:3">
      <c r="A34">
        <f>INDEX(alliance.xml!B:B,5+C34)</f>
        <v>0</v>
      </c>
      <c r="B34">
        <f>INDEX(alliance.xml!D:D,5+C34)</f>
        <v>0</v>
      </c>
      <c r="C34">
        <v>129</v>
      </c>
    </row>
    <row r="35" spans="1:3">
      <c r="A35">
        <f>INDEX(alliance.xml!B:B,5+C35)</f>
        <v>0</v>
      </c>
      <c r="B35">
        <f>INDEX(alliance.xml!D:D,5+C35)</f>
        <v>0</v>
      </c>
      <c r="C35">
        <v>133</v>
      </c>
    </row>
    <row r="36" spans="1:3">
      <c r="A36">
        <f>INDEX(alliance.xml!B:B,5+C36)</f>
        <v>0</v>
      </c>
      <c r="B36">
        <f>INDEX(alliance.xml!D:D,5+C36)</f>
        <v>0</v>
      </c>
      <c r="C36">
        <v>137</v>
      </c>
    </row>
    <row r="37" spans="1:3">
      <c r="A37">
        <f>INDEX(alliance.xml!B:B,5+C37)</f>
        <v>0</v>
      </c>
      <c r="B37">
        <f>INDEX(alliance.xml!D:D,5+C37)</f>
        <v>0</v>
      </c>
      <c r="C37">
        <v>141</v>
      </c>
    </row>
    <row r="38" spans="1:3">
      <c r="A38">
        <f>INDEX(alliance.xml!B:B,5+C38)</f>
        <v>0</v>
      </c>
      <c r="B38">
        <f>INDEX(alliance.xml!D:D,5+C38)</f>
        <v>0</v>
      </c>
      <c r="C38">
        <v>145</v>
      </c>
    </row>
    <row r="39" spans="1:3">
      <c r="A39">
        <f>INDEX(alliance.xml!B:B,5+C39)</f>
        <v>0</v>
      </c>
      <c r="B39">
        <f>INDEX(alliance.xml!D:D,5+C39)</f>
        <v>0</v>
      </c>
      <c r="C39">
        <v>149</v>
      </c>
    </row>
    <row r="40" spans="1:3">
      <c r="A40">
        <f>INDEX(alliance.xml!B:B,5+C40)</f>
        <v>0</v>
      </c>
      <c r="B40">
        <f>INDEX(alliance.xml!D:D,5+C40)</f>
        <v>0</v>
      </c>
      <c r="C40">
        <v>153</v>
      </c>
    </row>
    <row r="41" spans="1:3">
      <c r="A41">
        <f>INDEX(alliance.xml!B:B,5+C41)</f>
        <v>0</v>
      </c>
      <c r="B41">
        <f>INDEX(alliance.xml!D:D,5+C41)</f>
        <v>0</v>
      </c>
      <c r="C41">
        <v>157</v>
      </c>
    </row>
    <row r="42" spans="1:3">
      <c r="A42">
        <f>INDEX(alliance.xml!B:B,5+C42)</f>
        <v>0</v>
      </c>
      <c r="B42">
        <f>INDEX(alliance.xml!D:D,5+C42)</f>
        <v>0</v>
      </c>
      <c r="C42">
        <v>161</v>
      </c>
    </row>
    <row r="43" spans="1:3">
      <c r="A43">
        <f>INDEX(alliance.xml!B:B,5+C43)</f>
        <v>0</v>
      </c>
      <c r="B43">
        <f>INDEX(alliance.xml!D:D,5+C43)</f>
        <v>0</v>
      </c>
      <c r="C43">
        <v>165</v>
      </c>
    </row>
    <row r="44" spans="1:3">
      <c r="A44">
        <f>INDEX(alliance.xml!B:B,5+C44)</f>
        <v>0</v>
      </c>
      <c r="B44">
        <f>INDEX(alliance.xml!D:D,5+C44)</f>
        <v>0</v>
      </c>
      <c r="C44">
        <v>169</v>
      </c>
    </row>
    <row r="45" spans="1:3">
      <c r="A45">
        <f>INDEX(alliance.xml!B:B,5+C45)</f>
        <v>0</v>
      </c>
      <c r="B45">
        <f>INDEX(alliance.xml!D:D,5+C45)</f>
        <v>0</v>
      </c>
      <c r="C45">
        <v>173</v>
      </c>
    </row>
    <row r="46" spans="1:3">
      <c r="A46">
        <f>INDEX(alliance.xml!B:B,5+C46)</f>
        <v>0</v>
      </c>
      <c r="B46">
        <f>INDEX(alliance.xml!D:D,5+C46)</f>
        <v>0</v>
      </c>
      <c r="C46">
        <v>177</v>
      </c>
    </row>
    <row r="47" spans="1:3">
      <c r="A47">
        <f>INDEX(alliance.xml!B:B,5+C47)</f>
        <v>0</v>
      </c>
      <c r="B47">
        <f>INDEX(alliance.xml!D:D,5+C47)</f>
        <v>0</v>
      </c>
      <c r="C47">
        <v>181</v>
      </c>
    </row>
    <row r="48" spans="1:3">
      <c r="A48">
        <f>INDEX(alliance.xml!B:B,5+C48)</f>
        <v>0</v>
      </c>
      <c r="B48">
        <f>INDEX(alliance.xml!D:D,5+C48)</f>
        <v>0</v>
      </c>
      <c r="C48">
        <v>185</v>
      </c>
    </row>
    <row r="49" spans="1:3">
      <c r="A49">
        <f>INDEX(alliance.xml!B:B,5+C49)</f>
        <v>0</v>
      </c>
      <c r="B49">
        <f>INDEX(alliance.xml!D:D,5+C49)</f>
        <v>0</v>
      </c>
      <c r="C49">
        <v>189</v>
      </c>
    </row>
    <row r="50" spans="1:3">
      <c r="A50">
        <f>INDEX(alliance.xml!B:B,5+C50)</f>
        <v>0</v>
      </c>
      <c r="B50">
        <f>INDEX(alliance.xml!D:D,5+C50)</f>
        <v>0</v>
      </c>
      <c r="C50">
        <v>193</v>
      </c>
    </row>
    <row r="51" spans="1:3">
      <c r="A51">
        <f>INDEX(alliance.xml!B:B,5+C51)</f>
        <v>0</v>
      </c>
      <c r="B51">
        <f>INDEX(alliance.xml!D:D,5+C51)</f>
        <v>0</v>
      </c>
      <c r="C51">
        <v>197</v>
      </c>
    </row>
    <row r="52" spans="1:3">
      <c r="A52">
        <f>INDEX(alliance.xml!B:B,5+C52)</f>
        <v>0</v>
      </c>
      <c r="B52">
        <f>INDEX(alliance.xml!D:D,5+C52)</f>
        <v>0</v>
      </c>
      <c r="C52">
        <v>201</v>
      </c>
    </row>
    <row r="53" spans="1:3">
      <c r="A53">
        <f>INDEX(alliance.xml!B:B,5+C53)</f>
        <v>0</v>
      </c>
      <c r="B53">
        <f>INDEX(alliance.xml!D:D,5+C53)</f>
        <v>0</v>
      </c>
      <c r="C53">
        <v>205</v>
      </c>
    </row>
    <row r="54" spans="1:3">
      <c r="A54">
        <f>INDEX(alliance.xml!B:B,5+C54)</f>
        <v>0</v>
      </c>
      <c r="B54">
        <f>INDEX(alliance.xml!D:D,5+C54)</f>
        <v>0</v>
      </c>
      <c r="C54">
        <v>209</v>
      </c>
    </row>
    <row r="55" spans="1:3">
      <c r="A55">
        <f>INDEX(alliance.xml!B:B,5+C55)</f>
        <v>0</v>
      </c>
      <c r="B55">
        <f>INDEX(alliance.xml!D:D,5+C55)</f>
        <v>0</v>
      </c>
      <c r="C55">
        <v>213</v>
      </c>
    </row>
    <row r="56" spans="1:3">
      <c r="A56">
        <f>INDEX(alliance.xml!B:B,5+C56)</f>
        <v>0</v>
      </c>
      <c r="B56">
        <f>INDEX(alliance.xml!D:D,5+C56)</f>
        <v>0</v>
      </c>
      <c r="C56">
        <v>217</v>
      </c>
    </row>
    <row r="57" spans="1:3">
      <c r="A57">
        <f>INDEX(alliance.xml!B:B,5+C57)</f>
        <v>0</v>
      </c>
      <c r="B57">
        <f>INDEX(alliance.xml!D:D,5+C57)</f>
        <v>0</v>
      </c>
      <c r="C57">
        <v>221</v>
      </c>
    </row>
    <row r="58" spans="1:3">
      <c r="A58">
        <f>INDEX(alliance.xml!B:B,5+C58)</f>
        <v>0</v>
      </c>
      <c r="B58">
        <f>INDEX(alliance.xml!D:D,5+C58)</f>
        <v>0</v>
      </c>
      <c r="C58">
        <v>225</v>
      </c>
    </row>
    <row r="59" spans="1:3">
      <c r="A59">
        <f>INDEX(alliance.xml!B:B,5+C59)</f>
        <v>0</v>
      </c>
      <c r="B59">
        <f>INDEX(alliance.xml!D:D,5+C59)</f>
        <v>0</v>
      </c>
      <c r="C59">
        <v>229</v>
      </c>
    </row>
    <row r="60" spans="1:3">
      <c r="A60">
        <f>INDEX(alliance.xml!B:B,5+C60)</f>
        <v>0</v>
      </c>
      <c r="B60">
        <f>INDEX(alliance.xml!D:D,5+C60)</f>
        <v>0</v>
      </c>
      <c r="C60">
        <v>233</v>
      </c>
    </row>
    <row r="61" spans="1:3">
      <c r="A61">
        <f>INDEX(alliance.xml!B:B,5+C61)</f>
        <v>0</v>
      </c>
      <c r="B61">
        <f>INDEX(alliance.xml!D:D,5+C61)</f>
        <v>0</v>
      </c>
      <c r="C61">
        <v>237</v>
      </c>
    </row>
    <row r="62" spans="1:3">
      <c r="A62">
        <f>INDEX(alliance.xml!B:B,5+C62)</f>
        <v>0</v>
      </c>
      <c r="B62">
        <f>INDEX(alliance.xml!D:D,5+C62)</f>
        <v>0</v>
      </c>
      <c r="C62">
        <v>241</v>
      </c>
    </row>
    <row r="63" spans="1:3">
      <c r="A63">
        <f>INDEX(alliance.xml!B:B,5+C63)</f>
        <v>0</v>
      </c>
      <c r="B63">
        <f>INDEX(alliance.xml!D:D,5+C63)</f>
        <v>0</v>
      </c>
      <c r="C63">
        <v>245</v>
      </c>
    </row>
    <row r="64" spans="1:3">
      <c r="A64">
        <f>INDEX(alliance.xml!B:B,5+C64)</f>
        <v>0</v>
      </c>
      <c r="B64">
        <f>INDEX(alliance.xml!D:D,5+C64)</f>
        <v>0</v>
      </c>
      <c r="C64">
        <v>249</v>
      </c>
    </row>
    <row r="65" spans="1:3">
      <c r="A65">
        <f>INDEX(alliance.xml!B:B,5+C65)</f>
        <v>0</v>
      </c>
      <c r="B65">
        <f>INDEX(alliance.xml!D:D,5+C65)</f>
        <v>0</v>
      </c>
      <c r="C65">
        <v>253</v>
      </c>
    </row>
    <row r="66" spans="1:3">
      <c r="A66">
        <f>INDEX(alliance.xml!B:B,5+C66)</f>
        <v>0</v>
      </c>
      <c r="B66">
        <f>INDEX(alliance.xml!D:D,5+C66)</f>
        <v>0</v>
      </c>
      <c r="C66">
        <v>257</v>
      </c>
    </row>
    <row r="67" spans="1:3">
      <c r="A67">
        <f>INDEX(alliance.xml!B:B,5+C67)</f>
        <v>0</v>
      </c>
      <c r="B67">
        <f>INDEX(alliance.xml!D:D,5+C67)</f>
        <v>0</v>
      </c>
      <c r="C67">
        <v>261</v>
      </c>
    </row>
    <row r="68" spans="1:3">
      <c r="A68">
        <f>INDEX(alliance.xml!B:B,5+C68)</f>
        <v>0</v>
      </c>
      <c r="B68">
        <f>INDEX(alliance.xml!D:D,5+C68)</f>
        <v>0</v>
      </c>
      <c r="C68">
        <v>265</v>
      </c>
    </row>
    <row r="69" spans="1:3">
      <c r="A69">
        <f>INDEX(alliance.xml!B:B,5+C69)</f>
        <v>0</v>
      </c>
      <c r="B69">
        <f>INDEX(alliance.xml!D:D,5+C69)</f>
        <v>0</v>
      </c>
      <c r="C69">
        <v>269</v>
      </c>
    </row>
    <row r="70" spans="1:3">
      <c r="A70">
        <f>INDEX(alliance.xml!B:B,5+C70)</f>
        <v>0</v>
      </c>
      <c r="B70">
        <f>INDEX(alliance.xml!D:D,5+C70)</f>
        <v>0</v>
      </c>
      <c r="C70">
        <v>273</v>
      </c>
    </row>
    <row r="71" spans="1:3">
      <c r="A71">
        <f>INDEX(alliance.xml!B:B,5+C71)</f>
        <v>0</v>
      </c>
      <c r="B71">
        <f>INDEX(alliance.xml!D:D,5+C71)</f>
        <v>0</v>
      </c>
      <c r="C71">
        <v>277</v>
      </c>
    </row>
    <row r="72" spans="1:3">
      <c r="A72">
        <f>INDEX(alliance.xml!B:B,5+C72)</f>
        <v>0</v>
      </c>
      <c r="B72">
        <f>INDEX(alliance.xml!D:D,5+C72)</f>
        <v>0</v>
      </c>
      <c r="C72">
        <v>281</v>
      </c>
    </row>
    <row r="73" spans="1:3">
      <c r="A73">
        <f>INDEX(alliance.xml!B:B,5+C73)</f>
        <v>0</v>
      </c>
      <c r="B73">
        <f>INDEX(alliance.xml!D:D,5+C73)</f>
        <v>0</v>
      </c>
      <c r="C73">
        <v>285</v>
      </c>
    </row>
    <row r="74" spans="1:3">
      <c r="A74">
        <f>INDEX(alliance.xml!B:B,5+C74)</f>
        <v>0</v>
      </c>
      <c r="B74">
        <f>INDEX(alliance.xml!D:D,5+C74)</f>
        <v>0</v>
      </c>
      <c r="C74">
        <v>289</v>
      </c>
    </row>
    <row r="75" spans="1:3">
      <c r="A75">
        <f>INDEX(alliance.xml!B:B,5+C75)</f>
        <v>0</v>
      </c>
      <c r="B75">
        <f>INDEX(alliance.xml!D:D,5+C75)</f>
        <v>0</v>
      </c>
      <c r="C75">
        <v>293</v>
      </c>
    </row>
    <row r="76" spans="1:3">
      <c r="A76">
        <f>INDEX(alliance.xml!B:B,5+C76)</f>
        <v>0</v>
      </c>
      <c r="B76">
        <f>INDEX(alliance.xml!D:D,5+C76)</f>
        <v>0</v>
      </c>
      <c r="C76">
        <v>297</v>
      </c>
    </row>
    <row r="77" spans="1:3">
      <c r="C77">
        <v>301</v>
      </c>
    </row>
    <row r="78" spans="1:3">
      <c r="C78">
        <v>305</v>
      </c>
    </row>
    <row r="79" spans="1:3">
      <c r="C79">
        <v>309</v>
      </c>
    </row>
    <row r="80" spans="1:3">
      <c r="C80">
        <v>313</v>
      </c>
    </row>
  </sheetData>
  <phoneticPr fontId="2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alliance.xml</vt:lpstr>
      <vt:lpstr>工会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2006-09-13T11:21:00Z</dcterms:created>
  <dcterms:modified xsi:type="dcterms:W3CDTF">2014-10-20T02:42:57Z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2052-9.1.0.4715</vt:lpwstr>
  </property>
</Properties>
</file>