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80" yWindow="30" windowWidth="19440" windowHeight="11820"/>
  </bookViews>
  <sheets>
    <sheet name="Sheet1" sheetId="1" r:id="rId1"/>
    <sheet name="公会-client" sheetId="2" r:id="rId2"/>
    <sheet name="Sheet3" sheetId="3" r:id="rId3"/>
  </sheets>
  <externalReferences>
    <externalReference r:id="rId4"/>
  </externalReferences>
  <calcPr calcId="124519"/>
</workbook>
</file>

<file path=xl/calcChain.xml><?xml version="1.0" encoding="utf-8"?>
<calcChain xmlns="http://schemas.openxmlformats.org/spreadsheetml/2006/main">
  <c r="G3" i="2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L67" i="1"/>
  <c r="L68"/>
  <c r="L69" s="1"/>
  <c r="L70" s="1"/>
  <c r="L71" s="1"/>
  <c r="L72" s="1"/>
  <c r="L73" s="1"/>
  <c r="L74" s="1"/>
  <c r="L75" s="1"/>
  <c r="L76" s="1"/>
  <c r="L77" s="1"/>
  <c r="L78" s="1"/>
  <c r="L79" s="1"/>
  <c r="L80" s="1"/>
  <c r="L81" s="1"/>
  <c r="L82" s="1"/>
  <c r="L83" s="1"/>
  <c r="L84" s="1"/>
  <c r="L85" s="1"/>
  <c r="L86" s="1"/>
  <c r="L87" s="1"/>
  <c r="L88" s="1"/>
  <c r="L89" s="1"/>
  <c r="L90" s="1"/>
  <c r="L91" s="1"/>
  <c r="L92" s="1"/>
  <c r="L93" s="1"/>
  <c r="L94" s="1"/>
  <c r="L95" s="1"/>
  <c r="L96" s="1"/>
  <c r="L97" s="1"/>
  <c r="L98" s="1"/>
  <c r="L99" s="1"/>
  <c r="L100" s="1"/>
  <c r="L101" s="1"/>
  <c r="L102" s="1"/>
  <c r="L103" s="1"/>
  <c r="L104" s="1"/>
  <c r="L105" s="1"/>
  <c r="L106" s="1"/>
  <c r="L107" s="1"/>
  <c r="L108" s="1"/>
  <c r="L109" s="1"/>
  <c r="L110" s="1"/>
  <c r="L111" s="1"/>
  <c r="L112" s="1"/>
  <c r="L113" s="1"/>
  <c r="L114" s="1"/>
  <c r="L115" s="1"/>
  <c r="L116" s="1"/>
  <c r="L117" s="1"/>
  <c r="L118" s="1"/>
  <c r="L119" s="1"/>
  <c r="L120" s="1"/>
  <c r="L121" s="1"/>
  <c r="L122" s="1"/>
  <c r="L123" s="1"/>
  <c r="L124" s="1"/>
  <c r="L125" s="1"/>
  <c r="L66"/>
  <c r="L63"/>
  <c r="L64" s="1"/>
  <c r="L62"/>
  <c r="L58"/>
  <c r="L59" s="1"/>
  <c r="L60" s="1"/>
  <c r="L55"/>
  <c r="L56" s="1"/>
  <c r="L54"/>
  <c r="L50"/>
  <c r="L51" s="1"/>
  <c r="L52" s="1"/>
  <c r="L46"/>
  <c r="L47" s="1"/>
  <c r="L48" s="1"/>
  <c r="L42"/>
  <c r="L43" s="1"/>
  <c r="L44" s="1"/>
  <c r="L39"/>
  <c r="L40" s="1"/>
  <c r="L38"/>
  <c r="L34"/>
  <c r="L35" s="1"/>
  <c r="L36" s="1"/>
  <c r="L32"/>
  <c r="L31"/>
  <c r="L30"/>
  <c r="L26"/>
  <c r="L27" s="1"/>
  <c r="L28" s="1"/>
  <c r="L22"/>
  <c r="L23" s="1"/>
  <c r="L24" s="1"/>
  <c r="L18"/>
  <c r="L19" s="1"/>
  <c r="L20" s="1"/>
  <c r="L15"/>
  <c r="L16" s="1"/>
  <c r="L14"/>
  <c r="L10"/>
  <c r="L11" s="1"/>
  <c r="L12" s="1"/>
  <c r="L8"/>
  <c r="L7"/>
  <c r="I3" i="3"/>
  <c r="I4"/>
  <c r="I5"/>
  <c r="I6"/>
  <c r="I7"/>
  <c r="I8"/>
  <c r="I9"/>
  <c r="I10"/>
  <c r="I11"/>
  <c r="I12"/>
  <c r="I13"/>
  <c r="I14"/>
  <c r="I15"/>
  <c r="I16"/>
  <c r="I2"/>
  <c r="H3"/>
  <c r="H4"/>
  <c r="H5"/>
  <c r="H6"/>
  <c r="H7"/>
  <c r="H8"/>
  <c r="H9"/>
  <c r="H10"/>
  <c r="H11"/>
  <c r="H12"/>
  <c r="H13"/>
  <c r="H14"/>
  <c r="H15"/>
  <c r="H16"/>
  <c r="H2"/>
  <c r="D3" l="1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2"/>
  <c r="B3"/>
  <c r="B4"/>
  <c r="B5"/>
  <c r="B8"/>
  <c r="B20"/>
  <c r="B29"/>
  <c r="B2"/>
  <c r="C2" s="1"/>
  <c r="B3" i="2"/>
  <c r="C3"/>
  <c r="D3"/>
  <c r="E3"/>
  <c r="F3"/>
  <c r="B4"/>
  <c r="C4"/>
  <c r="D4"/>
  <c r="E4"/>
  <c r="F4"/>
  <c r="B5"/>
  <c r="C5"/>
  <c r="D5"/>
  <c r="E5"/>
  <c r="F5"/>
  <c r="B6"/>
  <c r="C6"/>
  <c r="D6"/>
  <c r="E6"/>
  <c r="F6"/>
  <c r="B7"/>
  <c r="C7"/>
  <c r="D7"/>
  <c r="E7"/>
  <c r="F7"/>
  <c r="B8"/>
  <c r="C8"/>
  <c r="D8"/>
  <c r="E8"/>
  <c r="F8"/>
  <c r="B9"/>
  <c r="C9"/>
  <c r="D9"/>
  <c r="E9"/>
  <c r="F9"/>
  <c r="B10"/>
  <c r="C10"/>
  <c r="D10"/>
  <c r="E10"/>
  <c r="F10"/>
  <c r="B11"/>
  <c r="C11"/>
  <c r="D11"/>
  <c r="E11"/>
  <c r="F11"/>
  <c r="B12"/>
  <c r="C12"/>
  <c r="D12"/>
  <c r="E12"/>
  <c r="F12"/>
  <c r="B13"/>
  <c r="C13"/>
  <c r="D13"/>
  <c r="E13"/>
  <c r="F13"/>
  <c r="B14"/>
  <c r="C14"/>
  <c r="D14"/>
  <c r="E14"/>
  <c r="F14"/>
  <c r="B15"/>
  <c r="C15"/>
  <c r="D15"/>
  <c r="E15"/>
  <c r="F15"/>
  <c r="B16"/>
  <c r="C16"/>
  <c r="D16"/>
  <c r="E16"/>
  <c r="F16"/>
  <c r="B17"/>
  <c r="C17"/>
  <c r="D17"/>
  <c r="E17"/>
  <c r="F17"/>
  <c r="B18"/>
  <c r="C18"/>
  <c r="D18"/>
  <c r="E18"/>
  <c r="F18"/>
  <c r="B19"/>
  <c r="C19"/>
  <c r="D19"/>
  <c r="E19"/>
  <c r="F19"/>
  <c r="B20"/>
  <c r="C20"/>
  <c r="D20"/>
  <c r="E20"/>
  <c r="F20"/>
  <c r="B21"/>
  <c r="C21"/>
  <c r="D21"/>
  <c r="E21"/>
  <c r="F21"/>
  <c r="B22"/>
  <c r="C22"/>
  <c r="D22"/>
  <c r="E22"/>
  <c r="F22"/>
  <c r="B23"/>
  <c r="C23"/>
  <c r="D23"/>
  <c r="E23"/>
  <c r="F23"/>
  <c r="B24"/>
  <c r="C24"/>
  <c r="D24"/>
  <c r="E24"/>
  <c r="F24"/>
  <c r="B25"/>
  <c r="C25"/>
  <c r="D25"/>
  <c r="E25"/>
  <c r="F25"/>
  <c r="B26"/>
  <c r="C26"/>
  <c r="D26"/>
  <c r="E26"/>
  <c r="F26"/>
  <c r="B27"/>
  <c r="C27"/>
  <c r="D27"/>
  <c r="E27"/>
  <c r="F27"/>
  <c r="B28"/>
  <c r="C28"/>
  <c r="D28"/>
  <c r="E28"/>
  <c r="F28"/>
  <c r="B29"/>
  <c r="C29"/>
  <c r="D29"/>
  <c r="E29"/>
  <c r="F29"/>
  <c r="B30"/>
  <c r="C30"/>
  <c r="D30"/>
  <c r="E30"/>
  <c r="F30"/>
  <c r="B31"/>
  <c r="C31"/>
  <c r="D31"/>
  <c r="E31"/>
  <c r="F31"/>
  <c r="B32"/>
  <c r="C32"/>
  <c r="D32"/>
  <c r="E32"/>
  <c r="F32"/>
  <c r="B33"/>
  <c r="C33"/>
  <c r="D33"/>
  <c r="E33"/>
  <c r="F33"/>
  <c r="B34"/>
  <c r="C34"/>
  <c r="D34"/>
  <c r="E34"/>
  <c r="F34"/>
  <c r="B35"/>
  <c r="C35"/>
  <c r="D35"/>
  <c r="E35"/>
  <c r="F35"/>
  <c r="B36"/>
  <c r="C36"/>
  <c r="D36"/>
  <c r="E36"/>
  <c r="F36"/>
  <c r="B37"/>
  <c r="C37"/>
  <c r="D37"/>
  <c r="E37"/>
  <c r="F37"/>
  <c r="B38"/>
  <c r="C38"/>
  <c r="D38"/>
  <c r="E38"/>
  <c r="F38"/>
  <c r="B39"/>
  <c r="C39"/>
  <c r="D39"/>
  <c r="E39"/>
  <c r="F39"/>
  <c r="B40"/>
  <c r="C40"/>
  <c r="D40"/>
  <c r="E40"/>
  <c r="F40"/>
  <c r="B41"/>
  <c r="C41"/>
  <c r="D41"/>
  <c r="E41"/>
  <c r="F41"/>
  <c r="B42"/>
  <c r="C42"/>
  <c r="D42"/>
  <c r="E42"/>
  <c r="F42"/>
  <c r="B43"/>
  <c r="C43"/>
  <c r="D43"/>
  <c r="E43"/>
  <c r="F43"/>
  <c r="B44"/>
  <c r="C44"/>
  <c r="D44"/>
  <c r="E44"/>
  <c r="F44"/>
  <c r="B45"/>
  <c r="C45"/>
  <c r="D45"/>
  <c r="E45"/>
  <c r="F45"/>
  <c r="B46"/>
  <c r="C46"/>
  <c r="D46"/>
  <c r="E46"/>
  <c r="F46"/>
  <c r="B47"/>
  <c r="C47"/>
  <c r="D47"/>
  <c r="E47"/>
  <c r="F47"/>
  <c r="B48"/>
  <c r="C48"/>
  <c r="D48"/>
  <c r="E48"/>
  <c r="F48"/>
  <c r="B49"/>
  <c r="C49"/>
  <c r="D49"/>
  <c r="E49"/>
  <c r="F49"/>
  <c r="B50"/>
  <c r="C50"/>
  <c r="D50"/>
  <c r="E50"/>
  <c r="F50"/>
  <c r="B51"/>
  <c r="C51"/>
  <c r="D51"/>
  <c r="E51"/>
  <c r="F51"/>
  <c r="B52"/>
  <c r="C52"/>
  <c r="D52"/>
  <c r="E52"/>
  <c r="F52"/>
  <c r="B53"/>
  <c r="C53"/>
  <c r="D53"/>
  <c r="E53"/>
  <c r="F53"/>
  <c r="B54"/>
  <c r="C54"/>
  <c r="D54"/>
  <c r="E54"/>
  <c r="F54"/>
  <c r="B55"/>
  <c r="C55"/>
  <c r="D55"/>
  <c r="E55"/>
  <c r="F55"/>
  <c r="B56"/>
  <c r="C56"/>
  <c r="D56"/>
  <c r="E56"/>
  <c r="F56"/>
  <c r="B57"/>
  <c r="C57"/>
  <c r="D57"/>
  <c r="E57"/>
  <c r="F57"/>
  <c r="B58"/>
  <c r="C58"/>
  <c r="D58"/>
  <c r="E58"/>
  <c r="F58"/>
  <c r="B59"/>
  <c r="C59"/>
  <c r="D59"/>
  <c r="E59"/>
  <c r="F59"/>
  <c r="B60"/>
  <c r="C60"/>
  <c r="D60"/>
  <c r="E60"/>
  <c r="F60"/>
  <c r="B61"/>
  <c r="C61"/>
  <c r="D61"/>
  <c r="E61"/>
  <c r="F61"/>
  <c r="B62"/>
  <c r="C62"/>
  <c r="D62"/>
  <c r="E62"/>
  <c r="F62"/>
  <c r="B63"/>
  <c r="C63"/>
  <c r="D63"/>
  <c r="E63"/>
  <c r="F63"/>
  <c r="B64"/>
  <c r="C64"/>
  <c r="D64"/>
  <c r="E64"/>
  <c r="F64"/>
  <c r="B65"/>
  <c r="C65"/>
  <c r="D65"/>
  <c r="E65"/>
  <c r="F65"/>
  <c r="B66"/>
  <c r="C66"/>
  <c r="D66"/>
  <c r="E66"/>
  <c r="F66"/>
  <c r="B67"/>
  <c r="C67"/>
  <c r="D67"/>
  <c r="E67"/>
  <c r="F67"/>
  <c r="B68"/>
  <c r="C68"/>
  <c r="D68"/>
  <c r="E68"/>
  <c r="F68"/>
  <c r="B69"/>
  <c r="C69"/>
  <c r="D69"/>
  <c r="E69"/>
  <c r="F69"/>
  <c r="B70"/>
  <c r="C70"/>
  <c r="D70"/>
  <c r="E70"/>
  <c r="F70"/>
  <c r="B71"/>
  <c r="C71"/>
  <c r="D71"/>
  <c r="E71"/>
  <c r="F71"/>
  <c r="B72"/>
  <c r="C72"/>
  <c r="D72"/>
  <c r="E72"/>
  <c r="F72"/>
  <c r="B73"/>
  <c r="C73"/>
  <c r="D73"/>
  <c r="E73"/>
  <c r="F73"/>
  <c r="B74"/>
  <c r="C74"/>
  <c r="D74"/>
  <c r="E74"/>
  <c r="F74"/>
  <c r="B75"/>
  <c r="C75"/>
  <c r="D75"/>
  <c r="E75"/>
  <c r="F75"/>
  <c r="B76"/>
  <c r="C76"/>
  <c r="D76"/>
  <c r="E76"/>
  <c r="F76"/>
  <c r="B77"/>
  <c r="C77"/>
  <c r="D77"/>
  <c r="E77"/>
  <c r="F77"/>
  <c r="B78"/>
  <c r="C78"/>
  <c r="D78"/>
  <c r="E78"/>
  <c r="F78"/>
  <c r="B79"/>
  <c r="C79"/>
  <c r="D79"/>
  <c r="E79"/>
  <c r="F79"/>
  <c r="B80"/>
  <c r="C80"/>
  <c r="D80"/>
  <c r="E80"/>
  <c r="F80"/>
  <c r="B81"/>
  <c r="C81"/>
  <c r="D81"/>
  <c r="E81"/>
  <c r="F81"/>
  <c r="B82"/>
  <c r="C82"/>
  <c r="D82"/>
  <c r="E82"/>
  <c r="F82"/>
  <c r="B83"/>
  <c r="C83"/>
  <c r="D83"/>
  <c r="E83"/>
  <c r="F83"/>
  <c r="B84"/>
  <c r="C84"/>
  <c r="D84"/>
  <c r="E84"/>
  <c r="F84"/>
  <c r="B85"/>
  <c r="C85"/>
  <c r="D85"/>
  <c r="E85"/>
  <c r="F85"/>
  <c r="B86"/>
  <c r="C86"/>
  <c r="D86"/>
  <c r="E86"/>
  <c r="F86"/>
  <c r="B87"/>
  <c r="C87"/>
  <c r="D87"/>
  <c r="E87"/>
  <c r="F87"/>
  <c r="B88"/>
  <c r="C88"/>
  <c r="D88"/>
  <c r="E88"/>
  <c r="F88"/>
  <c r="B89"/>
  <c r="C89"/>
  <c r="D89"/>
  <c r="E89"/>
  <c r="F89"/>
  <c r="B90"/>
  <c r="C90"/>
  <c r="D90"/>
  <c r="E90"/>
  <c r="F90"/>
  <c r="B91"/>
  <c r="C91"/>
  <c r="D91"/>
  <c r="E91"/>
  <c r="F91"/>
  <c r="B92"/>
  <c r="C92"/>
  <c r="D92"/>
  <c r="E92"/>
  <c r="F92"/>
  <c r="B93"/>
  <c r="C93"/>
  <c r="D93"/>
  <c r="E93"/>
  <c r="F93"/>
  <c r="B94"/>
  <c r="C94"/>
  <c r="D94"/>
  <c r="E94"/>
  <c r="F94"/>
  <c r="B95"/>
  <c r="C95"/>
  <c r="D95"/>
  <c r="E95"/>
  <c r="F95"/>
  <c r="B96"/>
  <c r="C96"/>
  <c r="D96"/>
  <c r="E96"/>
  <c r="F96"/>
  <c r="B97"/>
  <c r="C97"/>
  <c r="D97"/>
  <c r="E97"/>
  <c r="F97"/>
  <c r="B98"/>
  <c r="C98"/>
  <c r="D98"/>
  <c r="E98"/>
  <c r="F98"/>
  <c r="B99"/>
  <c r="C99"/>
  <c r="D99"/>
  <c r="E99"/>
  <c r="F99"/>
  <c r="B100"/>
  <c r="C100"/>
  <c r="D100"/>
  <c r="E100"/>
  <c r="F100"/>
  <c r="B101"/>
  <c r="C101"/>
  <c r="D101"/>
  <c r="E101"/>
  <c r="F101"/>
  <c r="B102"/>
  <c r="C102"/>
  <c r="D102"/>
  <c r="E102"/>
  <c r="F102"/>
  <c r="B103"/>
  <c r="C103"/>
  <c r="D103"/>
  <c r="E103"/>
  <c r="F103"/>
  <c r="B104"/>
  <c r="C104"/>
  <c r="D104"/>
  <c r="E104"/>
  <c r="F104"/>
  <c r="B105"/>
  <c r="C105"/>
  <c r="D105"/>
  <c r="E105"/>
  <c r="F105"/>
  <c r="B106"/>
  <c r="C106"/>
  <c r="D106"/>
  <c r="E106"/>
  <c r="F106"/>
  <c r="B107"/>
  <c r="C107"/>
  <c r="D107"/>
  <c r="E107"/>
  <c r="F107"/>
  <c r="B108"/>
  <c r="C108"/>
  <c r="D108"/>
  <c r="E108"/>
  <c r="F108"/>
  <c r="B109"/>
  <c r="C109"/>
  <c r="D109"/>
  <c r="E109"/>
  <c r="F109"/>
  <c r="B110"/>
  <c r="C110"/>
  <c r="D110"/>
  <c r="E110"/>
  <c r="F110"/>
  <c r="B111"/>
  <c r="C111"/>
  <c r="D111"/>
  <c r="E111"/>
  <c r="F111"/>
  <c r="B112"/>
  <c r="C112"/>
  <c r="D112"/>
  <c r="E112"/>
  <c r="F112"/>
  <c r="B113"/>
  <c r="C113"/>
  <c r="D113"/>
  <c r="E113"/>
  <c r="F113"/>
  <c r="B114"/>
  <c r="C114"/>
  <c r="D114"/>
  <c r="E114"/>
  <c r="F114"/>
  <c r="B115"/>
  <c r="C115"/>
  <c r="D115"/>
  <c r="E115"/>
  <c r="F115"/>
  <c r="B116"/>
  <c r="C116"/>
  <c r="D116"/>
  <c r="E116"/>
  <c r="F116"/>
  <c r="B117"/>
  <c r="C117"/>
  <c r="D117"/>
  <c r="E117"/>
  <c r="F117"/>
  <c r="B118"/>
  <c r="C118"/>
  <c r="D118"/>
  <c r="E118"/>
  <c r="F118"/>
  <c r="B119"/>
  <c r="C119"/>
  <c r="D119"/>
  <c r="E119"/>
  <c r="F119"/>
  <c r="B120"/>
  <c r="C120"/>
  <c r="D120"/>
  <c r="E120"/>
  <c r="F120"/>
  <c r="B121"/>
  <c r="C121"/>
  <c r="D121"/>
  <c r="E121"/>
  <c r="F121"/>
  <c r="E2"/>
  <c r="D2"/>
  <c r="C2"/>
  <c r="B2"/>
  <c r="D119" i="1"/>
  <c r="D112"/>
  <c r="D111"/>
  <c r="D108"/>
  <c r="D107"/>
  <c r="D103"/>
  <c r="D87"/>
  <c r="D81"/>
  <c r="D80"/>
  <c r="D79"/>
  <c r="D76"/>
  <c r="D75"/>
  <c r="D71"/>
  <c r="D55"/>
  <c r="D44"/>
  <c r="D43"/>
  <c r="D37"/>
  <c r="D36"/>
  <c r="D28"/>
  <c r="D27"/>
  <c r="D21"/>
  <c r="D20"/>
  <c r="D19"/>
  <c r="D17"/>
  <c r="D16"/>
  <c r="D15"/>
  <c r="D13"/>
  <c r="D12"/>
  <c r="D11"/>
  <c r="D8"/>
  <c r="D9"/>
  <c r="D7"/>
  <c r="E122"/>
  <c r="E123" s="1"/>
  <c r="D124" s="1"/>
  <c r="E121"/>
  <c r="B30" i="3" s="1"/>
  <c r="E120" i="1"/>
  <c r="D121" s="1"/>
  <c r="E118"/>
  <c r="E119" s="1"/>
  <c r="D120" s="1"/>
  <c r="E116"/>
  <c r="D117" s="1"/>
  <c r="E115"/>
  <c r="D116" s="1"/>
  <c r="E114"/>
  <c r="E117" s="1"/>
  <c r="E110"/>
  <c r="E111" s="1"/>
  <c r="E109"/>
  <c r="B27" i="3" s="1"/>
  <c r="E108" i="1"/>
  <c r="D109" s="1"/>
  <c r="E107"/>
  <c r="E106"/>
  <c r="E105"/>
  <c r="B26" i="3" s="1"/>
  <c r="E104" i="1"/>
  <c r="D105" s="1"/>
  <c r="E102"/>
  <c r="E103" s="1"/>
  <c r="D104" s="1"/>
  <c r="E100"/>
  <c r="D101" s="1"/>
  <c r="E98"/>
  <c r="E99" s="1"/>
  <c r="D100" s="1"/>
  <c r="E95"/>
  <c r="D96" s="1"/>
  <c r="E94"/>
  <c r="E96" s="1"/>
  <c r="D97" s="1"/>
  <c r="E90"/>
  <c r="E91" s="1"/>
  <c r="D92" s="1"/>
  <c r="E86"/>
  <c r="E87" s="1"/>
  <c r="D88" s="1"/>
  <c r="E82"/>
  <c r="E85" s="1"/>
  <c r="B21" i="3" s="1"/>
  <c r="E81" i="1"/>
  <c r="E80"/>
  <c r="E78"/>
  <c r="E79" s="1"/>
  <c r="E76"/>
  <c r="D77" s="1"/>
  <c r="E75"/>
  <c r="E74"/>
  <c r="E77" s="1"/>
  <c r="B19" i="3" s="1"/>
  <c r="E72" i="1"/>
  <c r="D73" s="1"/>
  <c r="E70"/>
  <c r="E71" s="1"/>
  <c r="D72" s="1"/>
  <c r="E66"/>
  <c r="E67" s="1"/>
  <c r="D68" s="1"/>
  <c r="E62"/>
  <c r="E63" s="1"/>
  <c r="D64" s="1"/>
  <c r="E58"/>
  <c r="E59" s="1"/>
  <c r="D60" s="1"/>
  <c r="E54"/>
  <c r="E55" s="1"/>
  <c r="D56" s="1"/>
  <c r="E50"/>
  <c r="E53" s="1"/>
  <c r="B13" i="3" s="1"/>
  <c r="E46" i="1"/>
  <c r="E47" s="1"/>
  <c r="D48" s="1"/>
  <c r="E44"/>
  <c r="D45" s="1"/>
  <c r="E43"/>
  <c r="E42"/>
  <c r="E45" s="1"/>
  <c r="B11" i="3" s="1"/>
  <c r="E38" i="1"/>
  <c r="E39" s="1"/>
  <c r="D40" s="1"/>
  <c r="E37"/>
  <c r="B9" i="3" s="1"/>
  <c r="E36" i="1"/>
  <c r="E34"/>
  <c r="E35" s="1"/>
  <c r="E32"/>
  <c r="D33" s="1"/>
  <c r="E31"/>
  <c r="D32" s="1"/>
  <c r="E30"/>
  <c r="E33" s="1"/>
  <c r="E26"/>
  <c r="E27" s="1"/>
  <c r="E22"/>
  <c r="E23" s="1"/>
  <c r="D24" s="1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47"/>
  <c r="H48"/>
  <c r="H49"/>
  <c r="H50"/>
  <c r="H51"/>
  <c r="H52"/>
  <c r="H53"/>
  <c r="H54"/>
  <c r="H55"/>
  <c r="H56"/>
  <c r="H43"/>
  <c r="H44"/>
  <c r="H45"/>
  <c r="H46"/>
  <c r="H40"/>
  <c r="H41"/>
  <c r="H42"/>
  <c r="H39"/>
  <c r="D39" l="1"/>
  <c r="E49"/>
  <c r="B12" i="3" s="1"/>
  <c r="E12" s="1"/>
  <c r="E125" i="1"/>
  <c r="B31" i="3" s="1"/>
  <c r="D59" i="1"/>
  <c r="E93"/>
  <c r="B23" i="3" s="1"/>
  <c r="E23" s="1"/>
  <c r="E97" i="1"/>
  <c r="B24" i="3" s="1"/>
  <c r="E24" s="1"/>
  <c r="E124" i="1"/>
  <c r="D125" s="1"/>
  <c r="D31"/>
  <c r="D47"/>
  <c r="D63"/>
  <c r="D95"/>
  <c r="D23"/>
  <c r="E61"/>
  <c r="B15" i="3" s="1"/>
  <c r="E15" s="1"/>
  <c r="D91" i="1"/>
  <c r="D123"/>
  <c r="E48"/>
  <c r="D49" s="1"/>
  <c r="E52"/>
  <c r="D53" s="1"/>
  <c r="E60"/>
  <c r="D61" s="1"/>
  <c r="E84"/>
  <c r="D85" s="1"/>
  <c r="E51"/>
  <c r="D52" s="1"/>
  <c r="E65"/>
  <c r="B16" i="3" s="1"/>
  <c r="E16" s="1"/>
  <c r="E73" i="1"/>
  <c r="B18" i="3" s="1"/>
  <c r="E83" i="1"/>
  <c r="D84" s="1"/>
  <c r="E92"/>
  <c r="D93" s="1"/>
  <c r="E101"/>
  <c r="B25" i="3" s="1"/>
  <c r="D35" i="1"/>
  <c r="D51"/>
  <c r="D67"/>
  <c r="D83"/>
  <c r="D99"/>
  <c r="D115"/>
  <c r="E29" i="3"/>
  <c r="E25"/>
  <c r="E21"/>
  <c r="E13"/>
  <c r="E9"/>
  <c r="E5"/>
  <c r="E20"/>
  <c r="E8"/>
  <c r="E4"/>
  <c r="E31"/>
  <c r="E27"/>
  <c r="E19"/>
  <c r="E30"/>
  <c r="E26"/>
  <c r="E18"/>
  <c r="E11"/>
  <c r="C3"/>
  <c r="C4" s="1"/>
  <c r="C5" s="1"/>
  <c r="E3"/>
  <c r="E2"/>
  <c r="F2" s="1"/>
  <c r="E113" i="1"/>
  <c r="B28" i="3" s="1"/>
  <c r="E28" s="1"/>
  <c r="E112" i="1"/>
  <c r="D113" s="1"/>
  <c r="E89"/>
  <c r="B22" i="3" s="1"/>
  <c r="E22" s="1"/>
  <c r="E88" i="1"/>
  <c r="D89" s="1"/>
  <c r="E69"/>
  <c r="B17" i="3" s="1"/>
  <c r="E17" s="1"/>
  <c r="E68" i="1"/>
  <c r="D69" s="1"/>
  <c r="E64"/>
  <c r="D65" s="1"/>
  <c r="E57"/>
  <c r="B14" i="3" s="1"/>
  <c r="E14" s="1"/>
  <c r="E56" i="1"/>
  <c r="D57" s="1"/>
  <c r="E41"/>
  <c r="B10" i="3" s="1"/>
  <c r="E10" s="1"/>
  <c r="E40" i="1"/>
  <c r="D41" s="1"/>
  <c r="E29"/>
  <c r="B7" i="3" s="1"/>
  <c r="E7" s="1"/>
  <c r="E28" i="1"/>
  <c r="D29" s="1"/>
  <c r="E25"/>
  <c r="B6" i="3" s="1"/>
  <c r="E6" s="1"/>
  <c r="E24" i="1"/>
  <c r="D25" s="1"/>
  <c r="G2" i="2"/>
  <c r="C6" i="3" l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F3"/>
  <c r="F4" s="1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2" i="2"/>
</calcChain>
</file>

<file path=xl/sharedStrings.xml><?xml version="1.0" encoding="utf-8"?>
<sst xmlns="http://schemas.openxmlformats.org/spreadsheetml/2006/main" count="160" uniqueCount="35">
  <si>
    <t>allianceBoss</t>
    <phoneticPr fontId="2" type="noConversion"/>
  </si>
  <si>
    <t>攻击次数(id)</t>
    <phoneticPr fontId="2" type="noConversion"/>
  </si>
  <si>
    <t>公会等级</t>
    <phoneticPr fontId="1" type="noConversion"/>
  </si>
  <si>
    <t>经验区间段</t>
    <phoneticPr fontId="1" type="noConversion"/>
  </si>
  <si>
    <t>名字</t>
    <phoneticPr fontId="1" type="noConversion"/>
  </si>
  <si>
    <t>贡献</t>
    <phoneticPr fontId="1" type="noConversion"/>
  </si>
  <si>
    <t>id</t>
    <phoneticPr fontId="2" type="noConversion"/>
  </si>
  <si>
    <t>level</t>
    <phoneticPr fontId="1" type="noConversion"/>
  </si>
  <si>
    <t>expStart</t>
    <phoneticPr fontId="1" type="noConversion"/>
  </si>
  <si>
    <t>expEnd</t>
    <phoneticPr fontId="1" type="noConversion"/>
  </si>
  <si>
    <t>name</t>
    <phoneticPr fontId="1" type="noConversion"/>
  </si>
  <si>
    <t>contribution</t>
    <phoneticPr fontId="1" type="noConversion"/>
  </si>
  <si>
    <t>活动时间</t>
    <phoneticPr fontId="1" type="noConversion"/>
  </si>
  <si>
    <t>time</t>
    <phoneticPr fontId="1" type="noConversion"/>
  </si>
  <si>
    <t>人数上限(popSize)</t>
    <phoneticPr fontId="1" type="noConversion"/>
  </si>
  <si>
    <t>popSize</t>
    <phoneticPr fontId="1" type="noConversion"/>
  </si>
  <si>
    <t>bossId</t>
    <phoneticPr fontId="1" type="noConversion"/>
  </si>
  <si>
    <t>怪物名称</t>
    <phoneticPr fontId="1" type="noConversion"/>
  </si>
  <si>
    <t>怪物血量</t>
    <phoneticPr fontId="1" type="noConversion"/>
  </si>
  <si>
    <t>bossHp</t>
    <phoneticPr fontId="1" type="noConversion"/>
  </si>
  <si>
    <t>怪物ID</t>
    <phoneticPr fontId="1" type="noConversion"/>
  </si>
  <si>
    <t>Boss等级</t>
    <phoneticPr fontId="1" type="noConversion"/>
  </si>
  <si>
    <t>monsterLevel</t>
    <phoneticPr fontId="1" type="noConversion"/>
  </si>
  <si>
    <t>魔兽</t>
    <phoneticPr fontId="1" type="noConversion"/>
  </si>
  <si>
    <t>工会等级</t>
    <phoneticPr fontId="1" type="noConversion"/>
  </si>
  <si>
    <t>所需经验</t>
    <phoneticPr fontId="1" type="noConversion"/>
  </si>
  <si>
    <t>总需经验</t>
    <phoneticPr fontId="1" type="noConversion"/>
  </si>
  <si>
    <t>BOSS经验</t>
    <phoneticPr fontId="1" type="noConversion"/>
  </si>
  <si>
    <t>打BOSS需要次数</t>
    <phoneticPr fontId="1" type="noConversion"/>
  </si>
  <si>
    <t>需要时间</t>
    <phoneticPr fontId="1" type="noConversion"/>
  </si>
  <si>
    <t>达到等级</t>
    <phoneticPr fontId="1" type="noConversion"/>
  </si>
  <si>
    <t>参考伤害</t>
    <phoneticPr fontId="1" type="noConversion"/>
  </si>
  <si>
    <t>BOSS血量</t>
    <phoneticPr fontId="1" type="noConversion"/>
  </si>
  <si>
    <t>魔兽</t>
    <phoneticPr fontId="1" type="noConversion"/>
  </si>
  <si>
    <t>openBossVitality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</si>
</sst>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_);[Red]\(0\)"/>
  </numFmts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2"/>
      <charset val="134"/>
    </font>
    <font>
      <sz val="11"/>
      <color theme="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VN/trunk/&#31574;&#21010;&#25968;&#25454;&#34920;/&#25968;&#20540;&#35745;&#31639;/&#25512;&#3163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天天挂机经验"/>
      <sheetName val="数值拟合"/>
      <sheetName val="特效"/>
      <sheetName val="经验值"/>
      <sheetName val="等级属性"/>
      <sheetName val="强化规则"/>
      <sheetName val="战斗力成长"/>
      <sheetName val="装备属性设计"/>
      <sheetName val="地图强度"/>
      <sheetName val="佣兵培养"/>
      <sheetName val="魔兽估算"/>
      <sheetName val="神器强度"/>
      <sheetName val="神器经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M2">
            <v>1</v>
          </cell>
          <cell r="N2">
            <v>50.35</v>
          </cell>
        </row>
        <row r="3">
          <cell r="M3">
            <v>2</v>
          </cell>
          <cell r="N3">
            <v>69.696851526469857</v>
          </cell>
        </row>
        <row r="4">
          <cell r="M4">
            <v>3</v>
          </cell>
          <cell r="N4">
            <v>92.081567539243068</v>
          </cell>
        </row>
        <row r="5">
          <cell r="M5">
            <v>4</v>
          </cell>
          <cell r="N5">
            <v>117.91307723579963</v>
          </cell>
        </row>
        <row r="6">
          <cell r="M6">
            <v>5</v>
          </cell>
          <cell r="N6">
            <v>134.87135856248298</v>
          </cell>
        </row>
        <row r="7">
          <cell r="M7">
            <v>6</v>
          </cell>
          <cell r="N7">
            <v>162.09037711005848</v>
          </cell>
        </row>
        <row r="8">
          <cell r="M8">
            <v>7</v>
          </cell>
          <cell r="N8">
            <v>194.80259286858984</v>
          </cell>
        </row>
        <row r="9">
          <cell r="M9">
            <v>8</v>
          </cell>
          <cell r="N9">
            <v>234.11661361339821</v>
          </cell>
        </row>
        <row r="10">
          <cell r="M10">
            <v>9</v>
          </cell>
          <cell r="N10">
            <v>281.3647804307173</v>
          </cell>
        </row>
        <row r="11">
          <cell r="M11">
            <v>10</v>
          </cell>
          <cell r="N11">
            <v>338.14832038171591</v>
          </cell>
        </row>
        <row r="12">
          <cell r="M12">
            <v>11</v>
          </cell>
          <cell r="N12">
            <v>383.46882527495353</v>
          </cell>
        </row>
        <row r="13">
          <cell r="M13">
            <v>12</v>
          </cell>
          <cell r="N13">
            <v>434.86343445905203</v>
          </cell>
        </row>
        <row r="14">
          <cell r="M14">
            <v>13</v>
          </cell>
          <cell r="N14">
            <v>493.14623292761792</v>
          </cell>
        </row>
        <row r="15">
          <cell r="M15">
            <v>14</v>
          </cell>
          <cell r="N15">
            <v>559.24041383985377</v>
          </cell>
        </row>
        <row r="16">
          <cell r="M16">
            <v>15</v>
          </cell>
          <cell r="N16">
            <v>634.19290179932329</v>
          </cell>
        </row>
        <row r="17">
          <cell r="M17">
            <v>16</v>
          </cell>
          <cell r="N17">
            <v>717.83402955878455</v>
          </cell>
        </row>
        <row r="18">
          <cell r="M18">
            <v>17</v>
          </cell>
          <cell r="N18">
            <v>812.50624617626681</v>
          </cell>
        </row>
        <row r="19">
          <cell r="M19">
            <v>18</v>
          </cell>
          <cell r="N19">
            <v>919.66439718832839</v>
          </cell>
        </row>
        <row r="20">
          <cell r="M20">
            <v>19</v>
          </cell>
          <cell r="N20">
            <v>1040.9552018044249</v>
          </cell>
        </row>
        <row r="21">
          <cell r="M21">
            <v>20</v>
          </cell>
          <cell r="N21">
            <v>1178.2425583468519</v>
          </cell>
        </row>
        <row r="22">
          <cell r="M22">
            <v>21</v>
          </cell>
          <cell r="N22">
            <v>1282.5834504370928</v>
          </cell>
        </row>
        <row r="23">
          <cell r="M23">
            <v>22</v>
          </cell>
          <cell r="N23">
            <v>1396.1643938945688</v>
          </cell>
        </row>
        <row r="24">
          <cell r="M24">
            <v>23</v>
          </cell>
          <cell r="N24">
            <v>1519.8036541908391</v>
          </cell>
        </row>
        <row r="25">
          <cell r="M25">
            <v>24</v>
          </cell>
          <cell r="N25">
            <v>1654.3919594229762</v>
          </cell>
        </row>
        <row r="26">
          <cell r="M26">
            <v>25</v>
          </cell>
          <cell r="N26">
            <v>1800.8989173411426</v>
          </cell>
        </row>
        <row r="27">
          <cell r="M27">
            <v>26</v>
          </cell>
          <cell r="N27">
            <v>1955.5488502201856</v>
          </cell>
        </row>
        <row r="28">
          <cell r="M28">
            <v>27</v>
          </cell>
          <cell r="N28">
            <v>2123.4791518690668</v>
          </cell>
        </row>
        <row r="29">
          <cell r="M29">
            <v>28</v>
          </cell>
          <cell r="N29">
            <v>2305.830257277828</v>
          </cell>
        </row>
        <row r="30">
          <cell r="M30">
            <v>29</v>
          </cell>
          <cell r="N30">
            <v>2503.8405348590727</v>
          </cell>
        </row>
        <row r="31">
          <cell r="M31">
            <v>30</v>
          </cell>
          <cell r="N31">
            <v>2718.85469635764</v>
          </cell>
        </row>
        <row r="32">
          <cell r="M32">
            <v>31</v>
          </cell>
          <cell r="N32">
            <v>2940.0516284431505</v>
          </cell>
        </row>
        <row r="33">
          <cell r="M33">
            <v>32</v>
          </cell>
          <cell r="N33">
            <v>3179.244403715717</v>
          </cell>
        </row>
        <row r="34">
          <cell r="M34">
            <v>33</v>
          </cell>
          <cell r="N34">
            <v>3437.8971038375926</v>
          </cell>
        </row>
        <row r="35">
          <cell r="M35">
            <v>34</v>
          </cell>
          <cell r="N35">
            <v>3717.5929232623271</v>
          </cell>
        </row>
        <row r="36">
          <cell r="M36">
            <v>35</v>
          </cell>
          <cell r="N36">
            <v>4020.0438598534074</v>
          </cell>
        </row>
        <row r="37">
          <cell r="M37">
            <v>36</v>
          </cell>
          <cell r="N37">
            <v>4342.6042734876492</v>
          </cell>
        </row>
        <row r="38">
          <cell r="M38">
            <v>37</v>
          </cell>
          <cell r="N38">
            <v>4691.046300375654</v>
          </cell>
        </row>
        <row r="39">
          <cell r="M39">
            <v>38</v>
          </cell>
          <cell r="N39">
            <v>5067.4466302670116</v>
          </cell>
        </row>
        <row r="40">
          <cell r="M40">
            <v>39</v>
          </cell>
          <cell r="N40">
            <v>5474.0485824128709</v>
          </cell>
        </row>
        <row r="41">
          <cell r="M41">
            <v>40</v>
          </cell>
          <cell r="N41">
            <v>5913.2754755894566</v>
          </cell>
        </row>
        <row r="42">
          <cell r="M42">
            <v>41</v>
          </cell>
          <cell r="N42">
            <v>6211.3742937186362</v>
          </cell>
        </row>
        <row r="43">
          <cell r="M43">
            <v>42</v>
          </cell>
          <cell r="N43">
            <v>6524.5008077055263</v>
          </cell>
        </row>
        <row r="44">
          <cell r="M44">
            <v>43</v>
          </cell>
          <cell r="N44">
            <v>6853.4125906401814</v>
          </cell>
        </row>
        <row r="45">
          <cell r="M45">
            <v>44</v>
          </cell>
          <cell r="N45">
            <v>7198.9054062303139</v>
          </cell>
        </row>
        <row r="46">
          <cell r="M46">
            <v>45</v>
          </cell>
          <cell r="N46">
            <v>7561.8151340587992</v>
          </cell>
        </row>
        <row r="47">
          <cell r="M47">
            <v>46</v>
          </cell>
          <cell r="N47">
            <v>8084.4424098717127</v>
          </cell>
        </row>
        <row r="48">
          <cell r="M48">
            <v>47</v>
          </cell>
          <cell r="N48">
            <v>8643.1905461634015</v>
          </cell>
        </row>
        <row r="49">
          <cell r="M49">
            <v>48</v>
          </cell>
          <cell r="N49">
            <v>9240.5560000116129</v>
          </cell>
        </row>
        <row r="50">
          <cell r="M50">
            <v>49</v>
          </cell>
          <cell r="N50">
            <v>9879.2077686234934</v>
          </cell>
        </row>
        <row r="51">
          <cell r="M51">
            <v>50</v>
          </cell>
          <cell r="N51">
            <v>10561.999314273742</v>
          </cell>
        </row>
        <row r="52">
          <cell r="M52">
            <v>51</v>
          </cell>
          <cell r="N52">
            <v>11092.993176288594</v>
          </cell>
        </row>
        <row r="53">
          <cell r="M53">
            <v>52</v>
          </cell>
          <cell r="N53">
            <v>11650.682219121758</v>
          </cell>
        </row>
        <row r="54">
          <cell r="M54">
            <v>53</v>
          </cell>
          <cell r="N54">
            <v>12236.408516062405</v>
          </cell>
        </row>
        <row r="55">
          <cell r="M55">
            <v>54</v>
          </cell>
          <cell r="N55">
            <v>12851.581611780615</v>
          </cell>
        </row>
        <row r="56">
          <cell r="M56">
            <v>55</v>
          </cell>
          <cell r="N56">
            <v>13497.681914383003</v>
          </cell>
        </row>
        <row r="57">
          <cell r="M57">
            <v>56</v>
          </cell>
          <cell r="N57">
            <v>14585.320621823499</v>
          </cell>
        </row>
        <row r="58">
          <cell r="M58">
            <v>57</v>
          </cell>
          <cell r="N58">
            <v>15760.600893602703</v>
          </cell>
        </row>
        <row r="59">
          <cell r="M59">
            <v>58</v>
          </cell>
          <cell r="N59">
            <v>17030.584857748232</v>
          </cell>
        </row>
        <row r="60">
          <cell r="M60">
            <v>59</v>
          </cell>
          <cell r="N60">
            <v>18402.903706209083</v>
          </cell>
        </row>
        <row r="61">
          <cell r="M61">
            <v>60</v>
          </cell>
          <cell r="N61">
            <v>19885.803549836648</v>
          </cell>
        </row>
        <row r="62">
          <cell r="M62">
            <v>61</v>
          </cell>
          <cell r="N62">
            <v>21507.734848175529</v>
          </cell>
        </row>
        <row r="63">
          <cell r="M63">
            <v>62</v>
          </cell>
          <cell r="N63">
            <v>23261.954546625497</v>
          </cell>
        </row>
        <row r="64">
          <cell r="M64">
            <v>63</v>
          </cell>
          <cell r="N64">
            <v>25159.252387527595</v>
          </cell>
        </row>
        <row r="65">
          <cell r="M65">
            <v>64</v>
          </cell>
          <cell r="N65">
            <v>27211.29814911179</v>
          </cell>
        </row>
        <row r="66">
          <cell r="M66">
            <v>65</v>
          </cell>
          <cell r="N66">
            <v>29430.713423222653</v>
          </cell>
        </row>
        <row r="67">
          <cell r="M67">
            <v>66</v>
          </cell>
          <cell r="N67">
            <v>31212.963955310443</v>
          </cell>
        </row>
        <row r="68">
          <cell r="M68">
            <v>67</v>
          </cell>
          <cell r="N68">
            <v>33103.143130290759</v>
          </cell>
        </row>
        <row r="69">
          <cell r="M69">
            <v>68</v>
          </cell>
          <cell r="N69">
            <v>35107.786837336811</v>
          </cell>
        </row>
        <row r="70">
          <cell r="M70">
            <v>69</v>
          </cell>
          <cell r="N70">
            <v>37233.826762753502</v>
          </cell>
        </row>
        <row r="71">
          <cell r="M71">
            <v>70</v>
          </cell>
          <cell r="N71">
            <v>39488.614358463616</v>
          </cell>
        </row>
        <row r="72">
          <cell r="M72">
            <v>71</v>
          </cell>
          <cell r="N72">
            <v>41553.400279306596</v>
          </cell>
        </row>
        <row r="73">
          <cell r="M73">
            <v>72</v>
          </cell>
          <cell r="N73">
            <v>43726.150001062168</v>
          </cell>
        </row>
        <row r="74">
          <cell r="M74">
            <v>73</v>
          </cell>
          <cell r="N74">
            <v>46012.508749315144</v>
          </cell>
        </row>
        <row r="75">
          <cell r="M75">
            <v>74</v>
          </cell>
          <cell r="N75">
            <v>48418.416927956707</v>
          </cell>
        </row>
        <row r="76">
          <cell r="M76">
            <v>75</v>
          </cell>
          <cell r="N76">
            <v>50950.125553507001</v>
          </cell>
        </row>
        <row r="77">
          <cell r="M77">
            <v>76</v>
          </cell>
          <cell r="N77">
            <v>53374.843798422182</v>
          </cell>
        </row>
        <row r="78">
          <cell r="M78">
            <v>77</v>
          </cell>
          <cell r="N78">
            <v>55914.954468838849</v>
          </cell>
        </row>
        <row r="79">
          <cell r="M79">
            <v>78</v>
          </cell>
          <cell r="N79">
            <v>58575.949094294941</v>
          </cell>
        </row>
        <row r="80">
          <cell r="M80">
            <v>79</v>
          </cell>
          <cell r="N80">
            <v>61363.580546409852</v>
          </cell>
        </row>
        <row r="81">
          <cell r="M81">
            <v>80</v>
          </cell>
          <cell r="N81">
            <v>64283.875476163208</v>
          </cell>
        </row>
        <row r="82">
          <cell r="M82">
            <v>81</v>
          </cell>
          <cell r="N82">
            <v>67189.804052131396</v>
          </cell>
        </row>
        <row r="83">
          <cell r="M83">
            <v>82</v>
          </cell>
          <cell r="N83">
            <v>70227.094043790203</v>
          </cell>
        </row>
        <row r="84">
          <cell r="M84">
            <v>83</v>
          </cell>
          <cell r="N84">
            <v>73401.683594862407</v>
          </cell>
        </row>
        <row r="85">
          <cell r="M85">
            <v>84</v>
          </cell>
          <cell r="N85">
            <v>76719.779280639443</v>
          </cell>
        </row>
        <row r="86">
          <cell r="M86">
            <v>85</v>
          </cell>
          <cell r="N86">
            <v>80187.868242330151</v>
          </cell>
        </row>
        <row r="87">
          <cell r="M87">
            <v>86</v>
          </cell>
          <cell r="N87">
            <v>83757.265939358127</v>
          </cell>
        </row>
        <row r="88">
          <cell r="M88">
            <v>87</v>
          </cell>
          <cell r="N88">
            <v>87485.54801875983</v>
          </cell>
        </row>
        <row r="89">
          <cell r="M89">
            <v>88</v>
          </cell>
          <cell r="N89">
            <v>91379.786891374577</v>
          </cell>
        </row>
        <row r="90">
          <cell r="M90">
            <v>89</v>
          </cell>
          <cell r="N90">
            <v>95447.369781834786</v>
          </cell>
        </row>
        <row r="91">
          <cell r="M91">
            <v>90</v>
          </cell>
          <cell r="N91">
            <v>99696.012741853192</v>
          </cell>
        </row>
        <row r="92">
          <cell r="M92">
            <v>91</v>
          </cell>
          <cell r="N92">
            <v>103940.68355207088</v>
          </cell>
        </row>
        <row r="93">
          <cell r="M93">
            <v>92</v>
          </cell>
          <cell r="N93">
            <v>108366.07603602057</v>
          </cell>
        </row>
        <row r="94">
          <cell r="M94">
            <v>93</v>
          </cell>
          <cell r="N94">
            <v>112979.88462392236</v>
          </cell>
        </row>
        <row r="95">
          <cell r="M95">
            <v>94</v>
          </cell>
          <cell r="N95">
            <v>117790.13134508939</v>
          </cell>
        </row>
        <row r="96">
          <cell r="M96">
            <v>95</v>
          </cell>
          <cell r="N96">
            <v>122805.17977583079</v>
          </cell>
        </row>
        <row r="97">
          <cell r="M97">
            <v>96</v>
          </cell>
          <cell r="N97">
            <v>127814.54019948648</v>
          </cell>
        </row>
        <row r="98">
          <cell r="M98">
            <v>97</v>
          </cell>
          <cell r="N98">
            <v>133028.2380289413</v>
          </cell>
        </row>
        <row r="99">
          <cell r="M99">
            <v>98</v>
          </cell>
          <cell r="N99">
            <v>138454.6084151681</v>
          </cell>
        </row>
        <row r="100">
          <cell r="M100">
            <v>99</v>
          </cell>
          <cell r="N100">
            <v>144102.32650925609</v>
          </cell>
        </row>
        <row r="101">
          <cell r="M101">
            <v>100</v>
          </cell>
          <cell r="N101">
            <v>149980.42133139513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M125"/>
  <sheetViews>
    <sheetView tabSelected="1" topLeftCell="A83" workbookViewId="0">
      <pane xSplit="3" topLeftCell="D1" activePane="topRight" state="frozen"/>
      <selection pane="topRight" activeCell="M6" sqref="M6:M125"/>
    </sheetView>
  </sheetViews>
  <sheetFormatPr defaultRowHeight="13.5"/>
  <cols>
    <col min="2" max="2" width="14.875" customWidth="1"/>
    <col min="3" max="3" width="19.625" customWidth="1"/>
    <col min="4" max="4" width="15" customWidth="1"/>
    <col min="5" max="5" width="14.375" customWidth="1"/>
    <col min="6" max="7" width="13.125" customWidth="1"/>
    <col min="8" max="8" width="17.625" customWidth="1"/>
    <col min="9" max="9" width="15.875" customWidth="1"/>
    <col min="12" max="12" width="13.5" style="3" customWidth="1"/>
    <col min="13" max="13" width="16.625" customWidth="1"/>
  </cols>
  <sheetData>
    <row r="1" spans="1:13">
      <c r="A1" t="s">
        <v>0</v>
      </c>
    </row>
    <row r="2" spans="1:13">
      <c r="A2" s="1"/>
      <c r="B2" s="1"/>
      <c r="C2" s="1"/>
      <c r="D2" s="1"/>
      <c r="E2" s="1"/>
      <c r="F2" s="1"/>
      <c r="G2" s="1"/>
      <c r="H2" s="1"/>
      <c r="I2" s="1"/>
    </row>
    <row r="3" spans="1:13">
      <c r="B3" t="s">
        <v>1</v>
      </c>
      <c r="C3" t="s">
        <v>2</v>
      </c>
      <c r="D3" t="s">
        <v>3</v>
      </c>
      <c r="E3" t="s">
        <v>3</v>
      </c>
      <c r="F3" t="s">
        <v>4</v>
      </c>
      <c r="G3" t="s">
        <v>21</v>
      </c>
      <c r="H3" t="s">
        <v>14</v>
      </c>
      <c r="I3" t="s">
        <v>5</v>
      </c>
      <c r="J3" t="s">
        <v>12</v>
      </c>
      <c r="K3" t="s">
        <v>20</v>
      </c>
      <c r="L3" s="3" t="s">
        <v>18</v>
      </c>
      <c r="M3" t="s">
        <v>33</v>
      </c>
    </row>
    <row r="4" spans="1:13"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22</v>
      </c>
      <c r="H4" s="2" t="s">
        <v>15</v>
      </c>
      <c r="I4" t="s">
        <v>11</v>
      </c>
      <c r="J4" t="s">
        <v>13</v>
      </c>
      <c r="K4" t="s">
        <v>16</v>
      </c>
      <c r="L4" s="3" t="s">
        <v>19</v>
      </c>
      <c r="M4" t="s">
        <v>34</v>
      </c>
    </row>
    <row r="6" spans="1:13">
      <c r="B6">
        <v>1</v>
      </c>
      <c r="C6">
        <v>1</v>
      </c>
      <c r="D6">
        <v>0</v>
      </c>
      <c r="E6">
        <v>1000</v>
      </c>
      <c r="F6" t="s">
        <v>23</v>
      </c>
      <c r="G6">
        <v>20</v>
      </c>
      <c r="H6">
        <v>20</v>
      </c>
      <c r="I6">
        <v>1000</v>
      </c>
      <c r="J6">
        <v>240</v>
      </c>
      <c r="K6">
        <v>1</v>
      </c>
      <c r="L6" s="3">
        <v>160000</v>
      </c>
      <c r="M6">
        <v>1000</v>
      </c>
    </row>
    <row r="7" spans="1:13">
      <c r="B7">
        <v>2</v>
      </c>
      <c r="C7">
        <v>1</v>
      </c>
      <c r="D7">
        <f>E6+1</f>
        <v>1001</v>
      </c>
      <c r="E7">
        <v>2000</v>
      </c>
      <c r="F7" t="s">
        <v>23</v>
      </c>
      <c r="G7">
        <v>25</v>
      </c>
      <c r="H7">
        <v>20</v>
      </c>
      <c r="I7">
        <v>1100</v>
      </c>
      <c r="J7">
        <v>240</v>
      </c>
      <c r="K7">
        <v>2</v>
      </c>
      <c r="L7" s="3">
        <f>ROUND(POWER(L$9/L$6,1/3)*L6,-2)</f>
        <v>191900</v>
      </c>
      <c r="M7">
        <v>1050</v>
      </c>
    </row>
    <row r="8" spans="1:13">
      <c r="B8">
        <v>3</v>
      </c>
      <c r="C8">
        <v>1</v>
      </c>
      <c r="D8">
        <f t="shared" ref="D8:D9" si="0">E7+1</f>
        <v>2001</v>
      </c>
      <c r="E8">
        <v>3000</v>
      </c>
      <c r="F8" t="s">
        <v>23</v>
      </c>
      <c r="G8">
        <v>30</v>
      </c>
      <c r="H8">
        <v>20</v>
      </c>
      <c r="I8">
        <v>1200</v>
      </c>
      <c r="J8">
        <v>240</v>
      </c>
      <c r="K8">
        <v>3</v>
      </c>
      <c r="L8" s="3">
        <f>ROUND(POWER(L$9/L$6,1/3)*L7,-2)</f>
        <v>230100</v>
      </c>
      <c r="M8">
        <v>1100</v>
      </c>
    </row>
    <row r="9" spans="1:13">
      <c r="B9">
        <v>4</v>
      </c>
      <c r="C9">
        <v>1</v>
      </c>
      <c r="D9">
        <f t="shared" si="0"/>
        <v>3001</v>
      </c>
      <c r="E9">
        <v>4000</v>
      </c>
      <c r="F9" t="s">
        <v>23</v>
      </c>
      <c r="G9">
        <v>35</v>
      </c>
      <c r="H9">
        <v>20</v>
      </c>
      <c r="I9">
        <v>1300</v>
      </c>
      <c r="J9">
        <v>240</v>
      </c>
      <c r="K9">
        <v>4</v>
      </c>
      <c r="L9" s="3">
        <v>275900</v>
      </c>
      <c r="M9">
        <v>1150</v>
      </c>
    </row>
    <row r="10" spans="1:13">
      <c r="B10">
        <v>5</v>
      </c>
      <c r="C10">
        <v>2</v>
      </c>
      <c r="D10">
        <v>0</v>
      </c>
      <c r="E10">
        <v>2000</v>
      </c>
      <c r="F10" t="s">
        <v>23</v>
      </c>
      <c r="G10">
        <v>40</v>
      </c>
      <c r="H10">
        <v>22</v>
      </c>
      <c r="I10">
        <v>1400</v>
      </c>
      <c r="J10">
        <v>240</v>
      </c>
      <c r="K10">
        <v>5</v>
      </c>
      <c r="L10" s="3">
        <f>ROUND(POWER(L13/L9,1/4)*L9,-2)</f>
        <v>376200</v>
      </c>
      <c r="M10">
        <v>1200</v>
      </c>
    </row>
    <row r="11" spans="1:13">
      <c r="B11">
        <v>6</v>
      </c>
      <c r="C11">
        <v>2</v>
      </c>
      <c r="D11">
        <f>E10+1</f>
        <v>2001</v>
      </c>
      <c r="E11">
        <v>4000</v>
      </c>
      <c r="F11" t="s">
        <v>23</v>
      </c>
      <c r="G11">
        <v>45</v>
      </c>
      <c r="H11">
        <v>22</v>
      </c>
      <c r="I11">
        <v>1500</v>
      </c>
      <c r="J11">
        <v>240</v>
      </c>
      <c r="K11">
        <v>6</v>
      </c>
      <c r="L11" s="3">
        <f>ROUND(POWER(L13/L9,1/4)*L10,-2)</f>
        <v>513000</v>
      </c>
      <c r="M11">
        <v>1250</v>
      </c>
    </row>
    <row r="12" spans="1:13">
      <c r="B12">
        <v>7</v>
      </c>
      <c r="C12">
        <v>2</v>
      </c>
      <c r="D12">
        <f t="shared" ref="D12:D13" si="1">E11+1</f>
        <v>4001</v>
      </c>
      <c r="E12">
        <v>6000</v>
      </c>
      <c r="F12" t="s">
        <v>23</v>
      </c>
      <c r="G12">
        <v>50</v>
      </c>
      <c r="H12">
        <v>22</v>
      </c>
      <c r="I12">
        <v>1600</v>
      </c>
      <c r="J12">
        <v>240</v>
      </c>
      <c r="K12">
        <v>7</v>
      </c>
      <c r="L12" s="3">
        <f>ROUND(POWER(L13/L9,1/4)*L11,-2)</f>
        <v>699500</v>
      </c>
      <c r="M12">
        <v>1300</v>
      </c>
    </row>
    <row r="13" spans="1:13">
      <c r="B13">
        <v>8</v>
      </c>
      <c r="C13">
        <v>2</v>
      </c>
      <c r="D13">
        <f t="shared" si="1"/>
        <v>6001</v>
      </c>
      <c r="E13">
        <v>8000</v>
      </c>
      <c r="F13" t="s">
        <v>23</v>
      </c>
      <c r="G13">
        <v>55</v>
      </c>
      <c r="H13">
        <v>22</v>
      </c>
      <c r="I13">
        <v>1700</v>
      </c>
      <c r="J13">
        <v>240</v>
      </c>
      <c r="K13">
        <v>8</v>
      </c>
      <c r="L13" s="3">
        <v>953800</v>
      </c>
      <c r="M13">
        <v>1350</v>
      </c>
    </row>
    <row r="14" spans="1:13">
      <c r="B14">
        <v>9</v>
      </c>
      <c r="C14">
        <v>3</v>
      </c>
      <c r="D14">
        <v>0</v>
      </c>
      <c r="E14">
        <v>3000</v>
      </c>
      <c r="F14" t="s">
        <v>23</v>
      </c>
      <c r="G14">
        <v>60</v>
      </c>
      <c r="H14">
        <v>24</v>
      </c>
      <c r="I14">
        <v>1800</v>
      </c>
      <c r="J14">
        <v>240</v>
      </c>
      <c r="K14">
        <v>9</v>
      </c>
      <c r="L14" s="3">
        <f>ROUND(POWER(L17/L13,1/4)*L13,-2)</f>
        <v>1127600</v>
      </c>
      <c r="M14">
        <v>1400</v>
      </c>
    </row>
    <row r="15" spans="1:13">
      <c r="B15">
        <v>10</v>
      </c>
      <c r="C15">
        <v>3</v>
      </c>
      <c r="D15">
        <f>E14+1</f>
        <v>3001</v>
      </c>
      <c r="E15">
        <v>6000</v>
      </c>
      <c r="F15" t="s">
        <v>23</v>
      </c>
      <c r="G15">
        <v>65</v>
      </c>
      <c r="H15">
        <v>24</v>
      </c>
      <c r="I15">
        <v>1900</v>
      </c>
      <c r="J15">
        <v>240</v>
      </c>
      <c r="K15">
        <v>10</v>
      </c>
      <c r="L15" s="3">
        <f>ROUND(POWER(L17/L13,1/4)*L14,-2)</f>
        <v>1333100</v>
      </c>
      <c r="M15">
        <v>1450</v>
      </c>
    </row>
    <row r="16" spans="1:13">
      <c r="B16">
        <v>11</v>
      </c>
      <c r="C16">
        <v>3</v>
      </c>
      <c r="D16">
        <f t="shared" ref="D16:D17" si="2">E15+1</f>
        <v>6001</v>
      </c>
      <c r="E16">
        <v>9000</v>
      </c>
      <c r="F16" t="s">
        <v>23</v>
      </c>
      <c r="G16">
        <v>70</v>
      </c>
      <c r="H16">
        <v>24</v>
      </c>
      <c r="I16">
        <v>2000</v>
      </c>
      <c r="J16">
        <v>240</v>
      </c>
      <c r="K16">
        <v>11</v>
      </c>
      <c r="L16" s="3">
        <f>ROUND(POWER(L17/L13,1/4)*L15,-2)</f>
        <v>1576100</v>
      </c>
      <c r="M16">
        <v>1500</v>
      </c>
    </row>
    <row r="17" spans="2:13">
      <c r="B17">
        <v>12</v>
      </c>
      <c r="C17">
        <v>3</v>
      </c>
      <c r="D17">
        <f t="shared" si="2"/>
        <v>9001</v>
      </c>
      <c r="E17">
        <v>12000</v>
      </c>
      <c r="F17" t="s">
        <v>23</v>
      </c>
      <c r="G17">
        <v>75</v>
      </c>
      <c r="H17">
        <v>24</v>
      </c>
      <c r="I17">
        <v>2100</v>
      </c>
      <c r="J17">
        <v>240</v>
      </c>
      <c r="K17">
        <v>12</v>
      </c>
      <c r="L17" s="3">
        <v>1863400</v>
      </c>
      <c r="M17">
        <v>1550</v>
      </c>
    </row>
    <row r="18" spans="2:13">
      <c r="B18">
        <v>13</v>
      </c>
      <c r="C18">
        <v>4</v>
      </c>
      <c r="D18">
        <v>0</v>
      </c>
      <c r="E18">
        <v>4500</v>
      </c>
      <c r="F18" t="s">
        <v>23</v>
      </c>
      <c r="G18">
        <v>80</v>
      </c>
      <c r="H18">
        <v>26</v>
      </c>
      <c r="I18">
        <v>2200</v>
      </c>
      <c r="J18">
        <v>240</v>
      </c>
      <c r="K18">
        <v>13</v>
      </c>
      <c r="L18" s="3">
        <f>ROUND(POWER(L21/L17,1/4)*L17,-2)</f>
        <v>2092600</v>
      </c>
      <c r="M18">
        <v>1600</v>
      </c>
    </row>
    <row r="19" spans="2:13">
      <c r="B19">
        <v>14</v>
      </c>
      <c r="C19">
        <v>4</v>
      </c>
      <c r="D19">
        <f>E18+1</f>
        <v>4501</v>
      </c>
      <c r="E19">
        <v>9000</v>
      </c>
      <c r="F19" t="s">
        <v>23</v>
      </c>
      <c r="G19">
        <v>85</v>
      </c>
      <c r="H19">
        <v>26</v>
      </c>
      <c r="I19">
        <v>2300</v>
      </c>
      <c r="J19">
        <v>240</v>
      </c>
      <c r="K19">
        <v>14</v>
      </c>
      <c r="L19" s="3">
        <f>ROUND(POWER(L21/L17,1/4)*L18,-2)</f>
        <v>2350000</v>
      </c>
      <c r="M19">
        <v>1650</v>
      </c>
    </row>
    <row r="20" spans="2:13">
      <c r="B20">
        <v>15</v>
      </c>
      <c r="C20">
        <v>4</v>
      </c>
      <c r="D20">
        <f t="shared" ref="D20:D21" si="3">E19+1</f>
        <v>9001</v>
      </c>
      <c r="E20">
        <v>13500</v>
      </c>
      <c r="F20" t="s">
        <v>23</v>
      </c>
      <c r="G20">
        <v>90</v>
      </c>
      <c r="H20">
        <v>26</v>
      </c>
      <c r="I20">
        <v>2400</v>
      </c>
      <c r="J20">
        <v>240</v>
      </c>
      <c r="K20">
        <v>15</v>
      </c>
      <c r="L20" s="3">
        <f>ROUND(POWER(L21/L17,1/4)*L19,-2)</f>
        <v>2639100</v>
      </c>
      <c r="M20">
        <v>1700</v>
      </c>
    </row>
    <row r="21" spans="2:13">
      <c r="B21">
        <v>16</v>
      </c>
      <c r="C21">
        <v>4</v>
      </c>
      <c r="D21">
        <f t="shared" si="3"/>
        <v>13501</v>
      </c>
      <c r="E21">
        <v>18000</v>
      </c>
      <c r="F21" t="s">
        <v>23</v>
      </c>
      <c r="G21">
        <v>95</v>
      </c>
      <c r="H21">
        <v>26</v>
      </c>
      <c r="I21">
        <v>2500</v>
      </c>
      <c r="J21">
        <v>240</v>
      </c>
      <c r="K21">
        <v>16</v>
      </c>
      <c r="L21" s="3">
        <v>2963800</v>
      </c>
      <c r="M21">
        <v>1750</v>
      </c>
    </row>
    <row r="22" spans="2:13">
      <c r="B22">
        <v>17</v>
      </c>
      <c r="C22">
        <v>5</v>
      </c>
      <c r="D22">
        <v>0</v>
      </c>
      <c r="E22">
        <f>(C22*C22+C22+20)*120</f>
        <v>6000</v>
      </c>
      <c r="F22" t="s">
        <v>23</v>
      </c>
      <c r="G22">
        <v>100</v>
      </c>
      <c r="H22">
        <v>28</v>
      </c>
      <c r="I22">
        <v>2600</v>
      </c>
      <c r="J22">
        <v>240</v>
      </c>
      <c r="K22">
        <v>17</v>
      </c>
      <c r="L22" s="3">
        <f>ROUND(POWER(L25/L21,1/4)*L21,-2)</f>
        <v>3330900</v>
      </c>
      <c r="M22">
        <v>1800</v>
      </c>
    </row>
    <row r="23" spans="2:13">
      <c r="B23">
        <v>18</v>
      </c>
      <c r="C23">
        <v>5</v>
      </c>
      <c r="D23">
        <f>E22+1</f>
        <v>6001</v>
      </c>
      <c r="E23">
        <f>E22*2</f>
        <v>12000</v>
      </c>
      <c r="F23" t="s">
        <v>23</v>
      </c>
      <c r="G23">
        <v>105</v>
      </c>
      <c r="H23">
        <v>28</v>
      </c>
      <c r="I23">
        <v>2700</v>
      </c>
      <c r="J23">
        <v>240</v>
      </c>
      <c r="K23">
        <v>18</v>
      </c>
      <c r="L23" s="3">
        <f>ROUND(POWER(L25/L21,1/4)*L22,-2)</f>
        <v>3743500</v>
      </c>
      <c r="M23">
        <v>1850</v>
      </c>
    </row>
    <row r="24" spans="2:13">
      <c r="B24">
        <v>19</v>
      </c>
      <c r="C24">
        <v>5</v>
      </c>
      <c r="D24">
        <f t="shared" ref="D24:D25" si="4">E23+1</f>
        <v>12001</v>
      </c>
      <c r="E24">
        <f>E22*3</f>
        <v>18000</v>
      </c>
      <c r="F24" t="s">
        <v>23</v>
      </c>
      <c r="G24">
        <v>110</v>
      </c>
      <c r="H24">
        <v>28</v>
      </c>
      <c r="I24">
        <v>2800</v>
      </c>
      <c r="J24">
        <v>240</v>
      </c>
      <c r="K24">
        <v>19</v>
      </c>
      <c r="L24" s="3">
        <f>ROUND(POWER(L25/L21,1/4)*L23,-2)</f>
        <v>4207200</v>
      </c>
      <c r="M24">
        <v>1900</v>
      </c>
    </row>
    <row r="25" spans="2:13">
      <c r="B25">
        <v>20</v>
      </c>
      <c r="C25">
        <v>5</v>
      </c>
      <c r="D25">
        <f t="shared" si="4"/>
        <v>18001</v>
      </c>
      <c r="E25">
        <f>E22*4</f>
        <v>24000</v>
      </c>
      <c r="F25" t="s">
        <v>23</v>
      </c>
      <c r="G25">
        <v>115</v>
      </c>
      <c r="H25">
        <v>28</v>
      </c>
      <c r="I25">
        <v>2900</v>
      </c>
      <c r="J25">
        <v>240</v>
      </c>
      <c r="K25">
        <v>20</v>
      </c>
      <c r="L25" s="3">
        <v>4728200</v>
      </c>
      <c r="M25">
        <v>1950</v>
      </c>
    </row>
    <row r="26" spans="2:13">
      <c r="B26">
        <v>21</v>
      </c>
      <c r="C26">
        <v>6</v>
      </c>
      <c r="D26">
        <v>0</v>
      </c>
      <c r="E26">
        <f>(C26*C26+C26+20)*120</f>
        <v>7440</v>
      </c>
      <c r="F26" t="s">
        <v>23</v>
      </c>
      <c r="G26">
        <v>120</v>
      </c>
      <c r="H26">
        <v>30</v>
      </c>
      <c r="I26">
        <v>3000</v>
      </c>
      <c r="J26">
        <v>240</v>
      </c>
      <c r="K26">
        <v>21</v>
      </c>
      <c r="L26" s="3">
        <f>ROUND(POWER(L29/L25,1/4)*L25,-2)</f>
        <v>5419900</v>
      </c>
      <c r="M26">
        <v>2000</v>
      </c>
    </row>
    <row r="27" spans="2:13">
      <c r="B27">
        <v>22</v>
      </c>
      <c r="C27">
        <v>6</v>
      </c>
      <c r="D27">
        <f>E26+1</f>
        <v>7441</v>
      </c>
      <c r="E27">
        <f>E26*2</f>
        <v>14880</v>
      </c>
      <c r="F27" t="s">
        <v>23</v>
      </c>
      <c r="G27">
        <v>125</v>
      </c>
      <c r="H27">
        <v>30</v>
      </c>
      <c r="I27">
        <v>3100</v>
      </c>
      <c r="J27">
        <v>240</v>
      </c>
      <c r="K27">
        <v>22</v>
      </c>
      <c r="L27" s="3">
        <f>ROUND(POWER(L29/L25,1/4)*L26,-2)</f>
        <v>6212800</v>
      </c>
      <c r="M27">
        <v>2050</v>
      </c>
    </row>
    <row r="28" spans="2:13">
      <c r="B28">
        <v>23</v>
      </c>
      <c r="C28">
        <v>6</v>
      </c>
      <c r="D28">
        <f t="shared" ref="D28:D29" si="5">E27+1</f>
        <v>14881</v>
      </c>
      <c r="E28">
        <f>E26*3</f>
        <v>22320</v>
      </c>
      <c r="F28" t="s">
        <v>23</v>
      </c>
      <c r="G28">
        <v>130</v>
      </c>
      <c r="H28">
        <v>30</v>
      </c>
      <c r="I28">
        <v>3200</v>
      </c>
      <c r="J28">
        <v>240</v>
      </c>
      <c r="K28">
        <v>23</v>
      </c>
      <c r="L28" s="3">
        <f>ROUND(POWER(L29/L25,1/4)*L27,-2)</f>
        <v>7121700</v>
      </c>
      <c r="M28">
        <v>2100</v>
      </c>
    </row>
    <row r="29" spans="2:13">
      <c r="B29">
        <v>24</v>
      </c>
      <c r="C29">
        <v>6</v>
      </c>
      <c r="D29">
        <f t="shared" si="5"/>
        <v>22321</v>
      </c>
      <c r="E29">
        <f>E26*4</f>
        <v>29760</v>
      </c>
      <c r="F29" t="s">
        <v>23</v>
      </c>
      <c r="G29">
        <v>135</v>
      </c>
      <c r="H29">
        <v>30</v>
      </c>
      <c r="I29">
        <v>3300</v>
      </c>
      <c r="J29">
        <v>240</v>
      </c>
      <c r="K29">
        <v>24</v>
      </c>
      <c r="L29" s="3">
        <v>8163400</v>
      </c>
      <c r="M29">
        <v>2150</v>
      </c>
    </row>
    <row r="30" spans="2:13">
      <c r="B30">
        <v>25</v>
      </c>
      <c r="C30">
        <v>7</v>
      </c>
      <c r="D30">
        <v>0</v>
      </c>
      <c r="E30">
        <f>(C30*C30+C30+20)*120</f>
        <v>9120</v>
      </c>
      <c r="F30" t="s">
        <v>23</v>
      </c>
      <c r="G30">
        <v>140</v>
      </c>
      <c r="H30">
        <v>32</v>
      </c>
      <c r="I30">
        <v>3400</v>
      </c>
      <c r="J30">
        <v>240</v>
      </c>
      <c r="K30">
        <v>25</v>
      </c>
      <c r="L30" s="3">
        <f>ROUND(POWER(L33/L29,1/4)*L29,-2)</f>
        <v>9074800</v>
      </c>
      <c r="M30">
        <v>2200</v>
      </c>
    </row>
    <row r="31" spans="2:13">
      <c r="B31">
        <v>26</v>
      </c>
      <c r="C31">
        <v>7</v>
      </c>
      <c r="D31">
        <f>E30+1</f>
        <v>9121</v>
      </c>
      <c r="E31">
        <f>E30*2</f>
        <v>18240</v>
      </c>
      <c r="F31" t="s">
        <v>23</v>
      </c>
      <c r="G31">
        <v>145</v>
      </c>
      <c r="H31">
        <v>32</v>
      </c>
      <c r="I31">
        <v>3500</v>
      </c>
      <c r="J31">
        <v>240</v>
      </c>
      <c r="K31">
        <v>26</v>
      </c>
      <c r="L31" s="3">
        <f>ROUND(POWER(L33/L29,1/4)*L30,-2)</f>
        <v>10087900</v>
      </c>
      <c r="M31">
        <v>2250</v>
      </c>
    </row>
    <row r="32" spans="2:13">
      <c r="B32">
        <v>27</v>
      </c>
      <c r="C32">
        <v>7</v>
      </c>
      <c r="D32">
        <f t="shared" ref="D32:D33" si="6">E31+1</f>
        <v>18241</v>
      </c>
      <c r="E32">
        <f>E30*3</f>
        <v>27360</v>
      </c>
      <c r="F32" t="s">
        <v>23</v>
      </c>
      <c r="G32">
        <v>150</v>
      </c>
      <c r="H32">
        <v>32</v>
      </c>
      <c r="I32">
        <v>3600</v>
      </c>
      <c r="J32">
        <v>240</v>
      </c>
      <c r="K32">
        <v>27</v>
      </c>
      <c r="L32" s="3">
        <f>ROUND(POWER(L33/L29,1/4)*L31,-2)</f>
        <v>11214100</v>
      </c>
      <c r="M32">
        <v>2300</v>
      </c>
    </row>
    <row r="33" spans="2:13">
      <c r="B33">
        <v>28</v>
      </c>
      <c r="C33">
        <v>7</v>
      </c>
      <c r="D33">
        <f t="shared" si="6"/>
        <v>27361</v>
      </c>
      <c r="E33">
        <f>E30*4</f>
        <v>36480</v>
      </c>
      <c r="F33" t="s">
        <v>23</v>
      </c>
      <c r="G33">
        <v>155</v>
      </c>
      <c r="H33">
        <v>32</v>
      </c>
      <c r="I33">
        <v>3700</v>
      </c>
      <c r="J33">
        <v>240</v>
      </c>
      <c r="K33">
        <v>28</v>
      </c>
      <c r="L33" s="3">
        <v>12466000</v>
      </c>
      <c r="M33">
        <v>2350</v>
      </c>
    </row>
    <row r="34" spans="2:13">
      <c r="B34">
        <v>29</v>
      </c>
      <c r="C34">
        <v>8</v>
      </c>
      <c r="D34">
        <v>0</v>
      </c>
      <c r="E34">
        <f>(C34*C34+C34+20)*120</f>
        <v>11040</v>
      </c>
      <c r="F34" t="s">
        <v>23</v>
      </c>
      <c r="G34">
        <v>160</v>
      </c>
      <c r="H34">
        <v>34</v>
      </c>
      <c r="I34">
        <v>3800</v>
      </c>
      <c r="J34">
        <v>240</v>
      </c>
      <c r="K34">
        <v>29</v>
      </c>
      <c r="L34" s="3">
        <f>ROUND(POWER(L37/L33,1/4)*L33,-2)</f>
        <v>13271200</v>
      </c>
      <c r="M34">
        <v>2400</v>
      </c>
    </row>
    <row r="35" spans="2:13">
      <c r="B35">
        <v>30</v>
      </c>
      <c r="C35">
        <v>8</v>
      </c>
      <c r="D35">
        <f>E34+1</f>
        <v>11041</v>
      </c>
      <c r="E35">
        <f>E34*2</f>
        <v>22080</v>
      </c>
      <c r="F35" t="s">
        <v>23</v>
      </c>
      <c r="G35">
        <v>165</v>
      </c>
      <c r="H35">
        <v>34</v>
      </c>
      <c r="I35">
        <v>3900</v>
      </c>
      <c r="J35">
        <v>240</v>
      </c>
      <c r="K35">
        <v>30</v>
      </c>
      <c r="L35" s="3">
        <f>ROUND(POWER(L37/L33,1/4)*L34,-2)</f>
        <v>14128400</v>
      </c>
      <c r="M35">
        <v>2450</v>
      </c>
    </row>
    <row r="36" spans="2:13">
      <c r="B36">
        <v>31</v>
      </c>
      <c r="C36">
        <v>8</v>
      </c>
      <c r="D36">
        <f t="shared" ref="D36:D37" si="7">E35+1</f>
        <v>22081</v>
      </c>
      <c r="E36">
        <f>E34*3</f>
        <v>33120</v>
      </c>
      <c r="F36" t="s">
        <v>23</v>
      </c>
      <c r="G36">
        <v>170</v>
      </c>
      <c r="H36">
        <v>34</v>
      </c>
      <c r="I36">
        <v>4000</v>
      </c>
      <c r="J36">
        <v>240</v>
      </c>
      <c r="K36">
        <v>31</v>
      </c>
      <c r="L36" s="3">
        <f>ROUND(POWER(L37/L33,1/4)*L35,-2)</f>
        <v>15041000</v>
      </c>
      <c r="M36">
        <v>2500</v>
      </c>
    </row>
    <row r="37" spans="2:13">
      <c r="B37">
        <v>32</v>
      </c>
      <c r="C37">
        <v>8</v>
      </c>
      <c r="D37">
        <f t="shared" si="7"/>
        <v>33121</v>
      </c>
      <c r="E37">
        <f>E34*4</f>
        <v>44160</v>
      </c>
      <c r="F37" t="s">
        <v>23</v>
      </c>
      <c r="G37">
        <v>175</v>
      </c>
      <c r="H37">
        <v>34</v>
      </c>
      <c r="I37">
        <v>4100</v>
      </c>
      <c r="J37">
        <v>240</v>
      </c>
      <c r="K37">
        <v>32</v>
      </c>
      <c r="L37" s="3">
        <v>16012500</v>
      </c>
      <c r="M37">
        <v>2550</v>
      </c>
    </row>
    <row r="38" spans="2:13">
      <c r="B38">
        <v>33</v>
      </c>
      <c r="C38">
        <v>9</v>
      </c>
      <c r="D38">
        <v>0</v>
      </c>
      <c r="E38">
        <f>(C38*C38+C38+20)*120</f>
        <v>13200</v>
      </c>
      <c r="F38" t="s">
        <v>23</v>
      </c>
      <c r="G38">
        <v>180</v>
      </c>
      <c r="H38">
        <v>36</v>
      </c>
      <c r="I38">
        <v>4200</v>
      </c>
      <c r="J38">
        <v>240</v>
      </c>
      <c r="K38">
        <v>33</v>
      </c>
      <c r="L38" s="3">
        <f>ROUND(POWER(L41/L37,1/4)*L37,-2)</f>
        <v>16774500</v>
      </c>
      <c r="M38">
        <v>2600</v>
      </c>
    </row>
    <row r="39" spans="2:13">
      <c r="B39">
        <v>34</v>
      </c>
      <c r="C39">
        <v>9</v>
      </c>
      <c r="D39">
        <f>E38+1</f>
        <v>13201</v>
      </c>
      <c r="E39">
        <f>E38*2</f>
        <v>26400</v>
      </c>
      <c r="F39" t="s">
        <v>23</v>
      </c>
      <c r="G39">
        <v>185</v>
      </c>
      <c r="H39">
        <f>C39*2+18</f>
        <v>36</v>
      </c>
      <c r="I39">
        <v>4300</v>
      </c>
      <c r="J39">
        <v>240</v>
      </c>
      <c r="K39">
        <v>34</v>
      </c>
      <c r="L39" s="3">
        <f>ROUND(POWER(L41/L37,1/4)*L38,-2)</f>
        <v>17572800</v>
      </c>
      <c r="M39">
        <v>2650</v>
      </c>
    </row>
    <row r="40" spans="2:13">
      <c r="B40">
        <v>35</v>
      </c>
      <c r="C40">
        <v>9</v>
      </c>
      <c r="D40">
        <f t="shared" ref="D40:D41" si="8">E39+1</f>
        <v>26401</v>
      </c>
      <c r="E40">
        <f>E38*3</f>
        <v>39600</v>
      </c>
      <c r="F40" t="s">
        <v>23</v>
      </c>
      <c r="G40">
        <v>190</v>
      </c>
      <c r="H40">
        <f t="shared" ref="H40:H103" si="9">C40*2+18</f>
        <v>36</v>
      </c>
      <c r="I40">
        <v>4400</v>
      </c>
      <c r="J40">
        <v>240</v>
      </c>
      <c r="K40">
        <v>35</v>
      </c>
      <c r="L40" s="3">
        <f>ROUND(POWER(L41/L37,1/4)*L39,-2)</f>
        <v>18409100</v>
      </c>
      <c r="M40">
        <v>2700</v>
      </c>
    </row>
    <row r="41" spans="2:13">
      <c r="B41">
        <v>36</v>
      </c>
      <c r="C41">
        <v>9</v>
      </c>
      <c r="D41">
        <f t="shared" si="8"/>
        <v>39601</v>
      </c>
      <c r="E41">
        <f>E38*4</f>
        <v>52800</v>
      </c>
      <c r="F41" t="s">
        <v>23</v>
      </c>
      <c r="G41">
        <v>195</v>
      </c>
      <c r="H41">
        <f t="shared" si="9"/>
        <v>36</v>
      </c>
      <c r="I41">
        <v>4500</v>
      </c>
      <c r="J41">
        <v>240</v>
      </c>
      <c r="K41">
        <v>36</v>
      </c>
      <c r="L41" s="3">
        <v>19285200</v>
      </c>
      <c r="M41">
        <v>2750</v>
      </c>
    </row>
    <row r="42" spans="2:13">
      <c r="B42">
        <v>37</v>
      </c>
      <c r="C42">
        <v>10</v>
      </c>
      <c r="D42">
        <v>0</v>
      </c>
      <c r="E42">
        <f>(C42*C42+C42+20)*120</f>
        <v>15600</v>
      </c>
      <c r="F42" t="s">
        <v>23</v>
      </c>
      <c r="G42">
        <v>200</v>
      </c>
      <c r="H42">
        <f t="shared" si="9"/>
        <v>38</v>
      </c>
      <c r="I42">
        <v>4600</v>
      </c>
      <c r="J42">
        <v>240</v>
      </c>
      <c r="K42">
        <v>37</v>
      </c>
      <c r="L42" s="3">
        <f>ROUND(POWER(L45/L41,1/4)*L41,-2)</f>
        <v>20157000</v>
      </c>
      <c r="M42">
        <v>2800</v>
      </c>
    </row>
    <row r="43" spans="2:13">
      <c r="B43">
        <v>38</v>
      </c>
      <c r="C43">
        <v>10</v>
      </c>
      <c r="D43">
        <f>E42+1</f>
        <v>15601</v>
      </c>
      <c r="E43">
        <f>E42*2</f>
        <v>31200</v>
      </c>
      <c r="F43" t="s">
        <v>23</v>
      </c>
      <c r="G43">
        <v>205</v>
      </c>
      <c r="H43">
        <f>C43*2+18</f>
        <v>38</v>
      </c>
      <c r="I43">
        <v>4700</v>
      </c>
      <c r="J43">
        <v>240</v>
      </c>
      <c r="K43">
        <v>38</v>
      </c>
      <c r="L43" s="3">
        <f>ROUND(POWER(L45/L41,1/4)*L42,-2)</f>
        <v>21068200</v>
      </c>
      <c r="M43">
        <v>2850</v>
      </c>
    </row>
    <row r="44" spans="2:13">
      <c r="B44">
        <v>39</v>
      </c>
      <c r="C44">
        <v>10</v>
      </c>
      <c r="D44">
        <f t="shared" ref="D44:D45" si="10">E43+1</f>
        <v>31201</v>
      </c>
      <c r="E44">
        <f>E42*3</f>
        <v>46800</v>
      </c>
      <c r="F44" t="s">
        <v>23</v>
      </c>
      <c r="G44">
        <v>210</v>
      </c>
      <c r="H44">
        <f t="shared" si="9"/>
        <v>38</v>
      </c>
      <c r="I44">
        <v>4800</v>
      </c>
      <c r="J44">
        <v>240</v>
      </c>
      <c r="K44">
        <v>39</v>
      </c>
      <c r="L44" s="3">
        <f>ROUND(POWER(L45/L41,1/4)*L43,-2)</f>
        <v>22020600</v>
      </c>
      <c r="M44">
        <v>2900</v>
      </c>
    </row>
    <row r="45" spans="2:13">
      <c r="B45">
        <v>40</v>
      </c>
      <c r="C45">
        <v>10</v>
      </c>
      <c r="D45">
        <f t="shared" si="10"/>
        <v>46801</v>
      </c>
      <c r="E45">
        <f>E42*4</f>
        <v>62400</v>
      </c>
      <c r="F45" t="s">
        <v>23</v>
      </c>
      <c r="G45">
        <v>215</v>
      </c>
      <c r="H45">
        <f t="shared" si="9"/>
        <v>38</v>
      </c>
      <c r="I45">
        <v>4900</v>
      </c>
      <c r="J45">
        <v>240</v>
      </c>
      <c r="K45">
        <v>40</v>
      </c>
      <c r="L45" s="3">
        <v>23015900</v>
      </c>
      <c r="M45">
        <v>2950</v>
      </c>
    </row>
    <row r="46" spans="2:13">
      <c r="B46">
        <v>41</v>
      </c>
      <c r="C46">
        <v>11</v>
      </c>
      <c r="D46">
        <v>0</v>
      </c>
      <c r="E46">
        <f>(C46*C46+C46+20)*120</f>
        <v>18240</v>
      </c>
      <c r="F46" t="s">
        <v>23</v>
      </c>
      <c r="G46">
        <v>220</v>
      </c>
      <c r="H46">
        <f t="shared" si="9"/>
        <v>40</v>
      </c>
      <c r="I46">
        <v>5000</v>
      </c>
      <c r="J46">
        <v>240</v>
      </c>
      <c r="K46">
        <v>41</v>
      </c>
      <c r="L46" s="3">
        <f>ROUND(POWER(L49/L45,1/4)*L45,-2)</f>
        <v>23784000</v>
      </c>
      <c r="M46">
        <v>3000</v>
      </c>
    </row>
    <row r="47" spans="2:13">
      <c r="B47">
        <v>42</v>
      </c>
      <c r="C47">
        <v>11</v>
      </c>
      <c r="D47">
        <f>E46+1</f>
        <v>18241</v>
      </c>
      <c r="E47">
        <f>E46*2</f>
        <v>36480</v>
      </c>
      <c r="F47" t="s">
        <v>23</v>
      </c>
      <c r="G47">
        <v>225</v>
      </c>
      <c r="H47">
        <f t="shared" si="9"/>
        <v>40</v>
      </c>
      <c r="I47">
        <v>5100</v>
      </c>
      <c r="J47">
        <v>240</v>
      </c>
      <c r="K47">
        <v>42</v>
      </c>
      <c r="L47" s="3">
        <f>ROUND(POWER(L49/L45,1/4)*L46,-2)</f>
        <v>24577800</v>
      </c>
      <c r="M47">
        <v>3050</v>
      </c>
    </row>
    <row r="48" spans="2:13">
      <c r="B48">
        <v>43</v>
      </c>
      <c r="C48">
        <v>11</v>
      </c>
      <c r="D48">
        <f t="shared" ref="D48:D49" si="11">E47+1</f>
        <v>36481</v>
      </c>
      <c r="E48">
        <f>E46*3</f>
        <v>54720</v>
      </c>
      <c r="F48" t="s">
        <v>23</v>
      </c>
      <c r="G48">
        <v>230</v>
      </c>
      <c r="H48">
        <f t="shared" si="9"/>
        <v>40</v>
      </c>
      <c r="I48">
        <v>5200</v>
      </c>
      <c r="J48">
        <v>240</v>
      </c>
      <c r="K48">
        <v>43</v>
      </c>
      <c r="L48" s="3">
        <f>ROUND(POWER(L49/L45,1/4)*L47,-2)</f>
        <v>25398100</v>
      </c>
      <c r="M48">
        <v>3100</v>
      </c>
    </row>
    <row r="49" spans="2:13">
      <c r="B49">
        <v>44</v>
      </c>
      <c r="C49">
        <v>11</v>
      </c>
      <c r="D49">
        <f t="shared" si="11"/>
        <v>54721</v>
      </c>
      <c r="E49">
        <f>E46*4</f>
        <v>72960</v>
      </c>
      <c r="F49" t="s">
        <v>23</v>
      </c>
      <c r="G49">
        <v>235</v>
      </c>
      <c r="H49">
        <f t="shared" si="9"/>
        <v>40</v>
      </c>
      <c r="I49">
        <v>5300</v>
      </c>
      <c r="J49">
        <v>240</v>
      </c>
      <c r="K49">
        <v>44</v>
      </c>
      <c r="L49" s="3">
        <v>26245700</v>
      </c>
      <c r="M49">
        <v>3150</v>
      </c>
    </row>
    <row r="50" spans="2:13">
      <c r="B50">
        <v>45</v>
      </c>
      <c r="C50">
        <v>12</v>
      </c>
      <c r="D50">
        <v>0</v>
      </c>
      <c r="E50">
        <f>(C50*C50+C50+20)*120</f>
        <v>21120</v>
      </c>
      <c r="F50" t="s">
        <v>23</v>
      </c>
      <c r="G50">
        <v>240</v>
      </c>
      <c r="H50">
        <f t="shared" si="9"/>
        <v>42</v>
      </c>
      <c r="I50">
        <v>5400</v>
      </c>
      <c r="J50">
        <v>240</v>
      </c>
      <c r="K50">
        <v>45</v>
      </c>
      <c r="L50" s="3">
        <f>ROUND(POWER(L53/L49,1/4)*L49,-2)</f>
        <v>27401200</v>
      </c>
      <c r="M50">
        <v>3200</v>
      </c>
    </row>
    <row r="51" spans="2:13">
      <c r="B51">
        <v>46</v>
      </c>
      <c r="C51">
        <v>12</v>
      </c>
      <c r="D51">
        <f>E50+1</f>
        <v>21121</v>
      </c>
      <c r="E51">
        <f>E50*2</f>
        <v>42240</v>
      </c>
      <c r="F51" t="s">
        <v>23</v>
      </c>
      <c r="G51">
        <v>245</v>
      </c>
      <c r="H51">
        <f t="shared" si="9"/>
        <v>42</v>
      </c>
      <c r="I51">
        <v>5500</v>
      </c>
      <c r="J51">
        <v>240</v>
      </c>
      <c r="K51">
        <v>46</v>
      </c>
      <c r="L51" s="3">
        <f>ROUND(POWER(L53/L49,1/4)*L50,-2)</f>
        <v>28607600</v>
      </c>
      <c r="M51">
        <v>3250</v>
      </c>
    </row>
    <row r="52" spans="2:13">
      <c r="B52">
        <v>47</v>
      </c>
      <c r="C52">
        <v>12</v>
      </c>
      <c r="D52">
        <f t="shared" ref="D52:D53" si="12">E51+1</f>
        <v>42241</v>
      </c>
      <c r="E52">
        <f>E50*3</f>
        <v>63360</v>
      </c>
      <c r="F52" t="s">
        <v>23</v>
      </c>
      <c r="G52">
        <v>250</v>
      </c>
      <c r="H52">
        <f t="shared" si="9"/>
        <v>42</v>
      </c>
      <c r="I52">
        <v>5600</v>
      </c>
      <c r="J52">
        <v>240</v>
      </c>
      <c r="K52">
        <v>47</v>
      </c>
      <c r="L52" s="3">
        <f>ROUND(POWER(L53/L49,1/4)*L51,-2)</f>
        <v>29867100</v>
      </c>
      <c r="M52">
        <v>3300</v>
      </c>
    </row>
    <row r="53" spans="2:13">
      <c r="B53">
        <v>48</v>
      </c>
      <c r="C53">
        <v>12</v>
      </c>
      <c r="D53">
        <f t="shared" si="12"/>
        <v>63361</v>
      </c>
      <c r="E53">
        <f>E50*4</f>
        <v>84480</v>
      </c>
      <c r="F53" t="s">
        <v>23</v>
      </c>
      <c r="G53">
        <v>255</v>
      </c>
      <c r="H53">
        <f t="shared" si="9"/>
        <v>42</v>
      </c>
      <c r="I53">
        <v>5700</v>
      </c>
      <c r="J53">
        <v>240</v>
      </c>
      <c r="K53">
        <v>48</v>
      </c>
      <c r="L53" s="3">
        <v>31182200</v>
      </c>
      <c r="M53">
        <v>3350</v>
      </c>
    </row>
    <row r="54" spans="2:13">
      <c r="B54">
        <v>49</v>
      </c>
      <c r="C54">
        <v>13</v>
      </c>
      <c r="D54">
        <v>0</v>
      </c>
      <c r="E54">
        <f>(C54*C54+C54+20)*120</f>
        <v>24240</v>
      </c>
      <c r="F54" t="s">
        <v>23</v>
      </c>
      <c r="G54">
        <v>260</v>
      </c>
      <c r="H54">
        <f t="shared" si="9"/>
        <v>44</v>
      </c>
      <c r="I54">
        <v>5800</v>
      </c>
      <c r="J54">
        <v>240</v>
      </c>
      <c r="K54">
        <v>49</v>
      </c>
      <c r="L54" s="3">
        <f>ROUND(POWER(L57/L53,1/4)*L53,-2)</f>
        <v>32172700</v>
      </c>
      <c r="M54">
        <v>3400</v>
      </c>
    </row>
    <row r="55" spans="2:13">
      <c r="B55">
        <v>50</v>
      </c>
      <c r="C55">
        <v>13</v>
      </c>
      <c r="D55">
        <f>E54+1</f>
        <v>24241</v>
      </c>
      <c r="E55">
        <f>E54*2</f>
        <v>48480</v>
      </c>
      <c r="F55" t="s">
        <v>23</v>
      </c>
      <c r="G55">
        <v>265</v>
      </c>
      <c r="H55">
        <f t="shared" si="9"/>
        <v>44</v>
      </c>
      <c r="I55">
        <v>5900</v>
      </c>
      <c r="J55">
        <v>240</v>
      </c>
      <c r="K55">
        <v>50</v>
      </c>
      <c r="L55" s="3">
        <f>ROUND(POWER(L57/L53,1/4)*L54,-2)</f>
        <v>33194700</v>
      </c>
      <c r="M55">
        <v>3450</v>
      </c>
    </row>
    <row r="56" spans="2:13">
      <c r="B56">
        <v>51</v>
      </c>
      <c r="C56">
        <v>13</v>
      </c>
      <c r="D56">
        <f t="shared" ref="D56:D57" si="13">E55+1</f>
        <v>48481</v>
      </c>
      <c r="E56">
        <f>E54*3</f>
        <v>72720</v>
      </c>
      <c r="F56" t="s">
        <v>23</v>
      </c>
      <c r="G56">
        <v>270</v>
      </c>
      <c r="H56">
        <f t="shared" si="9"/>
        <v>44</v>
      </c>
      <c r="I56">
        <v>6000</v>
      </c>
      <c r="J56">
        <v>240</v>
      </c>
      <c r="K56">
        <v>51</v>
      </c>
      <c r="L56" s="3">
        <f>ROUND(POWER(L57/L53,1/4)*L55,-2)</f>
        <v>34249100</v>
      </c>
      <c r="M56">
        <v>3500</v>
      </c>
    </row>
    <row r="57" spans="2:13">
      <c r="B57">
        <v>52</v>
      </c>
      <c r="C57">
        <v>13</v>
      </c>
      <c r="D57">
        <f t="shared" si="13"/>
        <v>72721</v>
      </c>
      <c r="E57">
        <f>E54*4</f>
        <v>96960</v>
      </c>
      <c r="F57" t="s">
        <v>23</v>
      </c>
      <c r="G57">
        <v>275</v>
      </c>
      <c r="H57">
        <f t="shared" si="9"/>
        <v>44</v>
      </c>
      <c r="I57">
        <v>6100</v>
      </c>
      <c r="J57">
        <v>240</v>
      </c>
      <c r="K57">
        <v>52</v>
      </c>
      <c r="L57" s="3">
        <v>35337000</v>
      </c>
      <c r="M57">
        <v>3550</v>
      </c>
    </row>
    <row r="58" spans="2:13">
      <c r="B58">
        <v>53</v>
      </c>
      <c r="C58">
        <v>14</v>
      </c>
      <c r="D58">
        <v>0</v>
      </c>
      <c r="E58">
        <f>(C58*C58+C58+20)*120</f>
        <v>27600</v>
      </c>
      <c r="F58" t="s">
        <v>23</v>
      </c>
      <c r="G58">
        <v>280</v>
      </c>
      <c r="H58">
        <f t="shared" si="9"/>
        <v>46</v>
      </c>
      <c r="I58">
        <v>6200</v>
      </c>
      <c r="J58">
        <v>240</v>
      </c>
      <c r="K58">
        <v>53</v>
      </c>
      <c r="L58" s="3">
        <f>ROUND(POWER(L61/L57,1/4)*L57,-2)</f>
        <v>36428300</v>
      </c>
      <c r="M58">
        <v>3600</v>
      </c>
    </row>
    <row r="59" spans="2:13">
      <c r="B59">
        <v>54</v>
      </c>
      <c r="C59">
        <v>14</v>
      </c>
      <c r="D59">
        <f>E58+1</f>
        <v>27601</v>
      </c>
      <c r="E59">
        <f>E58*2</f>
        <v>55200</v>
      </c>
      <c r="F59" t="s">
        <v>23</v>
      </c>
      <c r="G59">
        <v>285</v>
      </c>
      <c r="H59">
        <f t="shared" si="9"/>
        <v>46</v>
      </c>
      <c r="I59">
        <v>6300</v>
      </c>
      <c r="J59">
        <v>240</v>
      </c>
      <c r="K59">
        <v>54</v>
      </c>
      <c r="L59" s="3">
        <f>ROUND(POWER(L61/L57,1/4)*L58,-2)</f>
        <v>37553300</v>
      </c>
      <c r="M59">
        <v>3650</v>
      </c>
    </row>
    <row r="60" spans="2:13">
      <c r="B60">
        <v>55</v>
      </c>
      <c r="C60">
        <v>14</v>
      </c>
      <c r="D60">
        <f t="shared" ref="D60:D61" si="14">E59+1</f>
        <v>55201</v>
      </c>
      <c r="E60">
        <f>E58*3</f>
        <v>82800</v>
      </c>
      <c r="F60" t="s">
        <v>23</v>
      </c>
      <c r="G60">
        <v>290</v>
      </c>
      <c r="H60">
        <f t="shared" si="9"/>
        <v>46</v>
      </c>
      <c r="I60">
        <v>6400</v>
      </c>
      <c r="J60">
        <v>240</v>
      </c>
      <c r="K60">
        <v>55</v>
      </c>
      <c r="L60" s="3">
        <f>ROUND(POWER(L61/L57,1/4)*L59,-2)</f>
        <v>38713000</v>
      </c>
      <c r="M60">
        <v>3700</v>
      </c>
    </row>
    <row r="61" spans="2:13">
      <c r="B61">
        <v>56</v>
      </c>
      <c r="C61">
        <v>14</v>
      </c>
      <c r="D61">
        <f t="shared" si="14"/>
        <v>82801</v>
      </c>
      <c r="E61">
        <f>E58*4</f>
        <v>110400</v>
      </c>
      <c r="F61" t="s">
        <v>23</v>
      </c>
      <c r="G61">
        <v>295</v>
      </c>
      <c r="H61">
        <f t="shared" si="9"/>
        <v>46</v>
      </c>
      <c r="I61">
        <v>6500</v>
      </c>
      <c r="J61">
        <v>240</v>
      </c>
      <c r="K61">
        <v>56</v>
      </c>
      <c r="L61" s="3">
        <v>39908500</v>
      </c>
      <c r="M61">
        <v>3750</v>
      </c>
    </row>
    <row r="62" spans="2:13">
      <c r="B62">
        <v>57</v>
      </c>
      <c r="C62">
        <v>15</v>
      </c>
      <c r="D62">
        <v>0</v>
      </c>
      <c r="E62">
        <f>(C62*C62+C62+20)*120</f>
        <v>31200</v>
      </c>
      <c r="F62" t="s">
        <v>23</v>
      </c>
      <c r="G62">
        <v>300</v>
      </c>
      <c r="H62">
        <f t="shared" si="9"/>
        <v>48</v>
      </c>
      <c r="I62">
        <v>6600</v>
      </c>
      <c r="J62">
        <v>240</v>
      </c>
      <c r="K62">
        <v>57</v>
      </c>
      <c r="L62" s="3">
        <f>ROUND(POWER(L65/L61,1/4)*L61,-2)</f>
        <v>41123300</v>
      </c>
      <c r="M62">
        <v>3800</v>
      </c>
    </row>
    <row r="63" spans="2:13">
      <c r="B63">
        <v>58</v>
      </c>
      <c r="C63">
        <v>15</v>
      </c>
      <c r="D63">
        <f>E62+1</f>
        <v>31201</v>
      </c>
      <c r="E63">
        <f>E62*2</f>
        <v>62400</v>
      </c>
      <c r="F63" t="s">
        <v>23</v>
      </c>
      <c r="G63">
        <v>305</v>
      </c>
      <c r="H63">
        <f t="shared" si="9"/>
        <v>48</v>
      </c>
      <c r="I63">
        <v>6700</v>
      </c>
      <c r="J63">
        <v>240</v>
      </c>
      <c r="K63">
        <v>58</v>
      </c>
      <c r="L63" s="3">
        <f>ROUND(POWER(L65/L61,1/4)*L62,-2)</f>
        <v>42375100</v>
      </c>
      <c r="M63">
        <v>3850</v>
      </c>
    </row>
    <row r="64" spans="2:13">
      <c r="B64">
        <v>59</v>
      </c>
      <c r="C64">
        <v>15</v>
      </c>
      <c r="D64">
        <f t="shared" ref="D64:D65" si="15">E63+1</f>
        <v>62401</v>
      </c>
      <c r="E64">
        <f>E62*3</f>
        <v>93600</v>
      </c>
      <c r="F64" t="s">
        <v>23</v>
      </c>
      <c r="G64">
        <v>310</v>
      </c>
      <c r="H64">
        <f t="shared" si="9"/>
        <v>48</v>
      </c>
      <c r="I64">
        <v>6800</v>
      </c>
      <c r="J64">
        <v>240</v>
      </c>
      <c r="K64">
        <v>59</v>
      </c>
      <c r="L64" s="3">
        <f>ROUND(POWER(L65/L61,1/4)*L63,-2)</f>
        <v>43665000</v>
      </c>
      <c r="M64">
        <v>3900</v>
      </c>
    </row>
    <row r="65" spans="2:13">
      <c r="B65">
        <v>60</v>
      </c>
      <c r="C65">
        <v>15</v>
      </c>
      <c r="D65">
        <f t="shared" si="15"/>
        <v>93601</v>
      </c>
      <c r="E65">
        <f>E62*4</f>
        <v>124800</v>
      </c>
      <c r="F65" t="s">
        <v>23</v>
      </c>
      <c r="G65">
        <v>315</v>
      </c>
      <c r="H65">
        <f t="shared" si="9"/>
        <v>48</v>
      </c>
      <c r="I65">
        <v>6900</v>
      </c>
      <c r="J65">
        <v>240</v>
      </c>
      <c r="K65">
        <v>60</v>
      </c>
      <c r="L65" s="3">
        <v>44994100</v>
      </c>
      <c r="M65">
        <v>3950</v>
      </c>
    </row>
    <row r="66" spans="2:13">
      <c r="B66">
        <v>61</v>
      </c>
      <c r="C66">
        <v>16</v>
      </c>
      <c r="D66">
        <v>0</v>
      </c>
      <c r="E66">
        <f>(C66*C66+C66+20)*120</f>
        <v>35040</v>
      </c>
      <c r="F66" t="s">
        <v>23</v>
      </c>
      <c r="G66">
        <v>320</v>
      </c>
      <c r="H66">
        <f t="shared" si="9"/>
        <v>50</v>
      </c>
      <c r="I66">
        <v>7000</v>
      </c>
      <c r="J66">
        <v>240</v>
      </c>
      <c r="K66">
        <v>61</v>
      </c>
      <c r="L66" s="3">
        <f>ROUND(L65*1.02,-2)</f>
        <v>45894000</v>
      </c>
      <c r="M66">
        <v>4000</v>
      </c>
    </row>
    <row r="67" spans="2:13">
      <c r="B67">
        <v>62</v>
      </c>
      <c r="C67">
        <v>16</v>
      </c>
      <c r="D67">
        <f>E66+1</f>
        <v>35041</v>
      </c>
      <c r="E67">
        <f>E66*2</f>
        <v>70080</v>
      </c>
      <c r="F67" t="s">
        <v>23</v>
      </c>
      <c r="G67">
        <v>325</v>
      </c>
      <c r="H67">
        <f t="shared" si="9"/>
        <v>50</v>
      </c>
      <c r="I67">
        <v>7100</v>
      </c>
      <c r="J67">
        <v>240</v>
      </c>
      <c r="K67">
        <v>62</v>
      </c>
      <c r="L67" s="3">
        <f t="shared" ref="L67:L125" si="16">ROUND(L66*1.02,-2)</f>
        <v>46811900</v>
      </c>
      <c r="M67">
        <v>4050</v>
      </c>
    </row>
    <row r="68" spans="2:13">
      <c r="B68">
        <v>63</v>
      </c>
      <c r="C68">
        <v>16</v>
      </c>
      <c r="D68">
        <f t="shared" ref="D68:D69" si="17">E67+1</f>
        <v>70081</v>
      </c>
      <c r="E68">
        <f>E66*3</f>
        <v>105120</v>
      </c>
      <c r="F68" t="s">
        <v>23</v>
      </c>
      <c r="G68">
        <v>330</v>
      </c>
      <c r="H68">
        <f t="shared" si="9"/>
        <v>50</v>
      </c>
      <c r="I68">
        <v>7200</v>
      </c>
      <c r="J68">
        <v>240</v>
      </c>
      <c r="K68">
        <v>63</v>
      </c>
      <c r="L68" s="3">
        <f t="shared" si="16"/>
        <v>47748100</v>
      </c>
      <c r="M68">
        <v>4100</v>
      </c>
    </row>
    <row r="69" spans="2:13">
      <c r="B69">
        <v>64</v>
      </c>
      <c r="C69">
        <v>16</v>
      </c>
      <c r="D69">
        <f t="shared" si="17"/>
        <v>105121</v>
      </c>
      <c r="E69">
        <f>E66*4</f>
        <v>140160</v>
      </c>
      <c r="F69" t="s">
        <v>23</v>
      </c>
      <c r="G69">
        <v>335</v>
      </c>
      <c r="H69">
        <f t="shared" si="9"/>
        <v>50</v>
      </c>
      <c r="I69">
        <v>7300</v>
      </c>
      <c r="J69">
        <v>240</v>
      </c>
      <c r="K69">
        <v>64</v>
      </c>
      <c r="L69" s="3">
        <f t="shared" si="16"/>
        <v>48703100</v>
      </c>
      <c r="M69">
        <v>4150</v>
      </c>
    </row>
    <row r="70" spans="2:13">
      <c r="B70">
        <v>65</v>
      </c>
      <c r="C70">
        <v>17</v>
      </c>
      <c r="D70">
        <v>0</v>
      </c>
      <c r="E70">
        <f>(C70*C70+C70+20)*120</f>
        <v>39120</v>
      </c>
      <c r="F70" t="s">
        <v>23</v>
      </c>
      <c r="G70">
        <v>340</v>
      </c>
      <c r="H70">
        <f t="shared" si="9"/>
        <v>52</v>
      </c>
      <c r="I70">
        <v>7400</v>
      </c>
      <c r="J70">
        <v>240</v>
      </c>
      <c r="K70">
        <v>65</v>
      </c>
      <c r="L70" s="3">
        <f t="shared" si="16"/>
        <v>49677200</v>
      </c>
      <c r="M70">
        <v>4200</v>
      </c>
    </row>
    <row r="71" spans="2:13">
      <c r="B71">
        <v>66</v>
      </c>
      <c r="C71">
        <v>17</v>
      </c>
      <c r="D71">
        <f>E70+1</f>
        <v>39121</v>
      </c>
      <c r="E71">
        <f>E70*2</f>
        <v>78240</v>
      </c>
      <c r="F71" t="s">
        <v>23</v>
      </c>
      <c r="G71">
        <v>345</v>
      </c>
      <c r="H71">
        <f t="shared" si="9"/>
        <v>52</v>
      </c>
      <c r="I71">
        <v>7500</v>
      </c>
      <c r="J71">
        <v>240</v>
      </c>
      <c r="K71">
        <v>66</v>
      </c>
      <c r="L71" s="3">
        <f t="shared" si="16"/>
        <v>50670700</v>
      </c>
      <c r="M71">
        <v>4250</v>
      </c>
    </row>
    <row r="72" spans="2:13">
      <c r="B72">
        <v>67</v>
      </c>
      <c r="C72">
        <v>17</v>
      </c>
      <c r="D72">
        <f t="shared" ref="D72:D73" si="18">E71+1</f>
        <v>78241</v>
      </c>
      <c r="E72">
        <f>E70*3</f>
        <v>117360</v>
      </c>
      <c r="F72" t="s">
        <v>23</v>
      </c>
      <c r="G72">
        <v>350</v>
      </c>
      <c r="H72">
        <f t="shared" si="9"/>
        <v>52</v>
      </c>
      <c r="I72">
        <v>7600</v>
      </c>
      <c r="J72">
        <v>240</v>
      </c>
      <c r="K72">
        <v>67</v>
      </c>
      <c r="L72" s="3">
        <f t="shared" si="16"/>
        <v>51684100</v>
      </c>
      <c r="M72">
        <v>4300</v>
      </c>
    </row>
    <row r="73" spans="2:13">
      <c r="B73">
        <v>68</v>
      </c>
      <c r="C73">
        <v>17</v>
      </c>
      <c r="D73">
        <f t="shared" si="18"/>
        <v>117361</v>
      </c>
      <c r="E73">
        <f>E70*4</f>
        <v>156480</v>
      </c>
      <c r="F73" t="s">
        <v>23</v>
      </c>
      <c r="G73">
        <v>355</v>
      </c>
      <c r="H73">
        <f t="shared" si="9"/>
        <v>52</v>
      </c>
      <c r="I73">
        <v>7700</v>
      </c>
      <c r="J73">
        <v>240</v>
      </c>
      <c r="K73">
        <v>68</v>
      </c>
      <c r="L73" s="3">
        <f t="shared" si="16"/>
        <v>52717800</v>
      </c>
      <c r="M73">
        <v>4350</v>
      </c>
    </row>
    <row r="74" spans="2:13">
      <c r="B74">
        <v>69</v>
      </c>
      <c r="C74">
        <v>18</v>
      </c>
      <c r="D74">
        <v>0</v>
      </c>
      <c r="E74">
        <f>(C74*C74+C74+20)*120</f>
        <v>43440</v>
      </c>
      <c r="F74" t="s">
        <v>23</v>
      </c>
      <c r="G74">
        <v>360</v>
      </c>
      <c r="H74">
        <f t="shared" si="9"/>
        <v>54</v>
      </c>
      <c r="I74">
        <v>7800</v>
      </c>
      <c r="J74">
        <v>240</v>
      </c>
      <c r="K74">
        <v>69</v>
      </c>
      <c r="L74" s="3">
        <f t="shared" si="16"/>
        <v>53772200</v>
      </c>
      <c r="M74">
        <v>4400</v>
      </c>
    </row>
    <row r="75" spans="2:13">
      <c r="B75">
        <v>70</v>
      </c>
      <c r="C75">
        <v>18</v>
      </c>
      <c r="D75">
        <f>E74+1</f>
        <v>43441</v>
      </c>
      <c r="E75">
        <f>E74*2</f>
        <v>86880</v>
      </c>
      <c r="F75" t="s">
        <v>23</v>
      </c>
      <c r="G75">
        <v>365</v>
      </c>
      <c r="H75">
        <f t="shared" si="9"/>
        <v>54</v>
      </c>
      <c r="I75">
        <v>7900</v>
      </c>
      <c r="J75">
        <v>240</v>
      </c>
      <c r="K75">
        <v>70</v>
      </c>
      <c r="L75" s="3">
        <f t="shared" si="16"/>
        <v>54847600</v>
      </c>
      <c r="M75">
        <v>4450</v>
      </c>
    </row>
    <row r="76" spans="2:13">
      <c r="B76">
        <v>71</v>
      </c>
      <c r="C76">
        <v>18</v>
      </c>
      <c r="D76">
        <f t="shared" ref="D76:D77" si="19">E75+1</f>
        <v>86881</v>
      </c>
      <c r="E76">
        <f>E74*3</f>
        <v>130320</v>
      </c>
      <c r="F76" t="s">
        <v>23</v>
      </c>
      <c r="G76">
        <v>370</v>
      </c>
      <c r="H76">
        <f t="shared" si="9"/>
        <v>54</v>
      </c>
      <c r="I76">
        <v>8000</v>
      </c>
      <c r="J76">
        <v>240</v>
      </c>
      <c r="K76">
        <v>71</v>
      </c>
      <c r="L76" s="3">
        <f t="shared" si="16"/>
        <v>55944600</v>
      </c>
      <c r="M76">
        <v>4500</v>
      </c>
    </row>
    <row r="77" spans="2:13">
      <c r="B77">
        <v>72</v>
      </c>
      <c r="C77">
        <v>18</v>
      </c>
      <c r="D77">
        <f t="shared" si="19"/>
        <v>130321</v>
      </c>
      <c r="E77">
        <f>E74*4</f>
        <v>173760</v>
      </c>
      <c r="F77" t="s">
        <v>23</v>
      </c>
      <c r="G77">
        <v>375</v>
      </c>
      <c r="H77">
        <f t="shared" si="9"/>
        <v>54</v>
      </c>
      <c r="I77">
        <v>8100</v>
      </c>
      <c r="J77">
        <v>240</v>
      </c>
      <c r="K77">
        <v>72</v>
      </c>
      <c r="L77" s="3">
        <f t="shared" si="16"/>
        <v>57063500</v>
      </c>
      <c r="M77">
        <v>4550</v>
      </c>
    </row>
    <row r="78" spans="2:13">
      <c r="B78">
        <v>73</v>
      </c>
      <c r="C78">
        <v>19</v>
      </c>
      <c r="D78">
        <v>0</v>
      </c>
      <c r="E78">
        <f>(C78*C78+C78+20)*120</f>
        <v>48000</v>
      </c>
      <c r="F78" t="s">
        <v>23</v>
      </c>
      <c r="G78">
        <v>380</v>
      </c>
      <c r="H78">
        <f t="shared" si="9"/>
        <v>56</v>
      </c>
      <c r="I78">
        <v>8200</v>
      </c>
      <c r="J78">
        <v>240</v>
      </c>
      <c r="K78">
        <v>73</v>
      </c>
      <c r="L78" s="3">
        <f t="shared" si="16"/>
        <v>58204800</v>
      </c>
      <c r="M78">
        <v>4600</v>
      </c>
    </row>
    <row r="79" spans="2:13">
      <c r="B79">
        <v>74</v>
      </c>
      <c r="C79">
        <v>19</v>
      </c>
      <c r="D79">
        <f>E78+1</f>
        <v>48001</v>
      </c>
      <c r="E79">
        <f>E78*2</f>
        <v>96000</v>
      </c>
      <c r="F79" t="s">
        <v>23</v>
      </c>
      <c r="G79">
        <v>385</v>
      </c>
      <c r="H79">
        <f t="shared" si="9"/>
        <v>56</v>
      </c>
      <c r="I79">
        <v>8300</v>
      </c>
      <c r="J79">
        <v>240</v>
      </c>
      <c r="K79">
        <v>74</v>
      </c>
      <c r="L79" s="3">
        <f t="shared" si="16"/>
        <v>59368900</v>
      </c>
      <c r="M79">
        <v>4650</v>
      </c>
    </row>
    <row r="80" spans="2:13">
      <c r="B80">
        <v>75</v>
      </c>
      <c r="C80">
        <v>19</v>
      </c>
      <c r="D80">
        <f t="shared" ref="D80:D81" si="20">E79+1</f>
        <v>96001</v>
      </c>
      <c r="E80">
        <f>E78*3</f>
        <v>144000</v>
      </c>
      <c r="F80" t="s">
        <v>23</v>
      </c>
      <c r="G80">
        <v>390</v>
      </c>
      <c r="H80">
        <f t="shared" si="9"/>
        <v>56</v>
      </c>
      <c r="I80">
        <v>8400</v>
      </c>
      <c r="J80">
        <v>240</v>
      </c>
      <c r="K80">
        <v>75</v>
      </c>
      <c r="L80" s="3">
        <f t="shared" si="16"/>
        <v>60556300</v>
      </c>
      <c r="M80">
        <v>4700</v>
      </c>
    </row>
    <row r="81" spans="2:13">
      <c r="B81">
        <v>76</v>
      </c>
      <c r="C81">
        <v>19</v>
      </c>
      <c r="D81">
        <f t="shared" si="20"/>
        <v>144001</v>
      </c>
      <c r="E81">
        <f>E78*4</f>
        <v>192000</v>
      </c>
      <c r="F81" t="s">
        <v>23</v>
      </c>
      <c r="G81">
        <v>395</v>
      </c>
      <c r="H81">
        <f t="shared" si="9"/>
        <v>56</v>
      </c>
      <c r="I81">
        <v>8500</v>
      </c>
      <c r="J81">
        <v>240</v>
      </c>
      <c r="K81">
        <v>76</v>
      </c>
      <c r="L81" s="3">
        <f t="shared" si="16"/>
        <v>61767400</v>
      </c>
      <c r="M81">
        <v>4750</v>
      </c>
    </row>
    <row r="82" spans="2:13">
      <c r="B82">
        <v>77</v>
      </c>
      <c r="C82">
        <v>20</v>
      </c>
      <c r="D82">
        <v>0</v>
      </c>
      <c r="E82">
        <f>(C82*C82+C82+20)*120</f>
        <v>52800</v>
      </c>
      <c r="F82" t="s">
        <v>23</v>
      </c>
      <c r="G82">
        <v>400</v>
      </c>
      <c r="H82">
        <f t="shared" si="9"/>
        <v>58</v>
      </c>
      <c r="I82">
        <v>8600</v>
      </c>
      <c r="J82">
        <v>240</v>
      </c>
      <c r="K82">
        <v>77</v>
      </c>
      <c r="L82" s="3">
        <f t="shared" si="16"/>
        <v>63002700</v>
      </c>
      <c r="M82">
        <v>4800</v>
      </c>
    </row>
    <row r="83" spans="2:13">
      <c r="B83">
        <v>78</v>
      </c>
      <c r="C83">
        <v>20</v>
      </c>
      <c r="D83">
        <f>E82+1</f>
        <v>52801</v>
      </c>
      <c r="E83">
        <f>E82*2</f>
        <v>105600</v>
      </c>
      <c r="F83" t="s">
        <v>23</v>
      </c>
      <c r="G83">
        <v>405</v>
      </c>
      <c r="H83">
        <f t="shared" si="9"/>
        <v>58</v>
      </c>
      <c r="I83">
        <v>8700</v>
      </c>
      <c r="J83">
        <v>240</v>
      </c>
      <c r="K83">
        <v>78</v>
      </c>
      <c r="L83" s="3">
        <f t="shared" si="16"/>
        <v>64262800</v>
      </c>
      <c r="M83">
        <v>4850</v>
      </c>
    </row>
    <row r="84" spans="2:13">
      <c r="B84">
        <v>79</v>
      </c>
      <c r="C84">
        <v>20</v>
      </c>
      <c r="D84">
        <f t="shared" ref="D84:D85" si="21">E83+1</f>
        <v>105601</v>
      </c>
      <c r="E84">
        <f>E82*3</f>
        <v>158400</v>
      </c>
      <c r="F84" t="s">
        <v>23</v>
      </c>
      <c r="G84">
        <v>410</v>
      </c>
      <c r="H84">
        <f t="shared" si="9"/>
        <v>58</v>
      </c>
      <c r="I84">
        <v>8800</v>
      </c>
      <c r="J84">
        <v>240</v>
      </c>
      <c r="K84">
        <v>79</v>
      </c>
      <c r="L84" s="3">
        <f t="shared" si="16"/>
        <v>65548100</v>
      </c>
      <c r="M84">
        <v>4900</v>
      </c>
    </row>
    <row r="85" spans="2:13">
      <c r="B85">
        <v>80</v>
      </c>
      <c r="C85">
        <v>20</v>
      </c>
      <c r="D85">
        <f t="shared" si="21"/>
        <v>158401</v>
      </c>
      <c r="E85">
        <f>E82*4</f>
        <v>211200</v>
      </c>
      <c r="F85" t="s">
        <v>23</v>
      </c>
      <c r="G85">
        <v>415</v>
      </c>
      <c r="H85">
        <f t="shared" si="9"/>
        <v>58</v>
      </c>
      <c r="I85">
        <v>8900</v>
      </c>
      <c r="J85">
        <v>240</v>
      </c>
      <c r="K85">
        <v>80</v>
      </c>
      <c r="L85" s="3">
        <f t="shared" si="16"/>
        <v>66859100</v>
      </c>
      <c r="M85">
        <v>4950</v>
      </c>
    </row>
    <row r="86" spans="2:13">
      <c r="B86">
        <v>81</v>
      </c>
      <c r="C86">
        <v>21</v>
      </c>
      <c r="D86">
        <v>0</v>
      </c>
      <c r="E86">
        <f>(C86*C86+C86+20)*120</f>
        <v>57840</v>
      </c>
      <c r="F86" t="s">
        <v>23</v>
      </c>
      <c r="G86">
        <v>420</v>
      </c>
      <c r="H86">
        <f t="shared" si="9"/>
        <v>60</v>
      </c>
      <c r="I86">
        <v>9000</v>
      </c>
      <c r="J86">
        <v>240</v>
      </c>
      <c r="K86">
        <v>81</v>
      </c>
      <c r="L86" s="3">
        <f t="shared" si="16"/>
        <v>68196300</v>
      </c>
      <c r="M86">
        <v>5000</v>
      </c>
    </row>
    <row r="87" spans="2:13">
      <c r="B87">
        <v>82</v>
      </c>
      <c r="C87">
        <v>21</v>
      </c>
      <c r="D87">
        <f>E86+1</f>
        <v>57841</v>
      </c>
      <c r="E87">
        <f>E86*2</f>
        <v>115680</v>
      </c>
      <c r="F87" t="s">
        <v>23</v>
      </c>
      <c r="G87">
        <v>425</v>
      </c>
      <c r="H87">
        <f t="shared" si="9"/>
        <v>60</v>
      </c>
      <c r="I87">
        <v>9100</v>
      </c>
      <c r="J87">
        <v>240</v>
      </c>
      <c r="K87">
        <v>82</v>
      </c>
      <c r="L87" s="3">
        <f t="shared" si="16"/>
        <v>69560200</v>
      </c>
      <c r="M87">
        <v>5050</v>
      </c>
    </row>
    <row r="88" spans="2:13">
      <c r="B88">
        <v>83</v>
      </c>
      <c r="C88">
        <v>21</v>
      </c>
      <c r="D88">
        <f t="shared" ref="D88:D89" si="22">E87+1</f>
        <v>115681</v>
      </c>
      <c r="E88">
        <f>E86*3</f>
        <v>173520</v>
      </c>
      <c r="F88" t="s">
        <v>23</v>
      </c>
      <c r="G88">
        <v>430</v>
      </c>
      <c r="H88">
        <f t="shared" si="9"/>
        <v>60</v>
      </c>
      <c r="I88">
        <v>9200</v>
      </c>
      <c r="J88">
        <v>240</v>
      </c>
      <c r="K88">
        <v>83</v>
      </c>
      <c r="L88" s="3">
        <f t="shared" si="16"/>
        <v>70951400</v>
      </c>
      <c r="M88">
        <v>5100</v>
      </c>
    </row>
    <row r="89" spans="2:13">
      <c r="B89">
        <v>84</v>
      </c>
      <c r="C89">
        <v>21</v>
      </c>
      <c r="D89">
        <f t="shared" si="22"/>
        <v>173521</v>
      </c>
      <c r="E89">
        <f>E86*4</f>
        <v>231360</v>
      </c>
      <c r="F89" t="s">
        <v>23</v>
      </c>
      <c r="G89">
        <v>435</v>
      </c>
      <c r="H89">
        <f t="shared" si="9"/>
        <v>60</v>
      </c>
      <c r="I89">
        <v>9300</v>
      </c>
      <c r="J89">
        <v>240</v>
      </c>
      <c r="K89">
        <v>84</v>
      </c>
      <c r="L89" s="3">
        <f t="shared" si="16"/>
        <v>72370400</v>
      </c>
      <c r="M89">
        <v>5150</v>
      </c>
    </row>
    <row r="90" spans="2:13">
      <c r="B90">
        <v>85</v>
      </c>
      <c r="C90">
        <v>22</v>
      </c>
      <c r="D90">
        <v>0</v>
      </c>
      <c r="E90">
        <f>(C90*C90+C90+20)*120</f>
        <v>63120</v>
      </c>
      <c r="F90" t="s">
        <v>23</v>
      </c>
      <c r="G90">
        <v>440</v>
      </c>
      <c r="H90">
        <f t="shared" si="9"/>
        <v>62</v>
      </c>
      <c r="I90">
        <v>9400</v>
      </c>
      <c r="J90">
        <v>240</v>
      </c>
      <c r="K90">
        <v>85</v>
      </c>
      <c r="L90" s="3">
        <f t="shared" si="16"/>
        <v>73817800</v>
      </c>
      <c r="M90">
        <v>5200</v>
      </c>
    </row>
    <row r="91" spans="2:13">
      <c r="B91">
        <v>86</v>
      </c>
      <c r="C91">
        <v>22</v>
      </c>
      <c r="D91">
        <f>E90+1</f>
        <v>63121</v>
      </c>
      <c r="E91">
        <f>E90*2</f>
        <v>126240</v>
      </c>
      <c r="F91" t="s">
        <v>23</v>
      </c>
      <c r="G91">
        <v>445</v>
      </c>
      <c r="H91">
        <f t="shared" si="9"/>
        <v>62</v>
      </c>
      <c r="I91">
        <v>9500</v>
      </c>
      <c r="J91">
        <v>240</v>
      </c>
      <c r="K91">
        <v>86</v>
      </c>
      <c r="L91" s="3">
        <f t="shared" si="16"/>
        <v>75294200</v>
      </c>
      <c r="M91">
        <v>5250</v>
      </c>
    </row>
    <row r="92" spans="2:13">
      <c r="B92">
        <v>87</v>
      </c>
      <c r="C92">
        <v>22</v>
      </c>
      <c r="D92">
        <f t="shared" ref="D92:D93" si="23">E91+1</f>
        <v>126241</v>
      </c>
      <c r="E92">
        <f>E90*3</f>
        <v>189360</v>
      </c>
      <c r="F92" t="s">
        <v>23</v>
      </c>
      <c r="G92">
        <v>450</v>
      </c>
      <c r="H92">
        <f t="shared" si="9"/>
        <v>62</v>
      </c>
      <c r="I92">
        <v>9600</v>
      </c>
      <c r="J92">
        <v>240</v>
      </c>
      <c r="K92">
        <v>87</v>
      </c>
      <c r="L92" s="3">
        <f t="shared" si="16"/>
        <v>76800100</v>
      </c>
      <c r="M92">
        <v>5300</v>
      </c>
    </row>
    <row r="93" spans="2:13">
      <c r="B93">
        <v>88</v>
      </c>
      <c r="C93">
        <v>22</v>
      </c>
      <c r="D93">
        <f t="shared" si="23"/>
        <v>189361</v>
      </c>
      <c r="E93">
        <f>E90*4</f>
        <v>252480</v>
      </c>
      <c r="F93" t="s">
        <v>23</v>
      </c>
      <c r="G93">
        <v>455</v>
      </c>
      <c r="H93">
        <f t="shared" si="9"/>
        <v>62</v>
      </c>
      <c r="I93">
        <v>9700</v>
      </c>
      <c r="J93">
        <v>240</v>
      </c>
      <c r="K93">
        <v>88</v>
      </c>
      <c r="L93" s="3">
        <f t="shared" si="16"/>
        <v>78336100</v>
      </c>
      <c r="M93">
        <v>5350</v>
      </c>
    </row>
    <row r="94" spans="2:13">
      <c r="B94">
        <v>89</v>
      </c>
      <c r="C94">
        <v>23</v>
      </c>
      <c r="D94">
        <v>0</v>
      </c>
      <c r="E94">
        <f>(C94*C94+C94+20)*120</f>
        <v>68640</v>
      </c>
      <c r="F94" t="s">
        <v>23</v>
      </c>
      <c r="G94">
        <v>460</v>
      </c>
      <c r="H94">
        <f t="shared" si="9"/>
        <v>64</v>
      </c>
      <c r="I94">
        <v>9800</v>
      </c>
      <c r="J94">
        <v>240</v>
      </c>
      <c r="K94">
        <v>89</v>
      </c>
      <c r="L94" s="3">
        <f t="shared" si="16"/>
        <v>79902800</v>
      </c>
      <c r="M94">
        <v>5400</v>
      </c>
    </row>
    <row r="95" spans="2:13">
      <c r="B95">
        <v>90</v>
      </c>
      <c r="C95">
        <v>23</v>
      </c>
      <c r="D95">
        <f>E94+1</f>
        <v>68641</v>
      </c>
      <c r="E95">
        <f>E94*2</f>
        <v>137280</v>
      </c>
      <c r="F95" t="s">
        <v>23</v>
      </c>
      <c r="G95">
        <v>465</v>
      </c>
      <c r="H95">
        <f t="shared" si="9"/>
        <v>64</v>
      </c>
      <c r="I95">
        <v>9900</v>
      </c>
      <c r="J95">
        <v>240</v>
      </c>
      <c r="K95">
        <v>90</v>
      </c>
      <c r="L95" s="3">
        <f t="shared" si="16"/>
        <v>81500900</v>
      </c>
      <c r="M95">
        <v>5450</v>
      </c>
    </row>
    <row r="96" spans="2:13">
      <c r="B96">
        <v>91</v>
      </c>
      <c r="C96">
        <v>23</v>
      </c>
      <c r="D96">
        <f t="shared" ref="D96:D97" si="24">E95+1</f>
        <v>137281</v>
      </c>
      <c r="E96">
        <f>E94*3</f>
        <v>205920</v>
      </c>
      <c r="F96" t="s">
        <v>23</v>
      </c>
      <c r="G96">
        <v>470</v>
      </c>
      <c r="H96">
        <f t="shared" si="9"/>
        <v>64</v>
      </c>
      <c r="I96">
        <v>10000</v>
      </c>
      <c r="J96">
        <v>240</v>
      </c>
      <c r="K96">
        <v>91</v>
      </c>
      <c r="L96" s="3">
        <f t="shared" si="16"/>
        <v>83130900</v>
      </c>
      <c r="M96">
        <v>5500</v>
      </c>
    </row>
    <row r="97" spans="2:13">
      <c r="B97">
        <v>92</v>
      </c>
      <c r="C97">
        <v>23</v>
      </c>
      <c r="D97">
        <f t="shared" si="24"/>
        <v>205921</v>
      </c>
      <c r="E97">
        <f>E94*4</f>
        <v>274560</v>
      </c>
      <c r="F97" t="s">
        <v>23</v>
      </c>
      <c r="G97">
        <v>475</v>
      </c>
      <c r="H97">
        <f t="shared" si="9"/>
        <v>64</v>
      </c>
      <c r="I97">
        <v>10100</v>
      </c>
      <c r="J97">
        <v>240</v>
      </c>
      <c r="K97">
        <v>92</v>
      </c>
      <c r="L97" s="3">
        <f t="shared" si="16"/>
        <v>84793500</v>
      </c>
      <c r="M97">
        <v>5550</v>
      </c>
    </row>
    <row r="98" spans="2:13">
      <c r="B98">
        <v>93</v>
      </c>
      <c r="C98">
        <v>24</v>
      </c>
      <c r="D98">
        <v>0</v>
      </c>
      <c r="E98">
        <f>(C98*C98+C98+20)*120</f>
        <v>74400</v>
      </c>
      <c r="F98" t="s">
        <v>23</v>
      </c>
      <c r="G98">
        <v>480</v>
      </c>
      <c r="H98">
        <f t="shared" si="9"/>
        <v>66</v>
      </c>
      <c r="I98">
        <v>10200</v>
      </c>
      <c r="J98">
        <v>240</v>
      </c>
      <c r="K98">
        <v>93</v>
      </c>
      <c r="L98" s="3">
        <f t="shared" si="16"/>
        <v>86489400</v>
      </c>
      <c r="M98">
        <v>5600</v>
      </c>
    </row>
    <row r="99" spans="2:13">
      <c r="B99">
        <v>94</v>
      </c>
      <c r="C99">
        <v>24</v>
      </c>
      <c r="D99">
        <f>E98+1</f>
        <v>74401</v>
      </c>
      <c r="E99">
        <f>E98*2</f>
        <v>148800</v>
      </c>
      <c r="F99" t="s">
        <v>23</v>
      </c>
      <c r="G99">
        <v>485</v>
      </c>
      <c r="H99">
        <f t="shared" si="9"/>
        <v>66</v>
      </c>
      <c r="I99">
        <v>10300</v>
      </c>
      <c r="J99">
        <v>240</v>
      </c>
      <c r="K99">
        <v>94</v>
      </c>
      <c r="L99" s="3">
        <f t="shared" si="16"/>
        <v>88219200</v>
      </c>
      <c r="M99">
        <v>5650</v>
      </c>
    </row>
    <row r="100" spans="2:13">
      <c r="B100">
        <v>95</v>
      </c>
      <c r="C100">
        <v>24</v>
      </c>
      <c r="D100">
        <f t="shared" ref="D100:D101" si="25">E99+1</f>
        <v>148801</v>
      </c>
      <c r="E100">
        <f>E98*3</f>
        <v>223200</v>
      </c>
      <c r="F100" t="s">
        <v>23</v>
      </c>
      <c r="G100">
        <v>490</v>
      </c>
      <c r="H100">
        <f t="shared" si="9"/>
        <v>66</v>
      </c>
      <c r="I100">
        <v>10400</v>
      </c>
      <c r="J100">
        <v>240</v>
      </c>
      <c r="K100">
        <v>95</v>
      </c>
      <c r="L100" s="3">
        <f t="shared" si="16"/>
        <v>89983600</v>
      </c>
      <c r="M100">
        <v>5700</v>
      </c>
    </row>
    <row r="101" spans="2:13">
      <c r="B101">
        <v>96</v>
      </c>
      <c r="C101">
        <v>24</v>
      </c>
      <c r="D101">
        <f t="shared" si="25"/>
        <v>223201</v>
      </c>
      <c r="E101">
        <f>E98*4</f>
        <v>297600</v>
      </c>
      <c r="F101" t="s">
        <v>23</v>
      </c>
      <c r="G101">
        <v>495</v>
      </c>
      <c r="H101">
        <f t="shared" si="9"/>
        <v>66</v>
      </c>
      <c r="I101">
        <v>10500</v>
      </c>
      <c r="J101">
        <v>240</v>
      </c>
      <c r="K101">
        <v>96</v>
      </c>
      <c r="L101" s="3">
        <f t="shared" si="16"/>
        <v>91783300</v>
      </c>
      <c r="M101">
        <v>5750</v>
      </c>
    </row>
    <row r="102" spans="2:13">
      <c r="B102">
        <v>97</v>
      </c>
      <c r="C102">
        <v>25</v>
      </c>
      <c r="D102">
        <v>0</v>
      </c>
      <c r="E102">
        <f>(C102*C102+C102+20)*120</f>
        <v>80400</v>
      </c>
      <c r="F102" t="s">
        <v>23</v>
      </c>
      <c r="G102">
        <v>500</v>
      </c>
      <c r="H102">
        <f t="shared" si="9"/>
        <v>68</v>
      </c>
      <c r="I102">
        <v>10600</v>
      </c>
      <c r="J102">
        <v>240</v>
      </c>
      <c r="K102">
        <v>97</v>
      </c>
      <c r="L102" s="3">
        <f t="shared" si="16"/>
        <v>93619000</v>
      </c>
      <c r="M102">
        <v>5800</v>
      </c>
    </row>
    <row r="103" spans="2:13">
      <c r="B103">
        <v>98</v>
      </c>
      <c r="C103">
        <v>25</v>
      </c>
      <c r="D103">
        <f>E102+1</f>
        <v>80401</v>
      </c>
      <c r="E103">
        <f>E102*2</f>
        <v>160800</v>
      </c>
      <c r="F103" t="s">
        <v>23</v>
      </c>
      <c r="G103">
        <v>505</v>
      </c>
      <c r="H103">
        <f t="shared" si="9"/>
        <v>68</v>
      </c>
      <c r="I103">
        <v>10700</v>
      </c>
      <c r="J103">
        <v>240</v>
      </c>
      <c r="K103">
        <v>98</v>
      </c>
      <c r="L103" s="3">
        <f t="shared" si="16"/>
        <v>95491400</v>
      </c>
      <c r="M103">
        <v>5850</v>
      </c>
    </row>
    <row r="104" spans="2:13">
      <c r="B104">
        <v>99</v>
      </c>
      <c r="C104">
        <v>25</v>
      </c>
      <c r="D104">
        <f t="shared" ref="D104:D105" si="26">E103+1</f>
        <v>160801</v>
      </c>
      <c r="E104">
        <f>E102*3</f>
        <v>241200</v>
      </c>
      <c r="F104" t="s">
        <v>23</v>
      </c>
      <c r="G104">
        <v>510</v>
      </c>
      <c r="H104">
        <f t="shared" ref="H104:H125" si="27">C104*2+18</f>
        <v>68</v>
      </c>
      <c r="I104">
        <v>10800</v>
      </c>
      <c r="J104">
        <v>240</v>
      </c>
      <c r="K104">
        <v>99</v>
      </c>
      <c r="L104" s="3">
        <f t="shared" si="16"/>
        <v>97401200</v>
      </c>
      <c r="M104">
        <v>5900</v>
      </c>
    </row>
    <row r="105" spans="2:13">
      <c r="B105">
        <v>100</v>
      </c>
      <c r="C105">
        <v>25</v>
      </c>
      <c r="D105">
        <f t="shared" si="26"/>
        <v>241201</v>
      </c>
      <c r="E105">
        <f>E102*4</f>
        <v>321600</v>
      </c>
      <c r="F105" t="s">
        <v>23</v>
      </c>
      <c r="G105">
        <v>515</v>
      </c>
      <c r="H105">
        <f t="shared" si="27"/>
        <v>68</v>
      </c>
      <c r="I105">
        <v>10900</v>
      </c>
      <c r="J105">
        <v>240</v>
      </c>
      <c r="K105">
        <v>100</v>
      </c>
      <c r="L105" s="3">
        <f t="shared" si="16"/>
        <v>99349200</v>
      </c>
      <c r="M105">
        <v>5950</v>
      </c>
    </row>
    <row r="106" spans="2:13">
      <c r="B106">
        <v>101</v>
      </c>
      <c r="C106">
        <v>26</v>
      </c>
      <c r="D106">
        <v>0</v>
      </c>
      <c r="E106">
        <f>(C106*C106+C106+20)*120</f>
        <v>86640</v>
      </c>
      <c r="F106" t="s">
        <v>23</v>
      </c>
      <c r="G106">
        <v>520</v>
      </c>
      <c r="H106">
        <f t="shared" si="27"/>
        <v>70</v>
      </c>
      <c r="I106">
        <v>11000</v>
      </c>
      <c r="J106">
        <v>240</v>
      </c>
      <c r="K106">
        <v>101</v>
      </c>
      <c r="L106" s="3">
        <f t="shared" si="16"/>
        <v>101336200</v>
      </c>
      <c r="M106">
        <v>6000</v>
      </c>
    </row>
    <row r="107" spans="2:13">
      <c r="B107">
        <v>102</v>
      </c>
      <c r="C107">
        <v>26</v>
      </c>
      <c r="D107">
        <f>E106+1</f>
        <v>86641</v>
      </c>
      <c r="E107">
        <f>E106*2</f>
        <v>173280</v>
      </c>
      <c r="F107" t="s">
        <v>23</v>
      </c>
      <c r="G107">
        <v>525</v>
      </c>
      <c r="H107">
        <f t="shared" si="27"/>
        <v>70</v>
      </c>
      <c r="I107">
        <v>11100</v>
      </c>
      <c r="J107">
        <v>240</v>
      </c>
      <c r="K107">
        <v>102</v>
      </c>
      <c r="L107" s="3">
        <f t="shared" si="16"/>
        <v>103362900</v>
      </c>
      <c r="M107">
        <v>6050</v>
      </c>
    </row>
    <row r="108" spans="2:13">
      <c r="B108">
        <v>103</v>
      </c>
      <c r="C108">
        <v>26</v>
      </c>
      <c r="D108">
        <f t="shared" ref="D108:D109" si="28">E107+1</f>
        <v>173281</v>
      </c>
      <c r="E108">
        <f>E106*3</f>
        <v>259920</v>
      </c>
      <c r="F108" t="s">
        <v>23</v>
      </c>
      <c r="G108">
        <v>530</v>
      </c>
      <c r="H108">
        <f t="shared" si="27"/>
        <v>70</v>
      </c>
      <c r="I108">
        <v>11200</v>
      </c>
      <c r="J108">
        <v>240</v>
      </c>
      <c r="K108">
        <v>103</v>
      </c>
      <c r="L108" s="3">
        <f t="shared" si="16"/>
        <v>105430200</v>
      </c>
      <c r="M108">
        <v>6100</v>
      </c>
    </row>
    <row r="109" spans="2:13">
      <c r="B109">
        <v>104</v>
      </c>
      <c r="C109">
        <v>26</v>
      </c>
      <c r="D109">
        <f t="shared" si="28"/>
        <v>259921</v>
      </c>
      <c r="E109">
        <f>E106*4</f>
        <v>346560</v>
      </c>
      <c r="F109" t="s">
        <v>23</v>
      </c>
      <c r="G109">
        <v>535</v>
      </c>
      <c r="H109">
        <f t="shared" si="27"/>
        <v>70</v>
      </c>
      <c r="I109">
        <v>11300</v>
      </c>
      <c r="J109">
        <v>240</v>
      </c>
      <c r="K109">
        <v>104</v>
      </c>
      <c r="L109" s="3">
        <f t="shared" si="16"/>
        <v>107538800</v>
      </c>
      <c r="M109">
        <v>6150</v>
      </c>
    </row>
    <row r="110" spans="2:13">
      <c r="B110">
        <v>105</v>
      </c>
      <c r="C110">
        <v>27</v>
      </c>
      <c r="D110">
        <v>0</v>
      </c>
      <c r="E110">
        <f>(C110*C110+C110+20)*120</f>
        <v>93120</v>
      </c>
      <c r="F110" t="s">
        <v>23</v>
      </c>
      <c r="G110">
        <v>540</v>
      </c>
      <c r="H110">
        <f t="shared" si="27"/>
        <v>72</v>
      </c>
      <c r="I110">
        <v>11400</v>
      </c>
      <c r="J110">
        <v>240</v>
      </c>
      <c r="K110">
        <v>105</v>
      </c>
      <c r="L110" s="3">
        <f t="shared" si="16"/>
        <v>109689600</v>
      </c>
      <c r="M110">
        <v>6200</v>
      </c>
    </row>
    <row r="111" spans="2:13">
      <c r="B111">
        <v>106</v>
      </c>
      <c r="C111">
        <v>27</v>
      </c>
      <c r="D111">
        <f>E110+1</f>
        <v>93121</v>
      </c>
      <c r="E111">
        <f>E110*2</f>
        <v>186240</v>
      </c>
      <c r="F111" t="s">
        <v>23</v>
      </c>
      <c r="G111">
        <v>545</v>
      </c>
      <c r="H111">
        <f t="shared" si="27"/>
        <v>72</v>
      </c>
      <c r="I111">
        <v>11500</v>
      </c>
      <c r="J111">
        <v>240</v>
      </c>
      <c r="K111">
        <v>106</v>
      </c>
      <c r="L111" s="3">
        <f t="shared" si="16"/>
        <v>111883400</v>
      </c>
      <c r="M111">
        <v>6250</v>
      </c>
    </row>
    <row r="112" spans="2:13">
      <c r="B112">
        <v>107</v>
      </c>
      <c r="C112">
        <v>27</v>
      </c>
      <c r="D112">
        <f t="shared" ref="D112:D113" si="29">E111+1</f>
        <v>186241</v>
      </c>
      <c r="E112">
        <f>E110*3</f>
        <v>279360</v>
      </c>
      <c r="F112" t="s">
        <v>23</v>
      </c>
      <c r="G112">
        <v>550</v>
      </c>
      <c r="H112">
        <f t="shared" si="27"/>
        <v>72</v>
      </c>
      <c r="I112">
        <v>11600</v>
      </c>
      <c r="J112">
        <v>240</v>
      </c>
      <c r="K112">
        <v>107</v>
      </c>
      <c r="L112" s="3">
        <f t="shared" si="16"/>
        <v>114121100</v>
      </c>
      <c r="M112">
        <v>6300</v>
      </c>
    </row>
    <row r="113" spans="2:13">
      <c r="B113">
        <v>108</v>
      </c>
      <c r="C113">
        <v>27</v>
      </c>
      <c r="D113">
        <f t="shared" si="29"/>
        <v>279361</v>
      </c>
      <c r="E113">
        <f>E110*4</f>
        <v>372480</v>
      </c>
      <c r="F113" t="s">
        <v>23</v>
      </c>
      <c r="G113">
        <v>555</v>
      </c>
      <c r="H113">
        <f t="shared" si="27"/>
        <v>72</v>
      </c>
      <c r="I113">
        <v>11700</v>
      </c>
      <c r="J113">
        <v>240</v>
      </c>
      <c r="K113">
        <v>108</v>
      </c>
      <c r="L113" s="3">
        <f t="shared" si="16"/>
        <v>116403500</v>
      </c>
      <c r="M113">
        <v>6350</v>
      </c>
    </row>
    <row r="114" spans="2:13">
      <c r="B114">
        <v>109</v>
      </c>
      <c r="C114">
        <v>28</v>
      </c>
      <c r="D114">
        <v>0</v>
      </c>
      <c r="E114">
        <f>(C114*C114+C114+20)*120</f>
        <v>99840</v>
      </c>
      <c r="F114" t="s">
        <v>23</v>
      </c>
      <c r="G114">
        <v>560</v>
      </c>
      <c r="H114">
        <f t="shared" si="27"/>
        <v>74</v>
      </c>
      <c r="I114">
        <v>11800</v>
      </c>
      <c r="J114">
        <v>240</v>
      </c>
      <c r="K114">
        <v>109</v>
      </c>
      <c r="L114" s="3">
        <f t="shared" si="16"/>
        <v>118731600</v>
      </c>
      <c r="M114">
        <v>6400</v>
      </c>
    </row>
    <row r="115" spans="2:13">
      <c r="B115">
        <v>110</v>
      </c>
      <c r="C115">
        <v>28</v>
      </c>
      <c r="D115">
        <f>E114+1</f>
        <v>99841</v>
      </c>
      <c r="E115">
        <f>E114*2</f>
        <v>199680</v>
      </c>
      <c r="F115" t="s">
        <v>23</v>
      </c>
      <c r="G115">
        <v>565</v>
      </c>
      <c r="H115">
        <f t="shared" si="27"/>
        <v>74</v>
      </c>
      <c r="I115">
        <v>11900</v>
      </c>
      <c r="J115">
        <v>240</v>
      </c>
      <c r="K115">
        <v>110</v>
      </c>
      <c r="L115" s="3">
        <f t="shared" si="16"/>
        <v>121106200</v>
      </c>
      <c r="M115">
        <v>6450</v>
      </c>
    </row>
    <row r="116" spans="2:13">
      <c r="B116">
        <v>111</v>
      </c>
      <c r="C116">
        <v>28</v>
      </c>
      <c r="D116">
        <f t="shared" ref="D116:D117" si="30">E115+1</f>
        <v>199681</v>
      </c>
      <c r="E116">
        <f>E114*3</f>
        <v>299520</v>
      </c>
      <c r="F116" t="s">
        <v>23</v>
      </c>
      <c r="G116">
        <v>570</v>
      </c>
      <c r="H116">
        <f t="shared" si="27"/>
        <v>74</v>
      </c>
      <c r="I116">
        <v>12000</v>
      </c>
      <c r="J116">
        <v>240</v>
      </c>
      <c r="K116">
        <v>111</v>
      </c>
      <c r="L116" s="3">
        <f t="shared" si="16"/>
        <v>123528300</v>
      </c>
      <c r="M116">
        <v>6500</v>
      </c>
    </row>
    <row r="117" spans="2:13">
      <c r="B117">
        <v>112</v>
      </c>
      <c r="C117">
        <v>28</v>
      </c>
      <c r="D117">
        <f t="shared" si="30"/>
        <v>299521</v>
      </c>
      <c r="E117">
        <f>E114*4</f>
        <v>399360</v>
      </c>
      <c r="F117" t="s">
        <v>23</v>
      </c>
      <c r="G117">
        <v>575</v>
      </c>
      <c r="H117">
        <f t="shared" si="27"/>
        <v>74</v>
      </c>
      <c r="I117">
        <v>12100</v>
      </c>
      <c r="J117">
        <v>240</v>
      </c>
      <c r="K117">
        <v>112</v>
      </c>
      <c r="L117" s="3">
        <f t="shared" si="16"/>
        <v>125998900</v>
      </c>
      <c r="M117">
        <v>6550</v>
      </c>
    </row>
    <row r="118" spans="2:13">
      <c r="B118">
        <v>113</v>
      </c>
      <c r="C118">
        <v>29</v>
      </c>
      <c r="D118">
        <v>0</v>
      </c>
      <c r="E118">
        <f>(C118*C118+C118+20)*120</f>
        <v>106800</v>
      </c>
      <c r="F118" t="s">
        <v>23</v>
      </c>
      <c r="G118">
        <v>580</v>
      </c>
      <c r="H118">
        <f t="shared" si="27"/>
        <v>76</v>
      </c>
      <c r="I118">
        <v>12200</v>
      </c>
      <c r="J118">
        <v>240</v>
      </c>
      <c r="K118">
        <v>113</v>
      </c>
      <c r="L118" s="3">
        <f t="shared" si="16"/>
        <v>128518900</v>
      </c>
      <c r="M118">
        <v>6600</v>
      </c>
    </row>
    <row r="119" spans="2:13">
      <c r="B119">
        <v>114</v>
      </c>
      <c r="C119">
        <v>29</v>
      </c>
      <c r="D119">
        <f>E118+1</f>
        <v>106801</v>
      </c>
      <c r="E119">
        <f>E118*2</f>
        <v>213600</v>
      </c>
      <c r="F119" t="s">
        <v>23</v>
      </c>
      <c r="G119">
        <v>585</v>
      </c>
      <c r="H119">
        <f t="shared" si="27"/>
        <v>76</v>
      </c>
      <c r="I119">
        <v>12300</v>
      </c>
      <c r="J119">
        <v>240</v>
      </c>
      <c r="K119">
        <v>114</v>
      </c>
      <c r="L119" s="3">
        <f t="shared" si="16"/>
        <v>131089300</v>
      </c>
      <c r="M119">
        <v>6650</v>
      </c>
    </row>
    <row r="120" spans="2:13">
      <c r="B120">
        <v>115</v>
      </c>
      <c r="C120">
        <v>29</v>
      </c>
      <c r="D120">
        <f t="shared" ref="D120:D121" si="31">E119+1</f>
        <v>213601</v>
      </c>
      <c r="E120">
        <f>E118*3</f>
        <v>320400</v>
      </c>
      <c r="F120" t="s">
        <v>23</v>
      </c>
      <c r="G120">
        <v>590</v>
      </c>
      <c r="H120">
        <f t="shared" si="27"/>
        <v>76</v>
      </c>
      <c r="I120">
        <v>12400</v>
      </c>
      <c r="J120">
        <v>240</v>
      </c>
      <c r="K120">
        <v>115</v>
      </c>
      <c r="L120" s="3">
        <f t="shared" si="16"/>
        <v>133711100</v>
      </c>
      <c r="M120">
        <v>6700</v>
      </c>
    </row>
    <row r="121" spans="2:13">
      <c r="B121">
        <v>116</v>
      </c>
      <c r="C121">
        <v>29</v>
      </c>
      <c r="D121">
        <f t="shared" si="31"/>
        <v>320401</v>
      </c>
      <c r="E121">
        <f>E118*4</f>
        <v>427200</v>
      </c>
      <c r="F121" t="s">
        <v>23</v>
      </c>
      <c r="G121">
        <v>595</v>
      </c>
      <c r="H121">
        <f t="shared" si="27"/>
        <v>76</v>
      </c>
      <c r="I121">
        <v>12500</v>
      </c>
      <c r="J121">
        <v>240</v>
      </c>
      <c r="K121">
        <v>116</v>
      </c>
      <c r="L121" s="3">
        <f t="shared" si="16"/>
        <v>136385300</v>
      </c>
      <c r="M121">
        <v>6750</v>
      </c>
    </row>
    <row r="122" spans="2:13">
      <c r="B122">
        <v>117</v>
      </c>
      <c r="C122">
        <v>30</v>
      </c>
      <c r="D122">
        <v>0</v>
      </c>
      <c r="E122">
        <f>(C122*C122+C122+20)*120</f>
        <v>114000</v>
      </c>
      <c r="F122" t="s">
        <v>23</v>
      </c>
      <c r="G122">
        <v>600</v>
      </c>
      <c r="H122">
        <f t="shared" si="27"/>
        <v>78</v>
      </c>
      <c r="I122">
        <v>12600</v>
      </c>
      <c r="J122">
        <v>240</v>
      </c>
      <c r="K122">
        <v>117</v>
      </c>
      <c r="L122" s="3">
        <f t="shared" si="16"/>
        <v>139113000</v>
      </c>
      <c r="M122">
        <v>6800</v>
      </c>
    </row>
    <row r="123" spans="2:13">
      <c r="B123">
        <v>118</v>
      </c>
      <c r="C123">
        <v>30</v>
      </c>
      <c r="D123">
        <f>E122+1</f>
        <v>114001</v>
      </c>
      <c r="E123">
        <f>E122*2</f>
        <v>228000</v>
      </c>
      <c r="F123" t="s">
        <v>23</v>
      </c>
      <c r="G123">
        <v>605</v>
      </c>
      <c r="H123">
        <f t="shared" si="27"/>
        <v>78</v>
      </c>
      <c r="I123">
        <v>12700</v>
      </c>
      <c r="J123">
        <v>240</v>
      </c>
      <c r="K123">
        <v>118</v>
      </c>
      <c r="L123" s="3">
        <f t="shared" si="16"/>
        <v>141895300</v>
      </c>
      <c r="M123">
        <v>6850</v>
      </c>
    </row>
    <row r="124" spans="2:13">
      <c r="B124">
        <v>119</v>
      </c>
      <c r="C124">
        <v>30</v>
      </c>
      <c r="D124">
        <f t="shared" ref="D124:D125" si="32">E123+1</f>
        <v>228001</v>
      </c>
      <c r="E124">
        <f>E122*3</f>
        <v>342000</v>
      </c>
      <c r="F124" t="s">
        <v>23</v>
      </c>
      <c r="G124">
        <v>610</v>
      </c>
      <c r="H124">
        <f t="shared" si="27"/>
        <v>78</v>
      </c>
      <c r="I124">
        <v>12800</v>
      </c>
      <c r="J124">
        <v>240</v>
      </c>
      <c r="K124">
        <v>119</v>
      </c>
      <c r="L124" s="3">
        <f t="shared" si="16"/>
        <v>144733200</v>
      </c>
      <c r="M124">
        <v>6900</v>
      </c>
    </row>
    <row r="125" spans="2:13">
      <c r="B125">
        <v>120</v>
      </c>
      <c r="C125">
        <v>30</v>
      </c>
      <c r="D125">
        <f t="shared" si="32"/>
        <v>342001</v>
      </c>
      <c r="E125">
        <f>E122*4</f>
        <v>456000</v>
      </c>
      <c r="F125" t="s">
        <v>23</v>
      </c>
      <c r="G125">
        <v>615</v>
      </c>
      <c r="H125">
        <f t="shared" si="27"/>
        <v>78</v>
      </c>
      <c r="I125">
        <v>12900</v>
      </c>
      <c r="J125">
        <v>240</v>
      </c>
      <c r="K125">
        <v>120</v>
      </c>
      <c r="L125" s="3">
        <f t="shared" si="16"/>
        <v>147627900</v>
      </c>
      <c r="M125">
        <v>6950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B1:G121"/>
  <sheetViews>
    <sheetView workbookViewId="0">
      <selection activeCell="E86" sqref="B1:G121"/>
    </sheetView>
  </sheetViews>
  <sheetFormatPr defaultRowHeight="13.5"/>
  <cols>
    <col min="3" max="4" width="13.75" customWidth="1"/>
    <col min="7" max="7" width="11.5" customWidth="1"/>
  </cols>
  <sheetData>
    <row r="1" spans="2:7">
      <c r="B1" t="s">
        <v>1</v>
      </c>
      <c r="C1" t="s">
        <v>4</v>
      </c>
      <c r="D1" t="s">
        <v>21</v>
      </c>
      <c r="E1" t="s">
        <v>5</v>
      </c>
      <c r="F1" t="s">
        <v>17</v>
      </c>
      <c r="G1" t="s">
        <v>18</v>
      </c>
    </row>
    <row r="2" spans="2:7">
      <c r="B2">
        <f>Sheet1!B6</f>
        <v>1</v>
      </c>
      <c r="C2" t="str">
        <f>Sheet1!F6</f>
        <v>魔兽</v>
      </c>
      <c r="D2">
        <f>Sheet1!G6</f>
        <v>20</v>
      </c>
      <c r="E2">
        <f>Sheet1!I6</f>
        <v>1000</v>
      </c>
      <c r="F2">
        <f>Sheet1!K6</f>
        <v>1</v>
      </c>
      <c r="G2">
        <f>Sheet1!L6</f>
        <v>160000</v>
      </c>
    </row>
    <row r="3" spans="2:7">
      <c r="B3">
        <f>Sheet1!B7</f>
        <v>2</v>
      </c>
      <c r="C3" t="str">
        <f>Sheet1!F7</f>
        <v>魔兽</v>
      </c>
      <c r="D3">
        <f>Sheet1!G7</f>
        <v>25</v>
      </c>
      <c r="E3">
        <f>Sheet1!I7</f>
        <v>1100</v>
      </c>
      <c r="F3">
        <f>Sheet1!K7</f>
        <v>2</v>
      </c>
      <c r="G3">
        <f>Sheet1!L7</f>
        <v>191900</v>
      </c>
    </row>
    <row r="4" spans="2:7">
      <c r="B4">
        <f>Sheet1!B8</f>
        <v>3</v>
      </c>
      <c r="C4" t="str">
        <f>Sheet1!F8</f>
        <v>魔兽</v>
      </c>
      <c r="D4">
        <f>Sheet1!G8</f>
        <v>30</v>
      </c>
      <c r="E4">
        <f>Sheet1!I8</f>
        <v>1200</v>
      </c>
      <c r="F4">
        <f>Sheet1!K8</f>
        <v>3</v>
      </c>
      <c r="G4">
        <f>Sheet1!L8</f>
        <v>230100</v>
      </c>
    </row>
    <row r="5" spans="2:7">
      <c r="B5">
        <f>Sheet1!B9</f>
        <v>4</v>
      </c>
      <c r="C5" t="str">
        <f>Sheet1!F9</f>
        <v>魔兽</v>
      </c>
      <c r="D5">
        <f>Sheet1!G9</f>
        <v>35</v>
      </c>
      <c r="E5">
        <f>Sheet1!I9</f>
        <v>1300</v>
      </c>
      <c r="F5">
        <f>Sheet1!K9</f>
        <v>4</v>
      </c>
      <c r="G5">
        <f>Sheet1!L9</f>
        <v>275900</v>
      </c>
    </row>
    <row r="6" spans="2:7">
      <c r="B6">
        <f>Sheet1!B10</f>
        <v>5</v>
      </c>
      <c r="C6" t="str">
        <f>Sheet1!F10</f>
        <v>魔兽</v>
      </c>
      <c r="D6">
        <f>Sheet1!G10</f>
        <v>40</v>
      </c>
      <c r="E6">
        <f>Sheet1!I10</f>
        <v>1400</v>
      </c>
      <c r="F6">
        <f>Sheet1!K10</f>
        <v>5</v>
      </c>
      <c r="G6">
        <f>Sheet1!L10</f>
        <v>376200</v>
      </c>
    </row>
    <row r="7" spans="2:7">
      <c r="B7">
        <f>Sheet1!B11</f>
        <v>6</v>
      </c>
      <c r="C7" t="str">
        <f>Sheet1!F11</f>
        <v>魔兽</v>
      </c>
      <c r="D7">
        <f>Sheet1!G11</f>
        <v>45</v>
      </c>
      <c r="E7">
        <f>Sheet1!I11</f>
        <v>1500</v>
      </c>
      <c r="F7">
        <f>Sheet1!K11</f>
        <v>6</v>
      </c>
      <c r="G7">
        <f>Sheet1!L11</f>
        <v>513000</v>
      </c>
    </row>
    <row r="8" spans="2:7">
      <c r="B8">
        <f>Sheet1!B12</f>
        <v>7</v>
      </c>
      <c r="C8" t="str">
        <f>Sheet1!F12</f>
        <v>魔兽</v>
      </c>
      <c r="D8">
        <f>Sheet1!G12</f>
        <v>50</v>
      </c>
      <c r="E8">
        <f>Sheet1!I12</f>
        <v>1600</v>
      </c>
      <c r="F8">
        <f>Sheet1!K12</f>
        <v>7</v>
      </c>
      <c r="G8">
        <f>Sheet1!L12</f>
        <v>699500</v>
      </c>
    </row>
    <row r="9" spans="2:7">
      <c r="B9">
        <f>Sheet1!B13</f>
        <v>8</v>
      </c>
      <c r="C9" t="str">
        <f>Sheet1!F13</f>
        <v>魔兽</v>
      </c>
      <c r="D9">
        <f>Sheet1!G13</f>
        <v>55</v>
      </c>
      <c r="E9">
        <f>Sheet1!I13</f>
        <v>1700</v>
      </c>
      <c r="F9">
        <f>Sheet1!K13</f>
        <v>8</v>
      </c>
      <c r="G9">
        <f>Sheet1!L13</f>
        <v>953800</v>
      </c>
    </row>
    <row r="10" spans="2:7">
      <c r="B10">
        <f>Sheet1!B14</f>
        <v>9</v>
      </c>
      <c r="C10" t="str">
        <f>Sheet1!F14</f>
        <v>魔兽</v>
      </c>
      <c r="D10">
        <f>Sheet1!G14</f>
        <v>60</v>
      </c>
      <c r="E10">
        <f>Sheet1!I14</f>
        <v>1800</v>
      </c>
      <c r="F10">
        <f>Sheet1!K14</f>
        <v>9</v>
      </c>
      <c r="G10">
        <f>Sheet1!L14</f>
        <v>1127600</v>
      </c>
    </row>
    <row r="11" spans="2:7">
      <c r="B11">
        <f>Sheet1!B15</f>
        <v>10</v>
      </c>
      <c r="C11" t="str">
        <f>Sheet1!F15</f>
        <v>魔兽</v>
      </c>
      <c r="D11">
        <f>Sheet1!G15</f>
        <v>65</v>
      </c>
      <c r="E11">
        <f>Sheet1!I15</f>
        <v>1900</v>
      </c>
      <c r="F11">
        <f>Sheet1!K15</f>
        <v>10</v>
      </c>
      <c r="G11">
        <f>Sheet1!L15</f>
        <v>1333100</v>
      </c>
    </row>
    <row r="12" spans="2:7">
      <c r="B12">
        <f>Sheet1!B16</f>
        <v>11</v>
      </c>
      <c r="C12" t="str">
        <f>Sheet1!F16</f>
        <v>魔兽</v>
      </c>
      <c r="D12">
        <f>Sheet1!G16</f>
        <v>70</v>
      </c>
      <c r="E12">
        <f>Sheet1!I16</f>
        <v>2000</v>
      </c>
      <c r="F12">
        <f>Sheet1!K16</f>
        <v>11</v>
      </c>
      <c r="G12">
        <f>Sheet1!L16</f>
        <v>1576100</v>
      </c>
    </row>
    <row r="13" spans="2:7">
      <c r="B13">
        <f>Sheet1!B17</f>
        <v>12</v>
      </c>
      <c r="C13" t="str">
        <f>Sheet1!F17</f>
        <v>魔兽</v>
      </c>
      <c r="D13">
        <f>Sheet1!G17</f>
        <v>75</v>
      </c>
      <c r="E13">
        <f>Sheet1!I17</f>
        <v>2100</v>
      </c>
      <c r="F13">
        <f>Sheet1!K17</f>
        <v>12</v>
      </c>
      <c r="G13">
        <f>Sheet1!L17</f>
        <v>1863400</v>
      </c>
    </row>
    <row r="14" spans="2:7">
      <c r="B14">
        <f>Sheet1!B18</f>
        <v>13</v>
      </c>
      <c r="C14" t="str">
        <f>Sheet1!F18</f>
        <v>魔兽</v>
      </c>
      <c r="D14">
        <f>Sheet1!G18</f>
        <v>80</v>
      </c>
      <c r="E14">
        <f>Sheet1!I18</f>
        <v>2200</v>
      </c>
      <c r="F14">
        <f>Sheet1!K18</f>
        <v>13</v>
      </c>
      <c r="G14">
        <f>Sheet1!L18</f>
        <v>2092600</v>
      </c>
    </row>
    <row r="15" spans="2:7">
      <c r="B15">
        <f>Sheet1!B19</f>
        <v>14</v>
      </c>
      <c r="C15" t="str">
        <f>Sheet1!F19</f>
        <v>魔兽</v>
      </c>
      <c r="D15">
        <f>Sheet1!G19</f>
        <v>85</v>
      </c>
      <c r="E15">
        <f>Sheet1!I19</f>
        <v>2300</v>
      </c>
      <c r="F15">
        <f>Sheet1!K19</f>
        <v>14</v>
      </c>
      <c r="G15">
        <f>Sheet1!L19</f>
        <v>2350000</v>
      </c>
    </row>
    <row r="16" spans="2:7">
      <c r="B16">
        <f>Sheet1!B20</f>
        <v>15</v>
      </c>
      <c r="C16" t="str">
        <f>Sheet1!F20</f>
        <v>魔兽</v>
      </c>
      <c r="D16">
        <f>Sheet1!G20</f>
        <v>90</v>
      </c>
      <c r="E16">
        <f>Sheet1!I20</f>
        <v>2400</v>
      </c>
      <c r="F16">
        <f>Sheet1!K20</f>
        <v>15</v>
      </c>
      <c r="G16">
        <f>Sheet1!L20</f>
        <v>2639100</v>
      </c>
    </row>
    <row r="17" spans="2:7">
      <c r="B17">
        <f>Sheet1!B21</f>
        <v>16</v>
      </c>
      <c r="C17" t="str">
        <f>Sheet1!F21</f>
        <v>魔兽</v>
      </c>
      <c r="D17">
        <f>Sheet1!G21</f>
        <v>95</v>
      </c>
      <c r="E17">
        <f>Sheet1!I21</f>
        <v>2500</v>
      </c>
      <c r="F17">
        <f>Sheet1!K21</f>
        <v>16</v>
      </c>
      <c r="G17">
        <f>Sheet1!L21</f>
        <v>2963800</v>
      </c>
    </row>
    <row r="18" spans="2:7">
      <c r="B18">
        <f>Sheet1!B22</f>
        <v>17</v>
      </c>
      <c r="C18" t="str">
        <f>Sheet1!F22</f>
        <v>魔兽</v>
      </c>
      <c r="D18">
        <f>Sheet1!G22</f>
        <v>100</v>
      </c>
      <c r="E18">
        <f>Sheet1!I22</f>
        <v>2600</v>
      </c>
      <c r="F18">
        <f>Sheet1!K22</f>
        <v>17</v>
      </c>
      <c r="G18">
        <f>Sheet1!L22</f>
        <v>3330900</v>
      </c>
    </row>
    <row r="19" spans="2:7">
      <c r="B19">
        <f>Sheet1!B23</f>
        <v>18</v>
      </c>
      <c r="C19" t="str">
        <f>Sheet1!F23</f>
        <v>魔兽</v>
      </c>
      <c r="D19">
        <f>Sheet1!G23</f>
        <v>105</v>
      </c>
      <c r="E19">
        <f>Sheet1!I23</f>
        <v>2700</v>
      </c>
      <c r="F19">
        <f>Sheet1!K23</f>
        <v>18</v>
      </c>
      <c r="G19">
        <f>Sheet1!L23</f>
        <v>3743500</v>
      </c>
    </row>
    <row r="20" spans="2:7">
      <c r="B20">
        <f>Sheet1!B24</f>
        <v>19</v>
      </c>
      <c r="C20" t="str">
        <f>Sheet1!F24</f>
        <v>魔兽</v>
      </c>
      <c r="D20">
        <f>Sheet1!G24</f>
        <v>110</v>
      </c>
      <c r="E20">
        <f>Sheet1!I24</f>
        <v>2800</v>
      </c>
      <c r="F20">
        <f>Sheet1!K24</f>
        <v>19</v>
      </c>
      <c r="G20">
        <f>Sheet1!L24</f>
        <v>4207200</v>
      </c>
    </row>
    <row r="21" spans="2:7">
      <c r="B21">
        <f>Sheet1!B25</f>
        <v>20</v>
      </c>
      <c r="C21" t="str">
        <f>Sheet1!F25</f>
        <v>魔兽</v>
      </c>
      <c r="D21">
        <f>Sheet1!G25</f>
        <v>115</v>
      </c>
      <c r="E21">
        <f>Sheet1!I25</f>
        <v>2900</v>
      </c>
      <c r="F21">
        <f>Sheet1!K25</f>
        <v>20</v>
      </c>
      <c r="G21">
        <f>Sheet1!L25</f>
        <v>4728200</v>
      </c>
    </row>
    <row r="22" spans="2:7">
      <c r="B22">
        <f>Sheet1!B26</f>
        <v>21</v>
      </c>
      <c r="C22" t="str">
        <f>Sheet1!F26</f>
        <v>魔兽</v>
      </c>
      <c r="D22">
        <f>Sheet1!G26</f>
        <v>120</v>
      </c>
      <c r="E22">
        <f>Sheet1!I26</f>
        <v>3000</v>
      </c>
      <c r="F22">
        <f>Sheet1!K26</f>
        <v>21</v>
      </c>
      <c r="G22">
        <f>Sheet1!L26</f>
        <v>5419900</v>
      </c>
    </row>
    <row r="23" spans="2:7">
      <c r="B23">
        <f>Sheet1!B27</f>
        <v>22</v>
      </c>
      <c r="C23" t="str">
        <f>Sheet1!F27</f>
        <v>魔兽</v>
      </c>
      <c r="D23">
        <f>Sheet1!G27</f>
        <v>125</v>
      </c>
      <c r="E23">
        <f>Sheet1!I27</f>
        <v>3100</v>
      </c>
      <c r="F23">
        <f>Sheet1!K27</f>
        <v>22</v>
      </c>
      <c r="G23">
        <f>Sheet1!L27</f>
        <v>6212800</v>
      </c>
    </row>
    <row r="24" spans="2:7">
      <c r="B24">
        <f>Sheet1!B28</f>
        <v>23</v>
      </c>
      <c r="C24" t="str">
        <f>Sheet1!F28</f>
        <v>魔兽</v>
      </c>
      <c r="D24">
        <f>Sheet1!G28</f>
        <v>130</v>
      </c>
      <c r="E24">
        <f>Sheet1!I28</f>
        <v>3200</v>
      </c>
      <c r="F24">
        <f>Sheet1!K28</f>
        <v>23</v>
      </c>
      <c r="G24">
        <f>Sheet1!L28</f>
        <v>7121700</v>
      </c>
    </row>
    <row r="25" spans="2:7">
      <c r="B25">
        <f>Sheet1!B29</f>
        <v>24</v>
      </c>
      <c r="C25" t="str">
        <f>Sheet1!F29</f>
        <v>魔兽</v>
      </c>
      <c r="D25">
        <f>Sheet1!G29</f>
        <v>135</v>
      </c>
      <c r="E25">
        <f>Sheet1!I29</f>
        <v>3300</v>
      </c>
      <c r="F25">
        <f>Sheet1!K29</f>
        <v>24</v>
      </c>
      <c r="G25">
        <f>Sheet1!L29</f>
        <v>8163400</v>
      </c>
    </row>
    <row r="26" spans="2:7">
      <c r="B26">
        <f>Sheet1!B30</f>
        <v>25</v>
      </c>
      <c r="C26" t="str">
        <f>Sheet1!F30</f>
        <v>魔兽</v>
      </c>
      <c r="D26">
        <f>Sheet1!G30</f>
        <v>140</v>
      </c>
      <c r="E26">
        <f>Sheet1!I30</f>
        <v>3400</v>
      </c>
      <c r="F26">
        <f>Sheet1!K30</f>
        <v>25</v>
      </c>
      <c r="G26">
        <f>Sheet1!L30</f>
        <v>9074800</v>
      </c>
    </row>
    <row r="27" spans="2:7">
      <c r="B27">
        <f>Sheet1!B31</f>
        <v>26</v>
      </c>
      <c r="C27" t="str">
        <f>Sheet1!F31</f>
        <v>魔兽</v>
      </c>
      <c r="D27">
        <f>Sheet1!G31</f>
        <v>145</v>
      </c>
      <c r="E27">
        <f>Sheet1!I31</f>
        <v>3500</v>
      </c>
      <c r="F27">
        <f>Sheet1!K31</f>
        <v>26</v>
      </c>
      <c r="G27">
        <f>Sheet1!L31</f>
        <v>10087900</v>
      </c>
    </row>
    <row r="28" spans="2:7">
      <c r="B28">
        <f>Sheet1!B32</f>
        <v>27</v>
      </c>
      <c r="C28" t="str">
        <f>Sheet1!F32</f>
        <v>魔兽</v>
      </c>
      <c r="D28">
        <f>Sheet1!G32</f>
        <v>150</v>
      </c>
      <c r="E28">
        <f>Sheet1!I32</f>
        <v>3600</v>
      </c>
      <c r="F28">
        <f>Sheet1!K32</f>
        <v>27</v>
      </c>
      <c r="G28">
        <f>Sheet1!L32</f>
        <v>11214100</v>
      </c>
    </row>
    <row r="29" spans="2:7">
      <c r="B29">
        <f>Sheet1!B33</f>
        <v>28</v>
      </c>
      <c r="C29" t="str">
        <f>Sheet1!F33</f>
        <v>魔兽</v>
      </c>
      <c r="D29">
        <f>Sheet1!G33</f>
        <v>155</v>
      </c>
      <c r="E29">
        <f>Sheet1!I33</f>
        <v>3700</v>
      </c>
      <c r="F29">
        <f>Sheet1!K33</f>
        <v>28</v>
      </c>
      <c r="G29">
        <f>Sheet1!L33</f>
        <v>12466000</v>
      </c>
    </row>
    <row r="30" spans="2:7">
      <c r="B30">
        <f>Sheet1!B34</f>
        <v>29</v>
      </c>
      <c r="C30" t="str">
        <f>Sheet1!F34</f>
        <v>魔兽</v>
      </c>
      <c r="D30">
        <f>Sheet1!G34</f>
        <v>160</v>
      </c>
      <c r="E30">
        <f>Sheet1!I34</f>
        <v>3800</v>
      </c>
      <c r="F30">
        <f>Sheet1!K34</f>
        <v>29</v>
      </c>
      <c r="G30">
        <f>Sheet1!L34</f>
        <v>13271200</v>
      </c>
    </row>
    <row r="31" spans="2:7">
      <c r="B31">
        <f>Sheet1!B35</f>
        <v>30</v>
      </c>
      <c r="C31" t="str">
        <f>Sheet1!F35</f>
        <v>魔兽</v>
      </c>
      <c r="D31">
        <f>Sheet1!G35</f>
        <v>165</v>
      </c>
      <c r="E31">
        <f>Sheet1!I35</f>
        <v>3900</v>
      </c>
      <c r="F31">
        <f>Sheet1!K35</f>
        <v>30</v>
      </c>
      <c r="G31">
        <f>Sheet1!L35</f>
        <v>14128400</v>
      </c>
    </row>
    <row r="32" spans="2:7">
      <c r="B32">
        <f>Sheet1!B36</f>
        <v>31</v>
      </c>
      <c r="C32" t="str">
        <f>Sheet1!F36</f>
        <v>魔兽</v>
      </c>
      <c r="D32">
        <f>Sheet1!G36</f>
        <v>170</v>
      </c>
      <c r="E32">
        <f>Sheet1!I36</f>
        <v>4000</v>
      </c>
      <c r="F32">
        <f>Sheet1!K36</f>
        <v>31</v>
      </c>
      <c r="G32">
        <f>Sheet1!L36</f>
        <v>15041000</v>
      </c>
    </row>
    <row r="33" spans="2:7">
      <c r="B33">
        <f>Sheet1!B37</f>
        <v>32</v>
      </c>
      <c r="C33" t="str">
        <f>Sheet1!F37</f>
        <v>魔兽</v>
      </c>
      <c r="D33">
        <f>Sheet1!G37</f>
        <v>175</v>
      </c>
      <c r="E33">
        <f>Sheet1!I37</f>
        <v>4100</v>
      </c>
      <c r="F33">
        <f>Sheet1!K37</f>
        <v>32</v>
      </c>
      <c r="G33">
        <f>Sheet1!L37</f>
        <v>16012500</v>
      </c>
    </row>
    <row r="34" spans="2:7">
      <c r="B34">
        <f>Sheet1!B38</f>
        <v>33</v>
      </c>
      <c r="C34" t="str">
        <f>Sheet1!F38</f>
        <v>魔兽</v>
      </c>
      <c r="D34">
        <f>Sheet1!G38</f>
        <v>180</v>
      </c>
      <c r="E34">
        <f>Sheet1!I38</f>
        <v>4200</v>
      </c>
      <c r="F34">
        <f>Sheet1!K38</f>
        <v>33</v>
      </c>
      <c r="G34">
        <f>Sheet1!L38</f>
        <v>16774500</v>
      </c>
    </row>
    <row r="35" spans="2:7">
      <c r="B35">
        <f>Sheet1!B39</f>
        <v>34</v>
      </c>
      <c r="C35" t="str">
        <f>Sheet1!F39</f>
        <v>魔兽</v>
      </c>
      <c r="D35">
        <f>Sheet1!G39</f>
        <v>185</v>
      </c>
      <c r="E35">
        <f>Sheet1!I39</f>
        <v>4300</v>
      </c>
      <c r="F35">
        <f>Sheet1!K39</f>
        <v>34</v>
      </c>
      <c r="G35">
        <f>Sheet1!L39</f>
        <v>17572800</v>
      </c>
    </row>
    <row r="36" spans="2:7">
      <c r="B36">
        <f>Sheet1!B40</f>
        <v>35</v>
      </c>
      <c r="C36" t="str">
        <f>Sheet1!F40</f>
        <v>魔兽</v>
      </c>
      <c r="D36">
        <f>Sheet1!G40</f>
        <v>190</v>
      </c>
      <c r="E36">
        <f>Sheet1!I40</f>
        <v>4400</v>
      </c>
      <c r="F36">
        <f>Sheet1!K40</f>
        <v>35</v>
      </c>
      <c r="G36">
        <f>Sheet1!L40</f>
        <v>18409100</v>
      </c>
    </row>
    <row r="37" spans="2:7">
      <c r="B37">
        <f>Sheet1!B41</f>
        <v>36</v>
      </c>
      <c r="C37" t="str">
        <f>Sheet1!F41</f>
        <v>魔兽</v>
      </c>
      <c r="D37">
        <f>Sheet1!G41</f>
        <v>195</v>
      </c>
      <c r="E37">
        <f>Sheet1!I41</f>
        <v>4500</v>
      </c>
      <c r="F37">
        <f>Sheet1!K41</f>
        <v>36</v>
      </c>
      <c r="G37">
        <f>Sheet1!L41</f>
        <v>19285200</v>
      </c>
    </row>
    <row r="38" spans="2:7">
      <c r="B38">
        <f>Sheet1!B42</f>
        <v>37</v>
      </c>
      <c r="C38" t="str">
        <f>Sheet1!F42</f>
        <v>魔兽</v>
      </c>
      <c r="D38">
        <f>Sheet1!G42</f>
        <v>200</v>
      </c>
      <c r="E38">
        <f>Sheet1!I42</f>
        <v>4600</v>
      </c>
      <c r="F38">
        <f>Sheet1!K42</f>
        <v>37</v>
      </c>
      <c r="G38">
        <f>Sheet1!L42</f>
        <v>20157000</v>
      </c>
    </row>
    <row r="39" spans="2:7">
      <c r="B39">
        <f>Sheet1!B43</f>
        <v>38</v>
      </c>
      <c r="C39" t="str">
        <f>Sheet1!F43</f>
        <v>魔兽</v>
      </c>
      <c r="D39">
        <f>Sheet1!G43</f>
        <v>205</v>
      </c>
      <c r="E39">
        <f>Sheet1!I43</f>
        <v>4700</v>
      </c>
      <c r="F39">
        <f>Sheet1!K43</f>
        <v>38</v>
      </c>
      <c r="G39">
        <f>Sheet1!L43</f>
        <v>21068200</v>
      </c>
    </row>
    <row r="40" spans="2:7">
      <c r="B40">
        <f>Sheet1!B44</f>
        <v>39</v>
      </c>
      <c r="C40" t="str">
        <f>Sheet1!F44</f>
        <v>魔兽</v>
      </c>
      <c r="D40">
        <f>Sheet1!G44</f>
        <v>210</v>
      </c>
      <c r="E40">
        <f>Sheet1!I44</f>
        <v>4800</v>
      </c>
      <c r="F40">
        <f>Sheet1!K44</f>
        <v>39</v>
      </c>
      <c r="G40">
        <f>Sheet1!L44</f>
        <v>22020600</v>
      </c>
    </row>
    <row r="41" spans="2:7">
      <c r="B41">
        <f>Sheet1!B45</f>
        <v>40</v>
      </c>
      <c r="C41" t="str">
        <f>Sheet1!F45</f>
        <v>魔兽</v>
      </c>
      <c r="D41">
        <f>Sheet1!G45</f>
        <v>215</v>
      </c>
      <c r="E41">
        <f>Sheet1!I45</f>
        <v>4900</v>
      </c>
      <c r="F41">
        <f>Sheet1!K45</f>
        <v>40</v>
      </c>
      <c r="G41">
        <f>Sheet1!L45</f>
        <v>23015900</v>
      </c>
    </row>
    <row r="42" spans="2:7">
      <c r="B42">
        <f>Sheet1!B46</f>
        <v>41</v>
      </c>
      <c r="C42" t="str">
        <f>Sheet1!F46</f>
        <v>魔兽</v>
      </c>
      <c r="D42">
        <f>Sheet1!G46</f>
        <v>220</v>
      </c>
      <c r="E42">
        <f>Sheet1!I46</f>
        <v>5000</v>
      </c>
      <c r="F42">
        <f>Sheet1!K46</f>
        <v>41</v>
      </c>
      <c r="G42">
        <f>Sheet1!L46</f>
        <v>23784000</v>
      </c>
    </row>
    <row r="43" spans="2:7">
      <c r="B43">
        <f>Sheet1!B47</f>
        <v>42</v>
      </c>
      <c r="C43" t="str">
        <f>Sheet1!F47</f>
        <v>魔兽</v>
      </c>
      <c r="D43">
        <f>Sheet1!G47</f>
        <v>225</v>
      </c>
      <c r="E43">
        <f>Sheet1!I47</f>
        <v>5100</v>
      </c>
      <c r="F43">
        <f>Sheet1!K47</f>
        <v>42</v>
      </c>
      <c r="G43">
        <f>Sheet1!L47</f>
        <v>24577800</v>
      </c>
    </row>
    <row r="44" spans="2:7">
      <c r="B44">
        <f>Sheet1!B48</f>
        <v>43</v>
      </c>
      <c r="C44" t="str">
        <f>Sheet1!F48</f>
        <v>魔兽</v>
      </c>
      <c r="D44">
        <f>Sheet1!G48</f>
        <v>230</v>
      </c>
      <c r="E44">
        <f>Sheet1!I48</f>
        <v>5200</v>
      </c>
      <c r="F44">
        <f>Sheet1!K48</f>
        <v>43</v>
      </c>
      <c r="G44">
        <f>Sheet1!L48</f>
        <v>25398100</v>
      </c>
    </row>
    <row r="45" spans="2:7">
      <c r="B45">
        <f>Sheet1!B49</f>
        <v>44</v>
      </c>
      <c r="C45" t="str">
        <f>Sheet1!F49</f>
        <v>魔兽</v>
      </c>
      <c r="D45">
        <f>Sheet1!G49</f>
        <v>235</v>
      </c>
      <c r="E45">
        <f>Sheet1!I49</f>
        <v>5300</v>
      </c>
      <c r="F45">
        <f>Sheet1!K49</f>
        <v>44</v>
      </c>
      <c r="G45">
        <f>Sheet1!L49</f>
        <v>26245700</v>
      </c>
    </row>
    <row r="46" spans="2:7">
      <c r="B46">
        <f>Sheet1!B50</f>
        <v>45</v>
      </c>
      <c r="C46" t="str">
        <f>Sheet1!F50</f>
        <v>魔兽</v>
      </c>
      <c r="D46">
        <f>Sheet1!G50</f>
        <v>240</v>
      </c>
      <c r="E46">
        <f>Sheet1!I50</f>
        <v>5400</v>
      </c>
      <c r="F46">
        <f>Sheet1!K50</f>
        <v>45</v>
      </c>
      <c r="G46">
        <f>Sheet1!L50</f>
        <v>27401200</v>
      </c>
    </row>
    <row r="47" spans="2:7">
      <c r="B47">
        <f>Sheet1!B51</f>
        <v>46</v>
      </c>
      <c r="C47" t="str">
        <f>Sheet1!F51</f>
        <v>魔兽</v>
      </c>
      <c r="D47">
        <f>Sheet1!G51</f>
        <v>245</v>
      </c>
      <c r="E47">
        <f>Sheet1!I51</f>
        <v>5500</v>
      </c>
      <c r="F47">
        <f>Sheet1!K51</f>
        <v>46</v>
      </c>
      <c r="G47">
        <f>Sheet1!L51</f>
        <v>28607600</v>
      </c>
    </row>
    <row r="48" spans="2:7">
      <c r="B48">
        <f>Sheet1!B52</f>
        <v>47</v>
      </c>
      <c r="C48" t="str">
        <f>Sheet1!F52</f>
        <v>魔兽</v>
      </c>
      <c r="D48">
        <f>Sheet1!G52</f>
        <v>250</v>
      </c>
      <c r="E48">
        <f>Sheet1!I52</f>
        <v>5600</v>
      </c>
      <c r="F48">
        <f>Sheet1!K52</f>
        <v>47</v>
      </c>
      <c r="G48">
        <f>Sheet1!L52</f>
        <v>29867100</v>
      </c>
    </row>
    <row r="49" spans="2:7">
      <c r="B49">
        <f>Sheet1!B53</f>
        <v>48</v>
      </c>
      <c r="C49" t="str">
        <f>Sheet1!F53</f>
        <v>魔兽</v>
      </c>
      <c r="D49">
        <f>Sheet1!G53</f>
        <v>255</v>
      </c>
      <c r="E49">
        <f>Sheet1!I53</f>
        <v>5700</v>
      </c>
      <c r="F49">
        <f>Sheet1!K53</f>
        <v>48</v>
      </c>
      <c r="G49">
        <f>Sheet1!L53</f>
        <v>31182200</v>
      </c>
    </row>
    <row r="50" spans="2:7">
      <c r="B50">
        <f>Sheet1!B54</f>
        <v>49</v>
      </c>
      <c r="C50" t="str">
        <f>Sheet1!F54</f>
        <v>魔兽</v>
      </c>
      <c r="D50">
        <f>Sheet1!G54</f>
        <v>260</v>
      </c>
      <c r="E50">
        <f>Sheet1!I54</f>
        <v>5800</v>
      </c>
      <c r="F50">
        <f>Sheet1!K54</f>
        <v>49</v>
      </c>
      <c r="G50">
        <f>Sheet1!L54</f>
        <v>32172700</v>
      </c>
    </row>
    <row r="51" spans="2:7">
      <c r="B51">
        <f>Sheet1!B55</f>
        <v>50</v>
      </c>
      <c r="C51" t="str">
        <f>Sheet1!F55</f>
        <v>魔兽</v>
      </c>
      <c r="D51">
        <f>Sheet1!G55</f>
        <v>265</v>
      </c>
      <c r="E51">
        <f>Sheet1!I55</f>
        <v>5900</v>
      </c>
      <c r="F51">
        <f>Sheet1!K55</f>
        <v>50</v>
      </c>
      <c r="G51">
        <f>Sheet1!L55</f>
        <v>33194700</v>
      </c>
    </row>
    <row r="52" spans="2:7">
      <c r="B52">
        <f>Sheet1!B56</f>
        <v>51</v>
      </c>
      <c r="C52" t="str">
        <f>Sheet1!F56</f>
        <v>魔兽</v>
      </c>
      <c r="D52">
        <f>Sheet1!G56</f>
        <v>270</v>
      </c>
      <c r="E52">
        <f>Sheet1!I56</f>
        <v>6000</v>
      </c>
      <c r="F52">
        <f>Sheet1!K56</f>
        <v>51</v>
      </c>
      <c r="G52">
        <f>Sheet1!L56</f>
        <v>34249100</v>
      </c>
    </row>
    <row r="53" spans="2:7">
      <c r="B53">
        <f>Sheet1!B57</f>
        <v>52</v>
      </c>
      <c r="C53" t="str">
        <f>Sheet1!F57</f>
        <v>魔兽</v>
      </c>
      <c r="D53">
        <f>Sheet1!G57</f>
        <v>275</v>
      </c>
      <c r="E53">
        <f>Sheet1!I57</f>
        <v>6100</v>
      </c>
      <c r="F53">
        <f>Sheet1!K57</f>
        <v>52</v>
      </c>
      <c r="G53">
        <f>Sheet1!L57</f>
        <v>35337000</v>
      </c>
    </row>
    <row r="54" spans="2:7">
      <c r="B54">
        <f>Sheet1!B58</f>
        <v>53</v>
      </c>
      <c r="C54" t="str">
        <f>Sheet1!F58</f>
        <v>魔兽</v>
      </c>
      <c r="D54">
        <f>Sheet1!G58</f>
        <v>280</v>
      </c>
      <c r="E54">
        <f>Sheet1!I58</f>
        <v>6200</v>
      </c>
      <c r="F54">
        <f>Sheet1!K58</f>
        <v>53</v>
      </c>
      <c r="G54">
        <f>Sheet1!L58</f>
        <v>36428300</v>
      </c>
    </row>
    <row r="55" spans="2:7">
      <c r="B55">
        <f>Sheet1!B59</f>
        <v>54</v>
      </c>
      <c r="C55" t="str">
        <f>Sheet1!F59</f>
        <v>魔兽</v>
      </c>
      <c r="D55">
        <f>Sheet1!G59</f>
        <v>285</v>
      </c>
      <c r="E55">
        <f>Sheet1!I59</f>
        <v>6300</v>
      </c>
      <c r="F55">
        <f>Sheet1!K59</f>
        <v>54</v>
      </c>
      <c r="G55">
        <f>Sheet1!L59</f>
        <v>37553300</v>
      </c>
    </row>
    <row r="56" spans="2:7">
      <c r="B56">
        <f>Sheet1!B60</f>
        <v>55</v>
      </c>
      <c r="C56" t="str">
        <f>Sheet1!F60</f>
        <v>魔兽</v>
      </c>
      <c r="D56">
        <f>Sheet1!G60</f>
        <v>290</v>
      </c>
      <c r="E56">
        <f>Sheet1!I60</f>
        <v>6400</v>
      </c>
      <c r="F56">
        <f>Sheet1!K60</f>
        <v>55</v>
      </c>
      <c r="G56">
        <f>Sheet1!L60</f>
        <v>38713000</v>
      </c>
    </row>
    <row r="57" spans="2:7">
      <c r="B57">
        <f>Sheet1!B61</f>
        <v>56</v>
      </c>
      <c r="C57" t="str">
        <f>Sheet1!F61</f>
        <v>魔兽</v>
      </c>
      <c r="D57">
        <f>Sheet1!G61</f>
        <v>295</v>
      </c>
      <c r="E57">
        <f>Sheet1!I61</f>
        <v>6500</v>
      </c>
      <c r="F57">
        <f>Sheet1!K61</f>
        <v>56</v>
      </c>
      <c r="G57">
        <f>Sheet1!L61</f>
        <v>39908500</v>
      </c>
    </row>
    <row r="58" spans="2:7">
      <c r="B58">
        <f>Sheet1!B62</f>
        <v>57</v>
      </c>
      <c r="C58" t="str">
        <f>Sheet1!F62</f>
        <v>魔兽</v>
      </c>
      <c r="D58">
        <f>Sheet1!G62</f>
        <v>300</v>
      </c>
      <c r="E58">
        <f>Sheet1!I62</f>
        <v>6600</v>
      </c>
      <c r="F58">
        <f>Sheet1!K62</f>
        <v>57</v>
      </c>
      <c r="G58">
        <f>Sheet1!L62</f>
        <v>41123300</v>
      </c>
    </row>
    <row r="59" spans="2:7">
      <c r="B59">
        <f>Sheet1!B63</f>
        <v>58</v>
      </c>
      <c r="C59" t="str">
        <f>Sheet1!F63</f>
        <v>魔兽</v>
      </c>
      <c r="D59">
        <f>Sheet1!G63</f>
        <v>305</v>
      </c>
      <c r="E59">
        <f>Sheet1!I63</f>
        <v>6700</v>
      </c>
      <c r="F59">
        <f>Sheet1!K63</f>
        <v>58</v>
      </c>
      <c r="G59">
        <f>Sheet1!L63</f>
        <v>42375100</v>
      </c>
    </row>
    <row r="60" spans="2:7">
      <c r="B60">
        <f>Sheet1!B64</f>
        <v>59</v>
      </c>
      <c r="C60" t="str">
        <f>Sheet1!F64</f>
        <v>魔兽</v>
      </c>
      <c r="D60">
        <f>Sheet1!G64</f>
        <v>310</v>
      </c>
      <c r="E60">
        <f>Sheet1!I64</f>
        <v>6800</v>
      </c>
      <c r="F60">
        <f>Sheet1!K64</f>
        <v>59</v>
      </c>
      <c r="G60">
        <f>Sheet1!L64</f>
        <v>43665000</v>
      </c>
    </row>
    <row r="61" spans="2:7">
      <c r="B61">
        <f>Sheet1!B65</f>
        <v>60</v>
      </c>
      <c r="C61" t="str">
        <f>Sheet1!F65</f>
        <v>魔兽</v>
      </c>
      <c r="D61">
        <f>Sheet1!G65</f>
        <v>315</v>
      </c>
      <c r="E61">
        <f>Sheet1!I65</f>
        <v>6900</v>
      </c>
      <c r="F61">
        <f>Sheet1!K65</f>
        <v>60</v>
      </c>
      <c r="G61">
        <f>Sheet1!L65</f>
        <v>44994100</v>
      </c>
    </row>
    <row r="62" spans="2:7">
      <c r="B62">
        <f>Sheet1!B66</f>
        <v>61</v>
      </c>
      <c r="C62" t="str">
        <f>Sheet1!F66</f>
        <v>魔兽</v>
      </c>
      <c r="D62">
        <f>Sheet1!G66</f>
        <v>320</v>
      </c>
      <c r="E62">
        <f>Sheet1!I66</f>
        <v>7000</v>
      </c>
      <c r="F62">
        <f>Sheet1!K66</f>
        <v>61</v>
      </c>
      <c r="G62">
        <f>Sheet1!L66</f>
        <v>45894000</v>
      </c>
    </row>
    <row r="63" spans="2:7">
      <c r="B63">
        <f>Sheet1!B67</f>
        <v>62</v>
      </c>
      <c r="C63" t="str">
        <f>Sheet1!F67</f>
        <v>魔兽</v>
      </c>
      <c r="D63">
        <f>Sheet1!G67</f>
        <v>325</v>
      </c>
      <c r="E63">
        <f>Sheet1!I67</f>
        <v>7100</v>
      </c>
      <c r="F63">
        <f>Sheet1!K67</f>
        <v>62</v>
      </c>
      <c r="G63">
        <f>Sheet1!L67</f>
        <v>46811900</v>
      </c>
    </row>
    <row r="64" spans="2:7">
      <c r="B64">
        <f>Sheet1!B68</f>
        <v>63</v>
      </c>
      <c r="C64" t="str">
        <f>Sheet1!F68</f>
        <v>魔兽</v>
      </c>
      <c r="D64">
        <f>Sheet1!G68</f>
        <v>330</v>
      </c>
      <c r="E64">
        <f>Sheet1!I68</f>
        <v>7200</v>
      </c>
      <c r="F64">
        <f>Sheet1!K68</f>
        <v>63</v>
      </c>
      <c r="G64">
        <f>Sheet1!L68</f>
        <v>47748100</v>
      </c>
    </row>
    <row r="65" spans="2:7">
      <c r="B65">
        <f>Sheet1!B69</f>
        <v>64</v>
      </c>
      <c r="C65" t="str">
        <f>Sheet1!F69</f>
        <v>魔兽</v>
      </c>
      <c r="D65">
        <f>Sheet1!G69</f>
        <v>335</v>
      </c>
      <c r="E65">
        <f>Sheet1!I69</f>
        <v>7300</v>
      </c>
      <c r="F65">
        <f>Sheet1!K69</f>
        <v>64</v>
      </c>
      <c r="G65">
        <f>Sheet1!L69</f>
        <v>48703100</v>
      </c>
    </row>
    <row r="66" spans="2:7">
      <c r="B66">
        <f>Sheet1!B70</f>
        <v>65</v>
      </c>
      <c r="C66" t="str">
        <f>Sheet1!F70</f>
        <v>魔兽</v>
      </c>
      <c r="D66">
        <f>Sheet1!G70</f>
        <v>340</v>
      </c>
      <c r="E66">
        <f>Sheet1!I70</f>
        <v>7400</v>
      </c>
      <c r="F66">
        <f>Sheet1!K70</f>
        <v>65</v>
      </c>
      <c r="G66">
        <f>Sheet1!L70</f>
        <v>49677200</v>
      </c>
    </row>
    <row r="67" spans="2:7">
      <c r="B67">
        <f>Sheet1!B71</f>
        <v>66</v>
      </c>
      <c r="C67" t="str">
        <f>Sheet1!F71</f>
        <v>魔兽</v>
      </c>
      <c r="D67">
        <f>Sheet1!G71</f>
        <v>345</v>
      </c>
      <c r="E67">
        <f>Sheet1!I71</f>
        <v>7500</v>
      </c>
      <c r="F67">
        <f>Sheet1!K71</f>
        <v>66</v>
      </c>
      <c r="G67">
        <f>Sheet1!L71</f>
        <v>50670700</v>
      </c>
    </row>
    <row r="68" spans="2:7">
      <c r="B68">
        <f>Sheet1!B72</f>
        <v>67</v>
      </c>
      <c r="C68" t="str">
        <f>Sheet1!F72</f>
        <v>魔兽</v>
      </c>
      <c r="D68">
        <f>Sheet1!G72</f>
        <v>350</v>
      </c>
      <c r="E68">
        <f>Sheet1!I72</f>
        <v>7600</v>
      </c>
      <c r="F68">
        <f>Sheet1!K72</f>
        <v>67</v>
      </c>
      <c r="G68">
        <f>Sheet1!L72</f>
        <v>51684100</v>
      </c>
    </row>
    <row r="69" spans="2:7">
      <c r="B69">
        <f>Sheet1!B73</f>
        <v>68</v>
      </c>
      <c r="C69" t="str">
        <f>Sheet1!F73</f>
        <v>魔兽</v>
      </c>
      <c r="D69">
        <f>Sheet1!G73</f>
        <v>355</v>
      </c>
      <c r="E69">
        <f>Sheet1!I73</f>
        <v>7700</v>
      </c>
      <c r="F69">
        <f>Sheet1!K73</f>
        <v>68</v>
      </c>
      <c r="G69">
        <f>Sheet1!L73</f>
        <v>52717800</v>
      </c>
    </row>
    <row r="70" spans="2:7">
      <c r="B70">
        <f>Sheet1!B74</f>
        <v>69</v>
      </c>
      <c r="C70" t="str">
        <f>Sheet1!F74</f>
        <v>魔兽</v>
      </c>
      <c r="D70">
        <f>Sheet1!G74</f>
        <v>360</v>
      </c>
      <c r="E70">
        <f>Sheet1!I74</f>
        <v>7800</v>
      </c>
      <c r="F70">
        <f>Sheet1!K74</f>
        <v>69</v>
      </c>
      <c r="G70">
        <f>Sheet1!L74</f>
        <v>53772200</v>
      </c>
    </row>
    <row r="71" spans="2:7">
      <c r="B71">
        <f>Sheet1!B75</f>
        <v>70</v>
      </c>
      <c r="C71" t="str">
        <f>Sheet1!F75</f>
        <v>魔兽</v>
      </c>
      <c r="D71">
        <f>Sheet1!G75</f>
        <v>365</v>
      </c>
      <c r="E71">
        <f>Sheet1!I75</f>
        <v>7900</v>
      </c>
      <c r="F71">
        <f>Sheet1!K75</f>
        <v>70</v>
      </c>
      <c r="G71">
        <f>Sheet1!L75</f>
        <v>54847600</v>
      </c>
    </row>
    <row r="72" spans="2:7">
      <c r="B72">
        <f>Sheet1!B76</f>
        <v>71</v>
      </c>
      <c r="C72" t="str">
        <f>Sheet1!F76</f>
        <v>魔兽</v>
      </c>
      <c r="D72">
        <f>Sheet1!G76</f>
        <v>370</v>
      </c>
      <c r="E72">
        <f>Sheet1!I76</f>
        <v>8000</v>
      </c>
      <c r="F72">
        <f>Sheet1!K76</f>
        <v>71</v>
      </c>
      <c r="G72">
        <f>Sheet1!L76</f>
        <v>55944600</v>
      </c>
    </row>
    <row r="73" spans="2:7">
      <c r="B73">
        <f>Sheet1!B77</f>
        <v>72</v>
      </c>
      <c r="C73" t="str">
        <f>Sheet1!F77</f>
        <v>魔兽</v>
      </c>
      <c r="D73">
        <f>Sheet1!G77</f>
        <v>375</v>
      </c>
      <c r="E73">
        <f>Sheet1!I77</f>
        <v>8100</v>
      </c>
      <c r="F73">
        <f>Sheet1!K77</f>
        <v>72</v>
      </c>
      <c r="G73">
        <f>Sheet1!L77</f>
        <v>57063500</v>
      </c>
    </row>
    <row r="74" spans="2:7">
      <c r="B74">
        <f>Sheet1!B78</f>
        <v>73</v>
      </c>
      <c r="C74" t="str">
        <f>Sheet1!F78</f>
        <v>魔兽</v>
      </c>
      <c r="D74">
        <f>Sheet1!G78</f>
        <v>380</v>
      </c>
      <c r="E74">
        <f>Sheet1!I78</f>
        <v>8200</v>
      </c>
      <c r="F74">
        <f>Sheet1!K78</f>
        <v>73</v>
      </c>
      <c r="G74">
        <f>Sheet1!L78</f>
        <v>58204800</v>
      </c>
    </row>
    <row r="75" spans="2:7">
      <c r="B75">
        <f>Sheet1!B79</f>
        <v>74</v>
      </c>
      <c r="C75" t="str">
        <f>Sheet1!F79</f>
        <v>魔兽</v>
      </c>
      <c r="D75">
        <f>Sheet1!G79</f>
        <v>385</v>
      </c>
      <c r="E75">
        <f>Sheet1!I79</f>
        <v>8300</v>
      </c>
      <c r="F75">
        <f>Sheet1!K79</f>
        <v>74</v>
      </c>
      <c r="G75">
        <f>Sheet1!L79</f>
        <v>59368900</v>
      </c>
    </row>
    <row r="76" spans="2:7">
      <c r="B76">
        <f>Sheet1!B80</f>
        <v>75</v>
      </c>
      <c r="C76" t="str">
        <f>Sheet1!F80</f>
        <v>魔兽</v>
      </c>
      <c r="D76">
        <f>Sheet1!G80</f>
        <v>390</v>
      </c>
      <c r="E76">
        <f>Sheet1!I80</f>
        <v>8400</v>
      </c>
      <c r="F76">
        <f>Sheet1!K80</f>
        <v>75</v>
      </c>
      <c r="G76">
        <f>Sheet1!L80</f>
        <v>60556300</v>
      </c>
    </row>
    <row r="77" spans="2:7">
      <c r="B77">
        <f>Sheet1!B81</f>
        <v>76</v>
      </c>
      <c r="C77" t="str">
        <f>Sheet1!F81</f>
        <v>魔兽</v>
      </c>
      <c r="D77">
        <f>Sheet1!G81</f>
        <v>395</v>
      </c>
      <c r="E77">
        <f>Sheet1!I81</f>
        <v>8500</v>
      </c>
      <c r="F77">
        <f>Sheet1!K81</f>
        <v>76</v>
      </c>
      <c r="G77">
        <f>Sheet1!L81</f>
        <v>61767400</v>
      </c>
    </row>
    <row r="78" spans="2:7">
      <c r="B78">
        <f>Sheet1!B82</f>
        <v>77</v>
      </c>
      <c r="C78" t="str">
        <f>Sheet1!F82</f>
        <v>魔兽</v>
      </c>
      <c r="D78">
        <f>Sheet1!G82</f>
        <v>400</v>
      </c>
      <c r="E78">
        <f>Sheet1!I82</f>
        <v>8600</v>
      </c>
      <c r="F78">
        <f>Sheet1!K82</f>
        <v>77</v>
      </c>
      <c r="G78">
        <f>Sheet1!L82</f>
        <v>63002700</v>
      </c>
    </row>
    <row r="79" spans="2:7">
      <c r="B79">
        <f>Sheet1!B83</f>
        <v>78</v>
      </c>
      <c r="C79" t="str">
        <f>Sheet1!F83</f>
        <v>魔兽</v>
      </c>
      <c r="D79">
        <f>Sheet1!G83</f>
        <v>405</v>
      </c>
      <c r="E79">
        <f>Sheet1!I83</f>
        <v>8700</v>
      </c>
      <c r="F79">
        <f>Sheet1!K83</f>
        <v>78</v>
      </c>
      <c r="G79">
        <f>Sheet1!L83</f>
        <v>64262800</v>
      </c>
    </row>
    <row r="80" spans="2:7">
      <c r="B80">
        <f>Sheet1!B84</f>
        <v>79</v>
      </c>
      <c r="C80" t="str">
        <f>Sheet1!F84</f>
        <v>魔兽</v>
      </c>
      <c r="D80">
        <f>Sheet1!G84</f>
        <v>410</v>
      </c>
      <c r="E80">
        <f>Sheet1!I84</f>
        <v>8800</v>
      </c>
      <c r="F80">
        <f>Sheet1!K84</f>
        <v>79</v>
      </c>
      <c r="G80">
        <f>Sheet1!L84</f>
        <v>65548100</v>
      </c>
    </row>
    <row r="81" spans="2:7">
      <c r="B81">
        <f>Sheet1!B85</f>
        <v>80</v>
      </c>
      <c r="C81" t="str">
        <f>Sheet1!F85</f>
        <v>魔兽</v>
      </c>
      <c r="D81">
        <f>Sheet1!G85</f>
        <v>415</v>
      </c>
      <c r="E81">
        <f>Sheet1!I85</f>
        <v>8900</v>
      </c>
      <c r="F81">
        <f>Sheet1!K85</f>
        <v>80</v>
      </c>
      <c r="G81">
        <f>Sheet1!L85</f>
        <v>66859100</v>
      </c>
    </row>
    <row r="82" spans="2:7">
      <c r="B82">
        <f>Sheet1!B86</f>
        <v>81</v>
      </c>
      <c r="C82" t="str">
        <f>Sheet1!F86</f>
        <v>魔兽</v>
      </c>
      <c r="D82">
        <f>Sheet1!G86</f>
        <v>420</v>
      </c>
      <c r="E82">
        <f>Sheet1!I86</f>
        <v>9000</v>
      </c>
      <c r="F82">
        <f>Sheet1!K86</f>
        <v>81</v>
      </c>
      <c r="G82">
        <f>Sheet1!L86</f>
        <v>68196300</v>
      </c>
    </row>
    <row r="83" spans="2:7">
      <c r="B83">
        <f>Sheet1!B87</f>
        <v>82</v>
      </c>
      <c r="C83" t="str">
        <f>Sheet1!F87</f>
        <v>魔兽</v>
      </c>
      <c r="D83">
        <f>Sheet1!G87</f>
        <v>425</v>
      </c>
      <c r="E83">
        <f>Sheet1!I87</f>
        <v>9100</v>
      </c>
      <c r="F83">
        <f>Sheet1!K87</f>
        <v>82</v>
      </c>
      <c r="G83">
        <f>Sheet1!L87</f>
        <v>69560200</v>
      </c>
    </row>
    <row r="84" spans="2:7">
      <c r="B84">
        <f>Sheet1!B88</f>
        <v>83</v>
      </c>
      <c r="C84" t="str">
        <f>Sheet1!F88</f>
        <v>魔兽</v>
      </c>
      <c r="D84">
        <f>Sheet1!G88</f>
        <v>430</v>
      </c>
      <c r="E84">
        <f>Sheet1!I88</f>
        <v>9200</v>
      </c>
      <c r="F84">
        <f>Sheet1!K88</f>
        <v>83</v>
      </c>
      <c r="G84">
        <f>Sheet1!L88</f>
        <v>70951400</v>
      </c>
    </row>
    <row r="85" spans="2:7">
      <c r="B85">
        <f>Sheet1!B89</f>
        <v>84</v>
      </c>
      <c r="C85" t="str">
        <f>Sheet1!F89</f>
        <v>魔兽</v>
      </c>
      <c r="D85">
        <f>Sheet1!G89</f>
        <v>435</v>
      </c>
      <c r="E85">
        <f>Sheet1!I89</f>
        <v>9300</v>
      </c>
      <c r="F85">
        <f>Sheet1!K89</f>
        <v>84</v>
      </c>
      <c r="G85">
        <f>Sheet1!L89</f>
        <v>72370400</v>
      </c>
    </row>
    <row r="86" spans="2:7">
      <c r="B86">
        <f>Sheet1!B90</f>
        <v>85</v>
      </c>
      <c r="C86" t="str">
        <f>Sheet1!F90</f>
        <v>魔兽</v>
      </c>
      <c r="D86">
        <f>Sheet1!G90</f>
        <v>440</v>
      </c>
      <c r="E86">
        <f>Sheet1!I90</f>
        <v>9400</v>
      </c>
      <c r="F86">
        <f>Sheet1!K90</f>
        <v>85</v>
      </c>
      <c r="G86">
        <f>Sheet1!L90</f>
        <v>73817800</v>
      </c>
    </row>
    <row r="87" spans="2:7">
      <c r="B87">
        <f>Sheet1!B91</f>
        <v>86</v>
      </c>
      <c r="C87" t="str">
        <f>Sheet1!F91</f>
        <v>魔兽</v>
      </c>
      <c r="D87">
        <f>Sheet1!G91</f>
        <v>445</v>
      </c>
      <c r="E87">
        <f>Sheet1!I91</f>
        <v>9500</v>
      </c>
      <c r="F87">
        <f>Sheet1!K91</f>
        <v>86</v>
      </c>
      <c r="G87">
        <f>Sheet1!L91</f>
        <v>75294200</v>
      </c>
    </row>
    <row r="88" spans="2:7">
      <c r="B88">
        <f>Sheet1!B92</f>
        <v>87</v>
      </c>
      <c r="C88" t="str">
        <f>Sheet1!F92</f>
        <v>魔兽</v>
      </c>
      <c r="D88">
        <f>Sheet1!G92</f>
        <v>450</v>
      </c>
      <c r="E88">
        <f>Sheet1!I92</f>
        <v>9600</v>
      </c>
      <c r="F88">
        <f>Sheet1!K92</f>
        <v>87</v>
      </c>
      <c r="G88">
        <f>Sheet1!L92</f>
        <v>76800100</v>
      </c>
    </row>
    <row r="89" spans="2:7">
      <c r="B89">
        <f>Sheet1!B93</f>
        <v>88</v>
      </c>
      <c r="C89" t="str">
        <f>Sheet1!F93</f>
        <v>魔兽</v>
      </c>
      <c r="D89">
        <f>Sheet1!G93</f>
        <v>455</v>
      </c>
      <c r="E89">
        <f>Sheet1!I93</f>
        <v>9700</v>
      </c>
      <c r="F89">
        <f>Sheet1!K93</f>
        <v>88</v>
      </c>
      <c r="G89">
        <f>Sheet1!L93</f>
        <v>78336100</v>
      </c>
    </row>
    <row r="90" spans="2:7">
      <c r="B90">
        <f>Sheet1!B94</f>
        <v>89</v>
      </c>
      <c r="C90" t="str">
        <f>Sheet1!F94</f>
        <v>魔兽</v>
      </c>
      <c r="D90">
        <f>Sheet1!G94</f>
        <v>460</v>
      </c>
      <c r="E90">
        <f>Sheet1!I94</f>
        <v>9800</v>
      </c>
      <c r="F90">
        <f>Sheet1!K94</f>
        <v>89</v>
      </c>
      <c r="G90">
        <f>Sheet1!L94</f>
        <v>79902800</v>
      </c>
    </row>
    <row r="91" spans="2:7">
      <c r="B91">
        <f>Sheet1!B95</f>
        <v>90</v>
      </c>
      <c r="C91" t="str">
        <f>Sheet1!F95</f>
        <v>魔兽</v>
      </c>
      <c r="D91">
        <f>Sheet1!G95</f>
        <v>465</v>
      </c>
      <c r="E91">
        <f>Sheet1!I95</f>
        <v>9900</v>
      </c>
      <c r="F91">
        <f>Sheet1!K95</f>
        <v>90</v>
      </c>
      <c r="G91">
        <f>Sheet1!L95</f>
        <v>81500900</v>
      </c>
    </row>
    <row r="92" spans="2:7">
      <c r="B92">
        <f>Sheet1!B96</f>
        <v>91</v>
      </c>
      <c r="C92" t="str">
        <f>Sheet1!F96</f>
        <v>魔兽</v>
      </c>
      <c r="D92">
        <f>Sheet1!G96</f>
        <v>470</v>
      </c>
      <c r="E92">
        <f>Sheet1!I96</f>
        <v>10000</v>
      </c>
      <c r="F92">
        <f>Sheet1!K96</f>
        <v>91</v>
      </c>
      <c r="G92">
        <f>Sheet1!L96</f>
        <v>83130900</v>
      </c>
    </row>
    <row r="93" spans="2:7">
      <c r="B93">
        <f>Sheet1!B97</f>
        <v>92</v>
      </c>
      <c r="C93" t="str">
        <f>Sheet1!F97</f>
        <v>魔兽</v>
      </c>
      <c r="D93">
        <f>Sheet1!G97</f>
        <v>475</v>
      </c>
      <c r="E93">
        <f>Sheet1!I97</f>
        <v>10100</v>
      </c>
      <c r="F93">
        <f>Sheet1!K97</f>
        <v>92</v>
      </c>
      <c r="G93">
        <f>Sheet1!L97</f>
        <v>84793500</v>
      </c>
    </row>
    <row r="94" spans="2:7">
      <c r="B94">
        <f>Sheet1!B98</f>
        <v>93</v>
      </c>
      <c r="C94" t="str">
        <f>Sheet1!F98</f>
        <v>魔兽</v>
      </c>
      <c r="D94">
        <f>Sheet1!G98</f>
        <v>480</v>
      </c>
      <c r="E94">
        <f>Sheet1!I98</f>
        <v>10200</v>
      </c>
      <c r="F94">
        <f>Sheet1!K98</f>
        <v>93</v>
      </c>
      <c r="G94">
        <f>Sheet1!L98</f>
        <v>86489400</v>
      </c>
    </row>
    <row r="95" spans="2:7">
      <c r="B95">
        <f>Sheet1!B99</f>
        <v>94</v>
      </c>
      <c r="C95" t="str">
        <f>Sheet1!F99</f>
        <v>魔兽</v>
      </c>
      <c r="D95">
        <f>Sheet1!G99</f>
        <v>485</v>
      </c>
      <c r="E95">
        <f>Sheet1!I99</f>
        <v>10300</v>
      </c>
      <c r="F95">
        <f>Sheet1!K99</f>
        <v>94</v>
      </c>
      <c r="G95">
        <f>Sheet1!L99</f>
        <v>88219200</v>
      </c>
    </row>
    <row r="96" spans="2:7">
      <c r="B96">
        <f>Sheet1!B100</f>
        <v>95</v>
      </c>
      <c r="C96" t="str">
        <f>Sheet1!F100</f>
        <v>魔兽</v>
      </c>
      <c r="D96">
        <f>Sheet1!G100</f>
        <v>490</v>
      </c>
      <c r="E96">
        <f>Sheet1!I100</f>
        <v>10400</v>
      </c>
      <c r="F96">
        <f>Sheet1!K100</f>
        <v>95</v>
      </c>
      <c r="G96">
        <f>Sheet1!L100</f>
        <v>89983600</v>
      </c>
    </row>
    <row r="97" spans="2:7">
      <c r="B97">
        <f>Sheet1!B101</f>
        <v>96</v>
      </c>
      <c r="C97" t="str">
        <f>Sheet1!F101</f>
        <v>魔兽</v>
      </c>
      <c r="D97">
        <f>Sheet1!G101</f>
        <v>495</v>
      </c>
      <c r="E97">
        <f>Sheet1!I101</f>
        <v>10500</v>
      </c>
      <c r="F97">
        <f>Sheet1!K101</f>
        <v>96</v>
      </c>
      <c r="G97">
        <f>Sheet1!L101</f>
        <v>91783300</v>
      </c>
    </row>
    <row r="98" spans="2:7">
      <c r="B98">
        <f>Sheet1!B102</f>
        <v>97</v>
      </c>
      <c r="C98" t="str">
        <f>Sheet1!F102</f>
        <v>魔兽</v>
      </c>
      <c r="D98">
        <f>Sheet1!G102</f>
        <v>500</v>
      </c>
      <c r="E98">
        <f>Sheet1!I102</f>
        <v>10600</v>
      </c>
      <c r="F98">
        <f>Sheet1!K102</f>
        <v>97</v>
      </c>
      <c r="G98">
        <f>Sheet1!L102</f>
        <v>93619000</v>
      </c>
    </row>
    <row r="99" spans="2:7">
      <c r="B99">
        <f>Sheet1!B103</f>
        <v>98</v>
      </c>
      <c r="C99" t="str">
        <f>Sheet1!F103</f>
        <v>魔兽</v>
      </c>
      <c r="D99">
        <f>Sheet1!G103</f>
        <v>505</v>
      </c>
      <c r="E99">
        <f>Sheet1!I103</f>
        <v>10700</v>
      </c>
      <c r="F99">
        <f>Sheet1!K103</f>
        <v>98</v>
      </c>
      <c r="G99">
        <f>Sheet1!L103</f>
        <v>95491400</v>
      </c>
    </row>
    <row r="100" spans="2:7">
      <c r="B100">
        <f>Sheet1!B104</f>
        <v>99</v>
      </c>
      <c r="C100" t="str">
        <f>Sheet1!F104</f>
        <v>魔兽</v>
      </c>
      <c r="D100">
        <f>Sheet1!G104</f>
        <v>510</v>
      </c>
      <c r="E100">
        <f>Sheet1!I104</f>
        <v>10800</v>
      </c>
      <c r="F100">
        <f>Sheet1!K104</f>
        <v>99</v>
      </c>
      <c r="G100">
        <f>Sheet1!L104</f>
        <v>97401200</v>
      </c>
    </row>
    <row r="101" spans="2:7">
      <c r="B101">
        <f>Sheet1!B105</f>
        <v>100</v>
      </c>
      <c r="C101" t="str">
        <f>Sheet1!F105</f>
        <v>魔兽</v>
      </c>
      <c r="D101">
        <f>Sheet1!G105</f>
        <v>515</v>
      </c>
      <c r="E101">
        <f>Sheet1!I105</f>
        <v>10900</v>
      </c>
      <c r="F101">
        <f>Sheet1!K105</f>
        <v>100</v>
      </c>
      <c r="G101">
        <f>Sheet1!L105</f>
        <v>99349200</v>
      </c>
    </row>
    <row r="102" spans="2:7">
      <c r="B102">
        <f>Sheet1!B106</f>
        <v>101</v>
      </c>
      <c r="C102" t="str">
        <f>Sheet1!F106</f>
        <v>魔兽</v>
      </c>
      <c r="D102">
        <f>Sheet1!G106</f>
        <v>520</v>
      </c>
      <c r="E102">
        <f>Sheet1!I106</f>
        <v>11000</v>
      </c>
      <c r="F102">
        <f>Sheet1!K106</f>
        <v>101</v>
      </c>
      <c r="G102">
        <f>Sheet1!L106</f>
        <v>101336200</v>
      </c>
    </row>
    <row r="103" spans="2:7">
      <c r="B103">
        <f>Sheet1!B107</f>
        <v>102</v>
      </c>
      <c r="C103" t="str">
        <f>Sheet1!F107</f>
        <v>魔兽</v>
      </c>
      <c r="D103">
        <f>Sheet1!G107</f>
        <v>525</v>
      </c>
      <c r="E103">
        <f>Sheet1!I107</f>
        <v>11100</v>
      </c>
      <c r="F103">
        <f>Sheet1!K107</f>
        <v>102</v>
      </c>
      <c r="G103">
        <f>Sheet1!L107</f>
        <v>103362900</v>
      </c>
    </row>
    <row r="104" spans="2:7">
      <c r="B104">
        <f>Sheet1!B108</f>
        <v>103</v>
      </c>
      <c r="C104" t="str">
        <f>Sheet1!F108</f>
        <v>魔兽</v>
      </c>
      <c r="D104">
        <f>Sheet1!G108</f>
        <v>530</v>
      </c>
      <c r="E104">
        <f>Sheet1!I108</f>
        <v>11200</v>
      </c>
      <c r="F104">
        <f>Sheet1!K108</f>
        <v>103</v>
      </c>
      <c r="G104">
        <f>Sheet1!L108</f>
        <v>105430200</v>
      </c>
    </row>
    <row r="105" spans="2:7">
      <c r="B105">
        <f>Sheet1!B109</f>
        <v>104</v>
      </c>
      <c r="C105" t="str">
        <f>Sheet1!F109</f>
        <v>魔兽</v>
      </c>
      <c r="D105">
        <f>Sheet1!G109</f>
        <v>535</v>
      </c>
      <c r="E105">
        <f>Sheet1!I109</f>
        <v>11300</v>
      </c>
      <c r="F105">
        <f>Sheet1!K109</f>
        <v>104</v>
      </c>
      <c r="G105">
        <f>Sheet1!L109</f>
        <v>107538800</v>
      </c>
    </row>
    <row r="106" spans="2:7">
      <c r="B106">
        <f>Sheet1!B110</f>
        <v>105</v>
      </c>
      <c r="C106" t="str">
        <f>Sheet1!F110</f>
        <v>魔兽</v>
      </c>
      <c r="D106">
        <f>Sheet1!G110</f>
        <v>540</v>
      </c>
      <c r="E106">
        <f>Sheet1!I110</f>
        <v>11400</v>
      </c>
      <c r="F106">
        <f>Sheet1!K110</f>
        <v>105</v>
      </c>
      <c r="G106">
        <f>Sheet1!L110</f>
        <v>109689600</v>
      </c>
    </row>
    <row r="107" spans="2:7">
      <c r="B107">
        <f>Sheet1!B111</f>
        <v>106</v>
      </c>
      <c r="C107" t="str">
        <f>Sheet1!F111</f>
        <v>魔兽</v>
      </c>
      <c r="D107">
        <f>Sheet1!G111</f>
        <v>545</v>
      </c>
      <c r="E107">
        <f>Sheet1!I111</f>
        <v>11500</v>
      </c>
      <c r="F107">
        <f>Sheet1!K111</f>
        <v>106</v>
      </c>
      <c r="G107">
        <f>Sheet1!L111</f>
        <v>111883400</v>
      </c>
    </row>
    <row r="108" spans="2:7">
      <c r="B108">
        <f>Sheet1!B112</f>
        <v>107</v>
      </c>
      <c r="C108" t="str">
        <f>Sheet1!F112</f>
        <v>魔兽</v>
      </c>
      <c r="D108">
        <f>Sheet1!G112</f>
        <v>550</v>
      </c>
      <c r="E108">
        <f>Sheet1!I112</f>
        <v>11600</v>
      </c>
      <c r="F108">
        <f>Sheet1!K112</f>
        <v>107</v>
      </c>
      <c r="G108">
        <f>Sheet1!L112</f>
        <v>114121100</v>
      </c>
    </row>
    <row r="109" spans="2:7">
      <c r="B109">
        <f>Sheet1!B113</f>
        <v>108</v>
      </c>
      <c r="C109" t="str">
        <f>Sheet1!F113</f>
        <v>魔兽</v>
      </c>
      <c r="D109">
        <f>Sheet1!G113</f>
        <v>555</v>
      </c>
      <c r="E109">
        <f>Sheet1!I113</f>
        <v>11700</v>
      </c>
      <c r="F109">
        <f>Sheet1!K113</f>
        <v>108</v>
      </c>
      <c r="G109">
        <f>Sheet1!L113</f>
        <v>116403500</v>
      </c>
    </row>
    <row r="110" spans="2:7">
      <c r="B110">
        <f>Sheet1!B114</f>
        <v>109</v>
      </c>
      <c r="C110" t="str">
        <f>Sheet1!F114</f>
        <v>魔兽</v>
      </c>
      <c r="D110">
        <f>Sheet1!G114</f>
        <v>560</v>
      </c>
      <c r="E110">
        <f>Sheet1!I114</f>
        <v>11800</v>
      </c>
      <c r="F110">
        <f>Sheet1!K114</f>
        <v>109</v>
      </c>
      <c r="G110">
        <f>Sheet1!L114</f>
        <v>118731600</v>
      </c>
    </row>
    <row r="111" spans="2:7">
      <c r="B111">
        <f>Sheet1!B115</f>
        <v>110</v>
      </c>
      <c r="C111" t="str">
        <f>Sheet1!F115</f>
        <v>魔兽</v>
      </c>
      <c r="D111">
        <f>Sheet1!G115</f>
        <v>565</v>
      </c>
      <c r="E111">
        <f>Sheet1!I115</f>
        <v>11900</v>
      </c>
      <c r="F111">
        <f>Sheet1!K115</f>
        <v>110</v>
      </c>
      <c r="G111">
        <f>Sheet1!L115</f>
        <v>121106200</v>
      </c>
    </row>
    <row r="112" spans="2:7">
      <c r="B112">
        <f>Sheet1!B116</f>
        <v>111</v>
      </c>
      <c r="C112" t="str">
        <f>Sheet1!F116</f>
        <v>魔兽</v>
      </c>
      <c r="D112">
        <f>Sheet1!G116</f>
        <v>570</v>
      </c>
      <c r="E112">
        <f>Sheet1!I116</f>
        <v>12000</v>
      </c>
      <c r="F112">
        <f>Sheet1!K116</f>
        <v>111</v>
      </c>
      <c r="G112">
        <f>Sheet1!L116</f>
        <v>123528300</v>
      </c>
    </row>
    <row r="113" spans="2:7">
      <c r="B113">
        <f>Sheet1!B117</f>
        <v>112</v>
      </c>
      <c r="C113" t="str">
        <f>Sheet1!F117</f>
        <v>魔兽</v>
      </c>
      <c r="D113">
        <f>Sheet1!G117</f>
        <v>575</v>
      </c>
      <c r="E113">
        <f>Sheet1!I117</f>
        <v>12100</v>
      </c>
      <c r="F113">
        <f>Sheet1!K117</f>
        <v>112</v>
      </c>
      <c r="G113">
        <f>Sheet1!L117</f>
        <v>125998900</v>
      </c>
    </row>
    <row r="114" spans="2:7">
      <c r="B114">
        <f>Sheet1!B118</f>
        <v>113</v>
      </c>
      <c r="C114" t="str">
        <f>Sheet1!F118</f>
        <v>魔兽</v>
      </c>
      <c r="D114">
        <f>Sheet1!G118</f>
        <v>580</v>
      </c>
      <c r="E114">
        <f>Sheet1!I118</f>
        <v>12200</v>
      </c>
      <c r="F114">
        <f>Sheet1!K118</f>
        <v>113</v>
      </c>
      <c r="G114">
        <f>Sheet1!L118</f>
        <v>128518900</v>
      </c>
    </row>
    <row r="115" spans="2:7">
      <c r="B115">
        <f>Sheet1!B119</f>
        <v>114</v>
      </c>
      <c r="C115" t="str">
        <f>Sheet1!F119</f>
        <v>魔兽</v>
      </c>
      <c r="D115">
        <f>Sheet1!G119</f>
        <v>585</v>
      </c>
      <c r="E115">
        <f>Sheet1!I119</f>
        <v>12300</v>
      </c>
      <c r="F115">
        <f>Sheet1!K119</f>
        <v>114</v>
      </c>
      <c r="G115">
        <f>Sheet1!L119</f>
        <v>131089300</v>
      </c>
    </row>
    <row r="116" spans="2:7">
      <c r="B116">
        <f>Sheet1!B120</f>
        <v>115</v>
      </c>
      <c r="C116" t="str">
        <f>Sheet1!F120</f>
        <v>魔兽</v>
      </c>
      <c r="D116">
        <f>Sheet1!G120</f>
        <v>590</v>
      </c>
      <c r="E116">
        <f>Sheet1!I120</f>
        <v>12400</v>
      </c>
      <c r="F116">
        <f>Sheet1!K120</f>
        <v>115</v>
      </c>
      <c r="G116">
        <f>Sheet1!L120</f>
        <v>133711100</v>
      </c>
    </row>
    <row r="117" spans="2:7">
      <c r="B117">
        <f>Sheet1!B121</f>
        <v>116</v>
      </c>
      <c r="C117" t="str">
        <f>Sheet1!F121</f>
        <v>魔兽</v>
      </c>
      <c r="D117">
        <f>Sheet1!G121</f>
        <v>595</v>
      </c>
      <c r="E117">
        <f>Sheet1!I121</f>
        <v>12500</v>
      </c>
      <c r="F117">
        <f>Sheet1!K121</f>
        <v>116</v>
      </c>
      <c r="G117">
        <f>Sheet1!L121</f>
        <v>136385300</v>
      </c>
    </row>
    <row r="118" spans="2:7">
      <c r="B118">
        <f>Sheet1!B122</f>
        <v>117</v>
      </c>
      <c r="C118" t="str">
        <f>Sheet1!F122</f>
        <v>魔兽</v>
      </c>
      <c r="D118">
        <f>Sheet1!G122</f>
        <v>600</v>
      </c>
      <c r="E118">
        <f>Sheet1!I122</f>
        <v>12600</v>
      </c>
      <c r="F118">
        <f>Sheet1!K122</f>
        <v>117</v>
      </c>
      <c r="G118">
        <f>Sheet1!L122</f>
        <v>139113000</v>
      </c>
    </row>
    <row r="119" spans="2:7">
      <c r="B119">
        <f>Sheet1!B123</f>
        <v>118</v>
      </c>
      <c r="C119" t="str">
        <f>Sheet1!F123</f>
        <v>魔兽</v>
      </c>
      <c r="D119">
        <f>Sheet1!G123</f>
        <v>605</v>
      </c>
      <c r="E119">
        <f>Sheet1!I123</f>
        <v>12700</v>
      </c>
      <c r="F119">
        <f>Sheet1!K123</f>
        <v>118</v>
      </c>
      <c r="G119">
        <f>Sheet1!L123</f>
        <v>141895300</v>
      </c>
    </row>
    <row r="120" spans="2:7">
      <c r="B120">
        <f>Sheet1!B124</f>
        <v>119</v>
      </c>
      <c r="C120" t="str">
        <f>Sheet1!F124</f>
        <v>魔兽</v>
      </c>
      <c r="D120">
        <f>Sheet1!G124</f>
        <v>610</v>
      </c>
      <c r="E120">
        <f>Sheet1!I124</f>
        <v>12800</v>
      </c>
      <c r="F120">
        <f>Sheet1!K124</f>
        <v>119</v>
      </c>
      <c r="G120">
        <f>Sheet1!L124</f>
        <v>144733200</v>
      </c>
    </row>
    <row r="121" spans="2:7">
      <c r="B121">
        <f>Sheet1!B125</f>
        <v>120</v>
      </c>
      <c r="C121" t="str">
        <f>Sheet1!F125</f>
        <v>魔兽</v>
      </c>
      <c r="D121">
        <f>Sheet1!G125</f>
        <v>615</v>
      </c>
      <c r="E121">
        <f>Sheet1!I125</f>
        <v>12900</v>
      </c>
      <c r="F121">
        <f>Sheet1!K125</f>
        <v>120</v>
      </c>
      <c r="G121">
        <f>Sheet1!L125</f>
        <v>147627900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I31"/>
  <sheetViews>
    <sheetView workbookViewId="0">
      <selection activeCell="I2" sqref="I2:I16"/>
    </sheetView>
  </sheetViews>
  <sheetFormatPr defaultRowHeight="13.5"/>
  <sheetData>
    <row r="1" spans="1:9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</row>
    <row r="2" spans="1:9">
      <c r="A2">
        <v>1</v>
      </c>
      <c r="B2">
        <f>INDEX(Sheet1!E$6:E$125,Sheet3!A2*4)</f>
        <v>4000</v>
      </c>
      <c r="C2">
        <f>B2</f>
        <v>4000</v>
      </c>
      <c r="D2">
        <f>INDEX(Sheet1!I$6:I$125,Sheet3!A2)</f>
        <v>1000</v>
      </c>
      <c r="E2">
        <f>B2/D2</f>
        <v>4</v>
      </c>
      <c r="F2">
        <f>E2</f>
        <v>4</v>
      </c>
      <c r="G2">
        <v>18</v>
      </c>
      <c r="H2">
        <f>VLOOKUP(G2,[1]地图强度!$M$2:$N$101,2,0)</f>
        <v>919.66439718832839</v>
      </c>
      <c r="I2">
        <f>ROUND(H2*300,-2)</f>
        <v>275900</v>
      </c>
    </row>
    <row r="3" spans="1:9">
      <c r="A3">
        <v>2</v>
      </c>
      <c r="B3">
        <f>INDEX(Sheet1!E$6:E$125,Sheet3!A3*4)</f>
        <v>8000</v>
      </c>
      <c r="C3">
        <f>B3+C2</f>
        <v>12000</v>
      </c>
      <c r="D3">
        <f>INDEX(Sheet1!I$6:I$125,Sheet3!A3)</f>
        <v>1100</v>
      </c>
      <c r="E3">
        <f t="shared" ref="E3:E31" si="0">B3/D3</f>
        <v>7.2727272727272725</v>
      </c>
      <c r="F3">
        <f>F2+E3</f>
        <v>11.272727272727273</v>
      </c>
      <c r="G3">
        <v>32</v>
      </c>
      <c r="H3">
        <f>VLOOKUP(G3,[1]地图强度!$M$2:$N$101,2,0)</f>
        <v>3179.244403715717</v>
      </c>
      <c r="I3">
        <f t="shared" ref="I3:I16" si="1">ROUND(H3*300,-2)</f>
        <v>953800</v>
      </c>
    </row>
    <row r="4" spans="1:9">
      <c r="A4">
        <v>3</v>
      </c>
      <c r="B4">
        <f>INDEX(Sheet1!E$6:E$125,Sheet3!A4*4)</f>
        <v>12000</v>
      </c>
      <c r="C4">
        <f t="shared" ref="C4:C31" si="2">B4+C3</f>
        <v>24000</v>
      </c>
      <c r="D4">
        <f>INDEX(Sheet1!I$6:I$125,Sheet3!A4)</f>
        <v>1200</v>
      </c>
      <c r="E4">
        <f t="shared" si="0"/>
        <v>10</v>
      </c>
      <c r="F4">
        <f t="shared" ref="F4:F31" si="3">F3+E4</f>
        <v>21.272727272727273</v>
      </c>
      <c r="G4">
        <v>41</v>
      </c>
      <c r="H4">
        <f>VLOOKUP(G4,[1]地图强度!$M$2:$N$101,2,0)</f>
        <v>6211.3742937186362</v>
      </c>
      <c r="I4">
        <f t="shared" si="1"/>
        <v>1863400</v>
      </c>
    </row>
    <row r="5" spans="1:9">
      <c r="A5">
        <v>4</v>
      </c>
      <c r="B5">
        <f>INDEX(Sheet1!E$6:E$125,Sheet3!A5*4)</f>
        <v>18000</v>
      </c>
      <c r="C5">
        <f t="shared" si="2"/>
        <v>42000</v>
      </c>
      <c r="D5">
        <f>INDEX(Sheet1!I$6:I$125,Sheet3!A5)</f>
        <v>1300</v>
      </c>
      <c r="E5">
        <f t="shared" si="0"/>
        <v>13.846153846153847</v>
      </c>
      <c r="F5">
        <f t="shared" si="3"/>
        <v>35.11888111888112</v>
      </c>
      <c r="G5">
        <v>49</v>
      </c>
      <c r="H5">
        <f>VLOOKUP(G5,[1]地图强度!$M$2:$N$101,2,0)</f>
        <v>9879.2077686234934</v>
      </c>
      <c r="I5">
        <f t="shared" si="1"/>
        <v>2963800</v>
      </c>
    </row>
    <row r="6" spans="1:9">
      <c r="A6">
        <v>5</v>
      </c>
      <c r="B6">
        <f>INDEX(Sheet1!E$6:E$125,Sheet3!A6*4)</f>
        <v>24000</v>
      </c>
      <c r="C6">
        <f t="shared" si="2"/>
        <v>66000</v>
      </c>
      <c r="D6">
        <f>INDEX(Sheet1!I$6:I$125,Sheet3!A6)</f>
        <v>1400</v>
      </c>
      <c r="E6">
        <f t="shared" si="0"/>
        <v>17.142857142857142</v>
      </c>
      <c r="F6">
        <f t="shared" si="3"/>
        <v>52.261738261738259</v>
      </c>
      <c r="G6">
        <v>57</v>
      </c>
      <c r="H6">
        <f>VLOOKUP(G6,[1]地图强度!$M$2:$N$101,2,0)</f>
        <v>15760.600893602703</v>
      </c>
      <c r="I6">
        <f t="shared" si="1"/>
        <v>4728200</v>
      </c>
    </row>
    <row r="7" spans="1:9">
      <c r="A7">
        <v>6</v>
      </c>
      <c r="B7">
        <f>INDEX(Sheet1!E$6:E$125,Sheet3!A7*4)</f>
        <v>29760</v>
      </c>
      <c r="C7">
        <f t="shared" si="2"/>
        <v>95760</v>
      </c>
      <c r="D7">
        <f>INDEX(Sheet1!I$6:I$125,Sheet3!A7)</f>
        <v>1500</v>
      </c>
      <c r="E7">
        <f t="shared" si="0"/>
        <v>19.84</v>
      </c>
      <c r="F7">
        <f t="shared" si="3"/>
        <v>72.101738261738262</v>
      </c>
      <c r="G7">
        <v>64</v>
      </c>
      <c r="H7">
        <f>VLOOKUP(G7,[1]地图强度!$M$2:$N$101,2,0)</f>
        <v>27211.29814911179</v>
      </c>
      <c r="I7">
        <f t="shared" si="1"/>
        <v>8163400</v>
      </c>
    </row>
    <row r="8" spans="1:9">
      <c r="A8">
        <v>7</v>
      </c>
      <c r="B8">
        <f>INDEX(Sheet1!E$6:E$125,Sheet3!A8*4)</f>
        <v>36480</v>
      </c>
      <c r="C8">
        <f t="shared" si="2"/>
        <v>132240</v>
      </c>
      <c r="D8">
        <f>INDEX(Sheet1!I$6:I$125,Sheet3!A8)</f>
        <v>1600</v>
      </c>
      <c r="E8">
        <f t="shared" si="0"/>
        <v>22.8</v>
      </c>
      <c r="F8">
        <f t="shared" si="3"/>
        <v>94.901738261738259</v>
      </c>
      <c r="G8">
        <v>71</v>
      </c>
      <c r="H8">
        <f>VLOOKUP(G8,[1]地图强度!$M$2:$N$101,2,0)</f>
        <v>41553.400279306596</v>
      </c>
      <c r="I8">
        <f t="shared" si="1"/>
        <v>12466000</v>
      </c>
    </row>
    <row r="9" spans="1:9">
      <c r="A9">
        <v>8</v>
      </c>
      <c r="B9">
        <f>INDEX(Sheet1!E$6:E$125,Sheet3!A9*4)</f>
        <v>44160</v>
      </c>
      <c r="C9">
        <f t="shared" si="2"/>
        <v>176400</v>
      </c>
      <c r="D9">
        <f>INDEX(Sheet1!I$6:I$125,Sheet3!A9)</f>
        <v>1700</v>
      </c>
      <c r="E9">
        <f t="shared" si="0"/>
        <v>25.976470588235294</v>
      </c>
      <c r="F9">
        <f t="shared" si="3"/>
        <v>120.87820884997356</v>
      </c>
      <c r="G9">
        <v>76</v>
      </c>
      <c r="H9">
        <f>VLOOKUP(G9,[1]地图强度!$M$2:$N$101,2,0)</f>
        <v>53374.843798422182</v>
      </c>
      <c r="I9">
        <f t="shared" si="1"/>
        <v>16012500</v>
      </c>
    </row>
    <row r="10" spans="1:9">
      <c r="A10">
        <v>9</v>
      </c>
      <c r="B10">
        <f>INDEX(Sheet1!E$6:E$125,Sheet3!A10*4)</f>
        <v>52800</v>
      </c>
      <c r="C10">
        <f t="shared" si="2"/>
        <v>229200</v>
      </c>
      <c r="D10">
        <f>INDEX(Sheet1!I$6:I$125,Sheet3!A10)</f>
        <v>1800</v>
      </c>
      <c r="E10">
        <f t="shared" si="0"/>
        <v>29.333333333333332</v>
      </c>
      <c r="F10">
        <f t="shared" si="3"/>
        <v>150.2115421833069</v>
      </c>
      <c r="G10">
        <v>80</v>
      </c>
      <c r="H10">
        <f>VLOOKUP(G10,[1]地图强度!$M$2:$N$101,2,0)</f>
        <v>64283.875476163208</v>
      </c>
      <c r="I10">
        <f t="shared" si="1"/>
        <v>19285200</v>
      </c>
    </row>
    <row r="11" spans="1:9">
      <c r="A11">
        <v>10</v>
      </c>
      <c r="B11">
        <f>INDEX(Sheet1!E$6:E$125,Sheet3!A11*4)</f>
        <v>62400</v>
      </c>
      <c r="C11">
        <f t="shared" si="2"/>
        <v>291600</v>
      </c>
      <c r="D11">
        <f>INDEX(Sheet1!I$6:I$125,Sheet3!A11)</f>
        <v>1900</v>
      </c>
      <c r="E11">
        <f t="shared" si="0"/>
        <v>32.842105263157897</v>
      </c>
      <c r="F11">
        <f t="shared" si="3"/>
        <v>183.05364744646479</v>
      </c>
      <c r="G11">
        <v>84</v>
      </c>
      <c r="H11">
        <f>VLOOKUP(G11,[1]地图强度!$M$2:$N$101,2,0)</f>
        <v>76719.779280639443</v>
      </c>
      <c r="I11">
        <f t="shared" si="1"/>
        <v>23015900</v>
      </c>
    </row>
    <row r="12" spans="1:9">
      <c r="A12">
        <v>11</v>
      </c>
      <c r="B12">
        <f>INDEX(Sheet1!E$6:E$125,Sheet3!A12*4)</f>
        <v>72960</v>
      </c>
      <c r="C12">
        <f t="shared" si="2"/>
        <v>364560</v>
      </c>
      <c r="D12">
        <f>INDEX(Sheet1!I$6:I$125,Sheet3!A12)</f>
        <v>2000</v>
      </c>
      <c r="E12">
        <f t="shared" si="0"/>
        <v>36.479999999999997</v>
      </c>
      <c r="F12">
        <f t="shared" si="3"/>
        <v>219.53364744646478</v>
      </c>
      <c r="G12">
        <v>87</v>
      </c>
      <c r="H12">
        <f>VLOOKUP(G12,[1]地图强度!$M$2:$N$101,2,0)</f>
        <v>87485.54801875983</v>
      </c>
      <c r="I12">
        <f t="shared" si="1"/>
        <v>26245700</v>
      </c>
    </row>
    <row r="13" spans="1:9">
      <c r="A13">
        <v>12</v>
      </c>
      <c r="B13">
        <f>INDEX(Sheet1!E$6:E$125,Sheet3!A13*4)</f>
        <v>84480</v>
      </c>
      <c r="C13">
        <f t="shared" si="2"/>
        <v>449040</v>
      </c>
      <c r="D13">
        <f>INDEX(Sheet1!I$6:I$125,Sheet3!A13)</f>
        <v>2100</v>
      </c>
      <c r="E13">
        <f t="shared" si="0"/>
        <v>40.228571428571428</v>
      </c>
      <c r="F13">
        <f t="shared" si="3"/>
        <v>259.76221887503618</v>
      </c>
      <c r="G13">
        <v>91</v>
      </c>
      <c r="H13">
        <f>VLOOKUP(G13,[1]地图强度!$M$2:$N$101,2,0)</f>
        <v>103940.68355207088</v>
      </c>
      <c r="I13">
        <f t="shared" si="1"/>
        <v>31182200</v>
      </c>
    </row>
    <row r="14" spans="1:9">
      <c r="A14">
        <v>13</v>
      </c>
      <c r="B14">
        <f>INDEX(Sheet1!E$6:E$125,Sheet3!A14*4)</f>
        <v>96960</v>
      </c>
      <c r="C14">
        <f t="shared" si="2"/>
        <v>546000</v>
      </c>
      <c r="D14">
        <f>INDEX(Sheet1!I$6:I$125,Sheet3!A14)</f>
        <v>2200</v>
      </c>
      <c r="E14">
        <f t="shared" si="0"/>
        <v>44.072727272727271</v>
      </c>
      <c r="F14">
        <f t="shared" si="3"/>
        <v>303.83494614776345</v>
      </c>
      <c r="G14">
        <v>94</v>
      </c>
      <c r="H14">
        <f>VLOOKUP(G14,[1]地图强度!$M$2:$N$101,2,0)</f>
        <v>117790.13134508939</v>
      </c>
      <c r="I14">
        <f t="shared" si="1"/>
        <v>35337000</v>
      </c>
    </row>
    <row r="15" spans="1:9">
      <c r="A15">
        <v>14</v>
      </c>
      <c r="B15">
        <f>INDEX(Sheet1!E$6:E$125,Sheet3!A15*4)</f>
        <v>110400</v>
      </c>
      <c r="C15">
        <f t="shared" si="2"/>
        <v>656400</v>
      </c>
      <c r="D15">
        <f>INDEX(Sheet1!I$6:I$125,Sheet3!A15)</f>
        <v>2300</v>
      </c>
      <c r="E15">
        <f t="shared" si="0"/>
        <v>48</v>
      </c>
      <c r="F15">
        <f t="shared" si="3"/>
        <v>351.83494614776345</v>
      </c>
      <c r="G15">
        <v>97</v>
      </c>
      <c r="H15">
        <f>VLOOKUP(G15,[1]地图强度!$M$2:$N$101,2,0)</f>
        <v>133028.2380289413</v>
      </c>
      <c r="I15">
        <f t="shared" si="1"/>
        <v>39908500</v>
      </c>
    </row>
    <row r="16" spans="1:9">
      <c r="A16">
        <v>15</v>
      </c>
      <c r="B16">
        <f>INDEX(Sheet1!E$6:E$125,Sheet3!A16*4)</f>
        <v>124800</v>
      </c>
      <c r="C16">
        <f t="shared" si="2"/>
        <v>781200</v>
      </c>
      <c r="D16">
        <f>INDEX(Sheet1!I$6:I$125,Sheet3!A16)</f>
        <v>2400</v>
      </c>
      <c r="E16">
        <f t="shared" si="0"/>
        <v>52</v>
      </c>
      <c r="F16">
        <f t="shared" si="3"/>
        <v>403.83494614776345</v>
      </c>
      <c r="G16">
        <v>100</v>
      </c>
      <c r="H16">
        <f>VLOOKUP(G16,[1]地图强度!$M$2:$N$101,2,0)</f>
        <v>149980.42133139513</v>
      </c>
      <c r="I16">
        <f t="shared" si="1"/>
        <v>44994100</v>
      </c>
    </row>
    <row r="17" spans="1:6">
      <c r="A17">
        <v>16</v>
      </c>
      <c r="B17">
        <f>INDEX(Sheet1!E$6:E$125,Sheet3!A17*4)</f>
        <v>140160</v>
      </c>
      <c r="C17">
        <f t="shared" si="2"/>
        <v>921360</v>
      </c>
      <c r="D17">
        <f>INDEX(Sheet1!I$6:I$125,Sheet3!A17)</f>
        <v>2500</v>
      </c>
      <c r="E17">
        <f t="shared" si="0"/>
        <v>56.064</v>
      </c>
      <c r="F17">
        <f t="shared" si="3"/>
        <v>459.89894614776347</v>
      </c>
    </row>
    <row r="18" spans="1:6">
      <c r="A18">
        <v>17</v>
      </c>
      <c r="B18">
        <f>INDEX(Sheet1!E$6:E$125,Sheet3!A18*4)</f>
        <v>156480</v>
      </c>
      <c r="C18">
        <f t="shared" si="2"/>
        <v>1077840</v>
      </c>
      <c r="D18">
        <f>INDEX(Sheet1!I$6:I$125,Sheet3!A18)</f>
        <v>2600</v>
      </c>
      <c r="E18">
        <f t="shared" si="0"/>
        <v>60.184615384615384</v>
      </c>
      <c r="F18">
        <f t="shared" si="3"/>
        <v>520.08356153237889</v>
      </c>
    </row>
    <row r="19" spans="1:6">
      <c r="A19">
        <v>18</v>
      </c>
      <c r="B19">
        <f>INDEX(Sheet1!E$6:E$125,Sheet3!A19*4)</f>
        <v>173760</v>
      </c>
      <c r="C19">
        <f t="shared" si="2"/>
        <v>1251600</v>
      </c>
      <c r="D19">
        <f>INDEX(Sheet1!I$6:I$125,Sheet3!A19)</f>
        <v>2700</v>
      </c>
      <c r="E19">
        <f t="shared" si="0"/>
        <v>64.355555555555554</v>
      </c>
      <c r="F19">
        <f t="shared" si="3"/>
        <v>584.43911708793439</v>
      </c>
    </row>
    <row r="20" spans="1:6">
      <c r="A20">
        <v>19</v>
      </c>
      <c r="B20">
        <f>INDEX(Sheet1!E$6:E$125,Sheet3!A20*4)</f>
        <v>192000</v>
      </c>
      <c r="C20">
        <f t="shared" si="2"/>
        <v>1443600</v>
      </c>
      <c r="D20">
        <f>INDEX(Sheet1!I$6:I$125,Sheet3!A20)</f>
        <v>2800</v>
      </c>
      <c r="E20">
        <f t="shared" si="0"/>
        <v>68.571428571428569</v>
      </c>
      <c r="F20">
        <f t="shared" si="3"/>
        <v>653.01054565936295</v>
      </c>
    </row>
    <row r="21" spans="1:6">
      <c r="A21">
        <v>20</v>
      </c>
      <c r="B21">
        <f>INDEX(Sheet1!E$6:E$125,Sheet3!A21*4)</f>
        <v>211200</v>
      </c>
      <c r="C21">
        <f t="shared" si="2"/>
        <v>1654800</v>
      </c>
      <c r="D21">
        <f>INDEX(Sheet1!I$6:I$125,Sheet3!A21)</f>
        <v>2900</v>
      </c>
      <c r="E21">
        <f t="shared" si="0"/>
        <v>72.827586206896555</v>
      </c>
      <c r="F21">
        <f t="shared" si="3"/>
        <v>725.83813186625946</v>
      </c>
    </row>
    <row r="22" spans="1:6">
      <c r="A22">
        <v>21</v>
      </c>
      <c r="B22">
        <f>INDEX(Sheet1!E$6:E$125,Sheet3!A22*4)</f>
        <v>231360</v>
      </c>
      <c r="C22">
        <f t="shared" si="2"/>
        <v>1886160</v>
      </c>
      <c r="D22">
        <f>INDEX(Sheet1!I$6:I$125,Sheet3!A22)</f>
        <v>3000</v>
      </c>
      <c r="E22">
        <f t="shared" si="0"/>
        <v>77.12</v>
      </c>
      <c r="F22">
        <f t="shared" si="3"/>
        <v>802.95813186625946</v>
      </c>
    </row>
    <row r="23" spans="1:6">
      <c r="A23">
        <v>22</v>
      </c>
      <c r="B23">
        <f>INDEX(Sheet1!E$6:E$125,Sheet3!A23*4)</f>
        <v>252480</v>
      </c>
      <c r="C23">
        <f t="shared" si="2"/>
        <v>2138640</v>
      </c>
      <c r="D23">
        <f>INDEX(Sheet1!I$6:I$125,Sheet3!A23)</f>
        <v>3100</v>
      </c>
      <c r="E23">
        <f t="shared" si="0"/>
        <v>81.445161290322574</v>
      </c>
      <c r="F23">
        <f t="shared" si="3"/>
        <v>884.40329315658209</v>
      </c>
    </row>
    <row r="24" spans="1:6">
      <c r="A24">
        <v>23</v>
      </c>
      <c r="B24">
        <f>INDEX(Sheet1!E$6:E$125,Sheet3!A24*4)</f>
        <v>274560</v>
      </c>
      <c r="C24">
        <f t="shared" si="2"/>
        <v>2413200</v>
      </c>
      <c r="D24">
        <f>INDEX(Sheet1!I$6:I$125,Sheet3!A24)</f>
        <v>3200</v>
      </c>
      <c r="E24">
        <f t="shared" si="0"/>
        <v>85.8</v>
      </c>
      <c r="F24">
        <f t="shared" si="3"/>
        <v>970.20329315658205</v>
      </c>
    </row>
    <row r="25" spans="1:6">
      <c r="A25">
        <v>24</v>
      </c>
      <c r="B25">
        <f>INDEX(Sheet1!E$6:E$125,Sheet3!A25*4)</f>
        <v>297600</v>
      </c>
      <c r="C25">
        <f t="shared" si="2"/>
        <v>2710800</v>
      </c>
      <c r="D25">
        <f>INDEX(Sheet1!I$6:I$125,Sheet3!A25)</f>
        <v>3300</v>
      </c>
      <c r="E25">
        <f t="shared" si="0"/>
        <v>90.181818181818187</v>
      </c>
      <c r="F25">
        <f t="shared" si="3"/>
        <v>1060.3851113384003</v>
      </c>
    </row>
    <row r="26" spans="1:6">
      <c r="A26">
        <v>25</v>
      </c>
      <c r="B26">
        <f>INDEX(Sheet1!E$6:E$125,Sheet3!A26*4)</f>
        <v>321600</v>
      </c>
      <c r="C26">
        <f t="shared" si="2"/>
        <v>3032400</v>
      </c>
      <c r="D26">
        <f>INDEX(Sheet1!I$6:I$125,Sheet3!A26)</f>
        <v>3400</v>
      </c>
      <c r="E26">
        <f t="shared" si="0"/>
        <v>94.588235294117652</v>
      </c>
      <c r="F26">
        <f t="shared" si="3"/>
        <v>1154.9733466325179</v>
      </c>
    </row>
    <row r="27" spans="1:6">
      <c r="A27">
        <v>26</v>
      </c>
      <c r="B27">
        <f>INDEX(Sheet1!E$6:E$125,Sheet3!A27*4)</f>
        <v>346560</v>
      </c>
      <c r="C27">
        <f t="shared" si="2"/>
        <v>3378960</v>
      </c>
      <c r="D27">
        <f>INDEX(Sheet1!I$6:I$125,Sheet3!A27)</f>
        <v>3500</v>
      </c>
      <c r="E27">
        <f t="shared" si="0"/>
        <v>99.017142857142858</v>
      </c>
      <c r="F27">
        <f t="shared" si="3"/>
        <v>1253.9904894896608</v>
      </c>
    </row>
    <row r="28" spans="1:6">
      <c r="A28">
        <v>27</v>
      </c>
      <c r="B28">
        <f>INDEX(Sheet1!E$6:E$125,Sheet3!A28*4)</f>
        <v>372480</v>
      </c>
      <c r="C28">
        <f t="shared" si="2"/>
        <v>3751440</v>
      </c>
      <c r="D28">
        <f>INDEX(Sheet1!I$6:I$125,Sheet3!A28)</f>
        <v>3600</v>
      </c>
      <c r="E28">
        <f t="shared" si="0"/>
        <v>103.46666666666667</v>
      </c>
      <c r="F28">
        <f t="shared" si="3"/>
        <v>1357.4571561563275</v>
      </c>
    </row>
    <row r="29" spans="1:6">
      <c r="A29">
        <v>28</v>
      </c>
      <c r="B29">
        <f>INDEX(Sheet1!E$6:E$125,Sheet3!A29*4)</f>
        <v>399360</v>
      </c>
      <c r="C29">
        <f t="shared" si="2"/>
        <v>4150800</v>
      </c>
      <c r="D29">
        <f>INDEX(Sheet1!I$6:I$125,Sheet3!A29)</f>
        <v>3700</v>
      </c>
      <c r="E29">
        <f t="shared" si="0"/>
        <v>107.93513513513514</v>
      </c>
      <c r="F29">
        <f t="shared" si="3"/>
        <v>1465.3922912914627</v>
      </c>
    </row>
    <row r="30" spans="1:6">
      <c r="A30">
        <v>29</v>
      </c>
      <c r="B30">
        <f>INDEX(Sheet1!E$6:E$125,Sheet3!A30*4)</f>
        <v>427200</v>
      </c>
      <c r="C30">
        <f t="shared" si="2"/>
        <v>4578000</v>
      </c>
      <c r="D30">
        <f>INDEX(Sheet1!I$6:I$125,Sheet3!A30)</f>
        <v>3800</v>
      </c>
      <c r="E30">
        <f t="shared" si="0"/>
        <v>112.42105263157895</v>
      </c>
      <c r="F30">
        <f t="shared" si="3"/>
        <v>1577.8133439230417</v>
      </c>
    </row>
    <row r="31" spans="1:6">
      <c r="A31">
        <v>30</v>
      </c>
      <c r="B31">
        <f>INDEX(Sheet1!E$6:E$125,Sheet3!A31*4)</f>
        <v>456000</v>
      </c>
      <c r="C31">
        <f t="shared" si="2"/>
        <v>5034000</v>
      </c>
      <c r="D31">
        <f>INDEX(Sheet1!I$6:I$125,Sheet3!A31)</f>
        <v>3900</v>
      </c>
      <c r="E31">
        <f t="shared" si="0"/>
        <v>116.92307692307692</v>
      </c>
      <c r="F31">
        <f t="shared" si="3"/>
        <v>1694.7364208461186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公会-client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dell</cp:lastModifiedBy>
  <dcterms:created xsi:type="dcterms:W3CDTF">2014-08-02T11:38:46Z</dcterms:created>
  <dcterms:modified xsi:type="dcterms:W3CDTF">2014-10-18T09:00:22Z</dcterms:modified>
</cp:coreProperties>
</file>