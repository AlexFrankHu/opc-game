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/>
  </bookViews>
  <sheets>
    <sheet name="item.xml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A3" i="2"/>
  <c r="B3"/>
  <c r="C3"/>
  <c r="D3"/>
  <c r="E3"/>
  <c r="F3"/>
  <c r="G3"/>
  <c r="H3"/>
  <c r="I3"/>
  <c r="J3"/>
  <c r="K3"/>
  <c r="L3"/>
  <c r="M3"/>
  <c r="N3"/>
  <c r="O3"/>
  <c r="P3"/>
  <c r="Q3"/>
  <c r="R3"/>
  <c r="S3"/>
  <c r="T3"/>
  <c r="U3"/>
  <c r="A4"/>
  <c r="B4"/>
  <c r="C4"/>
  <c r="D4"/>
  <c r="E4"/>
  <c r="F4"/>
  <c r="G4"/>
  <c r="H4"/>
  <c r="I4"/>
  <c r="J4"/>
  <c r="K4"/>
  <c r="L4"/>
  <c r="M4"/>
  <c r="N4"/>
  <c r="O4"/>
  <c r="P4"/>
  <c r="Q4"/>
  <c r="R4"/>
  <c r="S4"/>
  <c r="T4"/>
  <c r="U4"/>
  <c r="A5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A6"/>
  <c r="B6"/>
  <c r="C6"/>
  <c r="D6"/>
  <c r="E6"/>
  <c r="F6"/>
  <c r="G6"/>
  <c r="H6"/>
  <c r="I6"/>
  <c r="J6"/>
  <c r="K6"/>
  <c r="L6"/>
  <c r="M6"/>
  <c r="N6"/>
  <c r="O6"/>
  <c r="P6"/>
  <c r="Q6"/>
  <c r="R6"/>
  <c r="S6"/>
  <c r="T6"/>
  <c r="U6"/>
  <c r="A7"/>
  <c r="B7"/>
  <c r="C7"/>
  <c r="D7"/>
  <c r="E7"/>
  <c r="F7"/>
  <c r="G7"/>
  <c r="H7"/>
  <c r="I7"/>
  <c r="J7"/>
  <c r="K7"/>
  <c r="L7"/>
  <c r="M7"/>
  <c r="N7"/>
  <c r="O7"/>
  <c r="P7"/>
  <c r="Q7"/>
  <c r="R7"/>
  <c r="S7"/>
  <c r="T7"/>
  <c r="U7"/>
  <c r="A8"/>
  <c r="B8"/>
  <c r="C8"/>
  <c r="D8"/>
  <c r="E8"/>
  <c r="F8"/>
  <c r="G8"/>
  <c r="H8"/>
  <c r="I8"/>
  <c r="J8"/>
  <c r="K8"/>
  <c r="L8"/>
  <c r="M8"/>
  <c r="N8"/>
  <c r="O8"/>
  <c r="P8"/>
  <c r="Q8"/>
  <c r="R8"/>
  <c r="S8"/>
  <c r="T8"/>
  <c r="U8"/>
  <c r="A9"/>
  <c r="B9"/>
  <c r="C9"/>
  <c r="D9"/>
  <c r="E9"/>
  <c r="F9"/>
  <c r="G9"/>
  <c r="H9"/>
  <c r="I9"/>
  <c r="J9"/>
  <c r="K9"/>
  <c r="L9"/>
  <c r="M9"/>
  <c r="N9"/>
  <c r="O9"/>
  <c r="P9"/>
  <c r="Q9"/>
  <c r="R9"/>
  <c r="S9"/>
  <c r="T9"/>
  <c r="U9"/>
  <c r="A10"/>
  <c r="B10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A11"/>
  <c r="B11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A12"/>
  <c r="B12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A13"/>
  <c r="B13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A14"/>
  <c r="B14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A15"/>
  <c r="B15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A16"/>
  <c r="B16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A17"/>
  <c r="B17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A18"/>
  <c r="B18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A19"/>
  <c r="B19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A20"/>
  <c r="B20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A21"/>
  <c r="B21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A22"/>
  <c r="B22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A23"/>
  <c r="B23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A24"/>
  <c r="B24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A25"/>
  <c r="B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A26"/>
  <c r="B26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A28"/>
  <c r="B28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A29"/>
  <c r="B29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A30"/>
  <c r="B30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A31"/>
  <c r="B31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A32"/>
  <c r="B32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A33"/>
  <c r="B33"/>
  <c r="C33"/>
  <c r="D33"/>
  <c r="E33"/>
  <c r="F33"/>
  <c r="G33"/>
  <c r="H33"/>
  <c r="I33"/>
  <c r="J33"/>
  <c r="K33"/>
  <c r="L33"/>
  <c r="M33"/>
  <c r="N33"/>
  <c r="O33"/>
  <c r="P33"/>
  <c r="Q33"/>
  <c r="R33"/>
  <c r="S33"/>
  <c r="T33"/>
  <c r="U33"/>
  <c r="A34"/>
  <c r="B34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A36"/>
  <c r="B36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A37"/>
  <c r="B37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A38"/>
  <c r="B38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A40"/>
  <c r="B40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A41"/>
  <c r="B41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A42"/>
  <c r="B42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A44"/>
  <c r="B44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A45"/>
  <c r="B45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A47"/>
  <c r="B47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A50"/>
  <c r="B50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A51"/>
  <c r="B51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A52"/>
  <c r="B52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A53"/>
  <c r="B53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A54"/>
  <c r="B54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A55"/>
  <c r="B55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A56"/>
  <c r="B56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A57"/>
  <c r="B57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A58"/>
  <c r="B58"/>
  <c r="C58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A59"/>
  <c r="B59"/>
  <c r="C59"/>
  <c r="D59"/>
  <c r="E59"/>
  <c r="F59"/>
  <c r="G59"/>
  <c r="H59"/>
  <c r="I59"/>
  <c r="J59"/>
  <c r="K59"/>
  <c r="L59"/>
  <c r="M59"/>
  <c r="N59"/>
  <c r="O59"/>
  <c r="P59"/>
  <c r="Q59"/>
  <c r="R59"/>
  <c r="S59"/>
  <c r="T59"/>
  <c r="U59"/>
  <c r="A60"/>
  <c r="B60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A61"/>
  <c r="B61"/>
  <c r="C61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A62"/>
  <c r="B62"/>
  <c r="C62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A63"/>
  <c r="B63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A65"/>
  <c r="B65"/>
  <c r="C65"/>
  <c r="D65"/>
  <c r="E65"/>
  <c r="F65"/>
  <c r="G65"/>
  <c r="H65"/>
  <c r="I65"/>
  <c r="J65"/>
  <c r="K65"/>
  <c r="L65"/>
  <c r="M65"/>
  <c r="N65"/>
  <c r="O65"/>
  <c r="P65"/>
  <c r="Q65"/>
  <c r="R65"/>
  <c r="S65"/>
  <c r="T65"/>
  <c r="U65"/>
  <c r="A66"/>
  <c r="B66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A67"/>
  <c r="B67"/>
  <c r="C67"/>
  <c r="D67"/>
  <c r="E67"/>
  <c r="F67"/>
  <c r="G67"/>
  <c r="H67"/>
  <c r="I67"/>
  <c r="J67"/>
  <c r="K67"/>
  <c r="L67"/>
  <c r="M67"/>
  <c r="N67"/>
  <c r="O67"/>
  <c r="P67"/>
  <c r="Q67"/>
  <c r="R67"/>
  <c r="S67"/>
  <c r="T67"/>
  <c r="U67"/>
  <c r="A68"/>
  <c r="B68"/>
  <c r="C68"/>
  <c r="D68"/>
  <c r="E68"/>
  <c r="F68"/>
  <c r="G68"/>
  <c r="H68"/>
  <c r="I68"/>
  <c r="J68"/>
  <c r="K68"/>
  <c r="L68"/>
  <c r="M68"/>
  <c r="N68"/>
  <c r="O68"/>
  <c r="P68"/>
  <c r="Q68"/>
  <c r="R68"/>
  <c r="S68"/>
  <c r="T68"/>
  <c r="U68"/>
  <c r="A69"/>
  <c r="B69"/>
  <c r="C69"/>
  <c r="D69"/>
  <c r="E69"/>
  <c r="F69"/>
  <c r="G69"/>
  <c r="H69"/>
  <c r="I69"/>
  <c r="J69"/>
  <c r="K69"/>
  <c r="L69"/>
  <c r="M69"/>
  <c r="N69"/>
  <c r="O69"/>
  <c r="P69"/>
  <c r="Q69"/>
  <c r="R69"/>
  <c r="S69"/>
  <c r="T69"/>
  <c r="U69"/>
  <c r="A70"/>
  <c r="B70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U70"/>
  <c r="A71"/>
  <c r="B71"/>
  <c r="C7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A72"/>
  <c r="B72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U72"/>
  <c r="A73"/>
  <c r="B73"/>
  <c r="C73"/>
  <c r="D73"/>
  <c r="E73"/>
  <c r="F73"/>
  <c r="G73"/>
  <c r="H73"/>
  <c r="I73"/>
  <c r="J73"/>
  <c r="K73"/>
  <c r="L73"/>
  <c r="M73"/>
  <c r="N73"/>
  <c r="O73"/>
  <c r="P73"/>
  <c r="Q73"/>
  <c r="R73"/>
  <c r="S73"/>
  <c r="T73"/>
  <c r="U73"/>
  <c r="A74"/>
  <c r="B74"/>
  <c r="C74"/>
  <c r="D74"/>
  <c r="E74"/>
  <c r="F74"/>
  <c r="G74"/>
  <c r="H74"/>
  <c r="I74"/>
  <c r="J74"/>
  <c r="K74"/>
  <c r="L74"/>
  <c r="M74"/>
  <c r="N74"/>
  <c r="O74"/>
  <c r="P74"/>
  <c r="Q74"/>
  <c r="R74"/>
  <c r="S74"/>
  <c r="T74"/>
  <c r="U74"/>
  <c r="A75"/>
  <c r="B75"/>
  <c r="C75"/>
  <c r="D75"/>
  <c r="E75"/>
  <c r="F75"/>
  <c r="G75"/>
  <c r="H75"/>
  <c r="I75"/>
  <c r="J75"/>
  <c r="K75"/>
  <c r="L75"/>
  <c r="M75"/>
  <c r="N75"/>
  <c r="O75"/>
  <c r="P75"/>
  <c r="Q75"/>
  <c r="R75"/>
  <c r="S75"/>
  <c r="T75"/>
  <c r="U75"/>
  <c r="A76"/>
  <c r="B76"/>
  <c r="C76"/>
  <c r="D76"/>
  <c r="E76"/>
  <c r="F76"/>
  <c r="G76"/>
  <c r="H76"/>
  <c r="I76"/>
  <c r="J76"/>
  <c r="K76"/>
  <c r="L76"/>
  <c r="M76"/>
  <c r="N76"/>
  <c r="O76"/>
  <c r="P76"/>
  <c r="Q76"/>
  <c r="R76"/>
  <c r="S76"/>
  <c r="T76"/>
  <c r="U76"/>
  <c r="A77"/>
  <c r="B77"/>
  <c r="C77"/>
  <c r="D77"/>
  <c r="E77"/>
  <c r="F77"/>
  <c r="G77"/>
  <c r="H77"/>
  <c r="I77"/>
  <c r="J77"/>
  <c r="K77"/>
  <c r="L77"/>
  <c r="M77"/>
  <c r="N77"/>
  <c r="O77"/>
  <c r="P77"/>
  <c r="Q77"/>
  <c r="R77"/>
  <c r="S77"/>
  <c r="T77"/>
  <c r="U77"/>
  <c r="A78"/>
  <c r="B78"/>
  <c r="C78"/>
  <c r="D78"/>
  <c r="E78"/>
  <c r="F78"/>
  <c r="G78"/>
  <c r="H78"/>
  <c r="I78"/>
  <c r="J78"/>
  <c r="K78"/>
  <c r="L78"/>
  <c r="M78"/>
  <c r="N78"/>
  <c r="O78"/>
  <c r="P78"/>
  <c r="Q78"/>
  <c r="R78"/>
  <c r="S78"/>
  <c r="T78"/>
  <c r="U78"/>
  <c r="A79"/>
  <c r="B79"/>
  <c r="C79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A80"/>
  <c r="B80"/>
  <c r="C80"/>
  <c r="D80"/>
  <c r="E80"/>
  <c r="F80"/>
  <c r="G80"/>
  <c r="H80"/>
  <c r="I80"/>
  <c r="J80"/>
  <c r="K80"/>
  <c r="L80"/>
  <c r="M80"/>
  <c r="N80"/>
  <c r="O80"/>
  <c r="P80"/>
  <c r="Q80"/>
  <c r="R80"/>
  <c r="S80"/>
  <c r="T80"/>
  <c r="U80"/>
  <c r="A81"/>
  <c r="B81"/>
  <c r="C81"/>
  <c r="D81"/>
  <c r="E81"/>
  <c r="F81"/>
  <c r="G81"/>
  <c r="H81"/>
  <c r="I81"/>
  <c r="J81"/>
  <c r="K81"/>
  <c r="L81"/>
  <c r="M81"/>
  <c r="N81"/>
  <c r="O81"/>
  <c r="P81"/>
  <c r="Q81"/>
  <c r="R81"/>
  <c r="S81"/>
  <c r="T81"/>
  <c r="U81"/>
  <c r="A82"/>
  <c r="B82"/>
  <c r="C82"/>
  <c r="D82"/>
  <c r="E82"/>
  <c r="F82"/>
  <c r="G82"/>
  <c r="H82"/>
  <c r="I82"/>
  <c r="J82"/>
  <c r="K82"/>
  <c r="L82"/>
  <c r="M82"/>
  <c r="N82"/>
  <c r="O82"/>
  <c r="P82"/>
  <c r="Q82"/>
  <c r="R82"/>
  <c r="S82"/>
  <c r="T82"/>
  <c r="U82"/>
  <c r="A83"/>
  <c r="B83"/>
  <c r="C83"/>
  <c r="D83"/>
  <c r="E83"/>
  <c r="F83"/>
  <c r="G83"/>
  <c r="H83"/>
  <c r="I83"/>
  <c r="J83"/>
  <c r="K83"/>
  <c r="L83"/>
  <c r="M83"/>
  <c r="N83"/>
  <c r="O83"/>
  <c r="P83"/>
  <c r="Q83"/>
  <c r="R83"/>
  <c r="S83"/>
  <c r="T83"/>
  <c r="U83"/>
  <c r="A84"/>
  <c r="B84"/>
  <c r="C84"/>
  <c r="D84"/>
  <c r="E84"/>
  <c r="F84"/>
  <c r="G84"/>
  <c r="H84"/>
  <c r="I84"/>
  <c r="J84"/>
  <c r="K84"/>
  <c r="L84"/>
  <c r="M84"/>
  <c r="N84"/>
  <c r="O84"/>
  <c r="P84"/>
  <c r="Q84"/>
  <c r="R84"/>
  <c r="S84"/>
  <c r="T84"/>
  <c r="U84"/>
  <c r="A85"/>
  <c r="B85"/>
  <c r="C85"/>
  <c r="D85"/>
  <c r="E85"/>
  <c r="F85"/>
  <c r="G85"/>
  <c r="H85"/>
  <c r="I85"/>
  <c r="J85"/>
  <c r="K85"/>
  <c r="L85"/>
  <c r="M85"/>
  <c r="N85"/>
  <c r="O85"/>
  <c r="P85"/>
  <c r="Q85"/>
  <c r="R85"/>
  <c r="S85"/>
  <c r="T85"/>
  <c r="U85"/>
  <c r="A86"/>
  <c r="B86"/>
  <c r="C86"/>
  <c r="D86"/>
  <c r="E86"/>
  <c r="F86"/>
  <c r="G86"/>
  <c r="H86"/>
  <c r="I86"/>
  <c r="J86"/>
  <c r="K86"/>
  <c r="L86"/>
  <c r="M86"/>
  <c r="N86"/>
  <c r="O86"/>
  <c r="P86"/>
  <c r="Q86"/>
  <c r="R86"/>
  <c r="S86"/>
  <c r="T86"/>
  <c r="U86"/>
  <c r="A87"/>
  <c r="B87"/>
  <c r="C87"/>
  <c r="D87"/>
  <c r="E87"/>
  <c r="F87"/>
  <c r="G87"/>
  <c r="H87"/>
  <c r="I87"/>
  <c r="J87"/>
  <c r="K87"/>
  <c r="L87"/>
  <c r="M87"/>
  <c r="N87"/>
  <c r="O87"/>
  <c r="P87"/>
  <c r="Q87"/>
  <c r="R87"/>
  <c r="S87"/>
  <c r="T87"/>
  <c r="U87"/>
  <c r="A88"/>
  <c r="B88"/>
  <c r="C88"/>
  <c r="D88"/>
  <c r="E88"/>
  <c r="F88"/>
  <c r="G88"/>
  <c r="H88"/>
  <c r="I88"/>
  <c r="J88"/>
  <c r="K88"/>
  <c r="L88"/>
  <c r="M88"/>
  <c r="N88"/>
  <c r="O88"/>
  <c r="P88"/>
  <c r="Q88"/>
  <c r="R88"/>
  <c r="S88"/>
  <c r="T88"/>
  <c r="U88"/>
  <c r="A89"/>
  <c r="B89"/>
  <c r="C89"/>
  <c r="D89"/>
  <c r="E89"/>
  <c r="F89"/>
  <c r="G89"/>
  <c r="H89"/>
  <c r="I89"/>
  <c r="J89"/>
  <c r="K89"/>
  <c r="L89"/>
  <c r="M89"/>
  <c r="N89"/>
  <c r="O89"/>
  <c r="P89"/>
  <c r="Q89"/>
  <c r="R89"/>
  <c r="S89"/>
  <c r="T89"/>
  <c r="U89"/>
  <c r="A90"/>
  <c r="B90"/>
  <c r="C90"/>
  <c r="D90"/>
  <c r="E90"/>
  <c r="F90"/>
  <c r="G90"/>
  <c r="H90"/>
  <c r="I90"/>
  <c r="J90"/>
  <c r="K90"/>
  <c r="L90"/>
  <c r="M90"/>
  <c r="N90"/>
  <c r="O90"/>
  <c r="P90"/>
  <c r="Q90"/>
  <c r="R90"/>
  <c r="S90"/>
  <c r="T90"/>
  <c r="U90"/>
  <c r="A91"/>
  <c r="B91"/>
  <c r="C91"/>
  <c r="D91"/>
  <c r="E91"/>
  <c r="F91"/>
  <c r="G91"/>
  <c r="H91"/>
  <c r="I91"/>
  <c r="J91"/>
  <c r="K91"/>
  <c r="L91"/>
  <c r="M91"/>
  <c r="N91"/>
  <c r="O91"/>
  <c r="P91"/>
  <c r="Q91"/>
  <c r="R91"/>
  <c r="S91"/>
  <c r="T91"/>
  <c r="U91"/>
  <c r="A92"/>
  <c r="B92"/>
  <c r="C92"/>
  <c r="D92"/>
  <c r="E92"/>
  <c r="F92"/>
  <c r="G92"/>
  <c r="H92"/>
  <c r="I92"/>
  <c r="J92"/>
  <c r="K92"/>
  <c r="L92"/>
  <c r="M92"/>
  <c r="N92"/>
  <c r="O92"/>
  <c r="P92"/>
  <c r="Q92"/>
  <c r="R92"/>
  <c r="S92"/>
  <c r="T92"/>
  <c r="U92"/>
  <c r="A93"/>
  <c r="B93"/>
  <c r="C93"/>
  <c r="D93"/>
  <c r="E93"/>
  <c r="F93"/>
  <c r="G93"/>
  <c r="H93"/>
  <c r="I93"/>
  <c r="J93"/>
  <c r="K93"/>
  <c r="L93"/>
  <c r="M93"/>
  <c r="N93"/>
  <c r="O93"/>
  <c r="P93"/>
  <c r="Q93"/>
  <c r="R93"/>
  <c r="S93"/>
  <c r="T93"/>
  <c r="U93"/>
  <c r="A94"/>
  <c r="B94"/>
  <c r="C94"/>
  <c r="D94"/>
  <c r="E94"/>
  <c r="F94"/>
  <c r="G94"/>
  <c r="H94"/>
  <c r="I94"/>
  <c r="J94"/>
  <c r="K94"/>
  <c r="L94"/>
  <c r="M94"/>
  <c r="N94"/>
  <c r="O94"/>
  <c r="P94"/>
  <c r="Q94"/>
  <c r="R94"/>
  <c r="S94"/>
  <c r="T94"/>
  <c r="U94"/>
  <c r="A95"/>
  <c r="B95"/>
  <c r="C95"/>
  <c r="D95"/>
  <c r="E95"/>
  <c r="F95"/>
  <c r="G95"/>
  <c r="H95"/>
  <c r="I95"/>
  <c r="J95"/>
  <c r="K95"/>
  <c r="L95"/>
  <c r="M95"/>
  <c r="N95"/>
  <c r="O95"/>
  <c r="P95"/>
  <c r="Q95"/>
  <c r="R95"/>
  <c r="S95"/>
  <c r="T95"/>
  <c r="U95"/>
  <c r="A96"/>
  <c r="B96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A97"/>
  <c r="B97"/>
  <c r="C97"/>
  <c r="D97"/>
  <c r="E97"/>
  <c r="F97"/>
  <c r="G97"/>
  <c r="H97"/>
  <c r="I97"/>
  <c r="J97"/>
  <c r="K97"/>
  <c r="L97"/>
  <c r="M97"/>
  <c r="N97"/>
  <c r="O97"/>
  <c r="P97"/>
  <c r="Q97"/>
  <c r="R97"/>
  <c r="S97"/>
  <c r="T97"/>
  <c r="U97"/>
  <c r="A98"/>
  <c r="B98"/>
  <c r="C98"/>
  <c r="D98"/>
  <c r="E98"/>
  <c r="F98"/>
  <c r="G98"/>
  <c r="H98"/>
  <c r="I98"/>
  <c r="J98"/>
  <c r="K98"/>
  <c r="L98"/>
  <c r="M98"/>
  <c r="N98"/>
  <c r="O98"/>
  <c r="P98"/>
  <c r="Q98"/>
  <c r="R98"/>
  <c r="S98"/>
  <c r="T98"/>
  <c r="U98"/>
  <c r="A99"/>
  <c r="B99"/>
  <c r="C99"/>
  <c r="D99"/>
  <c r="E99"/>
  <c r="F99"/>
  <c r="G99"/>
  <c r="H99"/>
  <c r="I99"/>
  <c r="J99"/>
  <c r="K99"/>
  <c r="L99"/>
  <c r="M99"/>
  <c r="N99"/>
  <c r="O99"/>
  <c r="P99"/>
  <c r="Q99"/>
  <c r="R99"/>
  <c r="S99"/>
  <c r="T99"/>
  <c r="U99"/>
  <c r="U2"/>
  <c r="T2"/>
  <c r="S2"/>
  <c r="R2"/>
  <c r="Q2"/>
  <c r="P2"/>
  <c r="L2"/>
  <c r="M2"/>
  <c r="N2"/>
  <c r="O2"/>
  <c r="K2"/>
  <c r="J2"/>
  <c r="I2"/>
  <c r="D2"/>
  <c r="E2"/>
  <c r="F2"/>
  <c r="G2"/>
  <c r="H2"/>
  <c r="C2"/>
  <c r="B2"/>
  <c r="A2"/>
  <c r="M74" i="1"/>
  <c r="M73"/>
  <c r="M72"/>
  <c r="M71"/>
  <c r="M70"/>
  <c r="M69"/>
  <c r="M68"/>
  <c r="M67"/>
  <c r="M66"/>
  <c r="M64"/>
  <c r="M63"/>
  <c r="M62"/>
  <c r="M61"/>
  <c r="L61"/>
  <c r="L76" s="1"/>
  <c r="M60"/>
  <c r="M59"/>
  <c r="M58"/>
  <c r="M57"/>
  <c r="L57"/>
  <c r="L72" s="1"/>
  <c r="M56"/>
  <c r="M55"/>
  <c r="M54"/>
  <c r="M53"/>
  <c r="L53"/>
  <c r="L68" s="1"/>
  <c r="M52"/>
  <c r="K52"/>
  <c r="K67" s="1"/>
  <c r="M51"/>
  <c r="K50"/>
  <c r="K65" s="1"/>
  <c r="K80" s="1"/>
  <c r="M49"/>
  <c r="L49"/>
  <c r="L64" s="1"/>
  <c r="L79" s="1"/>
  <c r="M48"/>
  <c r="L48"/>
  <c r="L63" s="1"/>
  <c r="L78" s="1"/>
  <c r="M47"/>
  <c r="L47"/>
  <c r="L62" s="1"/>
  <c r="L77" s="1"/>
  <c r="M46"/>
  <c r="L46"/>
  <c r="M45"/>
  <c r="L45"/>
  <c r="L60" s="1"/>
  <c r="L75" s="1"/>
  <c r="M44"/>
  <c r="L44"/>
  <c r="L59" s="1"/>
  <c r="L74" s="1"/>
  <c r="M43"/>
  <c r="L43"/>
  <c r="L58" s="1"/>
  <c r="L73" s="1"/>
  <c r="M42"/>
  <c r="L42"/>
  <c r="M41"/>
  <c r="L41"/>
  <c r="L56" s="1"/>
  <c r="L71" s="1"/>
  <c r="M40"/>
  <c r="L40"/>
  <c r="L55" s="1"/>
  <c r="L70" s="1"/>
  <c r="M39"/>
  <c r="L39"/>
  <c r="L54" s="1"/>
  <c r="L69" s="1"/>
  <c r="K39"/>
  <c r="K54" s="1"/>
  <c r="K69" s="1"/>
  <c r="M38"/>
  <c r="L38"/>
  <c r="K38"/>
  <c r="K53" s="1"/>
  <c r="K68" s="1"/>
  <c r="M37"/>
  <c r="L37"/>
  <c r="L52" s="1"/>
  <c r="L67" s="1"/>
  <c r="K37"/>
  <c r="M36"/>
  <c r="L36"/>
  <c r="L51" s="1"/>
  <c r="L66" s="1"/>
  <c r="K36"/>
  <c r="K51" s="1"/>
  <c r="K66" s="1"/>
  <c r="M34"/>
  <c r="M33"/>
  <c r="M32"/>
  <c r="M31"/>
  <c r="M30"/>
  <c r="M29"/>
  <c r="M28"/>
  <c r="M27"/>
  <c r="M26"/>
  <c r="K26"/>
  <c r="K27" s="1"/>
  <c r="M25"/>
  <c r="K25"/>
  <c r="K40" s="1"/>
  <c r="K55" s="1"/>
  <c r="K70" s="1"/>
  <c r="M24"/>
  <c r="M23"/>
  <c r="M22"/>
  <c r="M21"/>
  <c r="K42" l="1"/>
  <c r="K57" s="1"/>
  <c r="K72" s="1"/>
  <c r="K28"/>
  <c r="K41"/>
  <c r="K56" s="1"/>
  <c r="K71" s="1"/>
  <c r="K29" l="1"/>
  <c r="K43"/>
  <c r="K58" s="1"/>
  <c r="K73" s="1"/>
  <c r="K44" l="1"/>
  <c r="K59" s="1"/>
  <c r="K74" s="1"/>
  <c r="K30"/>
  <c r="K31" l="1"/>
  <c r="K45"/>
  <c r="K60" s="1"/>
  <c r="K75" s="1"/>
  <c r="K46" l="1"/>
  <c r="K61" s="1"/>
  <c r="K76" s="1"/>
  <c r="K32"/>
  <c r="K33" l="1"/>
  <c r="K47"/>
  <c r="K62" s="1"/>
  <c r="K77" s="1"/>
  <c r="K48" l="1"/>
  <c r="K63" s="1"/>
  <c r="K78" s="1"/>
  <c r="K34"/>
  <c r="K49" s="1"/>
  <c r="K64" s="1"/>
  <c r="K79" s="1"/>
</calcChain>
</file>

<file path=xl/sharedStrings.xml><?xml version="1.0" encoding="utf-8"?>
<sst xmlns="http://schemas.openxmlformats.org/spreadsheetml/2006/main" count="452" uniqueCount="401">
  <si>
    <t>data</t>
    <phoneticPr fontId="2" type="noConversion"/>
  </si>
  <si>
    <t>No</t>
    <phoneticPr fontId="2" type="noConversion"/>
  </si>
  <si>
    <t>id</t>
  </si>
  <si>
    <t>名称(name)</t>
  </si>
  <si>
    <t>类型(type)</t>
  </si>
  <si>
    <t>等级限制(levelLimit)</t>
  </si>
  <si>
    <t>职业限制(profLimit)</t>
  </si>
  <si>
    <t>出售价格(price)</t>
  </si>
  <si>
    <t>配对物品(needItem)</t>
  </si>
  <si>
    <t>包含物品(containItem)</t>
  </si>
  <si>
    <t>兑换需要熔炼值</t>
    <phoneticPr fontId="2" type="noConversion"/>
  </si>
  <si>
    <t>宝石升级消耗(levelUpCost)</t>
  </si>
  <si>
    <t>宝石升级概率(levelUpRate)</t>
  </si>
  <si>
    <t>升级目标最大消耗</t>
    <phoneticPr fontId="2" type="noConversion"/>
  </si>
  <si>
    <t>宝石升级目标(levelUpItem)</t>
  </si>
  <si>
    <t>力量(strenght)</t>
  </si>
  <si>
    <t>敏捷(agility)</t>
  </si>
  <si>
    <t>智力(intellect)</t>
  </si>
  <si>
    <t>耐力(stamina)</t>
  </si>
  <si>
    <t>物品图标</t>
    <phoneticPr fontId="2" type="noConversion"/>
  </si>
  <si>
    <t>物品描述</t>
    <phoneticPr fontId="2" type="noConversion"/>
  </si>
  <si>
    <t>品质</t>
    <phoneticPr fontId="2" type="noConversion"/>
  </si>
  <si>
    <t>页面跳转</t>
    <phoneticPr fontId="2" type="noConversion"/>
  </si>
  <si>
    <t>type</t>
    <phoneticPr fontId="2" type="noConversion"/>
  </si>
  <si>
    <t>levelLimit</t>
    <phoneticPr fontId="2" type="noConversion"/>
  </si>
  <si>
    <t>profLimit</t>
    <phoneticPr fontId="2" type="noConversion"/>
  </si>
  <si>
    <t>price</t>
    <phoneticPr fontId="2" type="noConversion"/>
  </si>
  <si>
    <t>needItem</t>
    <phoneticPr fontId="2" type="noConversion"/>
  </si>
  <si>
    <t>containItem</t>
    <phoneticPr fontId="2" type="noConversion"/>
  </si>
  <si>
    <t>smeltValue</t>
  </si>
  <si>
    <t>levelUpCost</t>
    <phoneticPr fontId="2" type="noConversion"/>
  </si>
  <si>
    <t>levelUpRate</t>
    <phoneticPr fontId="2" type="noConversion"/>
  </si>
  <si>
    <t>maxConsumption</t>
    <phoneticPr fontId="2" type="noConversion"/>
  </si>
  <si>
    <t>levelUpItem</t>
    <phoneticPr fontId="2" type="noConversion"/>
  </si>
  <si>
    <t>strenght</t>
    <phoneticPr fontId="2" type="noConversion"/>
  </si>
  <si>
    <t>agility</t>
    <phoneticPr fontId="2" type="noConversion"/>
  </si>
  <si>
    <t>intellect</t>
    <phoneticPr fontId="2" type="noConversion"/>
  </si>
  <si>
    <t>stamina</t>
    <phoneticPr fontId="2" type="noConversion"/>
  </si>
  <si>
    <t>quality</t>
  </si>
  <si>
    <t>addLuck</t>
  </si>
  <si>
    <t>needLuck</t>
  </si>
  <si>
    <t>superPool</t>
    <phoneticPr fontId="2" type="noConversion"/>
  </si>
  <si>
    <t>强化精华</t>
  </si>
  <si>
    <t>Item/3.png</t>
    <phoneticPr fontId="2" type="noConversion"/>
  </si>
  <si>
    <t>装备强化时使用，可以通过战胜BOSS获得</t>
    <phoneticPr fontId="2" type="noConversion"/>
  </si>
  <si>
    <t>宝石袋</t>
  </si>
  <si>
    <t>3000006_0_1_10000</t>
    <phoneticPr fontId="2" type="noConversion"/>
  </si>
  <si>
    <t>Item/12.png</t>
    <phoneticPr fontId="2" type="noConversion"/>
  </si>
  <si>
    <t>使用后获得1颗1级宝石</t>
    <phoneticPr fontId="2" type="noConversion"/>
  </si>
  <si>
    <t>高级宝石袋</t>
    <phoneticPr fontId="2" type="noConversion"/>
  </si>
  <si>
    <t>3000005_0_1_10000</t>
    <phoneticPr fontId="2" type="noConversion"/>
  </si>
  <si>
    <t>Item/13.png</t>
    <phoneticPr fontId="2" type="noConversion"/>
  </si>
  <si>
    <t>使用后获得1颗4级宝石</t>
    <phoneticPr fontId="2" type="noConversion"/>
  </si>
  <si>
    <t>礼包</t>
  </si>
  <si>
    <t>30001_2_1,30001_1_50</t>
  </si>
  <si>
    <t>Item/gift1.png</t>
    <phoneticPr fontId="2" type="noConversion"/>
  </si>
  <si>
    <t>这个是礼包</t>
    <phoneticPr fontId="2" type="noConversion"/>
  </si>
  <si>
    <t>铜钥匙</t>
  </si>
  <si>
    <t>Item/21.png</t>
    <phoneticPr fontId="2" type="noConversion"/>
  </si>
  <si>
    <t>可以用来打开在地图里打怪时发现的铜宝箱</t>
    <phoneticPr fontId="2" type="noConversion"/>
  </si>
  <si>
    <t>银钥匙</t>
  </si>
  <si>
    <t>Item/22.png</t>
    <phoneticPr fontId="2" type="noConversion"/>
  </si>
  <si>
    <t>可以用来打开在地图里打怪时发现的银宝箱</t>
    <phoneticPr fontId="2" type="noConversion"/>
  </si>
  <si>
    <t>金钥匙</t>
    <phoneticPr fontId="2" type="noConversion"/>
  </si>
  <si>
    <t>Item/23.png</t>
    <phoneticPr fontId="2" type="noConversion"/>
  </si>
  <si>
    <t>可以用来打开在地图里打怪时发现的金宝箱</t>
    <phoneticPr fontId="2" type="noConversion"/>
  </si>
  <si>
    <t>铜宝箱</t>
  </si>
  <si>
    <t>3000004_0_1_10000</t>
    <phoneticPr fontId="2" type="noConversion"/>
  </si>
  <si>
    <t>Item/31.png</t>
    <phoneticPr fontId="2" type="noConversion"/>
  </si>
  <si>
    <t>银宝箱</t>
  </si>
  <si>
    <t>3000003_0_1_10000</t>
    <phoneticPr fontId="2" type="noConversion"/>
  </si>
  <si>
    <t>Item/32.png</t>
    <phoneticPr fontId="2" type="noConversion"/>
  </si>
  <si>
    <t>金宝箱</t>
  </si>
  <si>
    <t>3000002_0_1_10000</t>
    <phoneticPr fontId="2" type="noConversion"/>
  </si>
  <si>
    <t>Item/33.png</t>
    <phoneticPr fontId="2" type="noConversion"/>
  </si>
  <si>
    <t>冒险者宝箱</t>
    <phoneticPr fontId="2" type="noConversion"/>
  </si>
  <si>
    <t>冒险者宝箱，活动期间挂机可意外获得，也许藏着什么不错的东西。</t>
    <phoneticPr fontId="2" type="noConversion"/>
  </si>
  <si>
    <t>30000_60001_6_8000,10000_1011_20_7500,30000_90001_1_1700,30000_30001_1_1000,30000_30002_1_700,30000_30003_1_300,3000007_0_1_10000,30000_40005_1_10000</t>
    <phoneticPr fontId="2" type="noConversion"/>
  </si>
  <si>
    <t>英雄宝箱</t>
    <phoneticPr fontId="2" type="noConversion"/>
  </si>
  <si>
    <t>英雄宝箱，活动期间挑战BOSS可以获得，各大地精商店也有出售，隐约闪烁着神器的光芒。</t>
    <phoneticPr fontId="2" type="noConversion"/>
  </si>
  <si>
    <t>3000010_0_1_10000</t>
    <phoneticPr fontId="2" type="noConversion"/>
  </si>
  <si>
    <t>铜锤子</t>
  </si>
  <si>
    <t>Item/41.png</t>
    <phoneticPr fontId="2" type="noConversion"/>
  </si>
  <si>
    <t>铜制的锤子，用来开启装备的第2个宝石孔，可在熔炉中打造获得</t>
    <phoneticPr fontId="2" type="noConversion"/>
  </si>
  <si>
    <t>银锤子</t>
  </si>
  <si>
    <t>Item/42.png</t>
    <phoneticPr fontId="2" type="noConversion"/>
  </si>
  <si>
    <t>银制的锤子，用来开启装备的第3个宝石孔，可在熔炉中打造获得</t>
    <phoneticPr fontId="2" type="noConversion"/>
  </si>
  <si>
    <t>金锤子</t>
  </si>
  <si>
    <t>Item/43.png</t>
    <phoneticPr fontId="2" type="noConversion"/>
  </si>
  <si>
    <t>金制的锤子，用来开启装备的第4个宝石孔，可在熔炉中打造获得</t>
    <phoneticPr fontId="2" type="noConversion"/>
  </si>
  <si>
    <t>1级红宝石</t>
  </si>
  <si>
    <t>30000_0_0</t>
    <phoneticPr fontId="2" type="noConversion"/>
  </si>
  <si>
    <t>10,2</t>
    <phoneticPr fontId="2" type="noConversion"/>
  </si>
  <si>
    <t>Item/101.png</t>
    <phoneticPr fontId="2" type="noConversion"/>
  </si>
  <si>
    <t>镶嵌后+10点力量，2-15级红宝石升级的材料</t>
    <phoneticPr fontId="2" type="noConversion"/>
  </si>
  <si>
    <t>2级红宝石</t>
  </si>
  <si>
    <t>40000_0_0</t>
    <phoneticPr fontId="2" type="noConversion"/>
  </si>
  <si>
    <t>20,3</t>
    <phoneticPr fontId="2" type="noConversion"/>
  </si>
  <si>
    <t>Item/102.png</t>
    <phoneticPr fontId="2" type="noConversion"/>
  </si>
  <si>
    <t>镶嵌后+15点力量，3-15级红宝石升级的材料</t>
    <phoneticPr fontId="2" type="noConversion"/>
  </si>
  <si>
    <t>3级红宝石</t>
  </si>
  <si>
    <t>50000_20101_1</t>
    <phoneticPr fontId="2" type="noConversion"/>
  </si>
  <si>
    <t>40,5</t>
    <phoneticPr fontId="2" type="noConversion"/>
  </si>
  <si>
    <t>Item/103.png</t>
    <phoneticPr fontId="2" type="noConversion"/>
  </si>
  <si>
    <t>镶嵌后+20点力量，4-15级红宝石升级的材料</t>
    <phoneticPr fontId="2" type="noConversion"/>
  </si>
  <si>
    <t>4级红宝石</t>
  </si>
  <si>
    <t>100000_20101_2</t>
    <phoneticPr fontId="2" type="noConversion"/>
  </si>
  <si>
    <t>100,10</t>
    <phoneticPr fontId="2" type="noConversion"/>
  </si>
  <si>
    <t>Item/104.png</t>
    <phoneticPr fontId="2" type="noConversion"/>
  </si>
  <si>
    <t>镶嵌后+30点力量，5-15级红宝石升级的材料</t>
    <phoneticPr fontId="2" type="noConversion"/>
  </si>
  <si>
    <t>5级红宝石</t>
  </si>
  <si>
    <t>150000_20101_3</t>
    <phoneticPr fontId="2" type="noConversion"/>
  </si>
  <si>
    <t>150,15</t>
    <phoneticPr fontId="2" type="noConversion"/>
  </si>
  <si>
    <t>Item/105.png</t>
    <phoneticPr fontId="2" type="noConversion"/>
  </si>
  <si>
    <t>镶嵌后+50点力量，6-15级红宝石升级的材料</t>
    <phoneticPr fontId="2" type="noConversion"/>
  </si>
  <si>
    <t>6级红宝石</t>
  </si>
  <si>
    <t>200000_20101_4</t>
    <phoneticPr fontId="2" type="noConversion"/>
  </si>
  <si>
    <t>200,20</t>
    <phoneticPr fontId="2" type="noConversion"/>
  </si>
  <si>
    <t>Item/106.png</t>
    <phoneticPr fontId="2" type="noConversion"/>
  </si>
  <si>
    <t>镶嵌后+80点力量，7-15级红宝石升级的材料</t>
    <phoneticPr fontId="2" type="noConversion"/>
  </si>
  <si>
    <t>7级红宝石</t>
  </si>
  <si>
    <t>300000_20101_6</t>
    <phoneticPr fontId="2" type="noConversion"/>
  </si>
  <si>
    <t>250,25</t>
    <phoneticPr fontId="2" type="noConversion"/>
  </si>
  <si>
    <t>Item/107.png</t>
    <phoneticPr fontId="2" type="noConversion"/>
  </si>
  <si>
    <t>镶嵌后+120点力量，8-15级红宝石升级的材料</t>
    <phoneticPr fontId="2" type="noConversion"/>
  </si>
  <si>
    <t>8级红宝石</t>
  </si>
  <si>
    <t>400000_20101_8</t>
    <phoneticPr fontId="2" type="noConversion"/>
  </si>
  <si>
    <t>300,30</t>
    <phoneticPr fontId="2" type="noConversion"/>
  </si>
  <si>
    <t>Item/108.png</t>
    <phoneticPr fontId="2" type="noConversion"/>
  </si>
  <si>
    <t>镶嵌后+170点力量，9-15级红宝石升级的材料</t>
    <phoneticPr fontId="2" type="noConversion"/>
  </si>
  <si>
    <t>9级红宝石</t>
  </si>
  <si>
    <t>500000_20101_10</t>
    <phoneticPr fontId="2" type="noConversion"/>
  </si>
  <si>
    <t>350,35</t>
    <phoneticPr fontId="2" type="noConversion"/>
  </si>
  <si>
    <t>Item/109.png</t>
    <phoneticPr fontId="2" type="noConversion"/>
  </si>
  <si>
    <t>镶嵌后+230点力量，10-15级红宝石升级的材料</t>
    <phoneticPr fontId="2" type="noConversion"/>
  </si>
  <si>
    <t>10级红宝石</t>
  </si>
  <si>
    <t>650000_20101_13</t>
    <phoneticPr fontId="2" type="noConversion"/>
  </si>
  <si>
    <t>400,40</t>
    <phoneticPr fontId="2" type="noConversion"/>
  </si>
  <si>
    <t>Item/110.png</t>
    <phoneticPr fontId="2" type="noConversion"/>
  </si>
  <si>
    <t>镶嵌后+300点力量，11-15级红宝石升级的材料</t>
    <phoneticPr fontId="2" type="noConversion"/>
  </si>
  <si>
    <t>11级红宝石</t>
  </si>
  <si>
    <t>800000_20101_16</t>
    <phoneticPr fontId="2" type="noConversion"/>
  </si>
  <si>
    <t>450,45</t>
    <phoneticPr fontId="2" type="noConversion"/>
  </si>
  <si>
    <t>Item/111.png</t>
    <phoneticPr fontId="2" type="noConversion"/>
  </si>
  <si>
    <t>镶嵌后+380点力量，12-15级红宝石升级的材料</t>
    <phoneticPr fontId="2" type="noConversion"/>
  </si>
  <si>
    <t>12级红宝石</t>
  </si>
  <si>
    <t>950000_20101_19</t>
    <phoneticPr fontId="2" type="noConversion"/>
  </si>
  <si>
    <t>500,50</t>
    <phoneticPr fontId="2" type="noConversion"/>
  </si>
  <si>
    <t>Item/112.png</t>
    <phoneticPr fontId="2" type="noConversion"/>
  </si>
  <si>
    <t>镶嵌后+470点力量，13-15级红宝石升级的材料</t>
    <phoneticPr fontId="2" type="noConversion"/>
  </si>
  <si>
    <t>13级红宝石</t>
  </si>
  <si>
    <t>1150000_20101_23</t>
    <phoneticPr fontId="2" type="noConversion"/>
  </si>
  <si>
    <t>550,55</t>
    <phoneticPr fontId="2" type="noConversion"/>
  </si>
  <si>
    <t>Item/113.png</t>
    <phoneticPr fontId="2" type="noConversion"/>
  </si>
  <si>
    <t>镶嵌后+570点力量，14-15级红宝石升级的材料</t>
    <phoneticPr fontId="2" type="noConversion"/>
  </si>
  <si>
    <t>14级红宝石</t>
  </si>
  <si>
    <t>1350000_20101_27</t>
    <phoneticPr fontId="2" type="noConversion"/>
  </si>
  <si>
    <t>600,60</t>
    <phoneticPr fontId="2" type="noConversion"/>
  </si>
  <si>
    <t>Item/114.png</t>
    <phoneticPr fontId="2" type="noConversion"/>
  </si>
  <si>
    <t>镶嵌后+680点力量，15级红宝石升级的材料</t>
    <phoneticPr fontId="2" type="noConversion"/>
  </si>
  <si>
    <t>15级红宝石</t>
  </si>
  <si>
    <t>Item/115.png</t>
    <phoneticPr fontId="2" type="noConversion"/>
  </si>
  <si>
    <t>镶嵌后+800点力量，顶级宝石</t>
    <phoneticPr fontId="2" type="noConversion"/>
  </si>
  <si>
    <t>1级绿宝石</t>
  </si>
  <si>
    <t>Item/201.png</t>
    <phoneticPr fontId="2" type="noConversion"/>
  </si>
  <si>
    <t>镶嵌后+10点敏捷，2-15级绿宝石升级的材料</t>
    <phoneticPr fontId="2" type="noConversion"/>
  </si>
  <si>
    <t>2级绿宝石</t>
  </si>
  <si>
    <t>Item/202.png</t>
    <phoneticPr fontId="2" type="noConversion"/>
  </si>
  <si>
    <t>镶嵌后+15点敏捷，3-15级绿宝石升级的材料</t>
    <phoneticPr fontId="2" type="noConversion"/>
  </si>
  <si>
    <t>3级绿宝石</t>
  </si>
  <si>
    <t>50000_20201_1</t>
  </si>
  <si>
    <t>Item/203.png</t>
    <phoneticPr fontId="2" type="noConversion"/>
  </si>
  <si>
    <t>镶嵌后+20点敏捷，4-15级绿宝石升级的材料</t>
    <phoneticPr fontId="2" type="noConversion"/>
  </si>
  <si>
    <t>4级绿宝石</t>
  </si>
  <si>
    <t>100000_20201_2</t>
  </si>
  <si>
    <t>Item/204.png</t>
    <phoneticPr fontId="2" type="noConversion"/>
  </si>
  <si>
    <t>镶嵌后+30点敏捷，5-15级绿宝石升级的材料</t>
    <phoneticPr fontId="2" type="noConversion"/>
  </si>
  <si>
    <t>5级绿宝石</t>
  </si>
  <si>
    <t>150000_20201_3</t>
  </si>
  <si>
    <t>Item/205.png</t>
    <phoneticPr fontId="2" type="noConversion"/>
  </si>
  <si>
    <t>镶嵌后+50点敏捷，6-15级绿宝石升级的材料</t>
    <phoneticPr fontId="2" type="noConversion"/>
  </si>
  <si>
    <t>6级绿宝石</t>
  </si>
  <si>
    <t>200000_20201_4</t>
  </si>
  <si>
    <t>Item/206.png</t>
    <phoneticPr fontId="2" type="noConversion"/>
  </si>
  <si>
    <t>镶嵌后+80点敏捷，7-15级绿宝石升级的材料</t>
    <phoneticPr fontId="2" type="noConversion"/>
  </si>
  <si>
    <t>7级绿宝石</t>
  </si>
  <si>
    <t>300000_20201_6</t>
  </si>
  <si>
    <t>Item/207.png</t>
    <phoneticPr fontId="2" type="noConversion"/>
  </si>
  <si>
    <t>镶嵌后+120点敏捷，8-15级绿宝石升级的材料</t>
    <phoneticPr fontId="2" type="noConversion"/>
  </si>
  <si>
    <t>8级绿宝石</t>
  </si>
  <si>
    <t>400000_20201_8</t>
  </si>
  <si>
    <t>Item/208.png</t>
    <phoneticPr fontId="2" type="noConversion"/>
  </si>
  <si>
    <t>镶嵌后+170点敏捷，9-15级绿宝石升级的材料</t>
    <phoneticPr fontId="2" type="noConversion"/>
  </si>
  <si>
    <t>9级绿宝石</t>
  </si>
  <si>
    <t>500000_20201_10</t>
  </si>
  <si>
    <t>Item/209.png</t>
    <phoneticPr fontId="2" type="noConversion"/>
  </si>
  <si>
    <t>镶嵌后+230点敏捷，10-15级绿宝石升级的材料</t>
    <phoneticPr fontId="2" type="noConversion"/>
  </si>
  <si>
    <t>10级绿宝石</t>
  </si>
  <si>
    <t>650000_20201_13</t>
  </si>
  <si>
    <t>Item/210.png</t>
    <phoneticPr fontId="2" type="noConversion"/>
  </si>
  <si>
    <t>镶嵌后+300点敏捷，11-15级绿宝石升级的材料</t>
    <phoneticPr fontId="2" type="noConversion"/>
  </si>
  <si>
    <t>11级绿宝石</t>
  </si>
  <si>
    <t>800000_20201_16</t>
  </si>
  <si>
    <t>Item/211.png</t>
    <phoneticPr fontId="2" type="noConversion"/>
  </si>
  <si>
    <t>镶嵌后+380点敏捷，12-15级绿宝石升级的材料</t>
    <phoneticPr fontId="2" type="noConversion"/>
  </si>
  <si>
    <t>12级绿宝石</t>
  </si>
  <si>
    <t>950000_20201_19</t>
  </si>
  <si>
    <t>Item/212.png</t>
    <phoneticPr fontId="2" type="noConversion"/>
  </si>
  <si>
    <t>镶嵌后+470点敏捷，13-15级绿宝石升级的材料</t>
    <phoneticPr fontId="2" type="noConversion"/>
  </si>
  <si>
    <t>13级绿宝石</t>
  </si>
  <si>
    <t>1150000_20201_23</t>
  </si>
  <si>
    <t>Item/213.png</t>
    <phoneticPr fontId="2" type="noConversion"/>
  </si>
  <si>
    <t>镶嵌后+570点敏捷，14-15级绿宝石升级的材料</t>
    <phoneticPr fontId="2" type="noConversion"/>
  </si>
  <si>
    <t>14级绿宝石</t>
  </si>
  <si>
    <t>1350000_20201_27</t>
  </si>
  <si>
    <t>Item/214.png</t>
    <phoneticPr fontId="2" type="noConversion"/>
  </si>
  <si>
    <t>镶嵌后+680点敏捷，15级绿宝石升级的材料</t>
    <phoneticPr fontId="2" type="noConversion"/>
  </si>
  <si>
    <t>15级绿宝石</t>
  </si>
  <si>
    <t>Item/215.png</t>
    <phoneticPr fontId="2" type="noConversion"/>
  </si>
  <si>
    <t>镶嵌后+800点敏捷，顶级宝石</t>
    <phoneticPr fontId="2" type="noConversion"/>
  </si>
  <si>
    <t>1级蓝宝石</t>
    <phoneticPr fontId="2" type="noConversion"/>
  </si>
  <si>
    <t>30000_0_0</t>
    <phoneticPr fontId="2" type="noConversion"/>
  </si>
  <si>
    <t>Item/301.png</t>
    <phoneticPr fontId="2" type="noConversion"/>
  </si>
  <si>
    <t>镶嵌后+10点智力，2-15级蓝宝石升级的材料</t>
    <phoneticPr fontId="2" type="noConversion"/>
  </si>
  <si>
    <t>2级蓝宝石</t>
  </si>
  <si>
    <t>40000_0_0</t>
    <phoneticPr fontId="2" type="noConversion"/>
  </si>
  <si>
    <t>Item/302.png</t>
    <phoneticPr fontId="2" type="noConversion"/>
  </si>
  <si>
    <t>镶嵌后+15点智力，3-15级蓝宝石升级的材料</t>
    <phoneticPr fontId="2" type="noConversion"/>
  </si>
  <si>
    <t>3级蓝宝石</t>
  </si>
  <si>
    <t>50000_20301_1</t>
  </si>
  <si>
    <t>Item/303.png</t>
    <phoneticPr fontId="2" type="noConversion"/>
  </si>
  <si>
    <t>镶嵌后+20点智力，4-15级蓝宝石升级的材料</t>
    <phoneticPr fontId="2" type="noConversion"/>
  </si>
  <si>
    <t>4级蓝宝石</t>
  </si>
  <si>
    <t>100000_20301_2</t>
  </si>
  <si>
    <t>Item/304.png</t>
    <phoneticPr fontId="2" type="noConversion"/>
  </si>
  <si>
    <t>镶嵌后+30点智力，5-15级蓝宝石升级的材料</t>
    <phoneticPr fontId="2" type="noConversion"/>
  </si>
  <si>
    <t>5级蓝宝石</t>
  </si>
  <si>
    <t>150000_20301_3</t>
  </si>
  <si>
    <t>Item/305.png</t>
    <phoneticPr fontId="2" type="noConversion"/>
  </si>
  <si>
    <t>镶嵌后+50点智力，6-15级蓝宝石升级的材料</t>
    <phoneticPr fontId="2" type="noConversion"/>
  </si>
  <si>
    <t>6级蓝宝石</t>
  </si>
  <si>
    <t>200000_20301_4</t>
  </si>
  <si>
    <t>Item/306.png</t>
    <phoneticPr fontId="2" type="noConversion"/>
  </si>
  <si>
    <t>镶嵌后+80点智力，7-15级蓝宝石升级的材料</t>
    <phoneticPr fontId="2" type="noConversion"/>
  </si>
  <si>
    <t>7级蓝宝石</t>
  </si>
  <si>
    <t>300000_20301_6</t>
  </si>
  <si>
    <t>Item/307.png</t>
    <phoneticPr fontId="2" type="noConversion"/>
  </si>
  <si>
    <t>镶嵌后+120点智力，8-15级蓝宝石升级的材料</t>
    <phoneticPr fontId="2" type="noConversion"/>
  </si>
  <si>
    <t>8级蓝宝石</t>
  </si>
  <si>
    <t>400000_20301_8</t>
  </si>
  <si>
    <t>Item/308.png</t>
    <phoneticPr fontId="2" type="noConversion"/>
  </si>
  <si>
    <t>镶嵌后+170点智力，9-15级蓝宝石升级的材料</t>
    <phoneticPr fontId="2" type="noConversion"/>
  </si>
  <si>
    <t>9级蓝宝石</t>
  </si>
  <si>
    <t>500000_20301_10</t>
  </si>
  <si>
    <t>Item/309.png</t>
    <phoneticPr fontId="2" type="noConversion"/>
  </si>
  <si>
    <t>镶嵌后+230点智力，10-15级蓝宝石升级的材料</t>
    <phoneticPr fontId="2" type="noConversion"/>
  </si>
  <si>
    <t>10级蓝宝石</t>
  </si>
  <si>
    <t>650000_20301_13</t>
  </si>
  <si>
    <t>Item/310.png</t>
    <phoneticPr fontId="2" type="noConversion"/>
  </si>
  <si>
    <t>镶嵌后+300点智力，11-15级蓝宝石升级的材料</t>
    <phoneticPr fontId="2" type="noConversion"/>
  </si>
  <si>
    <t>11级蓝宝石</t>
  </si>
  <si>
    <t>800000_20301_16</t>
  </si>
  <si>
    <t>Item/311.png</t>
    <phoneticPr fontId="2" type="noConversion"/>
  </si>
  <si>
    <t>镶嵌后+380点智力，12-15级蓝宝石升级的材料</t>
    <phoneticPr fontId="2" type="noConversion"/>
  </si>
  <si>
    <t>12级蓝宝石</t>
  </si>
  <si>
    <t>950000_20301_19</t>
  </si>
  <si>
    <t>Item/312.png</t>
    <phoneticPr fontId="2" type="noConversion"/>
  </si>
  <si>
    <t>镶嵌后+470点智力，13-15级蓝宝石升级的材料</t>
    <phoneticPr fontId="2" type="noConversion"/>
  </si>
  <si>
    <t>13级蓝宝石</t>
  </si>
  <si>
    <t>1150000_20301_23</t>
  </si>
  <si>
    <t>Item/313.png</t>
    <phoneticPr fontId="2" type="noConversion"/>
  </si>
  <si>
    <t>镶嵌后+570点智力，14-15级蓝宝石升级的材料</t>
    <phoneticPr fontId="2" type="noConversion"/>
  </si>
  <si>
    <t>14级蓝宝石</t>
  </si>
  <si>
    <t>1350000_20301_27</t>
  </si>
  <si>
    <t>Item/314.png</t>
    <phoneticPr fontId="2" type="noConversion"/>
  </si>
  <si>
    <t>镶嵌后+680点智力，15级蓝宝石升级的材料</t>
    <phoneticPr fontId="2" type="noConversion"/>
  </si>
  <si>
    <t>15级蓝宝石</t>
  </si>
  <si>
    <t>Item/315.png</t>
    <phoneticPr fontId="2" type="noConversion"/>
  </si>
  <si>
    <t>镶嵌后+800点智力，顶级宝石</t>
    <phoneticPr fontId="2" type="noConversion"/>
  </si>
  <si>
    <t>1级黄宝石</t>
    <phoneticPr fontId="2" type="noConversion"/>
  </si>
  <si>
    <t>Item/401.png</t>
    <phoneticPr fontId="2" type="noConversion"/>
  </si>
  <si>
    <t>镶嵌后+10点耐力，2-15级黄宝石升级的材料</t>
    <phoneticPr fontId="2" type="noConversion"/>
  </si>
  <si>
    <t>2级黄宝石</t>
  </si>
  <si>
    <t>Item/402.png</t>
    <phoneticPr fontId="2" type="noConversion"/>
  </si>
  <si>
    <t>镶嵌后+15点耐力，3-15级黄宝石升级的材料</t>
    <phoneticPr fontId="2" type="noConversion"/>
  </si>
  <si>
    <t>3级黄宝石</t>
  </si>
  <si>
    <t>50000_20401_1</t>
  </si>
  <si>
    <t>Item/403.png</t>
    <phoneticPr fontId="2" type="noConversion"/>
  </si>
  <si>
    <t>镶嵌后+20点耐力，4-15级黄宝石升级的材料</t>
    <phoneticPr fontId="2" type="noConversion"/>
  </si>
  <si>
    <t>4级黄宝石</t>
  </si>
  <si>
    <t>100000_20401_2</t>
  </si>
  <si>
    <t>Item/404.png</t>
    <phoneticPr fontId="2" type="noConversion"/>
  </si>
  <si>
    <t>镶嵌后+30点耐力，5-15级黄宝石升级的材料</t>
    <phoneticPr fontId="2" type="noConversion"/>
  </si>
  <si>
    <t>5级黄宝石</t>
  </si>
  <si>
    <t>150000_20401_3</t>
  </si>
  <si>
    <t>Item/405.png</t>
    <phoneticPr fontId="2" type="noConversion"/>
  </si>
  <si>
    <t>镶嵌后+50点耐力，6-15级黄宝石升级的材料</t>
    <phoneticPr fontId="2" type="noConversion"/>
  </si>
  <si>
    <t>6级黄宝石</t>
  </si>
  <si>
    <t>200000_20401_4</t>
  </si>
  <si>
    <t>Item/406.png</t>
    <phoneticPr fontId="2" type="noConversion"/>
  </si>
  <si>
    <t>镶嵌后+80点耐力，7-15级黄宝石升级的材料</t>
    <phoneticPr fontId="2" type="noConversion"/>
  </si>
  <si>
    <t>7级黄宝石</t>
  </si>
  <si>
    <t>300000_20401_6</t>
  </si>
  <si>
    <t>Item/407.png</t>
    <phoneticPr fontId="2" type="noConversion"/>
  </si>
  <si>
    <t>镶嵌后+120点耐力，8-15级黄宝石升级的材料</t>
    <phoneticPr fontId="2" type="noConversion"/>
  </si>
  <si>
    <t>8级黄宝石</t>
  </si>
  <si>
    <t>400000_20401_8</t>
  </si>
  <si>
    <t>Item/408.png</t>
    <phoneticPr fontId="2" type="noConversion"/>
  </si>
  <si>
    <t>镶嵌后+170点耐力，9-15级黄宝石升级的材料</t>
    <phoneticPr fontId="2" type="noConversion"/>
  </si>
  <si>
    <t>9级黄宝石</t>
  </si>
  <si>
    <t>500000_20401_10</t>
  </si>
  <si>
    <t>Item/409.png</t>
    <phoneticPr fontId="2" type="noConversion"/>
  </si>
  <si>
    <t>镶嵌后+230点耐力，10-15级黄宝石升级的材料</t>
    <phoneticPr fontId="2" type="noConversion"/>
  </si>
  <si>
    <t>10级黄宝石</t>
  </si>
  <si>
    <t>650000_20401_13</t>
  </si>
  <si>
    <t>Item/410.png</t>
    <phoneticPr fontId="2" type="noConversion"/>
  </si>
  <si>
    <t>镶嵌后+300点耐力，11-15级黄宝石升级的材料</t>
    <phoneticPr fontId="2" type="noConversion"/>
  </si>
  <si>
    <t>11级黄宝石</t>
  </si>
  <si>
    <t>800000_20401_16</t>
  </si>
  <si>
    <t>Item/411.png</t>
    <phoneticPr fontId="2" type="noConversion"/>
  </si>
  <si>
    <t>镶嵌后+380点耐力，12-15级黄宝石升级的材料</t>
    <phoneticPr fontId="2" type="noConversion"/>
  </si>
  <si>
    <t>12级黄宝石</t>
  </si>
  <si>
    <t>950000_20401_19</t>
  </si>
  <si>
    <t>Item/412.png</t>
    <phoneticPr fontId="2" type="noConversion"/>
  </si>
  <si>
    <t>镶嵌后+470点耐力，13-15级黄宝石升级的材料</t>
    <phoneticPr fontId="2" type="noConversion"/>
  </si>
  <si>
    <t>13级黄宝石</t>
  </si>
  <si>
    <t>1150000_20401_23</t>
  </si>
  <si>
    <t>Item/413.png</t>
    <phoneticPr fontId="2" type="noConversion"/>
  </si>
  <si>
    <t>镶嵌后+570点耐力，14-15级黄宝石升级的材料</t>
    <phoneticPr fontId="2" type="noConversion"/>
  </si>
  <si>
    <t>14级黄宝石</t>
  </si>
  <si>
    <t>1350000_20401_27</t>
  </si>
  <si>
    <t>Item/414.png</t>
    <phoneticPr fontId="2" type="noConversion"/>
  </si>
  <si>
    <t>镶嵌后+680点耐力，15级黄宝石升级的材料</t>
    <phoneticPr fontId="2" type="noConversion"/>
  </si>
  <si>
    <t>15级黄宝石</t>
  </si>
  <si>
    <t>Item/415.png</t>
    <phoneticPr fontId="2" type="noConversion"/>
  </si>
  <si>
    <t>镶嵌后+800点耐力，顶级宝石</t>
    <phoneticPr fontId="2" type="noConversion"/>
  </si>
  <si>
    <t>神器碎片</t>
  </si>
  <si>
    <t>Item/4.png</t>
    <phoneticPr fontId="2" type="noConversion"/>
  </si>
  <si>
    <t>十个神器碎片可以合成一个神器</t>
    <phoneticPr fontId="2" type="noConversion"/>
  </si>
  <si>
    <t>全</t>
    <phoneticPr fontId="2" type="noConversion"/>
  </si>
  <si>
    <t>Item/51.png</t>
    <phoneticPr fontId="2" type="noConversion"/>
  </si>
  <si>
    <t>集齐“全民挂机公测”，会有意想不到的惊喜哦！</t>
    <phoneticPr fontId="2" type="noConversion"/>
  </si>
  <si>
    <t>民</t>
    <phoneticPr fontId="2" type="noConversion"/>
  </si>
  <si>
    <t>Item/52.png</t>
    <phoneticPr fontId="2" type="noConversion"/>
  </si>
  <si>
    <t>挂</t>
    <phoneticPr fontId="2" type="noConversion"/>
  </si>
  <si>
    <t>Item/53.png</t>
    <phoneticPr fontId="2" type="noConversion"/>
  </si>
  <si>
    <t>机</t>
    <phoneticPr fontId="2" type="noConversion"/>
  </si>
  <si>
    <t>Item/54.png</t>
    <phoneticPr fontId="2" type="noConversion"/>
  </si>
  <si>
    <t>公</t>
    <phoneticPr fontId="2" type="noConversion"/>
  </si>
  <si>
    <t>Item/55.png</t>
    <phoneticPr fontId="2" type="noConversion"/>
  </si>
  <si>
    <t>测</t>
    <phoneticPr fontId="2" type="noConversion"/>
  </si>
  <si>
    <t>Item/56.png</t>
    <phoneticPr fontId="2" type="noConversion"/>
  </si>
  <si>
    <t>10000_1002_10000,30000_60001_1</t>
    <phoneticPr fontId="2" type="noConversion"/>
  </si>
  <si>
    <t>30000_50001_10,30000_41001_5</t>
    <phoneticPr fontId="2" type="noConversion"/>
  </si>
  <si>
    <t>10000_1002_1500000,30000_60001_240</t>
    <phoneticPr fontId="2" type="noConversion"/>
  </si>
  <si>
    <t>出门装礼包</t>
    <phoneticPr fontId="2" type="noConversion"/>
  </si>
  <si>
    <t>40000_10050040_1,40000_10050041_1,40000_10050070_1,40000_10100090_1,40000_10100010_1,40000_10100020_1,40000_10100080_1,40000_10100030_1</t>
    <phoneticPr fontId="2" type="noConversion"/>
  </si>
  <si>
    <t>Item/gift1.png</t>
    <phoneticPr fontId="2" type="noConversion"/>
  </si>
  <si>
    <t>金光闪闪礼包</t>
    <phoneticPr fontId="2" type="noConversion"/>
  </si>
  <si>
    <t>40000_50600070_1,40000_50650010_1,40000_50650020_1,40000_50650080_1,40000_50650090_1,40000_50650100_1,40000_50651050_1</t>
  </si>
  <si>
    <t>超级锤子礼包</t>
    <phoneticPr fontId="2" type="noConversion"/>
  </si>
  <si>
    <t>30001_30001_100,30001_30002_100,30001_30003_100</t>
    <phoneticPr fontId="2" type="noConversion"/>
  </si>
  <si>
    <t>不开箱子不舒服斯基礼包</t>
    <phoneticPr fontId="2" type="noConversion"/>
  </si>
  <si>
    <t>30001_50001_100,30001_50002_100,30001_50003_100</t>
    <phoneticPr fontId="2" type="noConversion"/>
  </si>
  <si>
    <t>中华小当家礼包</t>
    <phoneticPr fontId="2" type="noConversion"/>
  </si>
  <si>
    <t>30001_10001_100</t>
    <phoneticPr fontId="2" type="noConversion"/>
  </si>
  <si>
    <t>潘多拉礼包</t>
    <phoneticPr fontId="2" type="noConversion"/>
  </si>
  <si>
    <t>30001_70007_1,30001_70006_1,30001_70005_1,30001_70004_1,30001_70003_1,30001_70002_1</t>
    <phoneticPr fontId="2" type="noConversion"/>
  </si>
  <si>
    <t>BOSS挑战券</t>
    <phoneticPr fontId="2" type="noConversion"/>
  </si>
  <si>
    <t>10000_1009_1</t>
    <phoneticPr fontId="2" type="noConversion"/>
  </si>
  <si>
    <t>Item/11.png</t>
    <phoneticPr fontId="2" type="noConversion"/>
  </si>
  <si>
    <t>使用后可增加一次副本BOSS挑战次数</t>
    <phoneticPr fontId="2" type="noConversion"/>
  </si>
  <si>
    <t>30000_60001_50_3500,40000_50300012_1_70,40000_50300032_1_70,40000_50300092_1_70,3000008_0_1_10000,30000_10001_1_3000,30000_90001_2_1200,30000_41002_1_2000,30000_50001_10_1700,30000_50002_5_1200,30000_50003_2_600</t>
    <phoneticPr fontId="2" type="noConversion"/>
  </si>
  <si>
    <t>南瓜爪牙</t>
    <phoneticPr fontId="2" type="noConversion"/>
  </si>
  <si>
    <t>南瓜弓手</t>
    <phoneticPr fontId="2" type="noConversion"/>
  </si>
  <si>
    <t>南瓜卫士</t>
    <phoneticPr fontId="2" type="noConversion"/>
  </si>
  <si>
    <t>南瓜将军</t>
    <phoneticPr fontId="2" type="noConversion"/>
  </si>
  <si>
    <t>南瓜幽灵</t>
    <phoneticPr fontId="2" type="noConversion"/>
  </si>
  <si>
    <t>Item/71.png</t>
    <phoneticPr fontId="2" type="noConversion"/>
  </si>
  <si>
    <t>Item/72.png</t>
    <phoneticPr fontId="2" type="noConversion"/>
  </si>
  <si>
    <t>Item/73.png</t>
    <phoneticPr fontId="2" type="noConversion"/>
  </si>
  <si>
    <t>Item/74.png</t>
    <phoneticPr fontId="2" type="noConversion"/>
  </si>
  <si>
    <t>Item/76.png</t>
    <phoneticPr fontId="2" type="noConversion"/>
  </si>
  <si>
    <t>南瓜军团的弓手。</t>
    <phoneticPr fontId="2" type="noConversion"/>
  </si>
  <si>
    <t>南瓜军团的士兵。</t>
    <phoneticPr fontId="2" type="noConversion"/>
  </si>
  <si>
    <t>南瓜军团的守卫者。</t>
    <phoneticPr fontId="2" type="noConversion"/>
  </si>
  <si>
    <t>南瓜军团的将军。</t>
    <phoneticPr fontId="2" type="noConversion"/>
  </si>
  <si>
    <t>幽灵般的南瓜，只会在万圣节前后出现。</t>
    <phoneticPr fontId="2" type="noConversion"/>
  </si>
  <si>
    <t>节日糖果</t>
    <phoneticPr fontId="2" type="noConversion"/>
  </si>
  <si>
    <t>缤纷糖果</t>
    <phoneticPr fontId="1" type="noConversion"/>
  </si>
  <si>
    <t>精致南瓜</t>
    <phoneticPr fontId="1" type="noConversion"/>
  </si>
  <si>
    <t>至尊南瓜</t>
    <phoneticPr fontId="1" type="noConversion"/>
  </si>
  <si>
    <t>Item/77.png</t>
    <phoneticPr fontId="2" type="noConversion"/>
  </si>
  <si>
    <t>Item/75.png</t>
    <phoneticPr fontId="2" type="noConversion"/>
  </si>
  <si>
    <t>Item/gift2.png</t>
    <phoneticPr fontId="2" type="noConversion"/>
  </si>
  <si>
    <t>30000_90001_1,30000_41002_1</t>
    <phoneticPr fontId="2" type="noConversion"/>
  </si>
  <si>
    <t>似乎燃烧着火焰的南瓜，不要轻易戴在头上。</t>
    <phoneticPr fontId="1" type="noConversion"/>
  </si>
  <si>
    <t>不给糖就捣蛋！</t>
    <phoneticPr fontId="1" type="noConversion"/>
  </si>
  <si>
    <t>一小盒万圣节糖果。</t>
    <phoneticPr fontId="2" type="noConversion"/>
  </si>
  <si>
    <t>超级大号的南瓜，里面有什么呢？</t>
    <phoneticPr fontId="1" type="noConversion"/>
  </si>
  <si>
    <t>30000_60001_6_5000,30000_90001_1_700,30000_30001_1_500,30000_30002_1_300,30000_30003_1_100,3000007_0_1_10000,30000_60001_10_2000</t>
    <phoneticPr fontId="2" type="noConversion"/>
  </si>
</sst>
</file>

<file path=xl/styles.xml><?xml version="1.0" encoding="utf-8"?>
<styleSheet xmlns="http://schemas.openxmlformats.org/spreadsheetml/2006/main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2"/>
      <charset val="134"/>
    </font>
    <font>
      <sz val="11"/>
      <color rgb="FFFF0000"/>
      <name val="宋体"/>
      <family val="2"/>
      <charset val="134"/>
    </font>
    <font>
      <sz val="11"/>
      <color rgb="FFFF0000"/>
      <name val="宋体"/>
      <family val="3"/>
      <charset val="134"/>
    </font>
    <font>
      <sz val="11"/>
      <color indexed="10"/>
      <name val="宋体"/>
      <family val="2"/>
      <charset val="134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X103"/>
  <sheetViews>
    <sheetView tabSelected="1" workbookViewId="0">
      <selection activeCell="H17" sqref="H17"/>
    </sheetView>
  </sheetViews>
  <sheetFormatPr defaultRowHeight="13.5"/>
  <sheetData>
    <row r="1" spans="1:24">
      <c r="A1" t="s">
        <v>0</v>
      </c>
      <c r="K1" s="1"/>
      <c r="L1" s="1"/>
    </row>
    <row r="2" spans="1:24">
      <c r="A2" s="2"/>
      <c r="B2" s="2" t="s">
        <v>1</v>
      </c>
      <c r="C2" s="2"/>
      <c r="D2" s="2"/>
      <c r="E2" s="2"/>
      <c r="F2" s="2"/>
      <c r="G2" s="2"/>
      <c r="H2" s="2"/>
      <c r="I2" s="2"/>
      <c r="J2" s="2"/>
      <c r="K2" s="3"/>
      <c r="L2" s="3"/>
      <c r="M2" s="2"/>
      <c r="N2" s="2"/>
      <c r="O2" s="2"/>
      <c r="P2" s="2"/>
      <c r="Q2" s="2"/>
      <c r="R2" s="2" t="s">
        <v>1</v>
      </c>
      <c r="S2" s="2" t="s">
        <v>1</v>
      </c>
      <c r="T2" s="2"/>
      <c r="U2" s="2" t="s">
        <v>1</v>
      </c>
      <c r="V2" s="2"/>
      <c r="W2" s="2"/>
      <c r="X2" s="2"/>
    </row>
    <row r="3" spans="1:24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s="4" t="s">
        <v>11</v>
      </c>
      <c r="K3" s="5" t="s">
        <v>12</v>
      </c>
      <c r="L3" s="5" t="s">
        <v>13</v>
      </c>
      <c r="M3" s="4" t="s">
        <v>14</v>
      </c>
      <c r="N3" s="4" t="s">
        <v>15</v>
      </c>
      <c r="O3" s="4" t="s">
        <v>16</v>
      </c>
      <c r="P3" s="4" t="s">
        <v>17</v>
      </c>
      <c r="Q3" s="4" t="s">
        <v>18</v>
      </c>
      <c r="R3" t="s">
        <v>19</v>
      </c>
      <c r="S3" t="s">
        <v>20</v>
      </c>
      <c r="T3" s="4" t="s">
        <v>21</v>
      </c>
      <c r="U3" s="4" t="s">
        <v>22</v>
      </c>
    </row>
    <row r="4" spans="1:24">
      <c r="A4" t="s">
        <v>2</v>
      </c>
      <c r="C4" t="s">
        <v>23</v>
      </c>
      <c r="D4" t="s">
        <v>24</v>
      </c>
      <c r="E4" t="s">
        <v>25</v>
      </c>
      <c r="F4" t="s">
        <v>26</v>
      </c>
      <c r="G4" t="s">
        <v>27</v>
      </c>
      <c r="H4" t="s">
        <v>28</v>
      </c>
      <c r="I4" t="s">
        <v>29</v>
      </c>
      <c r="J4" s="4" t="s">
        <v>30</v>
      </c>
      <c r="K4" s="5" t="s">
        <v>31</v>
      </c>
      <c r="L4" s="5" t="s">
        <v>32</v>
      </c>
      <c r="M4" s="4" t="s">
        <v>33</v>
      </c>
      <c r="N4" s="4" t="s">
        <v>34</v>
      </c>
      <c r="O4" s="4" t="s">
        <v>35</v>
      </c>
      <c r="P4" s="4" t="s">
        <v>36</v>
      </c>
      <c r="Q4" s="4" t="s">
        <v>37</v>
      </c>
      <c r="R4" s="4"/>
      <c r="S4" s="4"/>
      <c r="T4" s="4" t="s">
        <v>38</v>
      </c>
      <c r="V4" t="s">
        <v>39</v>
      </c>
      <c r="W4" t="s">
        <v>40</v>
      </c>
      <c r="X4" t="s">
        <v>41</v>
      </c>
    </row>
    <row r="5" spans="1:24">
      <c r="J5" s="4"/>
      <c r="K5" s="5"/>
      <c r="L5" s="5"/>
      <c r="M5" s="4"/>
      <c r="N5" s="4"/>
      <c r="O5" s="4"/>
      <c r="P5" s="4"/>
      <c r="Q5" s="4"/>
    </row>
    <row r="6" spans="1:24">
      <c r="A6">
        <v>60001</v>
      </c>
      <c r="B6" t="s">
        <v>42</v>
      </c>
      <c r="C6">
        <v>6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 s="1">
        <v>0</v>
      </c>
      <c r="L6" s="1"/>
      <c r="M6">
        <v>0</v>
      </c>
      <c r="N6" s="4">
        <v>0</v>
      </c>
      <c r="O6" s="4">
        <v>0</v>
      </c>
      <c r="P6" s="4">
        <v>0</v>
      </c>
      <c r="Q6" s="4">
        <v>0</v>
      </c>
      <c r="R6" t="s">
        <v>43</v>
      </c>
      <c r="S6" t="s">
        <v>44</v>
      </c>
      <c r="T6" s="4">
        <v>1</v>
      </c>
      <c r="U6" s="4">
        <v>0</v>
      </c>
      <c r="V6" s="4">
        <v>0</v>
      </c>
      <c r="W6" s="4">
        <v>0</v>
      </c>
      <c r="X6" s="4">
        <v>0</v>
      </c>
    </row>
    <row r="7" spans="1:24">
      <c r="A7">
        <v>41001</v>
      </c>
      <c r="B7" t="s">
        <v>45</v>
      </c>
      <c r="C7">
        <v>8</v>
      </c>
      <c r="D7">
        <v>0</v>
      </c>
      <c r="E7">
        <v>0</v>
      </c>
      <c r="F7">
        <v>0</v>
      </c>
      <c r="G7">
        <v>0</v>
      </c>
      <c r="H7" t="s">
        <v>46</v>
      </c>
      <c r="I7">
        <v>0</v>
      </c>
      <c r="J7">
        <v>0</v>
      </c>
      <c r="K7" s="1">
        <v>0</v>
      </c>
      <c r="L7" s="1"/>
      <c r="M7">
        <v>0</v>
      </c>
      <c r="N7" s="4">
        <v>0</v>
      </c>
      <c r="O7" s="4">
        <v>0</v>
      </c>
      <c r="P7" s="4">
        <v>0</v>
      </c>
      <c r="Q7" s="4">
        <v>0</v>
      </c>
      <c r="R7" t="s">
        <v>47</v>
      </c>
      <c r="S7" t="s">
        <v>48</v>
      </c>
      <c r="T7" s="4">
        <v>1</v>
      </c>
      <c r="U7" s="4">
        <v>0</v>
      </c>
      <c r="V7" s="4">
        <v>0</v>
      </c>
      <c r="W7" s="4">
        <v>0</v>
      </c>
      <c r="X7" s="4">
        <v>0</v>
      </c>
    </row>
    <row r="8" spans="1:24">
      <c r="A8">
        <v>41002</v>
      </c>
      <c r="B8" t="s">
        <v>49</v>
      </c>
      <c r="C8">
        <v>8</v>
      </c>
      <c r="D8">
        <v>0</v>
      </c>
      <c r="E8">
        <v>0</v>
      </c>
      <c r="F8">
        <v>0</v>
      </c>
      <c r="G8">
        <v>0</v>
      </c>
      <c r="H8" t="s">
        <v>50</v>
      </c>
      <c r="I8">
        <v>0</v>
      </c>
      <c r="J8">
        <v>0</v>
      </c>
      <c r="K8" s="1">
        <v>0</v>
      </c>
      <c r="L8" s="1"/>
      <c r="M8">
        <v>0</v>
      </c>
      <c r="N8" s="4">
        <v>0</v>
      </c>
      <c r="O8" s="4">
        <v>0</v>
      </c>
      <c r="P8" s="4">
        <v>0</v>
      </c>
      <c r="Q8" s="4">
        <v>0</v>
      </c>
      <c r="R8" t="s">
        <v>51</v>
      </c>
      <c r="S8" t="s">
        <v>52</v>
      </c>
      <c r="T8" s="4">
        <v>1</v>
      </c>
      <c r="U8" s="4">
        <v>0</v>
      </c>
      <c r="V8" s="4">
        <v>0</v>
      </c>
      <c r="W8" s="4">
        <v>0</v>
      </c>
      <c r="X8" s="4">
        <v>0</v>
      </c>
    </row>
    <row r="9" spans="1:24">
      <c r="A9">
        <v>70001</v>
      </c>
      <c r="B9" t="s">
        <v>53</v>
      </c>
      <c r="C9">
        <v>7</v>
      </c>
      <c r="D9">
        <v>0</v>
      </c>
      <c r="E9">
        <v>0</v>
      </c>
      <c r="F9">
        <v>0</v>
      </c>
      <c r="G9">
        <v>0</v>
      </c>
      <c r="H9" t="s">
        <v>54</v>
      </c>
      <c r="I9">
        <v>0</v>
      </c>
      <c r="J9">
        <v>0</v>
      </c>
      <c r="K9" s="1">
        <v>0</v>
      </c>
      <c r="L9" s="1"/>
      <c r="M9">
        <v>0</v>
      </c>
      <c r="N9" s="4">
        <v>0</v>
      </c>
      <c r="O9" s="4">
        <v>0</v>
      </c>
      <c r="P9" s="4">
        <v>0</v>
      </c>
      <c r="Q9" s="4">
        <v>0</v>
      </c>
      <c r="R9" t="s">
        <v>55</v>
      </c>
      <c r="S9" t="s">
        <v>56</v>
      </c>
      <c r="T9" s="4">
        <v>1</v>
      </c>
      <c r="U9" s="4">
        <v>0</v>
      </c>
      <c r="V9" s="4">
        <v>0</v>
      </c>
      <c r="W9" s="4">
        <v>0</v>
      </c>
      <c r="X9" s="4">
        <v>0</v>
      </c>
    </row>
    <row r="10" spans="1:24">
      <c r="A10">
        <v>50001</v>
      </c>
      <c r="B10" t="s">
        <v>57</v>
      </c>
      <c r="C10">
        <v>5</v>
      </c>
      <c r="D10">
        <v>0</v>
      </c>
      <c r="E10">
        <v>0</v>
      </c>
      <c r="F10">
        <v>0</v>
      </c>
      <c r="G10">
        <v>40001</v>
      </c>
      <c r="H10">
        <v>0</v>
      </c>
      <c r="I10">
        <v>0</v>
      </c>
      <c r="J10">
        <v>0</v>
      </c>
      <c r="K10" s="1">
        <v>0</v>
      </c>
      <c r="L10" s="1"/>
      <c r="M10">
        <v>0</v>
      </c>
      <c r="N10" s="4">
        <v>0</v>
      </c>
      <c r="O10" s="4">
        <v>0</v>
      </c>
      <c r="P10" s="4">
        <v>0</v>
      </c>
      <c r="Q10" s="4">
        <v>0</v>
      </c>
      <c r="R10" t="s">
        <v>58</v>
      </c>
      <c r="S10" t="s">
        <v>59</v>
      </c>
      <c r="T10" s="4">
        <v>2</v>
      </c>
      <c r="U10" s="4">
        <v>0</v>
      </c>
      <c r="V10" s="4">
        <v>0</v>
      </c>
      <c r="W10" s="4">
        <v>0</v>
      </c>
      <c r="X10" s="4">
        <v>0</v>
      </c>
    </row>
    <row r="11" spans="1:24">
      <c r="A11">
        <v>50002</v>
      </c>
      <c r="B11" t="s">
        <v>60</v>
      </c>
      <c r="C11">
        <v>5</v>
      </c>
      <c r="D11">
        <v>0</v>
      </c>
      <c r="E11">
        <v>0</v>
      </c>
      <c r="F11">
        <v>0</v>
      </c>
      <c r="G11">
        <v>40002</v>
      </c>
      <c r="H11">
        <v>0</v>
      </c>
      <c r="I11">
        <v>0</v>
      </c>
      <c r="J11">
        <v>0</v>
      </c>
      <c r="K11" s="1">
        <v>0</v>
      </c>
      <c r="L11" s="1"/>
      <c r="M11">
        <v>0</v>
      </c>
      <c r="N11" s="4">
        <v>0</v>
      </c>
      <c r="O11" s="4">
        <v>0</v>
      </c>
      <c r="P11" s="4">
        <v>0</v>
      </c>
      <c r="Q11" s="4">
        <v>0</v>
      </c>
      <c r="R11" t="s">
        <v>61</v>
      </c>
      <c r="S11" t="s">
        <v>62</v>
      </c>
      <c r="T11" s="4">
        <v>3</v>
      </c>
      <c r="U11" s="4">
        <v>0</v>
      </c>
      <c r="V11" s="4">
        <v>0</v>
      </c>
      <c r="W11" s="4">
        <v>0</v>
      </c>
      <c r="X11" s="4">
        <v>0</v>
      </c>
    </row>
    <row r="12" spans="1:24">
      <c r="A12">
        <v>50003</v>
      </c>
      <c r="B12" t="s">
        <v>63</v>
      </c>
      <c r="C12">
        <v>5</v>
      </c>
      <c r="D12">
        <v>0</v>
      </c>
      <c r="E12">
        <v>0</v>
      </c>
      <c r="F12">
        <v>0</v>
      </c>
      <c r="G12">
        <v>40003</v>
      </c>
      <c r="H12">
        <v>0</v>
      </c>
      <c r="I12">
        <v>0</v>
      </c>
      <c r="J12">
        <v>0</v>
      </c>
      <c r="K12" s="1">
        <v>0</v>
      </c>
      <c r="L12" s="1"/>
      <c r="M12">
        <v>0</v>
      </c>
      <c r="N12" s="4">
        <v>0</v>
      </c>
      <c r="O12" s="4">
        <v>0</v>
      </c>
      <c r="P12" s="4">
        <v>0</v>
      </c>
      <c r="Q12" s="4">
        <v>0</v>
      </c>
      <c r="R12" t="s">
        <v>64</v>
      </c>
      <c r="S12" t="s">
        <v>65</v>
      </c>
      <c r="T12" s="4">
        <v>4</v>
      </c>
      <c r="U12" s="4">
        <v>0</v>
      </c>
      <c r="V12" s="4">
        <v>0</v>
      </c>
      <c r="W12" s="4">
        <v>0</v>
      </c>
      <c r="X12" s="4">
        <v>0</v>
      </c>
    </row>
    <row r="13" spans="1:24">
      <c r="A13">
        <v>40001</v>
      </c>
      <c r="B13" t="s">
        <v>66</v>
      </c>
      <c r="C13">
        <v>4</v>
      </c>
      <c r="D13">
        <v>0</v>
      </c>
      <c r="E13">
        <v>0</v>
      </c>
      <c r="F13">
        <v>0</v>
      </c>
      <c r="G13">
        <v>50001</v>
      </c>
      <c r="H13" t="s">
        <v>67</v>
      </c>
      <c r="I13">
        <v>0</v>
      </c>
      <c r="J13">
        <v>0</v>
      </c>
      <c r="K13" s="1">
        <v>0</v>
      </c>
      <c r="L13" s="1"/>
      <c r="M13">
        <v>0</v>
      </c>
      <c r="N13" s="4">
        <v>0</v>
      </c>
      <c r="O13" s="4">
        <v>0</v>
      </c>
      <c r="P13" s="4">
        <v>0</v>
      </c>
      <c r="Q13" s="4">
        <v>0</v>
      </c>
      <c r="R13" t="s">
        <v>68</v>
      </c>
      <c r="S13" t="s">
        <v>66</v>
      </c>
      <c r="T13" s="4">
        <v>1</v>
      </c>
      <c r="U13" s="4">
        <v>0</v>
      </c>
      <c r="V13" s="4">
        <v>0</v>
      </c>
      <c r="W13" s="4">
        <v>0</v>
      </c>
      <c r="X13" s="4">
        <v>0</v>
      </c>
    </row>
    <row r="14" spans="1:24">
      <c r="A14">
        <v>40002</v>
      </c>
      <c r="B14" t="s">
        <v>69</v>
      </c>
      <c r="C14">
        <v>4</v>
      </c>
      <c r="D14">
        <v>0</v>
      </c>
      <c r="E14">
        <v>0</v>
      </c>
      <c r="F14">
        <v>0</v>
      </c>
      <c r="G14">
        <v>50002</v>
      </c>
      <c r="H14" t="s">
        <v>70</v>
      </c>
      <c r="I14">
        <v>0</v>
      </c>
      <c r="J14">
        <v>0</v>
      </c>
      <c r="K14" s="1">
        <v>0</v>
      </c>
      <c r="L14" s="1"/>
      <c r="M14">
        <v>0</v>
      </c>
      <c r="N14" s="4">
        <v>0</v>
      </c>
      <c r="O14" s="4">
        <v>0</v>
      </c>
      <c r="P14" s="4">
        <v>0</v>
      </c>
      <c r="Q14" s="4">
        <v>0</v>
      </c>
      <c r="R14" t="s">
        <v>71</v>
      </c>
      <c r="S14" t="s">
        <v>69</v>
      </c>
      <c r="T14" s="4">
        <v>1</v>
      </c>
      <c r="U14" s="4">
        <v>0</v>
      </c>
      <c r="V14" s="4">
        <v>0</v>
      </c>
      <c r="W14" s="4">
        <v>0</v>
      </c>
      <c r="X14" s="4">
        <v>0</v>
      </c>
    </row>
    <row r="15" spans="1:24">
      <c r="A15">
        <v>40003</v>
      </c>
      <c r="B15" t="s">
        <v>72</v>
      </c>
      <c r="C15">
        <v>4</v>
      </c>
      <c r="D15">
        <v>0</v>
      </c>
      <c r="E15">
        <v>0</v>
      </c>
      <c r="F15">
        <v>0</v>
      </c>
      <c r="G15">
        <v>50003</v>
      </c>
      <c r="H15" t="s">
        <v>73</v>
      </c>
      <c r="I15">
        <v>0</v>
      </c>
      <c r="J15">
        <v>0</v>
      </c>
      <c r="K15" s="1">
        <v>0</v>
      </c>
      <c r="L15" s="1"/>
      <c r="M15">
        <v>0</v>
      </c>
      <c r="N15" s="4">
        <v>0</v>
      </c>
      <c r="O15" s="4">
        <v>0</v>
      </c>
      <c r="P15" s="4">
        <v>0</v>
      </c>
      <c r="Q15" s="4">
        <v>0</v>
      </c>
      <c r="R15" t="s">
        <v>74</v>
      </c>
      <c r="S15" t="s">
        <v>72</v>
      </c>
      <c r="T15" s="4">
        <v>1</v>
      </c>
      <c r="U15" s="4">
        <v>0</v>
      </c>
      <c r="V15" s="4">
        <v>0</v>
      </c>
      <c r="W15" s="4">
        <v>0</v>
      </c>
      <c r="X15" s="4">
        <v>0</v>
      </c>
    </row>
    <row r="16" spans="1:24">
      <c r="A16">
        <v>40004</v>
      </c>
      <c r="B16" t="s">
        <v>75</v>
      </c>
      <c r="C16">
        <v>12</v>
      </c>
      <c r="D16">
        <v>0</v>
      </c>
      <c r="E16">
        <v>0</v>
      </c>
      <c r="F16">
        <v>0</v>
      </c>
      <c r="G16">
        <v>0</v>
      </c>
      <c r="H16" t="s">
        <v>400</v>
      </c>
      <c r="I16">
        <v>0</v>
      </c>
      <c r="J16">
        <v>0</v>
      </c>
      <c r="K16" s="1">
        <v>0</v>
      </c>
      <c r="L16" s="1"/>
      <c r="M16">
        <v>0</v>
      </c>
      <c r="N16" s="4">
        <v>0</v>
      </c>
      <c r="O16" s="4">
        <v>0</v>
      </c>
      <c r="P16" s="4">
        <v>0</v>
      </c>
      <c r="Q16" s="4">
        <v>0</v>
      </c>
      <c r="R16" t="s">
        <v>68</v>
      </c>
      <c r="S16" t="s">
        <v>76</v>
      </c>
      <c r="T16" s="4">
        <v>2</v>
      </c>
      <c r="U16" s="4">
        <v>0</v>
      </c>
      <c r="V16" s="4">
        <v>1</v>
      </c>
      <c r="W16" s="4">
        <v>17</v>
      </c>
      <c r="X16" t="s">
        <v>77</v>
      </c>
    </row>
    <row r="17" spans="1:24">
      <c r="A17">
        <v>40005</v>
      </c>
      <c r="B17" t="s">
        <v>78</v>
      </c>
      <c r="C17">
        <v>12</v>
      </c>
      <c r="D17">
        <v>0</v>
      </c>
      <c r="E17">
        <v>0</v>
      </c>
      <c r="F17">
        <v>0</v>
      </c>
      <c r="G17">
        <v>0</v>
      </c>
      <c r="H17" t="s">
        <v>372</v>
      </c>
      <c r="I17">
        <v>0</v>
      </c>
      <c r="J17">
        <v>0</v>
      </c>
      <c r="K17" s="1">
        <v>0</v>
      </c>
      <c r="L17" s="1"/>
      <c r="M17">
        <v>0</v>
      </c>
      <c r="N17" s="4">
        <v>0</v>
      </c>
      <c r="O17" s="4">
        <v>0</v>
      </c>
      <c r="P17" s="4">
        <v>0</v>
      </c>
      <c r="Q17" s="4">
        <v>0</v>
      </c>
      <c r="R17" t="s">
        <v>74</v>
      </c>
      <c r="S17" t="s">
        <v>79</v>
      </c>
      <c r="T17" s="4">
        <v>4</v>
      </c>
      <c r="U17" s="4">
        <v>0</v>
      </c>
      <c r="V17" s="4">
        <v>1</v>
      </c>
      <c r="W17" s="4">
        <v>13</v>
      </c>
      <c r="X17" t="s">
        <v>80</v>
      </c>
    </row>
    <row r="18" spans="1:24">
      <c r="A18">
        <v>30001</v>
      </c>
      <c r="B18" t="s">
        <v>81</v>
      </c>
      <c r="C18">
        <v>3</v>
      </c>
      <c r="D18">
        <v>0</v>
      </c>
      <c r="E18">
        <v>0</v>
      </c>
      <c r="F18">
        <v>0</v>
      </c>
      <c r="G18">
        <v>0</v>
      </c>
      <c r="H18">
        <v>0</v>
      </c>
      <c r="I18">
        <v>500</v>
      </c>
      <c r="J18">
        <v>0</v>
      </c>
      <c r="K18" s="1">
        <v>0</v>
      </c>
      <c r="L18" s="1"/>
      <c r="M18">
        <v>0</v>
      </c>
      <c r="N18" s="4">
        <v>0</v>
      </c>
      <c r="O18" s="4">
        <v>0</v>
      </c>
      <c r="P18" s="4">
        <v>0</v>
      </c>
      <c r="Q18" s="4">
        <v>0</v>
      </c>
      <c r="R18" t="s">
        <v>82</v>
      </c>
      <c r="S18" t="s">
        <v>83</v>
      </c>
      <c r="T18" s="4">
        <v>2</v>
      </c>
      <c r="U18" s="4">
        <v>0</v>
      </c>
      <c r="V18" s="4">
        <v>0</v>
      </c>
      <c r="W18" s="4">
        <v>0</v>
      </c>
      <c r="X18" s="4">
        <v>0</v>
      </c>
    </row>
    <row r="19" spans="1:24">
      <c r="A19">
        <v>30002</v>
      </c>
      <c r="B19" t="s">
        <v>84</v>
      </c>
      <c r="C19">
        <v>3</v>
      </c>
      <c r="D19">
        <v>0</v>
      </c>
      <c r="E19">
        <v>0</v>
      </c>
      <c r="F19">
        <v>0</v>
      </c>
      <c r="G19">
        <v>0</v>
      </c>
      <c r="H19">
        <v>0</v>
      </c>
      <c r="I19">
        <v>1000</v>
      </c>
      <c r="J19">
        <v>0</v>
      </c>
      <c r="K19" s="1">
        <v>0</v>
      </c>
      <c r="L19" s="1"/>
      <c r="M19">
        <v>0</v>
      </c>
      <c r="N19" s="4">
        <v>0</v>
      </c>
      <c r="O19" s="4">
        <v>0</v>
      </c>
      <c r="P19" s="4">
        <v>0</v>
      </c>
      <c r="Q19" s="4">
        <v>0</v>
      </c>
      <c r="R19" t="s">
        <v>85</v>
      </c>
      <c r="S19" t="s">
        <v>86</v>
      </c>
      <c r="T19" s="4">
        <v>3</v>
      </c>
      <c r="U19" s="4">
        <v>0</v>
      </c>
      <c r="V19" s="4">
        <v>0</v>
      </c>
      <c r="W19" s="4">
        <v>0</v>
      </c>
      <c r="X19" s="4">
        <v>0</v>
      </c>
    </row>
    <row r="20" spans="1:24">
      <c r="A20">
        <v>30003</v>
      </c>
      <c r="B20" t="s">
        <v>87</v>
      </c>
      <c r="C20">
        <v>3</v>
      </c>
      <c r="D20">
        <v>0</v>
      </c>
      <c r="E20">
        <v>0</v>
      </c>
      <c r="F20">
        <v>0</v>
      </c>
      <c r="G20">
        <v>0</v>
      </c>
      <c r="H20">
        <v>0</v>
      </c>
      <c r="I20">
        <v>2000</v>
      </c>
      <c r="J20">
        <v>0</v>
      </c>
      <c r="K20" s="1">
        <v>0</v>
      </c>
      <c r="L20" s="1"/>
      <c r="M20">
        <v>0</v>
      </c>
      <c r="N20" s="4">
        <v>0</v>
      </c>
      <c r="O20" s="4">
        <v>0</v>
      </c>
      <c r="P20" s="4">
        <v>0</v>
      </c>
      <c r="Q20" s="4">
        <v>0</v>
      </c>
      <c r="R20" t="s">
        <v>88</v>
      </c>
      <c r="S20" t="s">
        <v>89</v>
      </c>
      <c r="T20" s="4">
        <v>4</v>
      </c>
      <c r="U20" s="4">
        <v>0</v>
      </c>
      <c r="V20" s="4">
        <v>0</v>
      </c>
      <c r="W20" s="4">
        <v>0</v>
      </c>
      <c r="X20" s="4">
        <v>0</v>
      </c>
    </row>
    <row r="21" spans="1:24">
      <c r="A21">
        <v>20101</v>
      </c>
      <c r="B21" t="s">
        <v>90</v>
      </c>
      <c r="C21">
        <v>2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 t="s">
        <v>91</v>
      </c>
      <c r="K21" s="1">
        <v>3000</v>
      </c>
      <c r="L21" s="1" t="s">
        <v>92</v>
      </c>
      <c r="M21">
        <f>A22</f>
        <v>20102</v>
      </c>
      <c r="N21" s="4">
        <v>10</v>
      </c>
      <c r="O21" s="4">
        <v>0</v>
      </c>
      <c r="P21" s="4">
        <v>0</v>
      </c>
      <c r="Q21" s="4">
        <v>0</v>
      </c>
      <c r="R21" t="s">
        <v>93</v>
      </c>
      <c r="S21" t="s">
        <v>94</v>
      </c>
      <c r="T21" s="4">
        <v>1</v>
      </c>
      <c r="U21" s="4">
        <v>0</v>
      </c>
      <c r="V21" s="4">
        <v>0</v>
      </c>
      <c r="W21" s="4">
        <v>0</v>
      </c>
      <c r="X21" s="4">
        <v>0</v>
      </c>
    </row>
    <row r="22" spans="1:24">
      <c r="A22">
        <v>20102</v>
      </c>
      <c r="B22" t="s">
        <v>95</v>
      </c>
      <c r="C22">
        <v>2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 t="s">
        <v>96</v>
      </c>
      <c r="K22" s="1">
        <v>2000</v>
      </c>
      <c r="L22" s="1" t="s">
        <v>97</v>
      </c>
      <c r="M22">
        <f t="shared" ref="M22:M34" si="0">A23</f>
        <v>20103</v>
      </c>
      <c r="N22" s="4">
        <v>15</v>
      </c>
      <c r="O22" s="4">
        <v>0</v>
      </c>
      <c r="P22" s="4">
        <v>0</v>
      </c>
      <c r="Q22" s="4">
        <v>0</v>
      </c>
      <c r="R22" t="s">
        <v>98</v>
      </c>
      <c r="S22" t="s">
        <v>99</v>
      </c>
      <c r="T22" s="4">
        <v>1</v>
      </c>
      <c r="U22" s="4">
        <v>0</v>
      </c>
      <c r="V22" s="4">
        <v>0</v>
      </c>
      <c r="W22" s="4">
        <v>0</v>
      </c>
      <c r="X22" s="4">
        <v>0</v>
      </c>
    </row>
    <row r="23" spans="1:24">
      <c r="A23">
        <v>20103</v>
      </c>
      <c r="B23" t="s">
        <v>100</v>
      </c>
      <c r="C23">
        <v>2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 t="s">
        <v>101</v>
      </c>
      <c r="K23" s="1">
        <v>1500</v>
      </c>
      <c r="L23" s="1" t="s">
        <v>102</v>
      </c>
      <c r="M23">
        <f t="shared" si="0"/>
        <v>20104</v>
      </c>
      <c r="N23" s="4">
        <v>20</v>
      </c>
      <c r="O23" s="4">
        <v>0</v>
      </c>
      <c r="P23" s="4">
        <v>0</v>
      </c>
      <c r="Q23" s="4">
        <v>0</v>
      </c>
      <c r="R23" t="s">
        <v>103</v>
      </c>
      <c r="S23" t="s">
        <v>104</v>
      </c>
      <c r="T23" s="4">
        <v>1</v>
      </c>
      <c r="U23" s="4">
        <v>0</v>
      </c>
      <c r="V23" s="4">
        <v>0</v>
      </c>
      <c r="W23" s="4">
        <v>0</v>
      </c>
      <c r="X23" s="4">
        <v>0</v>
      </c>
    </row>
    <row r="24" spans="1:24">
      <c r="A24">
        <v>20104</v>
      </c>
      <c r="B24" t="s">
        <v>105</v>
      </c>
      <c r="C24">
        <v>2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 t="s">
        <v>106</v>
      </c>
      <c r="K24" s="1">
        <v>1000</v>
      </c>
      <c r="L24" s="1" t="s">
        <v>107</v>
      </c>
      <c r="M24">
        <f t="shared" si="0"/>
        <v>20105</v>
      </c>
      <c r="N24" s="4">
        <v>30</v>
      </c>
      <c r="O24" s="4">
        <v>0</v>
      </c>
      <c r="P24" s="4">
        <v>0</v>
      </c>
      <c r="Q24" s="4">
        <v>0</v>
      </c>
      <c r="R24" t="s">
        <v>108</v>
      </c>
      <c r="S24" t="s">
        <v>109</v>
      </c>
      <c r="T24" s="4">
        <v>1</v>
      </c>
      <c r="U24" s="4">
        <v>0</v>
      </c>
      <c r="V24" s="4">
        <v>0</v>
      </c>
      <c r="W24" s="4">
        <v>0</v>
      </c>
      <c r="X24" s="4">
        <v>0</v>
      </c>
    </row>
    <row r="25" spans="1:24">
      <c r="A25">
        <v>20105</v>
      </c>
      <c r="B25" t="s">
        <v>110</v>
      </c>
      <c r="C25">
        <v>2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 t="s">
        <v>111</v>
      </c>
      <c r="K25" s="1">
        <f>K24-50</f>
        <v>950</v>
      </c>
      <c r="L25" s="1" t="s">
        <v>112</v>
      </c>
      <c r="M25">
        <f t="shared" si="0"/>
        <v>20106</v>
      </c>
      <c r="N25" s="4">
        <v>50</v>
      </c>
      <c r="O25" s="4">
        <v>0</v>
      </c>
      <c r="P25" s="4">
        <v>0</v>
      </c>
      <c r="Q25" s="4">
        <v>0</v>
      </c>
      <c r="R25" t="s">
        <v>113</v>
      </c>
      <c r="S25" t="s">
        <v>114</v>
      </c>
      <c r="T25" s="4">
        <v>1</v>
      </c>
      <c r="U25" s="4">
        <v>0</v>
      </c>
      <c r="V25" s="4">
        <v>0</v>
      </c>
      <c r="W25" s="4">
        <v>0</v>
      </c>
      <c r="X25" s="4">
        <v>0</v>
      </c>
    </row>
    <row r="26" spans="1:24">
      <c r="A26">
        <v>20106</v>
      </c>
      <c r="B26" t="s">
        <v>115</v>
      </c>
      <c r="C26">
        <v>2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t="s">
        <v>116</v>
      </c>
      <c r="K26" s="1">
        <f t="shared" ref="K26:K34" si="1">K25-50</f>
        <v>900</v>
      </c>
      <c r="L26" s="1" t="s">
        <v>117</v>
      </c>
      <c r="M26">
        <f t="shared" si="0"/>
        <v>20107</v>
      </c>
      <c r="N26" s="4">
        <v>80</v>
      </c>
      <c r="O26" s="4">
        <v>0</v>
      </c>
      <c r="P26" s="4">
        <v>0</v>
      </c>
      <c r="Q26" s="4">
        <v>0</v>
      </c>
      <c r="R26" t="s">
        <v>118</v>
      </c>
      <c r="S26" t="s">
        <v>119</v>
      </c>
      <c r="T26" s="4">
        <v>1</v>
      </c>
      <c r="U26" s="4">
        <v>0</v>
      </c>
      <c r="V26" s="4">
        <v>0</v>
      </c>
      <c r="W26" s="4">
        <v>0</v>
      </c>
      <c r="X26" s="4">
        <v>0</v>
      </c>
    </row>
    <row r="27" spans="1:24">
      <c r="A27">
        <v>20107</v>
      </c>
      <c r="B27" t="s">
        <v>120</v>
      </c>
      <c r="C27">
        <v>2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t="s">
        <v>121</v>
      </c>
      <c r="K27" s="1">
        <f t="shared" si="1"/>
        <v>850</v>
      </c>
      <c r="L27" s="1" t="s">
        <v>122</v>
      </c>
      <c r="M27">
        <f t="shared" si="0"/>
        <v>20108</v>
      </c>
      <c r="N27" s="4">
        <v>120</v>
      </c>
      <c r="O27" s="4">
        <v>0</v>
      </c>
      <c r="P27" s="4">
        <v>0</v>
      </c>
      <c r="Q27" s="4">
        <v>0</v>
      </c>
      <c r="R27" t="s">
        <v>123</v>
      </c>
      <c r="S27" t="s">
        <v>124</v>
      </c>
      <c r="T27" s="4">
        <v>1</v>
      </c>
      <c r="U27" s="4">
        <v>0</v>
      </c>
      <c r="V27" s="4">
        <v>0</v>
      </c>
      <c r="W27" s="4">
        <v>0</v>
      </c>
      <c r="X27" s="4">
        <v>0</v>
      </c>
    </row>
    <row r="28" spans="1:24">
      <c r="A28">
        <v>20108</v>
      </c>
      <c r="B28" t="s">
        <v>125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 t="s">
        <v>126</v>
      </c>
      <c r="K28" s="1">
        <f t="shared" si="1"/>
        <v>800</v>
      </c>
      <c r="L28" s="1" t="s">
        <v>127</v>
      </c>
      <c r="M28">
        <f t="shared" si="0"/>
        <v>20109</v>
      </c>
      <c r="N28" s="4">
        <v>170</v>
      </c>
      <c r="O28" s="4">
        <v>0</v>
      </c>
      <c r="P28" s="4">
        <v>0</v>
      </c>
      <c r="Q28" s="4">
        <v>0</v>
      </c>
      <c r="R28" t="s">
        <v>128</v>
      </c>
      <c r="S28" t="s">
        <v>129</v>
      </c>
      <c r="T28" s="4">
        <v>1</v>
      </c>
      <c r="U28" s="4">
        <v>0</v>
      </c>
      <c r="V28" s="4">
        <v>0</v>
      </c>
      <c r="W28" s="4">
        <v>0</v>
      </c>
      <c r="X28" s="4">
        <v>0</v>
      </c>
    </row>
    <row r="29" spans="1:24">
      <c r="A29">
        <v>20109</v>
      </c>
      <c r="B29" t="s">
        <v>130</v>
      </c>
      <c r="C29">
        <v>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 t="s">
        <v>131</v>
      </c>
      <c r="K29" s="1">
        <f t="shared" si="1"/>
        <v>750</v>
      </c>
      <c r="L29" s="1" t="s">
        <v>132</v>
      </c>
      <c r="M29">
        <f t="shared" si="0"/>
        <v>20110</v>
      </c>
      <c r="N29" s="4">
        <v>230</v>
      </c>
      <c r="O29" s="4">
        <v>0</v>
      </c>
      <c r="P29" s="4">
        <v>0</v>
      </c>
      <c r="Q29" s="4">
        <v>0</v>
      </c>
      <c r="R29" t="s">
        <v>133</v>
      </c>
      <c r="S29" t="s">
        <v>134</v>
      </c>
      <c r="T29" s="4">
        <v>1</v>
      </c>
      <c r="U29" s="4">
        <v>0</v>
      </c>
      <c r="V29" s="4">
        <v>0</v>
      </c>
      <c r="W29" s="4">
        <v>0</v>
      </c>
      <c r="X29" s="4">
        <v>0</v>
      </c>
    </row>
    <row r="30" spans="1:24">
      <c r="A30">
        <v>20110</v>
      </c>
      <c r="B30" t="s">
        <v>135</v>
      </c>
      <c r="C30">
        <v>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t="s">
        <v>136</v>
      </c>
      <c r="K30" s="1">
        <f t="shared" si="1"/>
        <v>700</v>
      </c>
      <c r="L30" s="1" t="s">
        <v>137</v>
      </c>
      <c r="M30">
        <f t="shared" si="0"/>
        <v>20111</v>
      </c>
      <c r="N30" s="4">
        <v>300</v>
      </c>
      <c r="O30" s="4">
        <v>0</v>
      </c>
      <c r="P30" s="4">
        <v>0</v>
      </c>
      <c r="Q30" s="4">
        <v>0</v>
      </c>
      <c r="R30" t="s">
        <v>138</v>
      </c>
      <c r="S30" t="s">
        <v>139</v>
      </c>
      <c r="T30" s="4">
        <v>1</v>
      </c>
      <c r="U30" s="4">
        <v>0</v>
      </c>
      <c r="V30" s="4">
        <v>0</v>
      </c>
      <c r="W30" s="4">
        <v>0</v>
      </c>
      <c r="X30" s="4">
        <v>0</v>
      </c>
    </row>
    <row r="31" spans="1:24">
      <c r="A31">
        <v>20111</v>
      </c>
      <c r="B31" t="s">
        <v>140</v>
      </c>
      <c r="C31">
        <v>2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 t="s">
        <v>141</v>
      </c>
      <c r="K31" s="1">
        <f t="shared" si="1"/>
        <v>650</v>
      </c>
      <c r="L31" s="1" t="s">
        <v>142</v>
      </c>
      <c r="M31">
        <f t="shared" si="0"/>
        <v>20112</v>
      </c>
      <c r="N31" s="4">
        <v>380</v>
      </c>
      <c r="O31" s="4">
        <v>0</v>
      </c>
      <c r="P31" s="4">
        <v>0</v>
      </c>
      <c r="Q31" s="4">
        <v>0</v>
      </c>
      <c r="R31" t="s">
        <v>143</v>
      </c>
      <c r="S31" t="s">
        <v>144</v>
      </c>
      <c r="T31" s="4">
        <v>1</v>
      </c>
      <c r="U31" s="4">
        <v>0</v>
      </c>
      <c r="V31" s="4">
        <v>0</v>
      </c>
      <c r="W31" s="4">
        <v>0</v>
      </c>
      <c r="X31" s="4">
        <v>0</v>
      </c>
    </row>
    <row r="32" spans="1:24">
      <c r="A32">
        <v>20112</v>
      </c>
      <c r="B32" t="s">
        <v>145</v>
      </c>
      <c r="C32">
        <v>2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 t="s">
        <v>146</v>
      </c>
      <c r="K32" s="1">
        <f t="shared" si="1"/>
        <v>600</v>
      </c>
      <c r="L32" s="1" t="s">
        <v>147</v>
      </c>
      <c r="M32">
        <f t="shared" si="0"/>
        <v>20113</v>
      </c>
      <c r="N32" s="4">
        <v>470</v>
      </c>
      <c r="O32" s="4">
        <v>0</v>
      </c>
      <c r="P32" s="4">
        <v>0</v>
      </c>
      <c r="Q32" s="4">
        <v>0</v>
      </c>
      <c r="R32" t="s">
        <v>148</v>
      </c>
      <c r="S32" t="s">
        <v>149</v>
      </c>
      <c r="T32" s="4">
        <v>1</v>
      </c>
      <c r="U32" s="4">
        <v>0</v>
      </c>
      <c r="V32" s="4">
        <v>0</v>
      </c>
      <c r="W32" s="4">
        <v>0</v>
      </c>
      <c r="X32" s="4">
        <v>0</v>
      </c>
    </row>
    <row r="33" spans="1:24">
      <c r="A33">
        <v>20113</v>
      </c>
      <c r="B33" t="s">
        <v>150</v>
      </c>
      <c r="C33">
        <v>2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151</v>
      </c>
      <c r="K33" s="1">
        <f t="shared" si="1"/>
        <v>550</v>
      </c>
      <c r="L33" s="1" t="s">
        <v>152</v>
      </c>
      <c r="M33">
        <f t="shared" si="0"/>
        <v>20114</v>
      </c>
      <c r="N33" s="4">
        <v>570</v>
      </c>
      <c r="O33" s="4">
        <v>0</v>
      </c>
      <c r="P33" s="4">
        <v>0</v>
      </c>
      <c r="Q33" s="4">
        <v>0</v>
      </c>
      <c r="R33" t="s">
        <v>153</v>
      </c>
      <c r="S33" t="s">
        <v>154</v>
      </c>
      <c r="T33" s="4">
        <v>1</v>
      </c>
      <c r="U33" s="4">
        <v>0</v>
      </c>
      <c r="V33" s="4">
        <v>0</v>
      </c>
      <c r="W33" s="4">
        <v>0</v>
      </c>
      <c r="X33" s="4">
        <v>0</v>
      </c>
    </row>
    <row r="34" spans="1:24">
      <c r="A34">
        <v>20114</v>
      </c>
      <c r="B34" t="s">
        <v>155</v>
      </c>
      <c r="C34">
        <v>2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 t="s">
        <v>156</v>
      </c>
      <c r="K34" s="1">
        <f t="shared" si="1"/>
        <v>500</v>
      </c>
      <c r="L34" s="1" t="s">
        <v>157</v>
      </c>
      <c r="M34">
        <f t="shared" si="0"/>
        <v>20115</v>
      </c>
      <c r="N34" s="4">
        <v>680</v>
      </c>
      <c r="O34" s="4">
        <v>0</v>
      </c>
      <c r="P34" s="4">
        <v>0</v>
      </c>
      <c r="Q34" s="4">
        <v>0</v>
      </c>
      <c r="R34" t="s">
        <v>158</v>
      </c>
      <c r="S34" t="s">
        <v>159</v>
      </c>
      <c r="T34" s="4">
        <v>1</v>
      </c>
      <c r="U34" s="4">
        <v>0</v>
      </c>
      <c r="V34" s="4">
        <v>0</v>
      </c>
      <c r="W34" s="4">
        <v>0</v>
      </c>
      <c r="X34" s="4">
        <v>0</v>
      </c>
    </row>
    <row r="35" spans="1:24">
      <c r="A35">
        <v>20115</v>
      </c>
      <c r="B35" t="s">
        <v>160</v>
      </c>
      <c r="C35">
        <v>2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 s="1">
        <v>0</v>
      </c>
      <c r="L35" s="1"/>
      <c r="M35">
        <v>0</v>
      </c>
      <c r="N35" s="4">
        <v>800</v>
      </c>
      <c r="O35" s="4">
        <v>0</v>
      </c>
      <c r="P35" s="4">
        <v>0</v>
      </c>
      <c r="Q35" s="4">
        <v>0</v>
      </c>
      <c r="R35" t="s">
        <v>161</v>
      </c>
      <c r="S35" t="s">
        <v>162</v>
      </c>
      <c r="T35" s="4">
        <v>1</v>
      </c>
      <c r="U35" s="4">
        <v>0</v>
      </c>
      <c r="V35" s="4">
        <v>0</v>
      </c>
      <c r="W35" s="4">
        <v>0</v>
      </c>
      <c r="X35" s="4">
        <v>0</v>
      </c>
    </row>
    <row r="36" spans="1:24">
      <c r="A36">
        <v>20201</v>
      </c>
      <c r="B36" t="s">
        <v>163</v>
      </c>
      <c r="C36">
        <v>2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 t="s">
        <v>91</v>
      </c>
      <c r="K36" s="1">
        <f>K21</f>
        <v>3000</v>
      </c>
      <c r="L36" s="1" t="str">
        <f>L21</f>
        <v>10,2</v>
      </c>
      <c r="M36">
        <f>A37</f>
        <v>20202</v>
      </c>
      <c r="N36" s="4">
        <v>0</v>
      </c>
      <c r="O36" s="4">
        <v>10</v>
      </c>
      <c r="P36" s="4">
        <v>0</v>
      </c>
      <c r="Q36" s="4">
        <v>0</v>
      </c>
      <c r="R36" t="s">
        <v>164</v>
      </c>
      <c r="S36" t="s">
        <v>165</v>
      </c>
      <c r="T36" s="4">
        <v>2</v>
      </c>
      <c r="U36" s="4">
        <v>0</v>
      </c>
      <c r="V36" s="4">
        <v>0</v>
      </c>
      <c r="W36" s="4">
        <v>0</v>
      </c>
      <c r="X36" s="4">
        <v>0</v>
      </c>
    </row>
    <row r="37" spans="1:24">
      <c r="A37">
        <v>20202</v>
      </c>
      <c r="B37" t="s">
        <v>166</v>
      </c>
      <c r="C37">
        <v>2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 t="s">
        <v>96</v>
      </c>
      <c r="K37" s="1">
        <f t="shared" ref="K37:L52" si="2">K22</f>
        <v>2000</v>
      </c>
      <c r="L37" s="1" t="str">
        <f t="shared" si="2"/>
        <v>20,3</v>
      </c>
      <c r="M37">
        <f t="shared" ref="M37:M64" si="3">A38</f>
        <v>20203</v>
      </c>
      <c r="N37" s="4">
        <v>0</v>
      </c>
      <c r="O37" s="4">
        <v>15</v>
      </c>
      <c r="P37" s="4">
        <v>0</v>
      </c>
      <c r="Q37" s="4">
        <v>0</v>
      </c>
      <c r="R37" t="s">
        <v>167</v>
      </c>
      <c r="S37" t="s">
        <v>168</v>
      </c>
      <c r="T37" s="4">
        <v>2</v>
      </c>
      <c r="U37" s="4">
        <v>0</v>
      </c>
      <c r="V37" s="4">
        <v>0</v>
      </c>
      <c r="W37" s="4">
        <v>0</v>
      </c>
      <c r="X37" s="4">
        <v>0</v>
      </c>
    </row>
    <row r="38" spans="1:24">
      <c r="A38">
        <v>20203</v>
      </c>
      <c r="B38" t="s">
        <v>169</v>
      </c>
      <c r="C38">
        <v>2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 t="s">
        <v>170</v>
      </c>
      <c r="K38" s="1">
        <f t="shared" si="2"/>
        <v>1500</v>
      </c>
      <c r="L38" s="1" t="str">
        <f t="shared" si="2"/>
        <v>40,5</v>
      </c>
      <c r="M38">
        <f t="shared" si="3"/>
        <v>20204</v>
      </c>
      <c r="N38" s="4">
        <v>0</v>
      </c>
      <c r="O38" s="4">
        <v>20</v>
      </c>
      <c r="P38" s="4">
        <v>0</v>
      </c>
      <c r="Q38" s="4">
        <v>0</v>
      </c>
      <c r="R38" t="s">
        <v>171</v>
      </c>
      <c r="S38" t="s">
        <v>172</v>
      </c>
      <c r="T38" s="4">
        <v>2</v>
      </c>
      <c r="U38" s="4">
        <v>0</v>
      </c>
      <c r="V38" s="4">
        <v>0</v>
      </c>
      <c r="W38" s="4">
        <v>0</v>
      </c>
      <c r="X38" s="4">
        <v>0</v>
      </c>
    </row>
    <row r="39" spans="1:24">
      <c r="A39">
        <v>20204</v>
      </c>
      <c r="B39" t="s">
        <v>173</v>
      </c>
      <c r="C39">
        <v>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 t="s">
        <v>174</v>
      </c>
      <c r="K39" s="1">
        <f t="shared" si="2"/>
        <v>1000</v>
      </c>
      <c r="L39" s="1" t="str">
        <f t="shared" si="2"/>
        <v>100,10</v>
      </c>
      <c r="M39">
        <f t="shared" si="3"/>
        <v>20205</v>
      </c>
      <c r="N39" s="4">
        <v>0</v>
      </c>
      <c r="O39" s="4">
        <v>30</v>
      </c>
      <c r="P39" s="4">
        <v>0</v>
      </c>
      <c r="Q39" s="4">
        <v>0</v>
      </c>
      <c r="R39" t="s">
        <v>175</v>
      </c>
      <c r="S39" t="s">
        <v>176</v>
      </c>
      <c r="T39" s="4">
        <v>2</v>
      </c>
      <c r="U39" s="4">
        <v>0</v>
      </c>
      <c r="V39" s="4">
        <v>0</v>
      </c>
      <c r="W39" s="4">
        <v>0</v>
      </c>
      <c r="X39" s="4">
        <v>0</v>
      </c>
    </row>
    <row r="40" spans="1:24">
      <c r="A40">
        <v>20205</v>
      </c>
      <c r="B40" t="s">
        <v>177</v>
      </c>
      <c r="C40">
        <v>2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 t="s">
        <v>178</v>
      </c>
      <c r="K40" s="1">
        <f t="shared" si="2"/>
        <v>950</v>
      </c>
      <c r="L40" s="1" t="str">
        <f t="shared" si="2"/>
        <v>150,15</v>
      </c>
      <c r="M40">
        <f t="shared" si="3"/>
        <v>20206</v>
      </c>
      <c r="N40" s="4">
        <v>0</v>
      </c>
      <c r="O40" s="4">
        <v>50</v>
      </c>
      <c r="P40" s="4">
        <v>0</v>
      </c>
      <c r="Q40" s="4">
        <v>0</v>
      </c>
      <c r="R40" t="s">
        <v>179</v>
      </c>
      <c r="S40" t="s">
        <v>180</v>
      </c>
      <c r="T40" s="4">
        <v>2</v>
      </c>
      <c r="U40" s="4">
        <v>0</v>
      </c>
      <c r="V40" s="4">
        <v>0</v>
      </c>
      <c r="W40" s="4">
        <v>0</v>
      </c>
      <c r="X40" s="4">
        <v>0</v>
      </c>
    </row>
    <row r="41" spans="1:24">
      <c r="A41">
        <v>20206</v>
      </c>
      <c r="B41" t="s">
        <v>181</v>
      </c>
      <c r="C41">
        <v>2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 t="s">
        <v>182</v>
      </c>
      <c r="K41" s="1">
        <f t="shared" si="2"/>
        <v>900</v>
      </c>
      <c r="L41" s="1" t="str">
        <f t="shared" si="2"/>
        <v>200,20</v>
      </c>
      <c r="M41">
        <f t="shared" si="3"/>
        <v>20207</v>
      </c>
      <c r="N41" s="4">
        <v>0</v>
      </c>
      <c r="O41" s="4">
        <v>80</v>
      </c>
      <c r="P41" s="4">
        <v>0</v>
      </c>
      <c r="Q41" s="4">
        <v>0</v>
      </c>
      <c r="R41" t="s">
        <v>183</v>
      </c>
      <c r="S41" t="s">
        <v>184</v>
      </c>
      <c r="T41" s="4">
        <v>2</v>
      </c>
      <c r="U41" s="4">
        <v>0</v>
      </c>
      <c r="V41" s="4">
        <v>0</v>
      </c>
      <c r="W41" s="4">
        <v>0</v>
      </c>
      <c r="X41" s="4">
        <v>0</v>
      </c>
    </row>
    <row r="42" spans="1:24">
      <c r="A42">
        <v>20207</v>
      </c>
      <c r="B42" t="s">
        <v>185</v>
      </c>
      <c r="C42">
        <v>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t="s">
        <v>186</v>
      </c>
      <c r="K42" s="1">
        <f t="shared" si="2"/>
        <v>850</v>
      </c>
      <c r="L42" s="1" t="str">
        <f t="shared" si="2"/>
        <v>250,25</v>
      </c>
      <c r="M42">
        <f t="shared" si="3"/>
        <v>20208</v>
      </c>
      <c r="N42" s="4">
        <v>0</v>
      </c>
      <c r="O42" s="4">
        <v>120</v>
      </c>
      <c r="P42" s="4">
        <v>0</v>
      </c>
      <c r="Q42" s="4">
        <v>0</v>
      </c>
      <c r="R42" t="s">
        <v>187</v>
      </c>
      <c r="S42" t="s">
        <v>188</v>
      </c>
      <c r="T42" s="4">
        <v>2</v>
      </c>
      <c r="U42" s="4">
        <v>0</v>
      </c>
      <c r="V42" s="4">
        <v>0</v>
      </c>
      <c r="W42" s="4">
        <v>0</v>
      </c>
      <c r="X42" s="4">
        <v>0</v>
      </c>
    </row>
    <row r="43" spans="1:24">
      <c r="A43">
        <v>20208</v>
      </c>
      <c r="B43" t="s">
        <v>189</v>
      </c>
      <c r="C43">
        <v>2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 t="s">
        <v>190</v>
      </c>
      <c r="K43" s="1">
        <f t="shared" si="2"/>
        <v>800</v>
      </c>
      <c r="L43" s="1" t="str">
        <f t="shared" si="2"/>
        <v>300,30</v>
      </c>
      <c r="M43">
        <f t="shared" si="3"/>
        <v>20209</v>
      </c>
      <c r="N43" s="4">
        <v>0</v>
      </c>
      <c r="O43" s="4">
        <v>170</v>
      </c>
      <c r="P43" s="4">
        <v>0</v>
      </c>
      <c r="Q43" s="4">
        <v>0</v>
      </c>
      <c r="R43" t="s">
        <v>191</v>
      </c>
      <c r="S43" t="s">
        <v>192</v>
      </c>
      <c r="T43" s="4">
        <v>2</v>
      </c>
      <c r="U43" s="4">
        <v>0</v>
      </c>
      <c r="V43" s="4">
        <v>0</v>
      </c>
      <c r="W43" s="4">
        <v>0</v>
      </c>
      <c r="X43" s="4">
        <v>0</v>
      </c>
    </row>
    <row r="44" spans="1:24">
      <c r="A44">
        <v>20209</v>
      </c>
      <c r="B44" t="s">
        <v>193</v>
      </c>
      <c r="C44">
        <v>2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 t="s">
        <v>194</v>
      </c>
      <c r="K44" s="1">
        <f t="shared" si="2"/>
        <v>750</v>
      </c>
      <c r="L44" s="1" t="str">
        <f t="shared" si="2"/>
        <v>350,35</v>
      </c>
      <c r="M44">
        <f t="shared" si="3"/>
        <v>20210</v>
      </c>
      <c r="N44" s="4">
        <v>0</v>
      </c>
      <c r="O44" s="4">
        <v>230</v>
      </c>
      <c r="P44" s="4">
        <v>0</v>
      </c>
      <c r="Q44" s="4">
        <v>0</v>
      </c>
      <c r="R44" t="s">
        <v>195</v>
      </c>
      <c r="S44" t="s">
        <v>196</v>
      </c>
      <c r="T44" s="4">
        <v>2</v>
      </c>
      <c r="U44" s="4">
        <v>0</v>
      </c>
      <c r="V44" s="4">
        <v>0</v>
      </c>
      <c r="W44" s="4">
        <v>0</v>
      </c>
      <c r="X44" s="4">
        <v>0</v>
      </c>
    </row>
    <row r="45" spans="1:24">
      <c r="A45">
        <v>20210</v>
      </c>
      <c r="B45" t="s">
        <v>197</v>
      </c>
      <c r="C45">
        <v>2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t="s">
        <v>198</v>
      </c>
      <c r="K45" s="1">
        <f t="shared" si="2"/>
        <v>700</v>
      </c>
      <c r="L45" s="1" t="str">
        <f t="shared" si="2"/>
        <v>400,40</v>
      </c>
      <c r="M45">
        <f t="shared" si="3"/>
        <v>20211</v>
      </c>
      <c r="N45" s="4">
        <v>0</v>
      </c>
      <c r="O45" s="4">
        <v>300</v>
      </c>
      <c r="P45" s="4">
        <v>0</v>
      </c>
      <c r="Q45" s="4">
        <v>0</v>
      </c>
      <c r="R45" t="s">
        <v>199</v>
      </c>
      <c r="S45" t="s">
        <v>200</v>
      </c>
      <c r="T45" s="4">
        <v>2</v>
      </c>
      <c r="U45" s="4">
        <v>0</v>
      </c>
      <c r="V45" s="4">
        <v>0</v>
      </c>
      <c r="W45" s="4">
        <v>0</v>
      </c>
      <c r="X45" s="4">
        <v>0</v>
      </c>
    </row>
    <row r="46" spans="1:24">
      <c r="A46">
        <v>20211</v>
      </c>
      <c r="B46" t="s">
        <v>201</v>
      </c>
      <c r="C46">
        <v>2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 t="s">
        <v>202</v>
      </c>
      <c r="K46" s="1">
        <f t="shared" si="2"/>
        <v>650</v>
      </c>
      <c r="L46" s="1" t="str">
        <f t="shared" si="2"/>
        <v>450,45</v>
      </c>
      <c r="M46">
        <f t="shared" si="3"/>
        <v>20212</v>
      </c>
      <c r="N46" s="4">
        <v>0</v>
      </c>
      <c r="O46" s="4">
        <v>380</v>
      </c>
      <c r="P46" s="4">
        <v>0</v>
      </c>
      <c r="Q46" s="4">
        <v>0</v>
      </c>
      <c r="R46" t="s">
        <v>203</v>
      </c>
      <c r="S46" t="s">
        <v>204</v>
      </c>
      <c r="T46" s="4">
        <v>2</v>
      </c>
      <c r="U46" s="4">
        <v>0</v>
      </c>
      <c r="V46" s="4">
        <v>0</v>
      </c>
      <c r="W46" s="4">
        <v>0</v>
      </c>
      <c r="X46" s="4">
        <v>0</v>
      </c>
    </row>
    <row r="47" spans="1:24">
      <c r="A47">
        <v>20212</v>
      </c>
      <c r="B47" t="s">
        <v>205</v>
      </c>
      <c r="C47">
        <v>2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 t="s">
        <v>206</v>
      </c>
      <c r="K47" s="1">
        <f t="shared" si="2"/>
        <v>600</v>
      </c>
      <c r="L47" s="1" t="str">
        <f t="shared" si="2"/>
        <v>500,50</v>
      </c>
      <c r="M47">
        <f t="shared" si="3"/>
        <v>20213</v>
      </c>
      <c r="N47" s="4">
        <v>0</v>
      </c>
      <c r="O47" s="4">
        <v>470</v>
      </c>
      <c r="P47" s="4">
        <v>0</v>
      </c>
      <c r="Q47" s="4">
        <v>0</v>
      </c>
      <c r="R47" t="s">
        <v>207</v>
      </c>
      <c r="S47" t="s">
        <v>208</v>
      </c>
      <c r="T47" s="4">
        <v>2</v>
      </c>
      <c r="U47" s="4">
        <v>0</v>
      </c>
      <c r="V47" s="4">
        <v>0</v>
      </c>
      <c r="W47" s="4">
        <v>0</v>
      </c>
      <c r="X47" s="4">
        <v>0</v>
      </c>
    </row>
    <row r="48" spans="1:24">
      <c r="A48">
        <v>20213</v>
      </c>
      <c r="B48" t="s">
        <v>209</v>
      </c>
      <c r="C48">
        <v>2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 t="s">
        <v>210</v>
      </c>
      <c r="K48" s="1">
        <f t="shared" si="2"/>
        <v>550</v>
      </c>
      <c r="L48" s="1" t="str">
        <f t="shared" si="2"/>
        <v>550,55</v>
      </c>
      <c r="M48">
        <f t="shared" si="3"/>
        <v>20214</v>
      </c>
      <c r="N48" s="4">
        <v>0</v>
      </c>
      <c r="O48" s="4">
        <v>570</v>
      </c>
      <c r="P48" s="4">
        <v>0</v>
      </c>
      <c r="Q48" s="4">
        <v>0</v>
      </c>
      <c r="R48" t="s">
        <v>211</v>
      </c>
      <c r="S48" t="s">
        <v>212</v>
      </c>
      <c r="T48" s="4">
        <v>2</v>
      </c>
      <c r="U48" s="4">
        <v>0</v>
      </c>
      <c r="V48" s="4">
        <v>0</v>
      </c>
      <c r="W48" s="4">
        <v>0</v>
      </c>
      <c r="X48" s="4">
        <v>0</v>
      </c>
    </row>
    <row r="49" spans="1:24">
      <c r="A49">
        <v>20214</v>
      </c>
      <c r="B49" t="s">
        <v>213</v>
      </c>
      <c r="C49">
        <v>2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 t="s">
        <v>214</v>
      </c>
      <c r="K49" s="1">
        <f t="shared" si="2"/>
        <v>500</v>
      </c>
      <c r="L49" s="1" t="str">
        <f t="shared" si="2"/>
        <v>600,60</v>
      </c>
      <c r="M49">
        <f t="shared" si="3"/>
        <v>20215</v>
      </c>
      <c r="N49" s="4">
        <v>0</v>
      </c>
      <c r="O49" s="4">
        <v>680</v>
      </c>
      <c r="P49" s="4">
        <v>0</v>
      </c>
      <c r="Q49" s="4">
        <v>0</v>
      </c>
      <c r="R49" t="s">
        <v>215</v>
      </c>
      <c r="S49" t="s">
        <v>216</v>
      </c>
      <c r="T49" s="4">
        <v>2</v>
      </c>
      <c r="U49" s="4">
        <v>0</v>
      </c>
      <c r="V49" s="4">
        <v>0</v>
      </c>
      <c r="W49" s="4">
        <v>0</v>
      </c>
      <c r="X49" s="4">
        <v>0</v>
      </c>
    </row>
    <row r="50" spans="1:24">
      <c r="A50">
        <v>20215</v>
      </c>
      <c r="B50" t="s">
        <v>217</v>
      </c>
      <c r="C50">
        <v>2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 s="1">
        <f t="shared" si="2"/>
        <v>0</v>
      </c>
      <c r="L50" s="1"/>
      <c r="M50">
        <v>0</v>
      </c>
      <c r="N50" s="4">
        <v>0</v>
      </c>
      <c r="O50" s="4">
        <v>800</v>
      </c>
      <c r="P50" s="4">
        <v>0</v>
      </c>
      <c r="Q50" s="4">
        <v>0</v>
      </c>
      <c r="R50" t="s">
        <v>218</v>
      </c>
      <c r="S50" t="s">
        <v>219</v>
      </c>
      <c r="T50" s="4">
        <v>2</v>
      </c>
      <c r="U50" s="4">
        <v>0</v>
      </c>
      <c r="V50" s="4">
        <v>0</v>
      </c>
      <c r="W50" s="4">
        <v>0</v>
      </c>
      <c r="X50" s="4">
        <v>0</v>
      </c>
    </row>
    <row r="51" spans="1:24">
      <c r="A51">
        <v>20301</v>
      </c>
      <c r="B51" t="s">
        <v>220</v>
      </c>
      <c r="C51">
        <v>2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 t="s">
        <v>221</v>
      </c>
      <c r="K51" s="1">
        <f t="shared" si="2"/>
        <v>3000</v>
      </c>
      <c r="L51" s="1" t="str">
        <f t="shared" si="2"/>
        <v>10,2</v>
      </c>
      <c r="M51">
        <f t="shared" si="3"/>
        <v>20302</v>
      </c>
      <c r="N51" s="4">
        <v>0</v>
      </c>
      <c r="O51" s="4">
        <v>0</v>
      </c>
      <c r="P51" s="4">
        <v>10</v>
      </c>
      <c r="Q51" s="4">
        <v>0</v>
      </c>
      <c r="R51" t="s">
        <v>222</v>
      </c>
      <c r="S51" t="s">
        <v>223</v>
      </c>
      <c r="T51" s="4">
        <v>3</v>
      </c>
      <c r="U51" s="4">
        <v>0</v>
      </c>
      <c r="V51" s="4">
        <v>0</v>
      </c>
      <c r="W51" s="4">
        <v>0</v>
      </c>
      <c r="X51" s="4">
        <v>0</v>
      </c>
    </row>
    <row r="52" spans="1:24">
      <c r="A52">
        <v>20302</v>
      </c>
      <c r="B52" t="s">
        <v>224</v>
      </c>
      <c r="C52">
        <v>2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 t="s">
        <v>225</v>
      </c>
      <c r="K52" s="1">
        <f t="shared" si="2"/>
        <v>2000</v>
      </c>
      <c r="L52" s="1" t="str">
        <f t="shared" si="2"/>
        <v>20,3</v>
      </c>
      <c r="M52">
        <f t="shared" si="3"/>
        <v>20303</v>
      </c>
      <c r="N52" s="4">
        <v>0</v>
      </c>
      <c r="O52" s="4">
        <v>0</v>
      </c>
      <c r="P52" s="4">
        <v>15</v>
      </c>
      <c r="Q52" s="4">
        <v>0</v>
      </c>
      <c r="R52" t="s">
        <v>226</v>
      </c>
      <c r="S52" t="s">
        <v>227</v>
      </c>
      <c r="T52" s="4">
        <v>3</v>
      </c>
      <c r="U52" s="4">
        <v>0</v>
      </c>
      <c r="V52" s="4">
        <v>0</v>
      </c>
      <c r="W52" s="4">
        <v>0</v>
      </c>
      <c r="X52" s="4">
        <v>0</v>
      </c>
    </row>
    <row r="53" spans="1:24">
      <c r="A53">
        <v>20303</v>
      </c>
      <c r="B53" t="s">
        <v>228</v>
      </c>
      <c r="C53">
        <v>2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 t="s">
        <v>229</v>
      </c>
      <c r="K53" s="1">
        <f t="shared" ref="K53:L68" si="4">K38</f>
        <v>1500</v>
      </c>
      <c r="L53" s="1" t="str">
        <f t="shared" si="4"/>
        <v>40,5</v>
      </c>
      <c r="M53">
        <f t="shared" si="3"/>
        <v>20304</v>
      </c>
      <c r="N53" s="4">
        <v>0</v>
      </c>
      <c r="O53" s="4">
        <v>0</v>
      </c>
      <c r="P53" s="4">
        <v>20</v>
      </c>
      <c r="Q53" s="4">
        <v>0</v>
      </c>
      <c r="R53" t="s">
        <v>230</v>
      </c>
      <c r="S53" t="s">
        <v>231</v>
      </c>
      <c r="T53" s="4">
        <v>3</v>
      </c>
      <c r="U53" s="4">
        <v>0</v>
      </c>
      <c r="V53" s="4">
        <v>0</v>
      </c>
      <c r="W53" s="4">
        <v>0</v>
      </c>
      <c r="X53" s="4">
        <v>0</v>
      </c>
    </row>
    <row r="54" spans="1:24">
      <c r="A54">
        <v>20304</v>
      </c>
      <c r="B54" t="s">
        <v>232</v>
      </c>
      <c r="C54">
        <v>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 t="s">
        <v>233</v>
      </c>
      <c r="K54" s="1">
        <f t="shared" si="4"/>
        <v>1000</v>
      </c>
      <c r="L54" s="1" t="str">
        <f t="shared" si="4"/>
        <v>100,10</v>
      </c>
      <c r="M54">
        <f t="shared" si="3"/>
        <v>20305</v>
      </c>
      <c r="N54" s="4">
        <v>0</v>
      </c>
      <c r="O54" s="4">
        <v>0</v>
      </c>
      <c r="P54" s="4">
        <v>30</v>
      </c>
      <c r="Q54" s="4">
        <v>0</v>
      </c>
      <c r="R54" t="s">
        <v>234</v>
      </c>
      <c r="S54" t="s">
        <v>235</v>
      </c>
      <c r="T54" s="4">
        <v>3</v>
      </c>
      <c r="U54" s="4">
        <v>0</v>
      </c>
      <c r="V54" s="4">
        <v>0</v>
      </c>
      <c r="W54" s="4">
        <v>0</v>
      </c>
      <c r="X54" s="4">
        <v>0</v>
      </c>
    </row>
    <row r="55" spans="1:24">
      <c r="A55">
        <v>20305</v>
      </c>
      <c r="B55" t="s">
        <v>236</v>
      </c>
      <c r="C55">
        <v>2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 t="s">
        <v>237</v>
      </c>
      <c r="K55" s="1">
        <f t="shared" si="4"/>
        <v>950</v>
      </c>
      <c r="L55" s="1" t="str">
        <f t="shared" si="4"/>
        <v>150,15</v>
      </c>
      <c r="M55">
        <f t="shared" si="3"/>
        <v>20306</v>
      </c>
      <c r="N55" s="4">
        <v>0</v>
      </c>
      <c r="O55" s="4">
        <v>0</v>
      </c>
      <c r="P55" s="4">
        <v>50</v>
      </c>
      <c r="Q55" s="4">
        <v>0</v>
      </c>
      <c r="R55" t="s">
        <v>238</v>
      </c>
      <c r="S55" t="s">
        <v>239</v>
      </c>
      <c r="T55" s="4">
        <v>3</v>
      </c>
      <c r="U55" s="4">
        <v>0</v>
      </c>
      <c r="V55" s="4">
        <v>0</v>
      </c>
      <c r="W55" s="4">
        <v>0</v>
      </c>
      <c r="X55" s="4">
        <v>0</v>
      </c>
    </row>
    <row r="56" spans="1:24">
      <c r="A56">
        <v>20306</v>
      </c>
      <c r="B56" t="s">
        <v>240</v>
      </c>
      <c r="C56">
        <v>2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 t="s">
        <v>241</v>
      </c>
      <c r="K56" s="1">
        <f t="shared" si="4"/>
        <v>900</v>
      </c>
      <c r="L56" s="1" t="str">
        <f t="shared" si="4"/>
        <v>200,20</v>
      </c>
      <c r="M56">
        <f t="shared" si="3"/>
        <v>20307</v>
      </c>
      <c r="N56" s="4">
        <v>0</v>
      </c>
      <c r="O56" s="4">
        <v>0</v>
      </c>
      <c r="P56" s="4">
        <v>80</v>
      </c>
      <c r="Q56" s="4">
        <v>0</v>
      </c>
      <c r="R56" t="s">
        <v>242</v>
      </c>
      <c r="S56" t="s">
        <v>243</v>
      </c>
      <c r="T56" s="4">
        <v>3</v>
      </c>
      <c r="U56" s="4">
        <v>0</v>
      </c>
      <c r="V56" s="4">
        <v>0</v>
      </c>
      <c r="W56" s="4">
        <v>0</v>
      </c>
      <c r="X56" s="4">
        <v>0</v>
      </c>
    </row>
    <row r="57" spans="1:24">
      <c r="A57">
        <v>20307</v>
      </c>
      <c r="B57" t="s">
        <v>244</v>
      </c>
      <c r="C57">
        <v>2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 t="s">
        <v>245</v>
      </c>
      <c r="K57" s="1">
        <f t="shared" si="4"/>
        <v>850</v>
      </c>
      <c r="L57" s="1" t="str">
        <f t="shared" si="4"/>
        <v>250,25</v>
      </c>
      <c r="M57">
        <f t="shared" si="3"/>
        <v>20308</v>
      </c>
      <c r="N57" s="4">
        <v>0</v>
      </c>
      <c r="O57" s="4">
        <v>0</v>
      </c>
      <c r="P57" s="4">
        <v>120</v>
      </c>
      <c r="Q57" s="4">
        <v>0</v>
      </c>
      <c r="R57" t="s">
        <v>246</v>
      </c>
      <c r="S57" t="s">
        <v>247</v>
      </c>
      <c r="T57" s="4">
        <v>3</v>
      </c>
      <c r="U57" s="4">
        <v>0</v>
      </c>
      <c r="V57" s="4">
        <v>0</v>
      </c>
      <c r="W57" s="4">
        <v>0</v>
      </c>
      <c r="X57" s="4">
        <v>0</v>
      </c>
    </row>
    <row r="58" spans="1:24">
      <c r="A58">
        <v>20308</v>
      </c>
      <c r="B58" t="s">
        <v>248</v>
      </c>
      <c r="C58">
        <v>2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 t="s">
        <v>249</v>
      </c>
      <c r="K58" s="1">
        <f t="shared" si="4"/>
        <v>800</v>
      </c>
      <c r="L58" s="1" t="str">
        <f t="shared" si="4"/>
        <v>300,30</v>
      </c>
      <c r="M58">
        <f t="shared" si="3"/>
        <v>20309</v>
      </c>
      <c r="N58" s="4">
        <v>0</v>
      </c>
      <c r="O58" s="4">
        <v>0</v>
      </c>
      <c r="P58" s="4">
        <v>170</v>
      </c>
      <c r="Q58" s="4">
        <v>0</v>
      </c>
      <c r="R58" t="s">
        <v>250</v>
      </c>
      <c r="S58" t="s">
        <v>251</v>
      </c>
      <c r="T58" s="4">
        <v>3</v>
      </c>
      <c r="U58" s="4">
        <v>0</v>
      </c>
      <c r="V58" s="4">
        <v>0</v>
      </c>
      <c r="W58" s="4">
        <v>0</v>
      </c>
      <c r="X58" s="4">
        <v>0</v>
      </c>
    </row>
    <row r="59" spans="1:24">
      <c r="A59">
        <v>20309</v>
      </c>
      <c r="B59" t="s">
        <v>252</v>
      </c>
      <c r="C59">
        <v>2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 t="s">
        <v>253</v>
      </c>
      <c r="K59" s="1">
        <f t="shared" si="4"/>
        <v>750</v>
      </c>
      <c r="L59" s="1" t="str">
        <f t="shared" si="4"/>
        <v>350,35</v>
      </c>
      <c r="M59">
        <f t="shared" si="3"/>
        <v>20310</v>
      </c>
      <c r="N59" s="4">
        <v>0</v>
      </c>
      <c r="O59" s="4">
        <v>0</v>
      </c>
      <c r="P59" s="4">
        <v>230</v>
      </c>
      <c r="Q59" s="4">
        <v>0</v>
      </c>
      <c r="R59" t="s">
        <v>254</v>
      </c>
      <c r="S59" t="s">
        <v>255</v>
      </c>
      <c r="T59" s="4">
        <v>3</v>
      </c>
      <c r="U59" s="4">
        <v>0</v>
      </c>
      <c r="V59" s="4">
        <v>0</v>
      </c>
      <c r="W59" s="4">
        <v>0</v>
      </c>
      <c r="X59" s="4">
        <v>0</v>
      </c>
    </row>
    <row r="60" spans="1:24">
      <c r="A60">
        <v>20310</v>
      </c>
      <c r="B60" t="s">
        <v>256</v>
      </c>
      <c r="C60">
        <v>2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 t="s">
        <v>257</v>
      </c>
      <c r="K60" s="1">
        <f t="shared" si="4"/>
        <v>700</v>
      </c>
      <c r="L60" s="1" t="str">
        <f t="shared" si="4"/>
        <v>400,40</v>
      </c>
      <c r="M60">
        <f t="shared" si="3"/>
        <v>20311</v>
      </c>
      <c r="N60" s="4">
        <v>0</v>
      </c>
      <c r="O60" s="4">
        <v>0</v>
      </c>
      <c r="P60" s="4">
        <v>300</v>
      </c>
      <c r="Q60" s="4">
        <v>0</v>
      </c>
      <c r="R60" t="s">
        <v>258</v>
      </c>
      <c r="S60" t="s">
        <v>259</v>
      </c>
      <c r="T60" s="4">
        <v>3</v>
      </c>
      <c r="U60" s="4">
        <v>0</v>
      </c>
      <c r="V60" s="4">
        <v>0</v>
      </c>
      <c r="W60" s="4">
        <v>0</v>
      </c>
      <c r="X60" s="4">
        <v>0</v>
      </c>
    </row>
    <row r="61" spans="1:24">
      <c r="A61">
        <v>20311</v>
      </c>
      <c r="B61" t="s">
        <v>260</v>
      </c>
      <c r="C61">
        <v>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 t="s">
        <v>261</v>
      </c>
      <c r="K61" s="1">
        <f t="shared" si="4"/>
        <v>650</v>
      </c>
      <c r="L61" s="1" t="str">
        <f t="shared" si="4"/>
        <v>450,45</v>
      </c>
      <c r="M61">
        <f t="shared" si="3"/>
        <v>20312</v>
      </c>
      <c r="N61" s="4">
        <v>0</v>
      </c>
      <c r="O61" s="4">
        <v>0</v>
      </c>
      <c r="P61" s="4">
        <v>380</v>
      </c>
      <c r="Q61" s="4">
        <v>0</v>
      </c>
      <c r="R61" t="s">
        <v>262</v>
      </c>
      <c r="S61" t="s">
        <v>263</v>
      </c>
      <c r="T61" s="4">
        <v>3</v>
      </c>
      <c r="U61" s="4">
        <v>0</v>
      </c>
      <c r="V61" s="4">
        <v>0</v>
      </c>
      <c r="W61" s="4">
        <v>0</v>
      </c>
      <c r="X61" s="4">
        <v>0</v>
      </c>
    </row>
    <row r="62" spans="1:24">
      <c r="A62">
        <v>20312</v>
      </c>
      <c r="B62" t="s">
        <v>264</v>
      </c>
      <c r="C62">
        <v>2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 t="s">
        <v>265</v>
      </c>
      <c r="K62" s="1">
        <f t="shared" si="4"/>
        <v>600</v>
      </c>
      <c r="L62" s="1" t="str">
        <f t="shared" si="4"/>
        <v>500,50</v>
      </c>
      <c r="M62">
        <f t="shared" si="3"/>
        <v>20313</v>
      </c>
      <c r="N62" s="4">
        <v>0</v>
      </c>
      <c r="O62" s="4">
        <v>0</v>
      </c>
      <c r="P62" s="4">
        <v>470</v>
      </c>
      <c r="Q62" s="4">
        <v>0</v>
      </c>
      <c r="R62" t="s">
        <v>266</v>
      </c>
      <c r="S62" t="s">
        <v>267</v>
      </c>
      <c r="T62" s="4">
        <v>3</v>
      </c>
      <c r="U62" s="4">
        <v>0</v>
      </c>
      <c r="V62" s="4">
        <v>0</v>
      </c>
      <c r="W62" s="4">
        <v>0</v>
      </c>
      <c r="X62" s="4">
        <v>0</v>
      </c>
    </row>
    <row r="63" spans="1:24">
      <c r="A63">
        <v>20313</v>
      </c>
      <c r="B63" t="s">
        <v>268</v>
      </c>
      <c r="C63">
        <v>2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 t="s">
        <v>269</v>
      </c>
      <c r="K63" s="1">
        <f t="shared" si="4"/>
        <v>550</v>
      </c>
      <c r="L63" s="1" t="str">
        <f t="shared" si="4"/>
        <v>550,55</v>
      </c>
      <c r="M63">
        <f t="shared" si="3"/>
        <v>20314</v>
      </c>
      <c r="N63" s="4">
        <v>0</v>
      </c>
      <c r="O63" s="4">
        <v>0</v>
      </c>
      <c r="P63" s="4">
        <v>570</v>
      </c>
      <c r="Q63" s="4">
        <v>0</v>
      </c>
      <c r="R63" t="s">
        <v>270</v>
      </c>
      <c r="S63" t="s">
        <v>271</v>
      </c>
      <c r="T63" s="4">
        <v>3</v>
      </c>
      <c r="U63" s="4">
        <v>0</v>
      </c>
      <c r="V63" s="4">
        <v>0</v>
      </c>
      <c r="W63" s="4">
        <v>0</v>
      </c>
      <c r="X63" s="4">
        <v>0</v>
      </c>
    </row>
    <row r="64" spans="1:24">
      <c r="A64">
        <v>20314</v>
      </c>
      <c r="B64" t="s">
        <v>272</v>
      </c>
      <c r="C64">
        <v>2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 t="s">
        <v>273</v>
      </c>
      <c r="K64" s="1">
        <f t="shared" si="4"/>
        <v>500</v>
      </c>
      <c r="L64" s="1" t="str">
        <f t="shared" si="4"/>
        <v>600,60</v>
      </c>
      <c r="M64">
        <f t="shared" si="3"/>
        <v>20315</v>
      </c>
      <c r="N64" s="4">
        <v>0</v>
      </c>
      <c r="O64" s="4">
        <v>0</v>
      </c>
      <c r="P64" s="4">
        <v>680</v>
      </c>
      <c r="Q64" s="4">
        <v>0</v>
      </c>
      <c r="R64" t="s">
        <v>274</v>
      </c>
      <c r="S64" t="s">
        <v>275</v>
      </c>
      <c r="T64" s="4">
        <v>3</v>
      </c>
      <c r="U64" s="4">
        <v>0</v>
      </c>
      <c r="V64" s="4">
        <v>0</v>
      </c>
      <c r="W64" s="4">
        <v>0</v>
      </c>
      <c r="X64" s="4">
        <v>0</v>
      </c>
    </row>
    <row r="65" spans="1:24">
      <c r="A65">
        <v>20315</v>
      </c>
      <c r="B65" t="s">
        <v>276</v>
      </c>
      <c r="C65">
        <v>2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 s="1">
        <f t="shared" si="4"/>
        <v>0</v>
      </c>
      <c r="L65" s="1"/>
      <c r="M65">
        <v>0</v>
      </c>
      <c r="N65" s="4">
        <v>0</v>
      </c>
      <c r="O65" s="4">
        <v>0</v>
      </c>
      <c r="P65" s="4">
        <v>800</v>
      </c>
      <c r="Q65" s="4">
        <v>0</v>
      </c>
      <c r="R65" t="s">
        <v>277</v>
      </c>
      <c r="S65" t="s">
        <v>278</v>
      </c>
      <c r="T65" s="4">
        <v>3</v>
      </c>
      <c r="U65" s="4">
        <v>0</v>
      </c>
      <c r="V65" s="4">
        <v>0</v>
      </c>
      <c r="W65" s="4">
        <v>0</v>
      </c>
      <c r="X65" s="4">
        <v>0</v>
      </c>
    </row>
    <row r="66" spans="1:24">
      <c r="A66">
        <v>20401</v>
      </c>
      <c r="B66" t="s">
        <v>279</v>
      </c>
      <c r="C66">
        <v>2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 t="s">
        <v>221</v>
      </c>
      <c r="K66" s="1">
        <f t="shared" si="4"/>
        <v>3000</v>
      </c>
      <c r="L66" s="1" t="str">
        <f t="shared" si="4"/>
        <v>10,2</v>
      </c>
      <c r="M66">
        <f>A67</f>
        <v>20402</v>
      </c>
      <c r="N66" s="4">
        <v>0</v>
      </c>
      <c r="O66" s="4">
        <v>0</v>
      </c>
      <c r="P66" s="4">
        <v>0</v>
      </c>
      <c r="Q66" s="4">
        <v>10</v>
      </c>
      <c r="R66" t="s">
        <v>280</v>
      </c>
      <c r="S66" t="s">
        <v>281</v>
      </c>
      <c r="T66" s="4">
        <v>4</v>
      </c>
      <c r="U66" s="4">
        <v>0</v>
      </c>
      <c r="V66" s="4">
        <v>0</v>
      </c>
      <c r="W66" s="4">
        <v>0</v>
      </c>
      <c r="X66" s="4">
        <v>0</v>
      </c>
    </row>
    <row r="67" spans="1:24">
      <c r="A67">
        <v>20402</v>
      </c>
      <c r="B67" t="s">
        <v>282</v>
      </c>
      <c r="C67">
        <v>2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 t="s">
        <v>225</v>
      </c>
      <c r="K67" s="1">
        <f t="shared" si="4"/>
        <v>2000</v>
      </c>
      <c r="L67" s="1" t="str">
        <f t="shared" si="4"/>
        <v>20,3</v>
      </c>
      <c r="M67">
        <f t="shared" ref="M67:M74" si="5">A68</f>
        <v>20403</v>
      </c>
      <c r="N67" s="4">
        <v>0</v>
      </c>
      <c r="O67" s="4">
        <v>0</v>
      </c>
      <c r="P67" s="4">
        <v>0</v>
      </c>
      <c r="Q67" s="4">
        <v>15</v>
      </c>
      <c r="R67" t="s">
        <v>283</v>
      </c>
      <c r="S67" t="s">
        <v>284</v>
      </c>
      <c r="T67" s="4">
        <v>4</v>
      </c>
      <c r="U67" s="4">
        <v>0</v>
      </c>
      <c r="V67" s="4">
        <v>0</v>
      </c>
      <c r="W67" s="4">
        <v>0</v>
      </c>
      <c r="X67" s="4">
        <v>0</v>
      </c>
    </row>
    <row r="68" spans="1:24">
      <c r="A68">
        <v>20403</v>
      </c>
      <c r="B68" t="s">
        <v>285</v>
      </c>
      <c r="C68">
        <v>2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 t="s">
        <v>286</v>
      </c>
      <c r="K68" s="1">
        <f t="shared" si="4"/>
        <v>1500</v>
      </c>
      <c r="L68" s="1" t="str">
        <f t="shared" si="4"/>
        <v>40,5</v>
      </c>
      <c r="M68">
        <f t="shared" si="5"/>
        <v>20404</v>
      </c>
      <c r="N68" s="4">
        <v>0</v>
      </c>
      <c r="O68" s="4">
        <v>0</v>
      </c>
      <c r="P68" s="4">
        <v>0</v>
      </c>
      <c r="Q68" s="4">
        <v>20</v>
      </c>
      <c r="R68" t="s">
        <v>287</v>
      </c>
      <c r="S68" t="s">
        <v>288</v>
      </c>
      <c r="T68" s="4">
        <v>4</v>
      </c>
      <c r="U68" s="4">
        <v>0</v>
      </c>
      <c r="V68" s="4">
        <v>0</v>
      </c>
      <c r="W68" s="4">
        <v>0</v>
      </c>
      <c r="X68" s="4">
        <v>0</v>
      </c>
    </row>
    <row r="69" spans="1:24">
      <c r="A69">
        <v>20404</v>
      </c>
      <c r="B69" t="s">
        <v>289</v>
      </c>
      <c r="C69">
        <v>2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 t="s">
        <v>290</v>
      </c>
      <c r="K69" s="1">
        <f t="shared" ref="K69:L80" si="6">K54</f>
        <v>1000</v>
      </c>
      <c r="L69" s="1" t="str">
        <f t="shared" si="6"/>
        <v>100,10</v>
      </c>
      <c r="M69">
        <f t="shared" si="5"/>
        <v>20405</v>
      </c>
      <c r="N69" s="4">
        <v>0</v>
      </c>
      <c r="O69" s="4">
        <v>0</v>
      </c>
      <c r="P69" s="4">
        <v>0</v>
      </c>
      <c r="Q69" s="4">
        <v>30</v>
      </c>
      <c r="R69" t="s">
        <v>291</v>
      </c>
      <c r="S69" t="s">
        <v>292</v>
      </c>
      <c r="T69" s="4">
        <v>4</v>
      </c>
      <c r="U69" s="4">
        <v>0</v>
      </c>
      <c r="V69" s="4">
        <v>0</v>
      </c>
      <c r="W69" s="4">
        <v>0</v>
      </c>
      <c r="X69" s="4">
        <v>0</v>
      </c>
    </row>
    <row r="70" spans="1:24">
      <c r="A70">
        <v>20405</v>
      </c>
      <c r="B70" t="s">
        <v>293</v>
      </c>
      <c r="C70">
        <v>2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 t="s">
        <v>294</v>
      </c>
      <c r="K70" s="1">
        <f t="shared" si="6"/>
        <v>950</v>
      </c>
      <c r="L70" s="1" t="str">
        <f t="shared" si="6"/>
        <v>150,15</v>
      </c>
      <c r="M70">
        <f t="shared" si="5"/>
        <v>20406</v>
      </c>
      <c r="N70" s="4">
        <v>0</v>
      </c>
      <c r="O70" s="4">
        <v>0</v>
      </c>
      <c r="P70" s="4">
        <v>0</v>
      </c>
      <c r="Q70" s="4">
        <v>50</v>
      </c>
      <c r="R70" t="s">
        <v>295</v>
      </c>
      <c r="S70" t="s">
        <v>296</v>
      </c>
      <c r="T70" s="4">
        <v>4</v>
      </c>
      <c r="U70" s="4">
        <v>0</v>
      </c>
      <c r="V70" s="4">
        <v>0</v>
      </c>
      <c r="W70" s="4">
        <v>0</v>
      </c>
      <c r="X70" s="4">
        <v>0</v>
      </c>
    </row>
    <row r="71" spans="1:24">
      <c r="A71">
        <v>20406</v>
      </c>
      <c r="B71" t="s">
        <v>297</v>
      </c>
      <c r="C71">
        <v>2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 t="s">
        <v>298</v>
      </c>
      <c r="K71" s="1">
        <f t="shared" si="6"/>
        <v>900</v>
      </c>
      <c r="L71" s="1" t="str">
        <f t="shared" si="6"/>
        <v>200,20</v>
      </c>
      <c r="M71">
        <f t="shared" si="5"/>
        <v>20407</v>
      </c>
      <c r="N71" s="4">
        <v>0</v>
      </c>
      <c r="O71" s="4">
        <v>0</v>
      </c>
      <c r="P71" s="4">
        <v>0</v>
      </c>
      <c r="Q71" s="4">
        <v>80</v>
      </c>
      <c r="R71" t="s">
        <v>299</v>
      </c>
      <c r="S71" t="s">
        <v>300</v>
      </c>
      <c r="T71" s="4">
        <v>4</v>
      </c>
      <c r="U71" s="4">
        <v>0</v>
      </c>
      <c r="V71" s="4">
        <v>0</v>
      </c>
      <c r="W71" s="4">
        <v>0</v>
      </c>
      <c r="X71" s="4">
        <v>0</v>
      </c>
    </row>
    <row r="72" spans="1:24">
      <c r="A72">
        <v>20407</v>
      </c>
      <c r="B72" t="s">
        <v>301</v>
      </c>
      <c r="C72">
        <v>2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 t="s">
        <v>302</v>
      </c>
      <c r="K72" s="1">
        <f t="shared" si="6"/>
        <v>850</v>
      </c>
      <c r="L72" s="1" t="str">
        <f t="shared" si="6"/>
        <v>250,25</v>
      </c>
      <c r="M72">
        <f t="shared" si="5"/>
        <v>20408</v>
      </c>
      <c r="N72" s="4">
        <v>0</v>
      </c>
      <c r="O72" s="4">
        <v>0</v>
      </c>
      <c r="P72" s="4">
        <v>0</v>
      </c>
      <c r="Q72" s="4">
        <v>120</v>
      </c>
      <c r="R72" t="s">
        <v>303</v>
      </c>
      <c r="S72" t="s">
        <v>304</v>
      </c>
      <c r="T72" s="4">
        <v>4</v>
      </c>
      <c r="U72" s="4">
        <v>0</v>
      </c>
      <c r="V72" s="4">
        <v>0</v>
      </c>
      <c r="W72" s="4">
        <v>0</v>
      </c>
      <c r="X72" s="4">
        <v>0</v>
      </c>
    </row>
    <row r="73" spans="1:24">
      <c r="A73">
        <v>20408</v>
      </c>
      <c r="B73" t="s">
        <v>305</v>
      </c>
      <c r="C73">
        <v>2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 t="s">
        <v>306</v>
      </c>
      <c r="K73" s="1">
        <f t="shared" si="6"/>
        <v>800</v>
      </c>
      <c r="L73" s="1" t="str">
        <f t="shared" si="6"/>
        <v>300,30</v>
      </c>
      <c r="M73">
        <f t="shared" si="5"/>
        <v>20409</v>
      </c>
      <c r="N73" s="4">
        <v>0</v>
      </c>
      <c r="O73" s="4">
        <v>0</v>
      </c>
      <c r="P73" s="4">
        <v>0</v>
      </c>
      <c r="Q73" s="4">
        <v>170</v>
      </c>
      <c r="R73" t="s">
        <v>307</v>
      </c>
      <c r="S73" t="s">
        <v>308</v>
      </c>
      <c r="T73" s="4">
        <v>4</v>
      </c>
      <c r="U73" s="4">
        <v>0</v>
      </c>
      <c r="V73" s="4">
        <v>0</v>
      </c>
      <c r="W73" s="4">
        <v>0</v>
      </c>
      <c r="X73" s="4">
        <v>0</v>
      </c>
    </row>
    <row r="74" spans="1:24">
      <c r="A74">
        <v>20409</v>
      </c>
      <c r="B74" t="s">
        <v>309</v>
      </c>
      <c r="C74">
        <v>2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 t="s">
        <v>310</v>
      </c>
      <c r="K74" s="1">
        <f t="shared" si="6"/>
        <v>750</v>
      </c>
      <c r="L74" s="1" t="str">
        <f t="shared" si="6"/>
        <v>350,35</v>
      </c>
      <c r="M74">
        <f t="shared" si="5"/>
        <v>20410</v>
      </c>
      <c r="N74" s="4">
        <v>0</v>
      </c>
      <c r="O74" s="4">
        <v>0</v>
      </c>
      <c r="P74" s="4">
        <v>0</v>
      </c>
      <c r="Q74" s="4">
        <v>230</v>
      </c>
      <c r="R74" t="s">
        <v>311</v>
      </c>
      <c r="S74" t="s">
        <v>312</v>
      </c>
      <c r="T74" s="4">
        <v>4</v>
      </c>
      <c r="U74" s="4">
        <v>0</v>
      </c>
      <c r="V74" s="4">
        <v>0</v>
      </c>
      <c r="W74" s="4">
        <v>0</v>
      </c>
      <c r="X74" s="4">
        <v>0</v>
      </c>
    </row>
    <row r="75" spans="1:24">
      <c r="A75">
        <v>20410</v>
      </c>
      <c r="B75" t="s">
        <v>313</v>
      </c>
      <c r="C75">
        <v>2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 t="s">
        <v>314</v>
      </c>
      <c r="K75" s="1">
        <f t="shared" si="6"/>
        <v>700</v>
      </c>
      <c r="L75" s="1" t="str">
        <f t="shared" si="6"/>
        <v>400,40</v>
      </c>
      <c r="M75">
        <v>20411</v>
      </c>
      <c r="N75" s="4">
        <v>0</v>
      </c>
      <c r="O75" s="4">
        <v>0</v>
      </c>
      <c r="P75" s="4">
        <v>0</v>
      </c>
      <c r="Q75" s="4">
        <v>300</v>
      </c>
      <c r="R75" t="s">
        <v>315</v>
      </c>
      <c r="S75" t="s">
        <v>316</v>
      </c>
      <c r="T75" s="4">
        <v>4</v>
      </c>
      <c r="U75" s="4">
        <v>0</v>
      </c>
      <c r="V75" s="4">
        <v>0</v>
      </c>
      <c r="W75" s="4">
        <v>0</v>
      </c>
      <c r="X75" s="4">
        <v>0</v>
      </c>
    </row>
    <row r="76" spans="1:24">
      <c r="A76">
        <v>20411</v>
      </c>
      <c r="B76" t="s">
        <v>317</v>
      </c>
      <c r="C76">
        <v>2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 t="s">
        <v>318</v>
      </c>
      <c r="K76" s="1">
        <f t="shared" si="6"/>
        <v>650</v>
      </c>
      <c r="L76" s="1" t="str">
        <f t="shared" si="6"/>
        <v>450,45</v>
      </c>
      <c r="M76">
        <v>20412</v>
      </c>
      <c r="N76" s="4">
        <v>0</v>
      </c>
      <c r="O76" s="4">
        <v>0</v>
      </c>
      <c r="P76" s="4">
        <v>0</v>
      </c>
      <c r="Q76" s="4">
        <v>380</v>
      </c>
      <c r="R76" t="s">
        <v>319</v>
      </c>
      <c r="S76" t="s">
        <v>320</v>
      </c>
      <c r="T76" s="4">
        <v>4</v>
      </c>
      <c r="U76" s="4">
        <v>0</v>
      </c>
      <c r="V76" s="4">
        <v>0</v>
      </c>
      <c r="W76" s="4">
        <v>0</v>
      </c>
      <c r="X76" s="4">
        <v>0</v>
      </c>
    </row>
    <row r="77" spans="1:24">
      <c r="A77">
        <v>20412</v>
      </c>
      <c r="B77" t="s">
        <v>321</v>
      </c>
      <c r="C77">
        <v>2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 t="s">
        <v>322</v>
      </c>
      <c r="K77" s="1">
        <f t="shared" si="6"/>
        <v>600</v>
      </c>
      <c r="L77" s="1" t="str">
        <f t="shared" si="6"/>
        <v>500,50</v>
      </c>
      <c r="M77">
        <v>20413</v>
      </c>
      <c r="N77" s="4">
        <v>0</v>
      </c>
      <c r="O77" s="4">
        <v>0</v>
      </c>
      <c r="P77" s="4">
        <v>0</v>
      </c>
      <c r="Q77" s="4">
        <v>470</v>
      </c>
      <c r="R77" t="s">
        <v>323</v>
      </c>
      <c r="S77" t="s">
        <v>324</v>
      </c>
      <c r="T77" s="4">
        <v>4</v>
      </c>
      <c r="U77" s="4">
        <v>0</v>
      </c>
      <c r="V77" s="4">
        <v>0</v>
      </c>
      <c r="W77" s="4">
        <v>0</v>
      </c>
      <c r="X77" s="4">
        <v>0</v>
      </c>
    </row>
    <row r="78" spans="1:24">
      <c r="A78">
        <v>20413</v>
      </c>
      <c r="B78" t="s">
        <v>325</v>
      </c>
      <c r="C78">
        <v>2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 t="s">
        <v>326</v>
      </c>
      <c r="K78" s="1">
        <f t="shared" si="6"/>
        <v>550</v>
      </c>
      <c r="L78" s="1" t="str">
        <f t="shared" si="6"/>
        <v>550,55</v>
      </c>
      <c r="M78">
        <v>20414</v>
      </c>
      <c r="N78" s="4">
        <v>0</v>
      </c>
      <c r="O78" s="4">
        <v>0</v>
      </c>
      <c r="P78" s="4">
        <v>0</v>
      </c>
      <c r="Q78" s="4">
        <v>570</v>
      </c>
      <c r="R78" t="s">
        <v>327</v>
      </c>
      <c r="S78" t="s">
        <v>328</v>
      </c>
      <c r="T78" s="4">
        <v>4</v>
      </c>
      <c r="U78" s="4">
        <v>0</v>
      </c>
      <c r="V78" s="4">
        <v>0</v>
      </c>
      <c r="W78" s="4">
        <v>0</v>
      </c>
      <c r="X78" s="4">
        <v>0</v>
      </c>
    </row>
    <row r="79" spans="1:24">
      <c r="A79">
        <v>20414</v>
      </c>
      <c r="B79" t="s">
        <v>329</v>
      </c>
      <c r="C79">
        <v>2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 t="s">
        <v>330</v>
      </c>
      <c r="K79" s="1">
        <f t="shared" si="6"/>
        <v>500</v>
      </c>
      <c r="L79" s="1" t="str">
        <f t="shared" si="6"/>
        <v>600,60</v>
      </c>
      <c r="M79">
        <v>20415</v>
      </c>
      <c r="N79" s="4">
        <v>0</v>
      </c>
      <c r="O79" s="4">
        <v>0</v>
      </c>
      <c r="P79" s="4">
        <v>0</v>
      </c>
      <c r="Q79" s="4">
        <v>680</v>
      </c>
      <c r="R79" t="s">
        <v>331</v>
      </c>
      <c r="S79" t="s">
        <v>332</v>
      </c>
      <c r="T79" s="4">
        <v>4</v>
      </c>
      <c r="U79" s="4">
        <v>0</v>
      </c>
      <c r="V79" s="4">
        <v>0</v>
      </c>
      <c r="W79" s="4">
        <v>0</v>
      </c>
      <c r="X79" s="4">
        <v>0</v>
      </c>
    </row>
    <row r="80" spans="1:24">
      <c r="A80">
        <v>20415</v>
      </c>
      <c r="B80" t="s">
        <v>333</v>
      </c>
      <c r="C80">
        <v>2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 s="1">
        <f t="shared" si="6"/>
        <v>0</v>
      </c>
      <c r="L80" s="1"/>
      <c r="M80">
        <v>0</v>
      </c>
      <c r="N80" s="4">
        <v>0</v>
      </c>
      <c r="O80" s="4">
        <v>0</v>
      </c>
      <c r="P80" s="4">
        <v>0</v>
      </c>
      <c r="Q80" s="4">
        <v>800</v>
      </c>
      <c r="R80" t="s">
        <v>334</v>
      </c>
      <c r="S80" t="s">
        <v>335</v>
      </c>
      <c r="T80" s="4">
        <v>4</v>
      </c>
      <c r="U80" s="4">
        <v>0</v>
      </c>
      <c r="V80" s="4">
        <v>0</v>
      </c>
      <c r="W80" s="4">
        <v>0</v>
      </c>
      <c r="X80" s="4">
        <v>0</v>
      </c>
    </row>
    <row r="81" spans="1:24">
      <c r="A81">
        <v>10001</v>
      </c>
      <c r="B81" t="s">
        <v>336</v>
      </c>
      <c r="C81">
        <v>1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 s="1">
        <v>0</v>
      </c>
      <c r="L81" s="1"/>
      <c r="M81">
        <v>0</v>
      </c>
      <c r="N81" s="4">
        <v>0</v>
      </c>
      <c r="O81" s="4">
        <v>0</v>
      </c>
      <c r="P81" s="4">
        <v>0</v>
      </c>
      <c r="Q81" s="4">
        <v>0</v>
      </c>
      <c r="R81" t="s">
        <v>337</v>
      </c>
      <c r="S81" t="s">
        <v>338</v>
      </c>
      <c r="T81" s="4">
        <v>4</v>
      </c>
      <c r="U81" s="4">
        <v>0</v>
      </c>
      <c r="V81" s="4">
        <v>0</v>
      </c>
      <c r="W81" s="4">
        <v>0</v>
      </c>
      <c r="X81" s="4">
        <v>0</v>
      </c>
    </row>
    <row r="82" spans="1:24">
      <c r="A82">
        <v>10002</v>
      </c>
      <c r="B82" t="s">
        <v>339</v>
      </c>
      <c r="C82">
        <v>10</v>
      </c>
      <c r="D82">
        <v>0</v>
      </c>
      <c r="E82">
        <v>0</v>
      </c>
      <c r="F82">
        <v>10000</v>
      </c>
      <c r="G82">
        <v>0</v>
      </c>
      <c r="H82">
        <v>0</v>
      </c>
      <c r="I82">
        <v>0</v>
      </c>
      <c r="J82">
        <v>0</v>
      </c>
      <c r="K82" s="1">
        <v>0</v>
      </c>
      <c r="L82" s="1"/>
      <c r="M82">
        <v>0</v>
      </c>
      <c r="N82" s="4">
        <v>0</v>
      </c>
      <c r="O82" s="4">
        <v>0</v>
      </c>
      <c r="P82" s="4">
        <v>0</v>
      </c>
      <c r="Q82" s="4">
        <v>0</v>
      </c>
      <c r="R82" t="s">
        <v>340</v>
      </c>
      <c r="S82" t="s">
        <v>341</v>
      </c>
      <c r="T82" s="4">
        <v>4</v>
      </c>
      <c r="U82" s="4">
        <v>0</v>
      </c>
      <c r="V82" s="4">
        <v>0</v>
      </c>
      <c r="W82" s="4">
        <v>0</v>
      </c>
      <c r="X82" s="4">
        <v>0</v>
      </c>
    </row>
    <row r="83" spans="1:24">
      <c r="A83">
        <v>10003</v>
      </c>
      <c r="B83" t="s">
        <v>342</v>
      </c>
      <c r="C83">
        <v>10</v>
      </c>
      <c r="D83">
        <v>0</v>
      </c>
      <c r="E83">
        <v>0</v>
      </c>
      <c r="F83">
        <v>10000</v>
      </c>
      <c r="G83">
        <v>0</v>
      </c>
      <c r="H83">
        <v>0</v>
      </c>
      <c r="I83">
        <v>0</v>
      </c>
      <c r="J83">
        <v>0</v>
      </c>
      <c r="K83" s="1">
        <v>0</v>
      </c>
      <c r="L83" s="1"/>
      <c r="M83">
        <v>0</v>
      </c>
      <c r="N83" s="4">
        <v>0</v>
      </c>
      <c r="O83" s="4">
        <v>0</v>
      </c>
      <c r="P83" s="4">
        <v>0</v>
      </c>
      <c r="Q83" s="4">
        <v>0</v>
      </c>
      <c r="R83" t="s">
        <v>343</v>
      </c>
      <c r="S83" t="s">
        <v>341</v>
      </c>
      <c r="T83" s="4">
        <v>4</v>
      </c>
      <c r="U83" s="4">
        <v>0</v>
      </c>
      <c r="V83" s="4">
        <v>0</v>
      </c>
      <c r="W83" s="4">
        <v>0</v>
      </c>
      <c r="X83" s="4">
        <v>0</v>
      </c>
    </row>
    <row r="84" spans="1:24">
      <c r="A84">
        <v>10004</v>
      </c>
      <c r="B84" t="s">
        <v>344</v>
      </c>
      <c r="C84">
        <v>10</v>
      </c>
      <c r="D84">
        <v>0</v>
      </c>
      <c r="E84">
        <v>0</v>
      </c>
      <c r="F84">
        <v>10000</v>
      </c>
      <c r="G84">
        <v>0</v>
      </c>
      <c r="H84">
        <v>0</v>
      </c>
      <c r="I84">
        <v>0</v>
      </c>
      <c r="J84">
        <v>0</v>
      </c>
      <c r="K84" s="1">
        <v>0</v>
      </c>
      <c r="L84" s="1"/>
      <c r="M84">
        <v>0</v>
      </c>
      <c r="N84" s="4">
        <v>0</v>
      </c>
      <c r="O84" s="4">
        <v>0</v>
      </c>
      <c r="P84" s="4">
        <v>0</v>
      </c>
      <c r="Q84" s="4">
        <v>0</v>
      </c>
      <c r="R84" t="s">
        <v>345</v>
      </c>
      <c r="S84" t="s">
        <v>341</v>
      </c>
      <c r="T84" s="4">
        <v>4</v>
      </c>
      <c r="U84" s="4">
        <v>0</v>
      </c>
      <c r="V84" s="4">
        <v>0</v>
      </c>
      <c r="W84" s="4">
        <v>0</v>
      </c>
      <c r="X84" s="4">
        <v>0</v>
      </c>
    </row>
    <row r="85" spans="1:24">
      <c r="A85">
        <v>10005</v>
      </c>
      <c r="B85" t="s">
        <v>346</v>
      </c>
      <c r="C85">
        <v>10</v>
      </c>
      <c r="D85">
        <v>0</v>
      </c>
      <c r="E85">
        <v>0</v>
      </c>
      <c r="F85">
        <v>10000</v>
      </c>
      <c r="G85">
        <v>0</v>
      </c>
      <c r="H85">
        <v>0</v>
      </c>
      <c r="I85">
        <v>0</v>
      </c>
      <c r="J85">
        <v>0</v>
      </c>
      <c r="K85" s="1">
        <v>0</v>
      </c>
      <c r="L85" s="1"/>
      <c r="M85">
        <v>0</v>
      </c>
      <c r="N85" s="4">
        <v>0</v>
      </c>
      <c r="O85" s="4">
        <v>0</v>
      </c>
      <c r="P85" s="4">
        <v>0</v>
      </c>
      <c r="Q85" s="4">
        <v>0</v>
      </c>
      <c r="R85" t="s">
        <v>347</v>
      </c>
      <c r="S85" t="s">
        <v>341</v>
      </c>
      <c r="T85" s="4">
        <v>4</v>
      </c>
      <c r="U85" s="4">
        <v>0</v>
      </c>
      <c r="V85" s="4">
        <v>0</v>
      </c>
      <c r="W85" s="4">
        <v>0</v>
      </c>
      <c r="X85" s="4">
        <v>0</v>
      </c>
    </row>
    <row r="86" spans="1:24">
      <c r="A86">
        <v>10006</v>
      </c>
      <c r="B86" t="s">
        <v>348</v>
      </c>
      <c r="C86">
        <v>10</v>
      </c>
      <c r="D86">
        <v>0</v>
      </c>
      <c r="E86">
        <v>0</v>
      </c>
      <c r="F86">
        <v>10000</v>
      </c>
      <c r="G86">
        <v>0</v>
      </c>
      <c r="H86">
        <v>0</v>
      </c>
      <c r="I86">
        <v>0</v>
      </c>
      <c r="J86">
        <v>0</v>
      </c>
      <c r="K86" s="1">
        <v>0</v>
      </c>
      <c r="L86" s="1"/>
      <c r="M86">
        <v>0</v>
      </c>
      <c r="N86" s="4">
        <v>0</v>
      </c>
      <c r="O86" s="4">
        <v>0</v>
      </c>
      <c r="P86" s="4">
        <v>0</v>
      </c>
      <c r="Q86" s="4">
        <v>0</v>
      </c>
      <c r="R86" t="s">
        <v>349</v>
      </c>
      <c r="S86" t="s">
        <v>341</v>
      </c>
      <c r="T86" s="4">
        <v>4</v>
      </c>
      <c r="U86" s="4">
        <v>0</v>
      </c>
      <c r="V86" s="4">
        <v>0</v>
      </c>
      <c r="W86" s="4">
        <v>0</v>
      </c>
      <c r="X86" s="4">
        <v>0</v>
      </c>
    </row>
    <row r="87" spans="1:24">
      <c r="A87">
        <v>10007</v>
      </c>
      <c r="B87" t="s">
        <v>350</v>
      </c>
      <c r="C87">
        <v>10</v>
      </c>
      <c r="D87">
        <v>0</v>
      </c>
      <c r="E87">
        <v>0</v>
      </c>
      <c r="F87">
        <v>10000</v>
      </c>
      <c r="G87">
        <v>0</v>
      </c>
      <c r="H87">
        <v>0</v>
      </c>
      <c r="I87">
        <v>0</v>
      </c>
      <c r="J87">
        <v>0</v>
      </c>
      <c r="K87" s="1">
        <v>0</v>
      </c>
      <c r="L87" s="1"/>
      <c r="M87">
        <v>0</v>
      </c>
      <c r="N87" s="4">
        <v>0</v>
      </c>
      <c r="O87" s="4">
        <v>0</v>
      </c>
      <c r="P87" s="4">
        <v>0</v>
      </c>
      <c r="Q87" s="4">
        <v>0</v>
      </c>
      <c r="R87" t="s">
        <v>351</v>
      </c>
      <c r="S87" t="s">
        <v>341</v>
      </c>
      <c r="T87" s="4">
        <v>4</v>
      </c>
      <c r="U87" s="4">
        <v>0</v>
      </c>
      <c r="V87" s="4">
        <v>0</v>
      </c>
      <c r="W87" s="4">
        <v>0</v>
      </c>
      <c r="X87" s="4">
        <v>0</v>
      </c>
    </row>
    <row r="88" spans="1:24">
      <c r="A88">
        <v>10008</v>
      </c>
      <c r="B88" t="s">
        <v>373</v>
      </c>
      <c r="C88">
        <v>9</v>
      </c>
      <c r="D88">
        <v>0</v>
      </c>
      <c r="E88">
        <v>0</v>
      </c>
      <c r="F88">
        <v>20000</v>
      </c>
      <c r="G88">
        <v>0</v>
      </c>
      <c r="H88">
        <v>0</v>
      </c>
      <c r="I88">
        <v>0</v>
      </c>
      <c r="J88">
        <v>0</v>
      </c>
      <c r="K88" s="1">
        <v>0</v>
      </c>
      <c r="L88" s="1"/>
      <c r="M88">
        <v>0</v>
      </c>
      <c r="N88" s="4">
        <v>0</v>
      </c>
      <c r="O88" s="4">
        <v>0</v>
      </c>
      <c r="P88" s="4">
        <v>0</v>
      </c>
      <c r="Q88" s="4">
        <v>0</v>
      </c>
      <c r="R88" t="s">
        <v>378</v>
      </c>
      <c r="S88" t="s">
        <v>384</v>
      </c>
      <c r="T88" s="4">
        <v>4</v>
      </c>
      <c r="U88" s="4">
        <v>7</v>
      </c>
      <c r="V88" s="4">
        <v>0</v>
      </c>
      <c r="W88" s="4">
        <v>0</v>
      </c>
      <c r="X88" s="4">
        <v>0</v>
      </c>
    </row>
    <row r="89" spans="1:24">
      <c r="A89">
        <v>10009</v>
      </c>
      <c r="B89" t="s">
        <v>374</v>
      </c>
      <c r="C89">
        <v>9</v>
      </c>
      <c r="D89">
        <v>0</v>
      </c>
      <c r="E89">
        <v>0</v>
      </c>
      <c r="F89">
        <v>20000</v>
      </c>
      <c r="G89">
        <v>0</v>
      </c>
      <c r="H89">
        <v>0</v>
      </c>
      <c r="I89">
        <v>0</v>
      </c>
      <c r="J89">
        <v>0</v>
      </c>
      <c r="K89" s="1">
        <v>0</v>
      </c>
      <c r="L89" s="1"/>
      <c r="M89">
        <v>0</v>
      </c>
      <c r="N89" s="4">
        <v>0</v>
      </c>
      <c r="O89" s="4">
        <v>0</v>
      </c>
      <c r="P89" s="4">
        <v>0</v>
      </c>
      <c r="Q89" s="4">
        <v>0</v>
      </c>
      <c r="R89" t="s">
        <v>379</v>
      </c>
      <c r="S89" t="s">
        <v>383</v>
      </c>
      <c r="T89" s="4">
        <v>4</v>
      </c>
      <c r="U89" s="4">
        <v>7</v>
      </c>
      <c r="V89" s="4">
        <v>0</v>
      </c>
      <c r="W89" s="4">
        <v>0</v>
      </c>
      <c r="X89" s="4">
        <v>0</v>
      </c>
    </row>
    <row r="90" spans="1:24">
      <c r="A90">
        <v>10010</v>
      </c>
      <c r="B90" t="s">
        <v>375</v>
      </c>
      <c r="C90">
        <v>9</v>
      </c>
      <c r="D90">
        <v>0</v>
      </c>
      <c r="E90">
        <v>0</v>
      </c>
      <c r="F90">
        <v>20000</v>
      </c>
      <c r="G90">
        <v>0</v>
      </c>
      <c r="H90">
        <v>0</v>
      </c>
      <c r="I90">
        <v>0</v>
      </c>
      <c r="J90">
        <v>0</v>
      </c>
      <c r="K90" s="1">
        <v>0</v>
      </c>
      <c r="L90" s="1"/>
      <c r="M90">
        <v>0</v>
      </c>
      <c r="N90" s="4">
        <v>0</v>
      </c>
      <c r="O90" s="4">
        <v>0</v>
      </c>
      <c r="P90" s="4">
        <v>0</v>
      </c>
      <c r="Q90" s="4">
        <v>0</v>
      </c>
      <c r="R90" t="s">
        <v>380</v>
      </c>
      <c r="S90" t="s">
        <v>385</v>
      </c>
      <c r="T90" s="4">
        <v>4</v>
      </c>
      <c r="U90" s="4">
        <v>7</v>
      </c>
      <c r="V90" s="4">
        <v>0</v>
      </c>
      <c r="W90" s="4">
        <v>0</v>
      </c>
      <c r="X90" s="4">
        <v>0</v>
      </c>
    </row>
    <row r="91" spans="1:24">
      <c r="A91">
        <v>10011</v>
      </c>
      <c r="B91" t="s">
        <v>376</v>
      </c>
      <c r="C91">
        <v>9</v>
      </c>
      <c r="D91">
        <v>0</v>
      </c>
      <c r="E91">
        <v>0</v>
      </c>
      <c r="F91">
        <v>50000</v>
      </c>
      <c r="G91">
        <v>0</v>
      </c>
      <c r="H91">
        <v>0</v>
      </c>
      <c r="I91">
        <v>0</v>
      </c>
      <c r="J91">
        <v>0</v>
      </c>
      <c r="K91" s="1">
        <v>0</v>
      </c>
      <c r="L91" s="1"/>
      <c r="M91">
        <v>0</v>
      </c>
      <c r="N91" s="4">
        <v>0</v>
      </c>
      <c r="O91" s="4">
        <v>0</v>
      </c>
      <c r="P91" s="4">
        <v>0</v>
      </c>
      <c r="Q91" s="4">
        <v>0</v>
      </c>
      <c r="R91" t="s">
        <v>381</v>
      </c>
      <c r="S91" t="s">
        <v>386</v>
      </c>
      <c r="T91" s="4">
        <v>5</v>
      </c>
      <c r="U91" s="4">
        <v>7</v>
      </c>
      <c r="V91" s="4">
        <v>0</v>
      </c>
      <c r="W91" s="4">
        <v>0</v>
      </c>
      <c r="X91" s="4">
        <v>0</v>
      </c>
    </row>
    <row r="92" spans="1:24">
      <c r="A92">
        <v>10012</v>
      </c>
      <c r="B92" t="s">
        <v>377</v>
      </c>
      <c r="C92">
        <v>9</v>
      </c>
      <c r="D92">
        <v>0</v>
      </c>
      <c r="E92">
        <v>0</v>
      </c>
      <c r="F92">
        <v>80000</v>
      </c>
      <c r="G92">
        <v>0</v>
      </c>
      <c r="H92">
        <v>0</v>
      </c>
      <c r="I92">
        <v>0</v>
      </c>
      <c r="J92">
        <v>0</v>
      </c>
      <c r="K92" s="1">
        <v>0</v>
      </c>
      <c r="L92" s="1"/>
      <c r="M92">
        <v>0</v>
      </c>
      <c r="N92" s="4">
        <v>0</v>
      </c>
      <c r="O92" s="4">
        <v>0</v>
      </c>
      <c r="P92" s="4">
        <v>0</v>
      </c>
      <c r="Q92" s="4">
        <v>0</v>
      </c>
      <c r="R92" t="s">
        <v>382</v>
      </c>
      <c r="S92" t="s">
        <v>387</v>
      </c>
      <c r="T92" s="4">
        <v>5</v>
      </c>
      <c r="U92" s="4">
        <v>7</v>
      </c>
      <c r="V92" s="4">
        <v>0</v>
      </c>
      <c r="W92" s="4">
        <v>0</v>
      </c>
      <c r="X92" s="4">
        <v>0</v>
      </c>
    </row>
    <row r="93" spans="1:24">
      <c r="A93">
        <v>10013</v>
      </c>
      <c r="B93" t="s">
        <v>388</v>
      </c>
      <c r="C93">
        <v>7</v>
      </c>
      <c r="D93">
        <v>0</v>
      </c>
      <c r="E93">
        <v>0</v>
      </c>
      <c r="F93">
        <v>0</v>
      </c>
      <c r="G93">
        <v>0</v>
      </c>
      <c r="H93" t="s">
        <v>352</v>
      </c>
      <c r="I93">
        <v>0</v>
      </c>
      <c r="J93">
        <v>0</v>
      </c>
      <c r="K93" s="1">
        <v>0</v>
      </c>
      <c r="L93" s="1">
        <v>0</v>
      </c>
      <c r="M93">
        <v>0</v>
      </c>
      <c r="N93" s="4">
        <v>0</v>
      </c>
      <c r="O93" s="4">
        <v>0</v>
      </c>
      <c r="P93" s="4">
        <v>0</v>
      </c>
      <c r="Q93" s="4">
        <v>0</v>
      </c>
      <c r="R93" t="s">
        <v>55</v>
      </c>
      <c r="S93" t="s">
        <v>398</v>
      </c>
      <c r="T93" s="4">
        <v>2</v>
      </c>
      <c r="U93" s="4">
        <v>0</v>
      </c>
      <c r="V93" s="4">
        <v>0</v>
      </c>
      <c r="W93" s="4">
        <v>0</v>
      </c>
      <c r="X93" s="4">
        <v>0</v>
      </c>
    </row>
    <row r="94" spans="1:24">
      <c r="A94">
        <v>10014</v>
      </c>
      <c r="B94" t="s">
        <v>389</v>
      </c>
      <c r="C94">
        <v>7</v>
      </c>
      <c r="D94">
        <v>0</v>
      </c>
      <c r="E94">
        <v>0</v>
      </c>
      <c r="F94">
        <v>0</v>
      </c>
      <c r="G94">
        <v>0</v>
      </c>
      <c r="H94" t="s">
        <v>353</v>
      </c>
      <c r="I94">
        <v>0</v>
      </c>
      <c r="J94">
        <v>0</v>
      </c>
      <c r="K94" s="1">
        <v>0</v>
      </c>
      <c r="L94" s="1">
        <v>0</v>
      </c>
      <c r="M94">
        <v>0</v>
      </c>
      <c r="N94" s="4">
        <v>0</v>
      </c>
      <c r="O94" s="4">
        <v>0</v>
      </c>
      <c r="P94" s="4">
        <v>0</v>
      </c>
      <c r="Q94" s="4">
        <v>0</v>
      </c>
      <c r="R94" t="s">
        <v>394</v>
      </c>
      <c r="S94" t="s">
        <v>397</v>
      </c>
      <c r="T94" s="4">
        <v>3</v>
      </c>
      <c r="U94" s="4">
        <v>0</v>
      </c>
      <c r="V94" s="4">
        <v>0</v>
      </c>
      <c r="W94" s="4">
        <v>0</v>
      </c>
      <c r="X94" s="4">
        <v>0</v>
      </c>
    </row>
    <row r="95" spans="1:24">
      <c r="A95">
        <v>10015</v>
      </c>
      <c r="B95" t="s">
        <v>390</v>
      </c>
      <c r="C95">
        <v>7</v>
      </c>
      <c r="D95">
        <v>0</v>
      </c>
      <c r="E95">
        <v>0</v>
      </c>
      <c r="F95">
        <v>0</v>
      </c>
      <c r="G95">
        <v>0</v>
      </c>
      <c r="H95" t="s">
        <v>395</v>
      </c>
      <c r="I95">
        <v>0</v>
      </c>
      <c r="J95">
        <v>0</v>
      </c>
      <c r="K95" s="1">
        <v>0</v>
      </c>
      <c r="L95" s="1">
        <v>0</v>
      </c>
      <c r="M95">
        <v>0</v>
      </c>
      <c r="N95" s="4">
        <v>0</v>
      </c>
      <c r="O95" s="4">
        <v>0</v>
      </c>
      <c r="P95" s="4">
        <v>0</v>
      </c>
      <c r="Q95" s="4">
        <v>0</v>
      </c>
      <c r="R95" t="s">
        <v>392</v>
      </c>
      <c r="S95" t="s">
        <v>396</v>
      </c>
      <c r="T95" s="4">
        <v>4</v>
      </c>
      <c r="U95" s="4">
        <v>0</v>
      </c>
      <c r="V95" s="4">
        <v>0</v>
      </c>
      <c r="W95" s="4">
        <v>0</v>
      </c>
      <c r="X95" s="4">
        <v>0</v>
      </c>
    </row>
    <row r="96" spans="1:24">
      <c r="A96">
        <v>10016</v>
      </c>
      <c r="B96" t="s">
        <v>391</v>
      </c>
      <c r="C96">
        <v>7</v>
      </c>
      <c r="D96">
        <v>0</v>
      </c>
      <c r="E96">
        <v>0</v>
      </c>
      <c r="F96">
        <v>0</v>
      </c>
      <c r="G96">
        <v>0</v>
      </c>
      <c r="H96" t="s">
        <v>354</v>
      </c>
      <c r="I96">
        <v>0</v>
      </c>
      <c r="J96">
        <v>0</v>
      </c>
      <c r="K96" s="1">
        <v>0</v>
      </c>
      <c r="L96" s="1">
        <v>0</v>
      </c>
      <c r="M96">
        <v>0</v>
      </c>
      <c r="N96" s="4">
        <v>0</v>
      </c>
      <c r="O96" s="4">
        <v>0</v>
      </c>
      <c r="P96" s="4">
        <v>0</v>
      </c>
      <c r="Q96" s="4">
        <v>0</v>
      </c>
      <c r="R96" t="s">
        <v>393</v>
      </c>
      <c r="S96" t="s">
        <v>399</v>
      </c>
      <c r="T96" s="4">
        <v>5</v>
      </c>
      <c r="U96" s="4">
        <v>0</v>
      </c>
      <c r="V96" s="4">
        <v>0</v>
      </c>
      <c r="W96" s="4">
        <v>0</v>
      </c>
      <c r="X96" s="4">
        <v>0</v>
      </c>
    </row>
    <row r="97" spans="1:24">
      <c r="A97">
        <v>70002</v>
      </c>
      <c r="B97" t="s">
        <v>355</v>
      </c>
      <c r="C97">
        <v>7</v>
      </c>
      <c r="D97">
        <v>0</v>
      </c>
      <c r="E97">
        <v>0</v>
      </c>
      <c r="F97">
        <v>0</v>
      </c>
      <c r="G97">
        <v>0</v>
      </c>
      <c r="H97" t="s">
        <v>356</v>
      </c>
      <c r="I97">
        <v>0</v>
      </c>
      <c r="J97">
        <v>0</v>
      </c>
      <c r="K97" s="1">
        <v>0</v>
      </c>
      <c r="L97" s="1"/>
      <c r="M97">
        <v>0</v>
      </c>
      <c r="N97" s="4">
        <v>0</v>
      </c>
      <c r="O97" s="4">
        <v>0</v>
      </c>
      <c r="P97" s="4">
        <v>0</v>
      </c>
      <c r="Q97" s="4">
        <v>0</v>
      </c>
      <c r="R97" t="s">
        <v>357</v>
      </c>
      <c r="S97" t="s">
        <v>355</v>
      </c>
      <c r="T97" s="4">
        <v>1</v>
      </c>
      <c r="U97" s="4">
        <v>0</v>
      </c>
      <c r="V97" s="4">
        <v>0</v>
      </c>
      <c r="W97" s="4">
        <v>0</v>
      </c>
      <c r="X97" s="4">
        <v>0</v>
      </c>
    </row>
    <row r="98" spans="1:24">
      <c r="A98">
        <v>70003</v>
      </c>
      <c r="B98" t="s">
        <v>358</v>
      </c>
      <c r="C98">
        <v>7</v>
      </c>
      <c r="D98">
        <v>0</v>
      </c>
      <c r="E98">
        <v>0</v>
      </c>
      <c r="F98">
        <v>0</v>
      </c>
      <c r="G98">
        <v>0</v>
      </c>
      <c r="H98" t="s">
        <v>359</v>
      </c>
      <c r="I98">
        <v>0</v>
      </c>
      <c r="J98">
        <v>0</v>
      </c>
      <c r="K98" s="1">
        <v>0</v>
      </c>
      <c r="L98" s="1"/>
      <c r="M98">
        <v>0</v>
      </c>
      <c r="N98" s="4">
        <v>0</v>
      </c>
      <c r="O98" s="4">
        <v>0</v>
      </c>
      <c r="P98" s="4">
        <v>0</v>
      </c>
      <c r="Q98" s="4">
        <v>0</v>
      </c>
      <c r="R98" t="s">
        <v>357</v>
      </c>
      <c r="S98" t="s">
        <v>358</v>
      </c>
      <c r="T98" s="4">
        <v>1</v>
      </c>
      <c r="U98" s="4">
        <v>0</v>
      </c>
      <c r="V98" s="4">
        <v>0</v>
      </c>
      <c r="W98" s="4">
        <v>0</v>
      </c>
      <c r="X98" s="4">
        <v>0</v>
      </c>
    </row>
    <row r="99" spans="1:24">
      <c r="A99">
        <v>70004</v>
      </c>
      <c r="B99" t="s">
        <v>360</v>
      </c>
      <c r="C99">
        <v>7</v>
      </c>
      <c r="D99">
        <v>0</v>
      </c>
      <c r="E99">
        <v>0</v>
      </c>
      <c r="F99">
        <v>0</v>
      </c>
      <c r="G99">
        <v>0</v>
      </c>
      <c r="H99" t="s">
        <v>361</v>
      </c>
      <c r="I99">
        <v>0</v>
      </c>
      <c r="J99">
        <v>0</v>
      </c>
      <c r="K99" s="1">
        <v>0</v>
      </c>
      <c r="L99" s="1"/>
      <c r="M99">
        <v>0</v>
      </c>
      <c r="N99" s="4">
        <v>0</v>
      </c>
      <c r="O99" s="4">
        <v>0</v>
      </c>
      <c r="P99" s="4">
        <v>0</v>
      </c>
      <c r="Q99" s="4">
        <v>0</v>
      </c>
      <c r="R99" t="s">
        <v>357</v>
      </c>
      <c r="S99" t="s">
        <v>360</v>
      </c>
      <c r="T99" s="4">
        <v>1</v>
      </c>
      <c r="U99" s="4">
        <v>0</v>
      </c>
      <c r="V99" s="4">
        <v>0</v>
      </c>
      <c r="W99" s="4">
        <v>0</v>
      </c>
      <c r="X99" s="4">
        <v>0</v>
      </c>
    </row>
    <row r="100" spans="1:24">
      <c r="A100">
        <v>70005</v>
      </c>
      <c r="B100" t="s">
        <v>362</v>
      </c>
      <c r="C100">
        <v>7</v>
      </c>
      <c r="D100">
        <v>0</v>
      </c>
      <c r="E100">
        <v>0</v>
      </c>
      <c r="F100">
        <v>0</v>
      </c>
      <c r="G100">
        <v>0</v>
      </c>
      <c r="H100" t="s">
        <v>363</v>
      </c>
      <c r="I100">
        <v>0</v>
      </c>
      <c r="J100">
        <v>0</v>
      </c>
      <c r="K100" s="1">
        <v>0</v>
      </c>
      <c r="L100" s="1"/>
      <c r="M100">
        <v>0</v>
      </c>
      <c r="N100" s="4">
        <v>0</v>
      </c>
      <c r="O100" s="4">
        <v>0</v>
      </c>
      <c r="P100" s="4">
        <v>0</v>
      </c>
      <c r="Q100" s="4">
        <v>0</v>
      </c>
      <c r="R100" t="s">
        <v>357</v>
      </c>
      <c r="S100" t="s">
        <v>362</v>
      </c>
      <c r="T100" s="4">
        <v>1</v>
      </c>
      <c r="U100" s="4">
        <v>0</v>
      </c>
      <c r="V100" s="4">
        <v>0</v>
      </c>
      <c r="W100" s="4">
        <v>0</v>
      </c>
      <c r="X100" s="4">
        <v>0</v>
      </c>
    </row>
    <row r="101" spans="1:24">
      <c r="A101">
        <v>70006</v>
      </c>
      <c r="B101" t="s">
        <v>364</v>
      </c>
      <c r="C101">
        <v>7</v>
      </c>
      <c r="D101">
        <v>0</v>
      </c>
      <c r="E101">
        <v>0</v>
      </c>
      <c r="F101">
        <v>0</v>
      </c>
      <c r="G101">
        <v>0</v>
      </c>
      <c r="H101" t="s">
        <v>365</v>
      </c>
      <c r="I101">
        <v>0</v>
      </c>
      <c r="J101">
        <v>0</v>
      </c>
      <c r="K101" s="1">
        <v>0</v>
      </c>
      <c r="L101" s="1"/>
      <c r="M101">
        <v>0</v>
      </c>
      <c r="N101" s="4">
        <v>0</v>
      </c>
      <c r="O101" s="4">
        <v>0</v>
      </c>
      <c r="P101" s="4">
        <v>0</v>
      </c>
      <c r="Q101" s="4">
        <v>0</v>
      </c>
      <c r="R101" t="s">
        <v>357</v>
      </c>
      <c r="S101" t="s">
        <v>364</v>
      </c>
      <c r="T101" s="4">
        <v>1</v>
      </c>
      <c r="U101" s="4">
        <v>0</v>
      </c>
      <c r="V101" s="4">
        <v>0</v>
      </c>
      <c r="W101" s="4">
        <v>0</v>
      </c>
      <c r="X101" s="4">
        <v>0</v>
      </c>
    </row>
    <row r="102" spans="1:24">
      <c r="A102">
        <v>70007</v>
      </c>
      <c r="B102" t="s">
        <v>366</v>
      </c>
      <c r="C102">
        <v>7</v>
      </c>
      <c r="D102">
        <v>0</v>
      </c>
      <c r="E102">
        <v>0</v>
      </c>
      <c r="F102">
        <v>0</v>
      </c>
      <c r="G102">
        <v>0</v>
      </c>
      <c r="H102" t="s">
        <v>367</v>
      </c>
      <c r="I102">
        <v>0</v>
      </c>
      <c r="J102">
        <v>0</v>
      </c>
      <c r="K102" s="1">
        <v>0</v>
      </c>
      <c r="L102" s="1"/>
      <c r="M102">
        <v>0</v>
      </c>
      <c r="N102" s="4">
        <v>0</v>
      </c>
      <c r="O102" s="4">
        <v>0</v>
      </c>
      <c r="P102" s="4">
        <v>0</v>
      </c>
      <c r="Q102" s="4">
        <v>0</v>
      </c>
      <c r="R102" t="s">
        <v>357</v>
      </c>
      <c r="S102" t="s">
        <v>366</v>
      </c>
      <c r="T102" s="4">
        <v>1</v>
      </c>
      <c r="U102" s="4">
        <v>0</v>
      </c>
      <c r="V102" s="4">
        <v>0</v>
      </c>
      <c r="W102" s="4">
        <v>0</v>
      </c>
      <c r="X102" s="4">
        <v>0</v>
      </c>
    </row>
    <row r="103" spans="1:24">
      <c r="A103">
        <v>90001</v>
      </c>
      <c r="B103" t="s">
        <v>368</v>
      </c>
      <c r="C103">
        <v>11</v>
      </c>
      <c r="D103">
        <v>0</v>
      </c>
      <c r="E103">
        <v>0</v>
      </c>
      <c r="F103">
        <v>0</v>
      </c>
      <c r="G103">
        <v>0</v>
      </c>
      <c r="H103" t="s">
        <v>369</v>
      </c>
      <c r="I103">
        <v>0</v>
      </c>
      <c r="J103">
        <v>0</v>
      </c>
      <c r="K103" s="1">
        <v>0</v>
      </c>
      <c r="L103" s="1">
        <v>0</v>
      </c>
      <c r="M103">
        <v>0</v>
      </c>
      <c r="N103" s="4">
        <v>0</v>
      </c>
      <c r="O103" s="4">
        <v>0</v>
      </c>
      <c r="P103" s="4">
        <v>0</v>
      </c>
      <c r="Q103" s="4">
        <v>0</v>
      </c>
      <c r="R103" t="s">
        <v>370</v>
      </c>
      <c r="S103" t="s">
        <v>371</v>
      </c>
      <c r="T103" s="4">
        <v>1</v>
      </c>
      <c r="U103" s="4">
        <v>0</v>
      </c>
      <c r="V103" s="4">
        <v>0</v>
      </c>
      <c r="W103" s="4">
        <v>0</v>
      </c>
      <c r="X103" s="4">
        <v>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U99"/>
  <sheetViews>
    <sheetView topLeftCell="J10" workbookViewId="0">
      <selection activeCell="N35" sqref="A1:U99"/>
    </sheetView>
  </sheetViews>
  <sheetFormatPr defaultRowHeight="13.5"/>
  <sheetData>
    <row r="1" spans="1:2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s="4" t="s">
        <v>11</v>
      </c>
      <c r="J1" s="4" t="s">
        <v>12</v>
      </c>
      <c r="K1" s="4" t="s">
        <v>14</v>
      </c>
      <c r="L1" s="4" t="s">
        <v>15</v>
      </c>
      <c r="M1" s="4" t="s">
        <v>16</v>
      </c>
      <c r="N1" s="4" t="s">
        <v>17</v>
      </c>
      <c r="O1" s="4" t="s">
        <v>18</v>
      </c>
      <c r="P1" t="s">
        <v>19</v>
      </c>
      <c r="Q1" s="5" t="s">
        <v>13</v>
      </c>
      <c r="R1" s="4" t="s">
        <v>20</v>
      </c>
      <c r="S1" t="s">
        <v>10</v>
      </c>
      <c r="T1" s="4" t="s">
        <v>21</v>
      </c>
      <c r="U1" t="s">
        <v>22</v>
      </c>
    </row>
    <row r="2" spans="1:21">
      <c r="A2">
        <f>item.xml!A6</f>
        <v>60001</v>
      </c>
      <c r="B2" t="str">
        <f>item.xml!B6</f>
        <v>强化精华</v>
      </c>
      <c r="C2">
        <f>item.xml!C6</f>
        <v>6</v>
      </c>
      <c r="D2">
        <f>item.xml!D6</f>
        <v>0</v>
      </c>
      <c r="E2">
        <f>item.xml!E6</f>
        <v>0</v>
      </c>
      <c r="F2">
        <f>item.xml!F6</f>
        <v>0</v>
      </c>
      <c r="G2">
        <f>item.xml!G6</f>
        <v>0</v>
      </c>
      <c r="H2">
        <f>item.xml!H6</f>
        <v>0</v>
      </c>
      <c r="I2">
        <f>item.xml!J6</f>
        <v>0</v>
      </c>
      <c r="J2">
        <f>item.xml!K6</f>
        <v>0</v>
      </c>
      <c r="K2">
        <f>item.xml!M6</f>
        <v>0</v>
      </c>
      <c r="L2">
        <f>item.xml!N6</f>
        <v>0</v>
      </c>
      <c r="M2">
        <f>item.xml!O6</f>
        <v>0</v>
      </c>
      <c r="N2">
        <f>item.xml!P6</f>
        <v>0</v>
      </c>
      <c r="O2">
        <f>item.xml!Q6</f>
        <v>0</v>
      </c>
      <c r="P2" t="str">
        <f>item.xml!R6</f>
        <v>Item/3.png</v>
      </c>
      <c r="Q2">
        <f>item.xml!L6</f>
        <v>0</v>
      </c>
      <c r="R2" t="str">
        <f>item.xml!S6</f>
        <v>装备强化时使用，可以通过战胜BOSS获得</v>
      </c>
      <c r="S2">
        <f>item.xml!I6</f>
        <v>0</v>
      </c>
      <c r="T2">
        <f>item.xml!T6</f>
        <v>1</v>
      </c>
      <c r="U2">
        <f>item.xml!U6</f>
        <v>0</v>
      </c>
    </row>
    <row r="3" spans="1:21">
      <c r="A3">
        <f>item.xml!A7</f>
        <v>41001</v>
      </c>
      <c r="B3" t="str">
        <f>item.xml!B7</f>
        <v>宝石袋</v>
      </c>
      <c r="C3">
        <f>item.xml!C7</f>
        <v>8</v>
      </c>
      <c r="D3">
        <f>item.xml!D7</f>
        <v>0</v>
      </c>
      <c r="E3">
        <f>item.xml!E7</f>
        <v>0</v>
      </c>
      <c r="F3">
        <f>item.xml!F7</f>
        <v>0</v>
      </c>
      <c r="G3">
        <f>item.xml!G7</f>
        <v>0</v>
      </c>
      <c r="H3" t="str">
        <f>item.xml!H7</f>
        <v>3000006_0_1_10000</v>
      </c>
      <c r="I3">
        <f>item.xml!J7</f>
        <v>0</v>
      </c>
      <c r="J3">
        <f>item.xml!K7</f>
        <v>0</v>
      </c>
      <c r="K3">
        <f>item.xml!M7</f>
        <v>0</v>
      </c>
      <c r="L3">
        <f>item.xml!N7</f>
        <v>0</v>
      </c>
      <c r="M3">
        <f>item.xml!O7</f>
        <v>0</v>
      </c>
      <c r="N3">
        <f>item.xml!P7</f>
        <v>0</v>
      </c>
      <c r="O3">
        <f>item.xml!Q7</f>
        <v>0</v>
      </c>
      <c r="P3" t="str">
        <f>item.xml!R7</f>
        <v>Item/12.png</v>
      </c>
      <c r="Q3">
        <f>item.xml!L7</f>
        <v>0</v>
      </c>
      <c r="R3" t="str">
        <f>item.xml!S7</f>
        <v>使用后获得1颗1级宝石</v>
      </c>
      <c r="S3">
        <f>item.xml!I7</f>
        <v>0</v>
      </c>
      <c r="T3">
        <f>item.xml!T7</f>
        <v>1</v>
      </c>
      <c r="U3">
        <f>item.xml!U7</f>
        <v>0</v>
      </c>
    </row>
    <row r="4" spans="1:21">
      <c r="A4">
        <f>item.xml!A8</f>
        <v>41002</v>
      </c>
      <c r="B4" t="str">
        <f>item.xml!B8</f>
        <v>高级宝石袋</v>
      </c>
      <c r="C4">
        <f>item.xml!C8</f>
        <v>8</v>
      </c>
      <c r="D4">
        <f>item.xml!D8</f>
        <v>0</v>
      </c>
      <c r="E4">
        <f>item.xml!E8</f>
        <v>0</v>
      </c>
      <c r="F4">
        <f>item.xml!F8</f>
        <v>0</v>
      </c>
      <c r="G4">
        <f>item.xml!G8</f>
        <v>0</v>
      </c>
      <c r="H4" t="str">
        <f>item.xml!H8</f>
        <v>3000005_0_1_10000</v>
      </c>
      <c r="I4">
        <f>item.xml!J8</f>
        <v>0</v>
      </c>
      <c r="J4">
        <f>item.xml!K8</f>
        <v>0</v>
      </c>
      <c r="K4">
        <f>item.xml!M8</f>
        <v>0</v>
      </c>
      <c r="L4">
        <f>item.xml!N8</f>
        <v>0</v>
      </c>
      <c r="M4">
        <f>item.xml!O8</f>
        <v>0</v>
      </c>
      <c r="N4">
        <f>item.xml!P8</f>
        <v>0</v>
      </c>
      <c r="O4">
        <f>item.xml!Q8</f>
        <v>0</v>
      </c>
      <c r="P4" t="str">
        <f>item.xml!R8</f>
        <v>Item/13.png</v>
      </c>
      <c r="Q4">
        <f>item.xml!L8</f>
        <v>0</v>
      </c>
      <c r="R4" t="str">
        <f>item.xml!S8</f>
        <v>使用后获得1颗4级宝石</v>
      </c>
      <c r="S4">
        <f>item.xml!I8</f>
        <v>0</v>
      </c>
      <c r="T4">
        <f>item.xml!T8</f>
        <v>1</v>
      </c>
      <c r="U4">
        <f>item.xml!U8</f>
        <v>0</v>
      </c>
    </row>
    <row r="5" spans="1:21">
      <c r="A5">
        <f>item.xml!A9</f>
        <v>70001</v>
      </c>
      <c r="B5" t="str">
        <f>item.xml!B9</f>
        <v>礼包</v>
      </c>
      <c r="C5">
        <f>item.xml!C9</f>
        <v>7</v>
      </c>
      <c r="D5">
        <f>item.xml!D9</f>
        <v>0</v>
      </c>
      <c r="E5">
        <f>item.xml!E9</f>
        <v>0</v>
      </c>
      <c r="F5">
        <f>item.xml!F9</f>
        <v>0</v>
      </c>
      <c r="G5">
        <f>item.xml!G9</f>
        <v>0</v>
      </c>
      <c r="H5" t="str">
        <f>item.xml!H9</f>
        <v>30001_2_1,30001_1_50</v>
      </c>
      <c r="I5">
        <f>item.xml!J9</f>
        <v>0</v>
      </c>
      <c r="J5">
        <f>item.xml!K9</f>
        <v>0</v>
      </c>
      <c r="K5">
        <f>item.xml!M9</f>
        <v>0</v>
      </c>
      <c r="L5">
        <f>item.xml!N9</f>
        <v>0</v>
      </c>
      <c r="M5">
        <f>item.xml!O9</f>
        <v>0</v>
      </c>
      <c r="N5">
        <f>item.xml!P9</f>
        <v>0</v>
      </c>
      <c r="O5">
        <f>item.xml!Q9</f>
        <v>0</v>
      </c>
      <c r="P5" t="str">
        <f>item.xml!R9</f>
        <v>Item/gift1.png</v>
      </c>
      <c r="Q5">
        <f>item.xml!L9</f>
        <v>0</v>
      </c>
      <c r="R5" t="str">
        <f>item.xml!S9</f>
        <v>这个是礼包</v>
      </c>
      <c r="S5">
        <f>item.xml!I9</f>
        <v>0</v>
      </c>
      <c r="T5">
        <f>item.xml!T9</f>
        <v>1</v>
      </c>
      <c r="U5">
        <f>item.xml!U9</f>
        <v>0</v>
      </c>
    </row>
    <row r="6" spans="1:21">
      <c r="A6">
        <f>item.xml!A10</f>
        <v>50001</v>
      </c>
      <c r="B6" t="str">
        <f>item.xml!B10</f>
        <v>铜钥匙</v>
      </c>
      <c r="C6">
        <f>item.xml!C10</f>
        <v>5</v>
      </c>
      <c r="D6">
        <f>item.xml!D10</f>
        <v>0</v>
      </c>
      <c r="E6">
        <f>item.xml!E10</f>
        <v>0</v>
      </c>
      <c r="F6">
        <f>item.xml!F10</f>
        <v>0</v>
      </c>
      <c r="G6">
        <f>item.xml!G10</f>
        <v>40001</v>
      </c>
      <c r="H6">
        <f>item.xml!H10</f>
        <v>0</v>
      </c>
      <c r="I6">
        <f>item.xml!J10</f>
        <v>0</v>
      </c>
      <c r="J6">
        <f>item.xml!K10</f>
        <v>0</v>
      </c>
      <c r="K6">
        <f>item.xml!M10</f>
        <v>0</v>
      </c>
      <c r="L6">
        <f>item.xml!N10</f>
        <v>0</v>
      </c>
      <c r="M6">
        <f>item.xml!O10</f>
        <v>0</v>
      </c>
      <c r="N6">
        <f>item.xml!P10</f>
        <v>0</v>
      </c>
      <c r="O6">
        <f>item.xml!Q10</f>
        <v>0</v>
      </c>
      <c r="P6" t="str">
        <f>item.xml!R10</f>
        <v>Item/21.png</v>
      </c>
      <c r="Q6">
        <f>item.xml!L10</f>
        <v>0</v>
      </c>
      <c r="R6" t="str">
        <f>item.xml!S10</f>
        <v>可以用来打开在地图里打怪时发现的铜宝箱</v>
      </c>
      <c r="S6">
        <f>item.xml!I10</f>
        <v>0</v>
      </c>
      <c r="T6">
        <f>item.xml!T10</f>
        <v>2</v>
      </c>
      <c r="U6">
        <f>item.xml!U10</f>
        <v>0</v>
      </c>
    </row>
    <row r="7" spans="1:21">
      <c r="A7">
        <f>item.xml!A11</f>
        <v>50002</v>
      </c>
      <c r="B7" t="str">
        <f>item.xml!B11</f>
        <v>银钥匙</v>
      </c>
      <c r="C7">
        <f>item.xml!C11</f>
        <v>5</v>
      </c>
      <c r="D7">
        <f>item.xml!D11</f>
        <v>0</v>
      </c>
      <c r="E7">
        <f>item.xml!E11</f>
        <v>0</v>
      </c>
      <c r="F7">
        <f>item.xml!F11</f>
        <v>0</v>
      </c>
      <c r="G7">
        <f>item.xml!G11</f>
        <v>40002</v>
      </c>
      <c r="H7">
        <f>item.xml!H11</f>
        <v>0</v>
      </c>
      <c r="I7">
        <f>item.xml!J11</f>
        <v>0</v>
      </c>
      <c r="J7">
        <f>item.xml!K11</f>
        <v>0</v>
      </c>
      <c r="K7">
        <f>item.xml!M11</f>
        <v>0</v>
      </c>
      <c r="L7">
        <f>item.xml!N11</f>
        <v>0</v>
      </c>
      <c r="M7">
        <f>item.xml!O11</f>
        <v>0</v>
      </c>
      <c r="N7">
        <f>item.xml!P11</f>
        <v>0</v>
      </c>
      <c r="O7">
        <f>item.xml!Q11</f>
        <v>0</v>
      </c>
      <c r="P7" t="str">
        <f>item.xml!R11</f>
        <v>Item/22.png</v>
      </c>
      <c r="Q7">
        <f>item.xml!L11</f>
        <v>0</v>
      </c>
      <c r="R7" t="str">
        <f>item.xml!S11</f>
        <v>可以用来打开在地图里打怪时发现的银宝箱</v>
      </c>
      <c r="S7">
        <f>item.xml!I11</f>
        <v>0</v>
      </c>
      <c r="T7">
        <f>item.xml!T11</f>
        <v>3</v>
      </c>
      <c r="U7">
        <f>item.xml!U11</f>
        <v>0</v>
      </c>
    </row>
    <row r="8" spans="1:21">
      <c r="A8">
        <f>item.xml!A12</f>
        <v>50003</v>
      </c>
      <c r="B8" t="str">
        <f>item.xml!B12</f>
        <v>金钥匙</v>
      </c>
      <c r="C8">
        <f>item.xml!C12</f>
        <v>5</v>
      </c>
      <c r="D8">
        <f>item.xml!D12</f>
        <v>0</v>
      </c>
      <c r="E8">
        <f>item.xml!E12</f>
        <v>0</v>
      </c>
      <c r="F8">
        <f>item.xml!F12</f>
        <v>0</v>
      </c>
      <c r="G8">
        <f>item.xml!G12</f>
        <v>40003</v>
      </c>
      <c r="H8">
        <f>item.xml!H12</f>
        <v>0</v>
      </c>
      <c r="I8">
        <f>item.xml!J12</f>
        <v>0</v>
      </c>
      <c r="J8">
        <f>item.xml!K12</f>
        <v>0</v>
      </c>
      <c r="K8">
        <f>item.xml!M12</f>
        <v>0</v>
      </c>
      <c r="L8">
        <f>item.xml!N12</f>
        <v>0</v>
      </c>
      <c r="M8">
        <f>item.xml!O12</f>
        <v>0</v>
      </c>
      <c r="N8">
        <f>item.xml!P12</f>
        <v>0</v>
      </c>
      <c r="O8">
        <f>item.xml!Q12</f>
        <v>0</v>
      </c>
      <c r="P8" t="str">
        <f>item.xml!R12</f>
        <v>Item/23.png</v>
      </c>
      <c r="Q8">
        <f>item.xml!L12</f>
        <v>0</v>
      </c>
      <c r="R8" t="str">
        <f>item.xml!S12</f>
        <v>可以用来打开在地图里打怪时发现的金宝箱</v>
      </c>
      <c r="S8">
        <f>item.xml!I12</f>
        <v>0</v>
      </c>
      <c r="T8">
        <f>item.xml!T12</f>
        <v>4</v>
      </c>
      <c r="U8">
        <f>item.xml!U12</f>
        <v>0</v>
      </c>
    </row>
    <row r="9" spans="1:21">
      <c r="A9">
        <f>item.xml!A13</f>
        <v>40001</v>
      </c>
      <c r="B9" t="str">
        <f>item.xml!B13</f>
        <v>铜宝箱</v>
      </c>
      <c r="C9">
        <f>item.xml!C13</f>
        <v>4</v>
      </c>
      <c r="D9">
        <f>item.xml!D13</f>
        <v>0</v>
      </c>
      <c r="E9">
        <f>item.xml!E13</f>
        <v>0</v>
      </c>
      <c r="F9">
        <f>item.xml!F13</f>
        <v>0</v>
      </c>
      <c r="G9">
        <f>item.xml!G13</f>
        <v>50001</v>
      </c>
      <c r="H9" t="str">
        <f>item.xml!H13</f>
        <v>3000004_0_1_10000</v>
      </c>
      <c r="I9">
        <f>item.xml!J13</f>
        <v>0</v>
      </c>
      <c r="J9">
        <f>item.xml!K13</f>
        <v>0</v>
      </c>
      <c r="K9">
        <f>item.xml!M13</f>
        <v>0</v>
      </c>
      <c r="L9">
        <f>item.xml!N13</f>
        <v>0</v>
      </c>
      <c r="M9">
        <f>item.xml!O13</f>
        <v>0</v>
      </c>
      <c r="N9">
        <f>item.xml!P13</f>
        <v>0</v>
      </c>
      <c r="O9">
        <f>item.xml!Q13</f>
        <v>0</v>
      </c>
      <c r="P9" t="str">
        <f>item.xml!R13</f>
        <v>Item/31.png</v>
      </c>
      <c r="Q9">
        <f>item.xml!L13</f>
        <v>0</v>
      </c>
      <c r="R9" t="str">
        <f>item.xml!S13</f>
        <v>铜宝箱</v>
      </c>
      <c r="S9">
        <f>item.xml!I13</f>
        <v>0</v>
      </c>
      <c r="T9">
        <f>item.xml!T13</f>
        <v>1</v>
      </c>
      <c r="U9">
        <f>item.xml!U13</f>
        <v>0</v>
      </c>
    </row>
    <row r="10" spans="1:21">
      <c r="A10">
        <f>item.xml!A14</f>
        <v>40002</v>
      </c>
      <c r="B10" t="str">
        <f>item.xml!B14</f>
        <v>银宝箱</v>
      </c>
      <c r="C10">
        <f>item.xml!C14</f>
        <v>4</v>
      </c>
      <c r="D10">
        <f>item.xml!D14</f>
        <v>0</v>
      </c>
      <c r="E10">
        <f>item.xml!E14</f>
        <v>0</v>
      </c>
      <c r="F10">
        <f>item.xml!F14</f>
        <v>0</v>
      </c>
      <c r="G10">
        <f>item.xml!G14</f>
        <v>50002</v>
      </c>
      <c r="H10" t="str">
        <f>item.xml!H14</f>
        <v>3000003_0_1_10000</v>
      </c>
      <c r="I10">
        <f>item.xml!J14</f>
        <v>0</v>
      </c>
      <c r="J10">
        <f>item.xml!K14</f>
        <v>0</v>
      </c>
      <c r="K10">
        <f>item.xml!M14</f>
        <v>0</v>
      </c>
      <c r="L10">
        <f>item.xml!N14</f>
        <v>0</v>
      </c>
      <c r="M10">
        <f>item.xml!O14</f>
        <v>0</v>
      </c>
      <c r="N10">
        <f>item.xml!P14</f>
        <v>0</v>
      </c>
      <c r="O10">
        <f>item.xml!Q14</f>
        <v>0</v>
      </c>
      <c r="P10" t="str">
        <f>item.xml!R14</f>
        <v>Item/32.png</v>
      </c>
      <c r="Q10">
        <f>item.xml!L14</f>
        <v>0</v>
      </c>
      <c r="R10" t="str">
        <f>item.xml!S14</f>
        <v>银宝箱</v>
      </c>
      <c r="S10">
        <f>item.xml!I14</f>
        <v>0</v>
      </c>
      <c r="T10">
        <f>item.xml!T14</f>
        <v>1</v>
      </c>
      <c r="U10">
        <f>item.xml!U14</f>
        <v>0</v>
      </c>
    </row>
    <row r="11" spans="1:21">
      <c r="A11">
        <f>item.xml!A15</f>
        <v>40003</v>
      </c>
      <c r="B11" t="str">
        <f>item.xml!B15</f>
        <v>金宝箱</v>
      </c>
      <c r="C11">
        <f>item.xml!C15</f>
        <v>4</v>
      </c>
      <c r="D11">
        <f>item.xml!D15</f>
        <v>0</v>
      </c>
      <c r="E11">
        <f>item.xml!E15</f>
        <v>0</v>
      </c>
      <c r="F11">
        <f>item.xml!F15</f>
        <v>0</v>
      </c>
      <c r="G11">
        <f>item.xml!G15</f>
        <v>50003</v>
      </c>
      <c r="H11" t="str">
        <f>item.xml!H15</f>
        <v>3000002_0_1_10000</v>
      </c>
      <c r="I11">
        <f>item.xml!J15</f>
        <v>0</v>
      </c>
      <c r="J11">
        <f>item.xml!K15</f>
        <v>0</v>
      </c>
      <c r="K11">
        <f>item.xml!M15</f>
        <v>0</v>
      </c>
      <c r="L11">
        <f>item.xml!N15</f>
        <v>0</v>
      </c>
      <c r="M11">
        <f>item.xml!O15</f>
        <v>0</v>
      </c>
      <c r="N11">
        <f>item.xml!P15</f>
        <v>0</v>
      </c>
      <c r="O11">
        <f>item.xml!Q15</f>
        <v>0</v>
      </c>
      <c r="P11" t="str">
        <f>item.xml!R15</f>
        <v>Item/33.png</v>
      </c>
      <c r="Q11">
        <f>item.xml!L15</f>
        <v>0</v>
      </c>
      <c r="R11" t="str">
        <f>item.xml!S15</f>
        <v>金宝箱</v>
      </c>
      <c r="S11">
        <f>item.xml!I15</f>
        <v>0</v>
      </c>
      <c r="T11">
        <f>item.xml!T15</f>
        <v>1</v>
      </c>
      <c r="U11">
        <f>item.xml!U15</f>
        <v>0</v>
      </c>
    </row>
    <row r="12" spans="1:21">
      <c r="A12">
        <f>item.xml!A16</f>
        <v>40004</v>
      </c>
      <c r="B12" t="str">
        <f>item.xml!B16</f>
        <v>冒险者宝箱</v>
      </c>
      <c r="C12">
        <f>item.xml!C16</f>
        <v>12</v>
      </c>
      <c r="D12">
        <f>item.xml!D16</f>
        <v>0</v>
      </c>
      <c r="E12">
        <f>item.xml!E16</f>
        <v>0</v>
      </c>
      <c r="F12">
        <f>item.xml!F16</f>
        <v>0</v>
      </c>
      <c r="G12">
        <f>item.xml!G16</f>
        <v>0</v>
      </c>
      <c r="H12" t="str">
        <f>item.xml!H16</f>
        <v>30000_60001_6_5000,30000_90001_1_700,30000_30001_1_500,30000_30002_1_300,30000_30003_1_100,3000007_0_1_10000,30000_60001_10_2000</v>
      </c>
      <c r="I12">
        <f>item.xml!J16</f>
        <v>0</v>
      </c>
      <c r="J12">
        <f>item.xml!K16</f>
        <v>0</v>
      </c>
      <c r="K12">
        <f>item.xml!M16</f>
        <v>0</v>
      </c>
      <c r="L12">
        <f>item.xml!N16</f>
        <v>0</v>
      </c>
      <c r="M12">
        <f>item.xml!O16</f>
        <v>0</v>
      </c>
      <c r="N12">
        <f>item.xml!P16</f>
        <v>0</v>
      </c>
      <c r="O12">
        <f>item.xml!Q16</f>
        <v>0</v>
      </c>
      <c r="P12" t="str">
        <f>item.xml!R16</f>
        <v>Item/31.png</v>
      </c>
      <c r="Q12">
        <f>item.xml!L16</f>
        <v>0</v>
      </c>
      <c r="R12" t="str">
        <f>item.xml!S16</f>
        <v>冒险者宝箱，活动期间挂机可意外获得，也许藏着什么不错的东西。</v>
      </c>
      <c r="S12">
        <f>item.xml!I16</f>
        <v>0</v>
      </c>
      <c r="T12">
        <f>item.xml!T16</f>
        <v>2</v>
      </c>
      <c r="U12">
        <f>item.xml!U16</f>
        <v>0</v>
      </c>
    </row>
    <row r="13" spans="1:21">
      <c r="A13">
        <f>item.xml!A17</f>
        <v>40005</v>
      </c>
      <c r="B13" t="str">
        <f>item.xml!B17</f>
        <v>英雄宝箱</v>
      </c>
      <c r="C13">
        <f>item.xml!C17</f>
        <v>12</v>
      </c>
      <c r="D13">
        <f>item.xml!D17</f>
        <v>0</v>
      </c>
      <c r="E13">
        <f>item.xml!E17</f>
        <v>0</v>
      </c>
      <c r="F13">
        <f>item.xml!F17</f>
        <v>0</v>
      </c>
      <c r="G13">
        <f>item.xml!G17</f>
        <v>0</v>
      </c>
      <c r="H13" t="str">
        <f>item.xml!H17</f>
        <v>30000_60001_50_3500,40000_50300012_1_70,40000_50300032_1_70,40000_50300092_1_70,3000008_0_1_10000,30000_10001_1_3000,30000_90001_2_1200,30000_41002_1_2000,30000_50001_10_1700,30000_50002_5_1200,30000_50003_2_600</v>
      </c>
      <c r="I13">
        <f>item.xml!J17</f>
        <v>0</v>
      </c>
      <c r="J13">
        <f>item.xml!K17</f>
        <v>0</v>
      </c>
      <c r="K13">
        <f>item.xml!M17</f>
        <v>0</v>
      </c>
      <c r="L13">
        <f>item.xml!N17</f>
        <v>0</v>
      </c>
      <c r="M13">
        <f>item.xml!O17</f>
        <v>0</v>
      </c>
      <c r="N13">
        <f>item.xml!P17</f>
        <v>0</v>
      </c>
      <c r="O13">
        <f>item.xml!Q17</f>
        <v>0</v>
      </c>
      <c r="P13" t="str">
        <f>item.xml!R17</f>
        <v>Item/33.png</v>
      </c>
      <c r="Q13">
        <f>item.xml!L17</f>
        <v>0</v>
      </c>
      <c r="R13" t="str">
        <f>item.xml!S17</f>
        <v>英雄宝箱，活动期间挑战BOSS可以获得，各大地精商店也有出售，隐约闪烁着神器的光芒。</v>
      </c>
      <c r="S13">
        <f>item.xml!I17</f>
        <v>0</v>
      </c>
      <c r="T13">
        <f>item.xml!T17</f>
        <v>4</v>
      </c>
      <c r="U13">
        <f>item.xml!U17</f>
        <v>0</v>
      </c>
    </row>
    <row r="14" spans="1:21">
      <c r="A14">
        <f>item.xml!A18</f>
        <v>30001</v>
      </c>
      <c r="B14" t="str">
        <f>item.xml!B18</f>
        <v>铜锤子</v>
      </c>
      <c r="C14">
        <f>item.xml!C18</f>
        <v>3</v>
      </c>
      <c r="D14">
        <f>item.xml!D18</f>
        <v>0</v>
      </c>
      <c r="E14">
        <f>item.xml!E18</f>
        <v>0</v>
      </c>
      <c r="F14">
        <f>item.xml!F18</f>
        <v>0</v>
      </c>
      <c r="G14">
        <f>item.xml!G18</f>
        <v>0</v>
      </c>
      <c r="H14">
        <f>item.xml!H18</f>
        <v>0</v>
      </c>
      <c r="I14">
        <f>item.xml!J18</f>
        <v>0</v>
      </c>
      <c r="J14">
        <f>item.xml!K18</f>
        <v>0</v>
      </c>
      <c r="K14">
        <f>item.xml!M18</f>
        <v>0</v>
      </c>
      <c r="L14">
        <f>item.xml!N18</f>
        <v>0</v>
      </c>
      <c r="M14">
        <f>item.xml!O18</f>
        <v>0</v>
      </c>
      <c r="N14">
        <f>item.xml!P18</f>
        <v>0</v>
      </c>
      <c r="O14">
        <f>item.xml!Q18</f>
        <v>0</v>
      </c>
      <c r="P14" t="str">
        <f>item.xml!R18</f>
        <v>Item/41.png</v>
      </c>
      <c r="Q14">
        <f>item.xml!L18</f>
        <v>0</v>
      </c>
      <c r="R14" t="str">
        <f>item.xml!S18</f>
        <v>铜制的锤子，用来开启装备的第2个宝石孔，可在熔炉中打造获得</v>
      </c>
      <c r="S14">
        <f>item.xml!I18</f>
        <v>500</v>
      </c>
      <c r="T14">
        <f>item.xml!T18</f>
        <v>2</v>
      </c>
      <c r="U14">
        <f>item.xml!U18</f>
        <v>0</v>
      </c>
    </row>
    <row r="15" spans="1:21">
      <c r="A15">
        <f>item.xml!A19</f>
        <v>30002</v>
      </c>
      <c r="B15" t="str">
        <f>item.xml!B19</f>
        <v>银锤子</v>
      </c>
      <c r="C15">
        <f>item.xml!C19</f>
        <v>3</v>
      </c>
      <c r="D15">
        <f>item.xml!D19</f>
        <v>0</v>
      </c>
      <c r="E15">
        <f>item.xml!E19</f>
        <v>0</v>
      </c>
      <c r="F15">
        <f>item.xml!F19</f>
        <v>0</v>
      </c>
      <c r="G15">
        <f>item.xml!G19</f>
        <v>0</v>
      </c>
      <c r="H15">
        <f>item.xml!H19</f>
        <v>0</v>
      </c>
      <c r="I15">
        <f>item.xml!J19</f>
        <v>0</v>
      </c>
      <c r="J15">
        <f>item.xml!K19</f>
        <v>0</v>
      </c>
      <c r="K15">
        <f>item.xml!M19</f>
        <v>0</v>
      </c>
      <c r="L15">
        <f>item.xml!N19</f>
        <v>0</v>
      </c>
      <c r="M15">
        <f>item.xml!O19</f>
        <v>0</v>
      </c>
      <c r="N15">
        <f>item.xml!P19</f>
        <v>0</v>
      </c>
      <c r="O15">
        <f>item.xml!Q19</f>
        <v>0</v>
      </c>
      <c r="P15" t="str">
        <f>item.xml!R19</f>
        <v>Item/42.png</v>
      </c>
      <c r="Q15">
        <f>item.xml!L19</f>
        <v>0</v>
      </c>
      <c r="R15" t="str">
        <f>item.xml!S19</f>
        <v>银制的锤子，用来开启装备的第3个宝石孔，可在熔炉中打造获得</v>
      </c>
      <c r="S15">
        <f>item.xml!I19</f>
        <v>1000</v>
      </c>
      <c r="T15">
        <f>item.xml!T19</f>
        <v>3</v>
      </c>
      <c r="U15">
        <f>item.xml!U19</f>
        <v>0</v>
      </c>
    </row>
    <row r="16" spans="1:21">
      <c r="A16">
        <f>item.xml!A20</f>
        <v>30003</v>
      </c>
      <c r="B16" t="str">
        <f>item.xml!B20</f>
        <v>金锤子</v>
      </c>
      <c r="C16">
        <f>item.xml!C20</f>
        <v>3</v>
      </c>
      <c r="D16">
        <f>item.xml!D20</f>
        <v>0</v>
      </c>
      <c r="E16">
        <f>item.xml!E20</f>
        <v>0</v>
      </c>
      <c r="F16">
        <f>item.xml!F20</f>
        <v>0</v>
      </c>
      <c r="G16">
        <f>item.xml!G20</f>
        <v>0</v>
      </c>
      <c r="H16">
        <f>item.xml!H20</f>
        <v>0</v>
      </c>
      <c r="I16">
        <f>item.xml!J20</f>
        <v>0</v>
      </c>
      <c r="J16">
        <f>item.xml!K20</f>
        <v>0</v>
      </c>
      <c r="K16">
        <f>item.xml!M20</f>
        <v>0</v>
      </c>
      <c r="L16">
        <f>item.xml!N20</f>
        <v>0</v>
      </c>
      <c r="M16">
        <f>item.xml!O20</f>
        <v>0</v>
      </c>
      <c r="N16">
        <f>item.xml!P20</f>
        <v>0</v>
      </c>
      <c r="O16">
        <f>item.xml!Q20</f>
        <v>0</v>
      </c>
      <c r="P16" t="str">
        <f>item.xml!R20</f>
        <v>Item/43.png</v>
      </c>
      <c r="Q16">
        <f>item.xml!L20</f>
        <v>0</v>
      </c>
      <c r="R16" t="str">
        <f>item.xml!S20</f>
        <v>金制的锤子，用来开启装备的第4个宝石孔，可在熔炉中打造获得</v>
      </c>
      <c r="S16">
        <f>item.xml!I20</f>
        <v>2000</v>
      </c>
      <c r="T16">
        <f>item.xml!T20</f>
        <v>4</v>
      </c>
      <c r="U16">
        <f>item.xml!U20</f>
        <v>0</v>
      </c>
    </row>
    <row r="17" spans="1:21">
      <c r="A17">
        <f>item.xml!A21</f>
        <v>20101</v>
      </c>
      <c r="B17" t="str">
        <f>item.xml!B21</f>
        <v>1级红宝石</v>
      </c>
      <c r="C17">
        <f>item.xml!C21</f>
        <v>2</v>
      </c>
      <c r="D17">
        <f>item.xml!D21</f>
        <v>0</v>
      </c>
      <c r="E17">
        <f>item.xml!E21</f>
        <v>0</v>
      </c>
      <c r="F17">
        <f>item.xml!F21</f>
        <v>0</v>
      </c>
      <c r="G17">
        <f>item.xml!G21</f>
        <v>0</v>
      </c>
      <c r="H17">
        <f>item.xml!H21</f>
        <v>0</v>
      </c>
      <c r="I17" t="str">
        <f>item.xml!J21</f>
        <v>30000_0_0</v>
      </c>
      <c r="J17">
        <f>item.xml!K21</f>
        <v>3000</v>
      </c>
      <c r="K17">
        <f>item.xml!M21</f>
        <v>20102</v>
      </c>
      <c r="L17">
        <f>item.xml!N21</f>
        <v>10</v>
      </c>
      <c r="M17">
        <f>item.xml!O21</f>
        <v>0</v>
      </c>
      <c r="N17">
        <f>item.xml!P21</f>
        <v>0</v>
      </c>
      <c r="O17">
        <f>item.xml!Q21</f>
        <v>0</v>
      </c>
      <c r="P17" t="str">
        <f>item.xml!R21</f>
        <v>Item/101.png</v>
      </c>
      <c r="Q17" t="str">
        <f>item.xml!L21</f>
        <v>10,2</v>
      </c>
      <c r="R17" t="str">
        <f>item.xml!S21</f>
        <v>镶嵌后+10点力量，2-15级红宝石升级的材料</v>
      </c>
      <c r="S17">
        <f>item.xml!I21</f>
        <v>0</v>
      </c>
      <c r="T17">
        <f>item.xml!T21</f>
        <v>1</v>
      </c>
      <c r="U17">
        <f>item.xml!U21</f>
        <v>0</v>
      </c>
    </row>
    <row r="18" spans="1:21">
      <c r="A18">
        <f>item.xml!A22</f>
        <v>20102</v>
      </c>
      <c r="B18" t="str">
        <f>item.xml!B22</f>
        <v>2级红宝石</v>
      </c>
      <c r="C18">
        <f>item.xml!C22</f>
        <v>2</v>
      </c>
      <c r="D18">
        <f>item.xml!D22</f>
        <v>0</v>
      </c>
      <c r="E18">
        <f>item.xml!E22</f>
        <v>0</v>
      </c>
      <c r="F18">
        <f>item.xml!F22</f>
        <v>0</v>
      </c>
      <c r="G18">
        <f>item.xml!G22</f>
        <v>0</v>
      </c>
      <c r="H18">
        <f>item.xml!H22</f>
        <v>0</v>
      </c>
      <c r="I18" t="str">
        <f>item.xml!J22</f>
        <v>40000_0_0</v>
      </c>
      <c r="J18">
        <f>item.xml!K22</f>
        <v>2000</v>
      </c>
      <c r="K18">
        <f>item.xml!M22</f>
        <v>20103</v>
      </c>
      <c r="L18">
        <f>item.xml!N22</f>
        <v>15</v>
      </c>
      <c r="M18">
        <f>item.xml!O22</f>
        <v>0</v>
      </c>
      <c r="N18">
        <f>item.xml!P22</f>
        <v>0</v>
      </c>
      <c r="O18">
        <f>item.xml!Q22</f>
        <v>0</v>
      </c>
      <c r="P18" t="str">
        <f>item.xml!R22</f>
        <v>Item/102.png</v>
      </c>
      <c r="Q18" t="str">
        <f>item.xml!L22</f>
        <v>20,3</v>
      </c>
      <c r="R18" t="str">
        <f>item.xml!S22</f>
        <v>镶嵌后+15点力量，3-15级红宝石升级的材料</v>
      </c>
      <c r="S18">
        <f>item.xml!I22</f>
        <v>0</v>
      </c>
      <c r="T18">
        <f>item.xml!T22</f>
        <v>1</v>
      </c>
      <c r="U18">
        <f>item.xml!U22</f>
        <v>0</v>
      </c>
    </row>
    <row r="19" spans="1:21">
      <c r="A19">
        <f>item.xml!A23</f>
        <v>20103</v>
      </c>
      <c r="B19" t="str">
        <f>item.xml!B23</f>
        <v>3级红宝石</v>
      </c>
      <c r="C19">
        <f>item.xml!C23</f>
        <v>2</v>
      </c>
      <c r="D19">
        <f>item.xml!D23</f>
        <v>0</v>
      </c>
      <c r="E19">
        <f>item.xml!E23</f>
        <v>0</v>
      </c>
      <c r="F19">
        <f>item.xml!F23</f>
        <v>0</v>
      </c>
      <c r="G19">
        <f>item.xml!G23</f>
        <v>0</v>
      </c>
      <c r="H19">
        <f>item.xml!H23</f>
        <v>0</v>
      </c>
      <c r="I19" t="str">
        <f>item.xml!J23</f>
        <v>50000_20101_1</v>
      </c>
      <c r="J19">
        <f>item.xml!K23</f>
        <v>1500</v>
      </c>
      <c r="K19">
        <f>item.xml!M23</f>
        <v>20104</v>
      </c>
      <c r="L19">
        <f>item.xml!N23</f>
        <v>20</v>
      </c>
      <c r="M19">
        <f>item.xml!O23</f>
        <v>0</v>
      </c>
      <c r="N19">
        <f>item.xml!P23</f>
        <v>0</v>
      </c>
      <c r="O19">
        <f>item.xml!Q23</f>
        <v>0</v>
      </c>
      <c r="P19" t="str">
        <f>item.xml!R23</f>
        <v>Item/103.png</v>
      </c>
      <c r="Q19" t="str">
        <f>item.xml!L23</f>
        <v>40,5</v>
      </c>
      <c r="R19" t="str">
        <f>item.xml!S23</f>
        <v>镶嵌后+20点力量，4-15级红宝石升级的材料</v>
      </c>
      <c r="S19">
        <f>item.xml!I23</f>
        <v>0</v>
      </c>
      <c r="T19">
        <f>item.xml!T23</f>
        <v>1</v>
      </c>
      <c r="U19">
        <f>item.xml!U23</f>
        <v>0</v>
      </c>
    </row>
    <row r="20" spans="1:21">
      <c r="A20">
        <f>item.xml!A24</f>
        <v>20104</v>
      </c>
      <c r="B20" t="str">
        <f>item.xml!B24</f>
        <v>4级红宝石</v>
      </c>
      <c r="C20">
        <f>item.xml!C24</f>
        <v>2</v>
      </c>
      <c r="D20">
        <f>item.xml!D24</f>
        <v>0</v>
      </c>
      <c r="E20">
        <f>item.xml!E24</f>
        <v>0</v>
      </c>
      <c r="F20">
        <f>item.xml!F24</f>
        <v>0</v>
      </c>
      <c r="G20">
        <f>item.xml!G24</f>
        <v>0</v>
      </c>
      <c r="H20">
        <f>item.xml!H24</f>
        <v>0</v>
      </c>
      <c r="I20" t="str">
        <f>item.xml!J24</f>
        <v>100000_20101_2</v>
      </c>
      <c r="J20">
        <f>item.xml!K24</f>
        <v>1000</v>
      </c>
      <c r="K20">
        <f>item.xml!M24</f>
        <v>20105</v>
      </c>
      <c r="L20">
        <f>item.xml!N24</f>
        <v>30</v>
      </c>
      <c r="M20">
        <f>item.xml!O24</f>
        <v>0</v>
      </c>
      <c r="N20">
        <f>item.xml!P24</f>
        <v>0</v>
      </c>
      <c r="O20">
        <f>item.xml!Q24</f>
        <v>0</v>
      </c>
      <c r="P20" t="str">
        <f>item.xml!R24</f>
        <v>Item/104.png</v>
      </c>
      <c r="Q20" t="str">
        <f>item.xml!L24</f>
        <v>100,10</v>
      </c>
      <c r="R20" t="str">
        <f>item.xml!S24</f>
        <v>镶嵌后+30点力量，5-15级红宝石升级的材料</v>
      </c>
      <c r="S20">
        <f>item.xml!I24</f>
        <v>0</v>
      </c>
      <c r="T20">
        <f>item.xml!T24</f>
        <v>1</v>
      </c>
      <c r="U20">
        <f>item.xml!U24</f>
        <v>0</v>
      </c>
    </row>
    <row r="21" spans="1:21">
      <c r="A21">
        <f>item.xml!A25</f>
        <v>20105</v>
      </c>
      <c r="B21" t="str">
        <f>item.xml!B25</f>
        <v>5级红宝石</v>
      </c>
      <c r="C21">
        <f>item.xml!C25</f>
        <v>2</v>
      </c>
      <c r="D21">
        <f>item.xml!D25</f>
        <v>0</v>
      </c>
      <c r="E21">
        <f>item.xml!E25</f>
        <v>0</v>
      </c>
      <c r="F21">
        <f>item.xml!F25</f>
        <v>0</v>
      </c>
      <c r="G21">
        <f>item.xml!G25</f>
        <v>0</v>
      </c>
      <c r="H21">
        <f>item.xml!H25</f>
        <v>0</v>
      </c>
      <c r="I21" t="str">
        <f>item.xml!J25</f>
        <v>150000_20101_3</v>
      </c>
      <c r="J21">
        <f>item.xml!K25</f>
        <v>950</v>
      </c>
      <c r="K21">
        <f>item.xml!M25</f>
        <v>20106</v>
      </c>
      <c r="L21">
        <f>item.xml!N25</f>
        <v>50</v>
      </c>
      <c r="M21">
        <f>item.xml!O25</f>
        <v>0</v>
      </c>
      <c r="N21">
        <f>item.xml!P25</f>
        <v>0</v>
      </c>
      <c r="O21">
        <f>item.xml!Q25</f>
        <v>0</v>
      </c>
      <c r="P21" t="str">
        <f>item.xml!R25</f>
        <v>Item/105.png</v>
      </c>
      <c r="Q21" t="str">
        <f>item.xml!L25</f>
        <v>150,15</v>
      </c>
      <c r="R21" t="str">
        <f>item.xml!S25</f>
        <v>镶嵌后+50点力量，6-15级红宝石升级的材料</v>
      </c>
      <c r="S21">
        <f>item.xml!I25</f>
        <v>0</v>
      </c>
      <c r="T21">
        <f>item.xml!T25</f>
        <v>1</v>
      </c>
      <c r="U21">
        <f>item.xml!U25</f>
        <v>0</v>
      </c>
    </row>
    <row r="22" spans="1:21">
      <c r="A22">
        <f>item.xml!A26</f>
        <v>20106</v>
      </c>
      <c r="B22" t="str">
        <f>item.xml!B26</f>
        <v>6级红宝石</v>
      </c>
      <c r="C22">
        <f>item.xml!C26</f>
        <v>2</v>
      </c>
      <c r="D22">
        <f>item.xml!D26</f>
        <v>0</v>
      </c>
      <c r="E22">
        <f>item.xml!E26</f>
        <v>0</v>
      </c>
      <c r="F22">
        <f>item.xml!F26</f>
        <v>0</v>
      </c>
      <c r="G22">
        <f>item.xml!G26</f>
        <v>0</v>
      </c>
      <c r="H22">
        <f>item.xml!H26</f>
        <v>0</v>
      </c>
      <c r="I22" t="str">
        <f>item.xml!J26</f>
        <v>200000_20101_4</v>
      </c>
      <c r="J22">
        <f>item.xml!K26</f>
        <v>900</v>
      </c>
      <c r="K22">
        <f>item.xml!M26</f>
        <v>20107</v>
      </c>
      <c r="L22">
        <f>item.xml!N26</f>
        <v>80</v>
      </c>
      <c r="M22">
        <f>item.xml!O26</f>
        <v>0</v>
      </c>
      <c r="N22">
        <f>item.xml!P26</f>
        <v>0</v>
      </c>
      <c r="O22">
        <f>item.xml!Q26</f>
        <v>0</v>
      </c>
      <c r="P22" t="str">
        <f>item.xml!R26</f>
        <v>Item/106.png</v>
      </c>
      <c r="Q22" t="str">
        <f>item.xml!L26</f>
        <v>200,20</v>
      </c>
      <c r="R22" t="str">
        <f>item.xml!S26</f>
        <v>镶嵌后+80点力量，7-15级红宝石升级的材料</v>
      </c>
      <c r="S22">
        <f>item.xml!I26</f>
        <v>0</v>
      </c>
      <c r="T22">
        <f>item.xml!T26</f>
        <v>1</v>
      </c>
      <c r="U22">
        <f>item.xml!U26</f>
        <v>0</v>
      </c>
    </row>
    <row r="23" spans="1:21">
      <c r="A23">
        <f>item.xml!A27</f>
        <v>20107</v>
      </c>
      <c r="B23" t="str">
        <f>item.xml!B27</f>
        <v>7级红宝石</v>
      </c>
      <c r="C23">
        <f>item.xml!C27</f>
        <v>2</v>
      </c>
      <c r="D23">
        <f>item.xml!D27</f>
        <v>0</v>
      </c>
      <c r="E23">
        <f>item.xml!E27</f>
        <v>0</v>
      </c>
      <c r="F23">
        <f>item.xml!F27</f>
        <v>0</v>
      </c>
      <c r="G23">
        <f>item.xml!G27</f>
        <v>0</v>
      </c>
      <c r="H23">
        <f>item.xml!H27</f>
        <v>0</v>
      </c>
      <c r="I23" t="str">
        <f>item.xml!J27</f>
        <v>300000_20101_6</v>
      </c>
      <c r="J23">
        <f>item.xml!K27</f>
        <v>850</v>
      </c>
      <c r="K23">
        <f>item.xml!M27</f>
        <v>20108</v>
      </c>
      <c r="L23">
        <f>item.xml!N27</f>
        <v>120</v>
      </c>
      <c r="M23">
        <f>item.xml!O27</f>
        <v>0</v>
      </c>
      <c r="N23">
        <f>item.xml!P27</f>
        <v>0</v>
      </c>
      <c r="O23">
        <f>item.xml!Q27</f>
        <v>0</v>
      </c>
      <c r="P23" t="str">
        <f>item.xml!R27</f>
        <v>Item/107.png</v>
      </c>
      <c r="Q23" t="str">
        <f>item.xml!L27</f>
        <v>250,25</v>
      </c>
      <c r="R23" t="str">
        <f>item.xml!S27</f>
        <v>镶嵌后+120点力量，8-15级红宝石升级的材料</v>
      </c>
      <c r="S23">
        <f>item.xml!I27</f>
        <v>0</v>
      </c>
      <c r="T23">
        <f>item.xml!T27</f>
        <v>1</v>
      </c>
      <c r="U23">
        <f>item.xml!U27</f>
        <v>0</v>
      </c>
    </row>
    <row r="24" spans="1:21">
      <c r="A24">
        <f>item.xml!A28</f>
        <v>20108</v>
      </c>
      <c r="B24" t="str">
        <f>item.xml!B28</f>
        <v>8级红宝石</v>
      </c>
      <c r="C24">
        <f>item.xml!C28</f>
        <v>2</v>
      </c>
      <c r="D24">
        <f>item.xml!D28</f>
        <v>0</v>
      </c>
      <c r="E24">
        <f>item.xml!E28</f>
        <v>0</v>
      </c>
      <c r="F24">
        <f>item.xml!F28</f>
        <v>0</v>
      </c>
      <c r="G24">
        <f>item.xml!G28</f>
        <v>0</v>
      </c>
      <c r="H24">
        <f>item.xml!H28</f>
        <v>0</v>
      </c>
      <c r="I24" t="str">
        <f>item.xml!J28</f>
        <v>400000_20101_8</v>
      </c>
      <c r="J24">
        <f>item.xml!K28</f>
        <v>800</v>
      </c>
      <c r="K24">
        <f>item.xml!M28</f>
        <v>20109</v>
      </c>
      <c r="L24">
        <f>item.xml!N28</f>
        <v>170</v>
      </c>
      <c r="M24">
        <f>item.xml!O28</f>
        <v>0</v>
      </c>
      <c r="N24">
        <f>item.xml!P28</f>
        <v>0</v>
      </c>
      <c r="O24">
        <f>item.xml!Q28</f>
        <v>0</v>
      </c>
      <c r="P24" t="str">
        <f>item.xml!R28</f>
        <v>Item/108.png</v>
      </c>
      <c r="Q24" t="str">
        <f>item.xml!L28</f>
        <v>300,30</v>
      </c>
      <c r="R24" t="str">
        <f>item.xml!S28</f>
        <v>镶嵌后+170点力量，9-15级红宝石升级的材料</v>
      </c>
      <c r="S24">
        <f>item.xml!I28</f>
        <v>0</v>
      </c>
      <c r="T24">
        <f>item.xml!T28</f>
        <v>1</v>
      </c>
      <c r="U24">
        <f>item.xml!U28</f>
        <v>0</v>
      </c>
    </row>
    <row r="25" spans="1:21">
      <c r="A25">
        <f>item.xml!A29</f>
        <v>20109</v>
      </c>
      <c r="B25" t="str">
        <f>item.xml!B29</f>
        <v>9级红宝石</v>
      </c>
      <c r="C25">
        <f>item.xml!C29</f>
        <v>2</v>
      </c>
      <c r="D25">
        <f>item.xml!D29</f>
        <v>0</v>
      </c>
      <c r="E25">
        <f>item.xml!E29</f>
        <v>0</v>
      </c>
      <c r="F25">
        <f>item.xml!F29</f>
        <v>0</v>
      </c>
      <c r="G25">
        <f>item.xml!G29</f>
        <v>0</v>
      </c>
      <c r="H25">
        <f>item.xml!H29</f>
        <v>0</v>
      </c>
      <c r="I25" t="str">
        <f>item.xml!J29</f>
        <v>500000_20101_10</v>
      </c>
      <c r="J25">
        <f>item.xml!K29</f>
        <v>750</v>
      </c>
      <c r="K25">
        <f>item.xml!M29</f>
        <v>20110</v>
      </c>
      <c r="L25">
        <f>item.xml!N29</f>
        <v>230</v>
      </c>
      <c r="M25">
        <f>item.xml!O29</f>
        <v>0</v>
      </c>
      <c r="N25">
        <f>item.xml!P29</f>
        <v>0</v>
      </c>
      <c r="O25">
        <f>item.xml!Q29</f>
        <v>0</v>
      </c>
      <c r="P25" t="str">
        <f>item.xml!R29</f>
        <v>Item/109.png</v>
      </c>
      <c r="Q25" t="str">
        <f>item.xml!L29</f>
        <v>350,35</v>
      </c>
      <c r="R25" t="str">
        <f>item.xml!S29</f>
        <v>镶嵌后+230点力量，10-15级红宝石升级的材料</v>
      </c>
      <c r="S25">
        <f>item.xml!I29</f>
        <v>0</v>
      </c>
      <c r="T25">
        <f>item.xml!T29</f>
        <v>1</v>
      </c>
      <c r="U25">
        <f>item.xml!U29</f>
        <v>0</v>
      </c>
    </row>
    <row r="26" spans="1:21">
      <c r="A26">
        <f>item.xml!A30</f>
        <v>20110</v>
      </c>
      <c r="B26" t="str">
        <f>item.xml!B30</f>
        <v>10级红宝石</v>
      </c>
      <c r="C26">
        <f>item.xml!C30</f>
        <v>2</v>
      </c>
      <c r="D26">
        <f>item.xml!D30</f>
        <v>0</v>
      </c>
      <c r="E26">
        <f>item.xml!E30</f>
        <v>0</v>
      </c>
      <c r="F26">
        <f>item.xml!F30</f>
        <v>0</v>
      </c>
      <c r="G26">
        <f>item.xml!G30</f>
        <v>0</v>
      </c>
      <c r="H26">
        <f>item.xml!H30</f>
        <v>0</v>
      </c>
      <c r="I26" t="str">
        <f>item.xml!J30</f>
        <v>650000_20101_13</v>
      </c>
      <c r="J26">
        <f>item.xml!K30</f>
        <v>700</v>
      </c>
      <c r="K26">
        <f>item.xml!M30</f>
        <v>20111</v>
      </c>
      <c r="L26">
        <f>item.xml!N30</f>
        <v>300</v>
      </c>
      <c r="M26">
        <f>item.xml!O30</f>
        <v>0</v>
      </c>
      <c r="N26">
        <f>item.xml!P30</f>
        <v>0</v>
      </c>
      <c r="O26">
        <f>item.xml!Q30</f>
        <v>0</v>
      </c>
      <c r="P26" t="str">
        <f>item.xml!R30</f>
        <v>Item/110.png</v>
      </c>
      <c r="Q26" t="str">
        <f>item.xml!L30</f>
        <v>400,40</v>
      </c>
      <c r="R26" t="str">
        <f>item.xml!S30</f>
        <v>镶嵌后+300点力量，11-15级红宝石升级的材料</v>
      </c>
      <c r="S26">
        <f>item.xml!I30</f>
        <v>0</v>
      </c>
      <c r="T26">
        <f>item.xml!T30</f>
        <v>1</v>
      </c>
      <c r="U26">
        <f>item.xml!U30</f>
        <v>0</v>
      </c>
    </row>
    <row r="27" spans="1:21">
      <c r="A27">
        <f>item.xml!A31</f>
        <v>20111</v>
      </c>
      <c r="B27" t="str">
        <f>item.xml!B31</f>
        <v>11级红宝石</v>
      </c>
      <c r="C27">
        <f>item.xml!C31</f>
        <v>2</v>
      </c>
      <c r="D27">
        <f>item.xml!D31</f>
        <v>0</v>
      </c>
      <c r="E27">
        <f>item.xml!E31</f>
        <v>0</v>
      </c>
      <c r="F27">
        <f>item.xml!F31</f>
        <v>0</v>
      </c>
      <c r="G27">
        <f>item.xml!G31</f>
        <v>0</v>
      </c>
      <c r="H27">
        <f>item.xml!H31</f>
        <v>0</v>
      </c>
      <c r="I27" t="str">
        <f>item.xml!J31</f>
        <v>800000_20101_16</v>
      </c>
      <c r="J27">
        <f>item.xml!K31</f>
        <v>650</v>
      </c>
      <c r="K27">
        <f>item.xml!M31</f>
        <v>20112</v>
      </c>
      <c r="L27">
        <f>item.xml!N31</f>
        <v>380</v>
      </c>
      <c r="M27">
        <f>item.xml!O31</f>
        <v>0</v>
      </c>
      <c r="N27">
        <f>item.xml!P31</f>
        <v>0</v>
      </c>
      <c r="O27">
        <f>item.xml!Q31</f>
        <v>0</v>
      </c>
      <c r="P27" t="str">
        <f>item.xml!R31</f>
        <v>Item/111.png</v>
      </c>
      <c r="Q27" t="str">
        <f>item.xml!L31</f>
        <v>450,45</v>
      </c>
      <c r="R27" t="str">
        <f>item.xml!S31</f>
        <v>镶嵌后+380点力量，12-15级红宝石升级的材料</v>
      </c>
      <c r="S27">
        <f>item.xml!I31</f>
        <v>0</v>
      </c>
      <c r="T27">
        <f>item.xml!T31</f>
        <v>1</v>
      </c>
      <c r="U27">
        <f>item.xml!U31</f>
        <v>0</v>
      </c>
    </row>
    <row r="28" spans="1:21">
      <c r="A28">
        <f>item.xml!A32</f>
        <v>20112</v>
      </c>
      <c r="B28" t="str">
        <f>item.xml!B32</f>
        <v>12级红宝石</v>
      </c>
      <c r="C28">
        <f>item.xml!C32</f>
        <v>2</v>
      </c>
      <c r="D28">
        <f>item.xml!D32</f>
        <v>0</v>
      </c>
      <c r="E28">
        <f>item.xml!E32</f>
        <v>0</v>
      </c>
      <c r="F28">
        <f>item.xml!F32</f>
        <v>0</v>
      </c>
      <c r="G28">
        <f>item.xml!G32</f>
        <v>0</v>
      </c>
      <c r="H28">
        <f>item.xml!H32</f>
        <v>0</v>
      </c>
      <c r="I28" t="str">
        <f>item.xml!J32</f>
        <v>950000_20101_19</v>
      </c>
      <c r="J28">
        <f>item.xml!K32</f>
        <v>600</v>
      </c>
      <c r="K28">
        <f>item.xml!M32</f>
        <v>20113</v>
      </c>
      <c r="L28">
        <f>item.xml!N32</f>
        <v>470</v>
      </c>
      <c r="M28">
        <f>item.xml!O32</f>
        <v>0</v>
      </c>
      <c r="N28">
        <f>item.xml!P32</f>
        <v>0</v>
      </c>
      <c r="O28">
        <f>item.xml!Q32</f>
        <v>0</v>
      </c>
      <c r="P28" t="str">
        <f>item.xml!R32</f>
        <v>Item/112.png</v>
      </c>
      <c r="Q28" t="str">
        <f>item.xml!L32</f>
        <v>500,50</v>
      </c>
      <c r="R28" t="str">
        <f>item.xml!S32</f>
        <v>镶嵌后+470点力量，13-15级红宝石升级的材料</v>
      </c>
      <c r="S28">
        <f>item.xml!I32</f>
        <v>0</v>
      </c>
      <c r="T28">
        <f>item.xml!T32</f>
        <v>1</v>
      </c>
      <c r="U28">
        <f>item.xml!U32</f>
        <v>0</v>
      </c>
    </row>
    <row r="29" spans="1:21">
      <c r="A29">
        <f>item.xml!A33</f>
        <v>20113</v>
      </c>
      <c r="B29" t="str">
        <f>item.xml!B33</f>
        <v>13级红宝石</v>
      </c>
      <c r="C29">
        <f>item.xml!C33</f>
        <v>2</v>
      </c>
      <c r="D29">
        <f>item.xml!D33</f>
        <v>0</v>
      </c>
      <c r="E29">
        <f>item.xml!E33</f>
        <v>0</v>
      </c>
      <c r="F29">
        <f>item.xml!F33</f>
        <v>0</v>
      </c>
      <c r="G29">
        <f>item.xml!G33</f>
        <v>0</v>
      </c>
      <c r="H29">
        <f>item.xml!H33</f>
        <v>0</v>
      </c>
      <c r="I29" t="str">
        <f>item.xml!J33</f>
        <v>1150000_20101_23</v>
      </c>
      <c r="J29">
        <f>item.xml!K33</f>
        <v>550</v>
      </c>
      <c r="K29">
        <f>item.xml!M33</f>
        <v>20114</v>
      </c>
      <c r="L29">
        <f>item.xml!N33</f>
        <v>570</v>
      </c>
      <c r="M29">
        <f>item.xml!O33</f>
        <v>0</v>
      </c>
      <c r="N29">
        <f>item.xml!P33</f>
        <v>0</v>
      </c>
      <c r="O29">
        <f>item.xml!Q33</f>
        <v>0</v>
      </c>
      <c r="P29" t="str">
        <f>item.xml!R33</f>
        <v>Item/113.png</v>
      </c>
      <c r="Q29" t="str">
        <f>item.xml!L33</f>
        <v>550,55</v>
      </c>
      <c r="R29" t="str">
        <f>item.xml!S33</f>
        <v>镶嵌后+570点力量，14-15级红宝石升级的材料</v>
      </c>
      <c r="S29">
        <f>item.xml!I33</f>
        <v>0</v>
      </c>
      <c r="T29">
        <f>item.xml!T33</f>
        <v>1</v>
      </c>
      <c r="U29">
        <f>item.xml!U33</f>
        <v>0</v>
      </c>
    </row>
    <row r="30" spans="1:21">
      <c r="A30">
        <f>item.xml!A34</f>
        <v>20114</v>
      </c>
      <c r="B30" t="str">
        <f>item.xml!B34</f>
        <v>14级红宝石</v>
      </c>
      <c r="C30">
        <f>item.xml!C34</f>
        <v>2</v>
      </c>
      <c r="D30">
        <f>item.xml!D34</f>
        <v>0</v>
      </c>
      <c r="E30">
        <f>item.xml!E34</f>
        <v>0</v>
      </c>
      <c r="F30">
        <f>item.xml!F34</f>
        <v>0</v>
      </c>
      <c r="G30">
        <f>item.xml!G34</f>
        <v>0</v>
      </c>
      <c r="H30">
        <f>item.xml!H34</f>
        <v>0</v>
      </c>
      <c r="I30" t="str">
        <f>item.xml!J34</f>
        <v>1350000_20101_27</v>
      </c>
      <c r="J30">
        <f>item.xml!K34</f>
        <v>500</v>
      </c>
      <c r="K30">
        <f>item.xml!M34</f>
        <v>20115</v>
      </c>
      <c r="L30">
        <f>item.xml!N34</f>
        <v>680</v>
      </c>
      <c r="M30">
        <f>item.xml!O34</f>
        <v>0</v>
      </c>
      <c r="N30">
        <f>item.xml!P34</f>
        <v>0</v>
      </c>
      <c r="O30">
        <f>item.xml!Q34</f>
        <v>0</v>
      </c>
      <c r="P30" t="str">
        <f>item.xml!R34</f>
        <v>Item/114.png</v>
      </c>
      <c r="Q30" t="str">
        <f>item.xml!L34</f>
        <v>600,60</v>
      </c>
      <c r="R30" t="str">
        <f>item.xml!S34</f>
        <v>镶嵌后+680点力量，15级红宝石升级的材料</v>
      </c>
      <c r="S30">
        <f>item.xml!I34</f>
        <v>0</v>
      </c>
      <c r="T30">
        <f>item.xml!T34</f>
        <v>1</v>
      </c>
      <c r="U30">
        <f>item.xml!U34</f>
        <v>0</v>
      </c>
    </row>
    <row r="31" spans="1:21">
      <c r="A31">
        <f>item.xml!A35</f>
        <v>20115</v>
      </c>
      <c r="B31" t="str">
        <f>item.xml!B35</f>
        <v>15级红宝石</v>
      </c>
      <c r="C31">
        <f>item.xml!C35</f>
        <v>2</v>
      </c>
      <c r="D31">
        <f>item.xml!D35</f>
        <v>0</v>
      </c>
      <c r="E31">
        <f>item.xml!E35</f>
        <v>0</v>
      </c>
      <c r="F31">
        <f>item.xml!F35</f>
        <v>0</v>
      </c>
      <c r="G31">
        <f>item.xml!G35</f>
        <v>0</v>
      </c>
      <c r="H31">
        <f>item.xml!H35</f>
        <v>0</v>
      </c>
      <c r="I31">
        <f>item.xml!J35</f>
        <v>0</v>
      </c>
      <c r="J31">
        <f>item.xml!K35</f>
        <v>0</v>
      </c>
      <c r="K31">
        <f>item.xml!M35</f>
        <v>0</v>
      </c>
      <c r="L31">
        <f>item.xml!N35</f>
        <v>800</v>
      </c>
      <c r="M31">
        <f>item.xml!O35</f>
        <v>0</v>
      </c>
      <c r="N31">
        <f>item.xml!P35</f>
        <v>0</v>
      </c>
      <c r="O31">
        <f>item.xml!Q35</f>
        <v>0</v>
      </c>
      <c r="P31" t="str">
        <f>item.xml!R35</f>
        <v>Item/115.png</v>
      </c>
      <c r="Q31">
        <f>item.xml!L35</f>
        <v>0</v>
      </c>
      <c r="R31" t="str">
        <f>item.xml!S35</f>
        <v>镶嵌后+800点力量，顶级宝石</v>
      </c>
      <c r="S31">
        <f>item.xml!I35</f>
        <v>0</v>
      </c>
      <c r="T31">
        <f>item.xml!T35</f>
        <v>1</v>
      </c>
      <c r="U31">
        <f>item.xml!U35</f>
        <v>0</v>
      </c>
    </row>
    <row r="32" spans="1:21">
      <c r="A32">
        <f>item.xml!A36</f>
        <v>20201</v>
      </c>
      <c r="B32" t="str">
        <f>item.xml!B36</f>
        <v>1级绿宝石</v>
      </c>
      <c r="C32">
        <f>item.xml!C36</f>
        <v>2</v>
      </c>
      <c r="D32">
        <f>item.xml!D36</f>
        <v>0</v>
      </c>
      <c r="E32">
        <f>item.xml!E36</f>
        <v>0</v>
      </c>
      <c r="F32">
        <f>item.xml!F36</f>
        <v>0</v>
      </c>
      <c r="G32">
        <f>item.xml!G36</f>
        <v>0</v>
      </c>
      <c r="H32">
        <f>item.xml!H36</f>
        <v>0</v>
      </c>
      <c r="I32" t="str">
        <f>item.xml!J36</f>
        <v>30000_0_0</v>
      </c>
      <c r="J32">
        <f>item.xml!K36</f>
        <v>3000</v>
      </c>
      <c r="K32">
        <f>item.xml!M36</f>
        <v>20202</v>
      </c>
      <c r="L32">
        <f>item.xml!N36</f>
        <v>0</v>
      </c>
      <c r="M32">
        <f>item.xml!O36</f>
        <v>10</v>
      </c>
      <c r="N32">
        <f>item.xml!P36</f>
        <v>0</v>
      </c>
      <c r="O32">
        <f>item.xml!Q36</f>
        <v>0</v>
      </c>
      <c r="P32" t="str">
        <f>item.xml!R36</f>
        <v>Item/201.png</v>
      </c>
      <c r="Q32" t="str">
        <f>item.xml!L36</f>
        <v>10,2</v>
      </c>
      <c r="R32" t="str">
        <f>item.xml!S36</f>
        <v>镶嵌后+10点敏捷，2-15级绿宝石升级的材料</v>
      </c>
      <c r="S32">
        <f>item.xml!I36</f>
        <v>0</v>
      </c>
      <c r="T32">
        <f>item.xml!T36</f>
        <v>2</v>
      </c>
      <c r="U32">
        <f>item.xml!U36</f>
        <v>0</v>
      </c>
    </row>
    <row r="33" spans="1:21">
      <c r="A33">
        <f>item.xml!A37</f>
        <v>20202</v>
      </c>
      <c r="B33" t="str">
        <f>item.xml!B37</f>
        <v>2级绿宝石</v>
      </c>
      <c r="C33">
        <f>item.xml!C37</f>
        <v>2</v>
      </c>
      <c r="D33">
        <f>item.xml!D37</f>
        <v>0</v>
      </c>
      <c r="E33">
        <f>item.xml!E37</f>
        <v>0</v>
      </c>
      <c r="F33">
        <f>item.xml!F37</f>
        <v>0</v>
      </c>
      <c r="G33">
        <f>item.xml!G37</f>
        <v>0</v>
      </c>
      <c r="H33">
        <f>item.xml!H37</f>
        <v>0</v>
      </c>
      <c r="I33" t="str">
        <f>item.xml!J37</f>
        <v>40000_0_0</v>
      </c>
      <c r="J33">
        <f>item.xml!K37</f>
        <v>2000</v>
      </c>
      <c r="K33">
        <f>item.xml!M37</f>
        <v>20203</v>
      </c>
      <c r="L33">
        <f>item.xml!N37</f>
        <v>0</v>
      </c>
      <c r="M33">
        <f>item.xml!O37</f>
        <v>15</v>
      </c>
      <c r="N33">
        <f>item.xml!P37</f>
        <v>0</v>
      </c>
      <c r="O33">
        <f>item.xml!Q37</f>
        <v>0</v>
      </c>
      <c r="P33" t="str">
        <f>item.xml!R37</f>
        <v>Item/202.png</v>
      </c>
      <c r="Q33" t="str">
        <f>item.xml!L37</f>
        <v>20,3</v>
      </c>
      <c r="R33" t="str">
        <f>item.xml!S37</f>
        <v>镶嵌后+15点敏捷，3-15级绿宝石升级的材料</v>
      </c>
      <c r="S33">
        <f>item.xml!I37</f>
        <v>0</v>
      </c>
      <c r="T33">
        <f>item.xml!T37</f>
        <v>2</v>
      </c>
      <c r="U33">
        <f>item.xml!U37</f>
        <v>0</v>
      </c>
    </row>
    <row r="34" spans="1:21">
      <c r="A34">
        <f>item.xml!A38</f>
        <v>20203</v>
      </c>
      <c r="B34" t="str">
        <f>item.xml!B38</f>
        <v>3级绿宝石</v>
      </c>
      <c r="C34">
        <f>item.xml!C38</f>
        <v>2</v>
      </c>
      <c r="D34">
        <f>item.xml!D38</f>
        <v>0</v>
      </c>
      <c r="E34">
        <f>item.xml!E38</f>
        <v>0</v>
      </c>
      <c r="F34">
        <f>item.xml!F38</f>
        <v>0</v>
      </c>
      <c r="G34">
        <f>item.xml!G38</f>
        <v>0</v>
      </c>
      <c r="H34">
        <f>item.xml!H38</f>
        <v>0</v>
      </c>
      <c r="I34" t="str">
        <f>item.xml!J38</f>
        <v>50000_20201_1</v>
      </c>
      <c r="J34">
        <f>item.xml!K38</f>
        <v>1500</v>
      </c>
      <c r="K34">
        <f>item.xml!M38</f>
        <v>20204</v>
      </c>
      <c r="L34">
        <f>item.xml!N38</f>
        <v>0</v>
      </c>
      <c r="M34">
        <f>item.xml!O38</f>
        <v>20</v>
      </c>
      <c r="N34">
        <f>item.xml!P38</f>
        <v>0</v>
      </c>
      <c r="O34">
        <f>item.xml!Q38</f>
        <v>0</v>
      </c>
      <c r="P34" t="str">
        <f>item.xml!R38</f>
        <v>Item/203.png</v>
      </c>
      <c r="Q34" t="str">
        <f>item.xml!L38</f>
        <v>40,5</v>
      </c>
      <c r="R34" t="str">
        <f>item.xml!S38</f>
        <v>镶嵌后+20点敏捷，4-15级绿宝石升级的材料</v>
      </c>
      <c r="S34">
        <f>item.xml!I38</f>
        <v>0</v>
      </c>
      <c r="T34">
        <f>item.xml!T38</f>
        <v>2</v>
      </c>
      <c r="U34">
        <f>item.xml!U38</f>
        <v>0</v>
      </c>
    </row>
    <row r="35" spans="1:21">
      <c r="A35">
        <f>item.xml!A39</f>
        <v>20204</v>
      </c>
      <c r="B35" t="str">
        <f>item.xml!B39</f>
        <v>4级绿宝石</v>
      </c>
      <c r="C35">
        <f>item.xml!C39</f>
        <v>2</v>
      </c>
      <c r="D35">
        <f>item.xml!D39</f>
        <v>0</v>
      </c>
      <c r="E35">
        <f>item.xml!E39</f>
        <v>0</v>
      </c>
      <c r="F35">
        <f>item.xml!F39</f>
        <v>0</v>
      </c>
      <c r="G35">
        <f>item.xml!G39</f>
        <v>0</v>
      </c>
      <c r="H35">
        <f>item.xml!H39</f>
        <v>0</v>
      </c>
      <c r="I35" t="str">
        <f>item.xml!J39</f>
        <v>100000_20201_2</v>
      </c>
      <c r="J35">
        <f>item.xml!K39</f>
        <v>1000</v>
      </c>
      <c r="K35">
        <f>item.xml!M39</f>
        <v>20205</v>
      </c>
      <c r="L35">
        <f>item.xml!N39</f>
        <v>0</v>
      </c>
      <c r="M35">
        <f>item.xml!O39</f>
        <v>30</v>
      </c>
      <c r="N35">
        <f>item.xml!P39</f>
        <v>0</v>
      </c>
      <c r="O35">
        <f>item.xml!Q39</f>
        <v>0</v>
      </c>
      <c r="P35" t="str">
        <f>item.xml!R39</f>
        <v>Item/204.png</v>
      </c>
      <c r="Q35" t="str">
        <f>item.xml!L39</f>
        <v>100,10</v>
      </c>
      <c r="R35" t="str">
        <f>item.xml!S39</f>
        <v>镶嵌后+30点敏捷，5-15级绿宝石升级的材料</v>
      </c>
      <c r="S35">
        <f>item.xml!I39</f>
        <v>0</v>
      </c>
      <c r="T35">
        <f>item.xml!T39</f>
        <v>2</v>
      </c>
      <c r="U35">
        <f>item.xml!U39</f>
        <v>0</v>
      </c>
    </row>
    <row r="36" spans="1:21">
      <c r="A36">
        <f>item.xml!A40</f>
        <v>20205</v>
      </c>
      <c r="B36" t="str">
        <f>item.xml!B40</f>
        <v>5级绿宝石</v>
      </c>
      <c r="C36">
        <f>item.xml!C40</f>
        <v>2</v>
      </c>
      <c r="D36">
        <f>item.xml!D40</f>
        <v>0</v>
      </c>
      <c r="E36">
        <f>item.xml!E40</f>
        <v>0</v>
      </c>
      <c r="F36">
        <f>item.xml!F40</f>
        <v>0</v>
      </c>
      <c r="G36">
        <f>item.xml!G40</f>
        <v>0</v>
      </c>
      <c r="H36">
        <f>item.xml!H40</f>
        <v>0</v>
      </c>
      <c r="I36" t="str">
        <f>item.xml!J40</f>
        <v>150000_20201_3</v>
      </c>
      <c r="J36">
        <f>item.xml!K40</f>
        <v>950</v>
      </c>
      <c r="K36">
        <f>item.xml!M40</f>
        <v>20206</v>
      </c>
      <c r="L36">
        <f>item.xml!N40</f>
        <v>0</v>
      </c>
      <c r="M36">
        <f>item.xml!O40</f>
        <v>50</v>
      </c>
      <c r="N36">
        <f>item.xml!P40</f>
        <v>0</v>
      </c>
      <c r="O36">
        <f>item.xml!Q40</f>
        <v>0</v>
      </c>
      <c r="P36" t="str">
        <f>item.xml!R40</f>
        <v>Item/205.png</v>
      </c>
      <c r="Q36" t="str">
        <f>item.xml!L40</f>
        <v>150,15</v>
      </c>
      <c r="R36" t="str">
        <f>item.xml!S40</f>
        <v>镶嵌后+50点敏捷，6-15级绿宝石升级的材料</v>
      </c>
      <c r="S36">
        <f>item.xml!I40</f>
        <v>0</v>
      </c>
      <c r="T36">
        <f>item.xml!T40</f>
        <v>2</v>
      </c>
      <c r="U36">
        <f>item.xml!U40</f>
        <v>0</v>
      </c>
    </row>
    <row r="37" spans="1:21">
      <c r="A37">
        <f>item.xml!A41</f>
        <v>20206</v>
      </c>
      <c r="B37" t="str">
        <f>item.xml!B41</f>
        <v>6级绿宝石</v>
      </c>
      <c r="C37">
        <f>item.xml!C41</f>
        <v>2</v>
      </c>
      <c r="D37">
        <f>item.xml!D41</f>
        <v>0</v>
      </c>
      <c r="E37">
        <f>item.xml!E41</f>
        <v>0</v>
      </c>
      <c r="F37">
        <f>item.xml!F41</f>
        <v>0</v>
      </c>
      <c r="G37">
        <f>item.xml!G41</f>
        <v>0</v>
      </c>
      <c r="H37">
        <f>item.xml!H41</f>
        <v>0</v>
      </c>
      <c r="I37" t="str">
        <f>item.xml!J41</f>
        <v>200000_20201_4</v>
      </c>
      <c r="J37">
        <f>item.xml!K41</f>
        <v>900</v>
      </c>
      <c r="K37">
        <f>item.xml!M41</f>
        <v>20207</v>
      </c>
      <c r="L37">
        <f>item.xml!N41</f>
        <v>0</v>
      </c>
      <c r="M37">
        <f>item.xml!O41</f>
        <v>80</v>
      </c>
      <c r="N37">
        <f>item.xml!P41</f>
        <v>0</v>
      </c>
      <c r="O37">
        <f>item.xml!Q41</f>
        <v>0</v>
      </c>
      <c r="P37" t="str">
        <f>item.xml!R41</f>
        <v>Item/206.png</v>
      </c>
      <c r="Q37" t="str">
        <f>item.xml!L41</f>
        <v>200,20</v>
      </c>
      <c r="R37" t="str">
        <f>item.xml!S41</f>
        <v>镶嵌后+80点敏捷，7-15级绿宝石升级的材料</v>
      </c>
      <c r="S37">
        <f>item.xml!I41</f>
        <v>0</v>
      </c>
      <c r="T37">
        <f>item.xml!T41</f>
        <v>2</v>
      </c>
      <c r="U37">
        <f>item.xml!U41</f>
        <v>0</v>
      </c>
    </row>
    <row r="38" spans="1:21">
      <c r="A38">
        <f>item.xml!A42</f>
        <v>20207</v>
      </c>
      <c r="B38" t="str">
        <f>item.xml!B42</f>
        <v>7级绿宝石</v>
      </c>
      <c r="C38">
        <f>item.xml!C42</f>
        <v>2</v>
      </c>
      <c r="D38">
        <f>item.xml!D42</f>
        <v>0</v>
      </c>
      <c r="E38">
        <f>item.xml!E42</f>
        <v>0</v>
      </c>
      <c r="F38">
        <f>item.xml!F42</f>
        <v>0</v>
      </c>
      <c r="G38">
        <f>item.xml!G42</f>
        <v>0</v>
      </c>
      <c r="H38">
        <f>item.xml!H42</f>
        <v>0</v>
      </c>
      <c r="I38" t="str">
        <f>item.xml!J42</f>
        <v>300000_20201_6</v>
      </c>
      <c r="J38">
        <f>item.xml!K42</f>
        <v>850</v>
      </c>
      <c r="K38">
        <f>item.xml!M42</f>
        <v>20208</v>
      </c>
      <c r="L38">
        <f>item.xml!N42</f>
        <v>0</v>
      </c>
      <c r="M38">
        <f>item.xml!O42</f>
        <v>120</v>
      </c>
      <c r="N38">
        <f>item.xml!P42</f>
        <v>0</v>
      </c>
      <c r="O38">
        <f>item.xml!Q42</f>
        <v>0</v>
      </c>
      <c r="P38" t="str">
        <f>item.xml!R42</f>
        <v>Item/207.png</v>
      </c>
      <c r="Q38" t="str">
        <f>item.xml!L42</f>
        <v>250,25</v>
      </c>
      <c r="R38" t="str">
        <f>item.xml!S42</f>
        <v>镶嵌后+120点敏捷，8-15级绿宝石升级的材料</v>
      </c>
      <c r="S38">
        <f>item.xml!I42</f>
        <v>0</v>
      </c>
      <c r="T38">
        <f>item.xml!T42</f>
        <v>2</v>
      </c>
      <c r="U38">
        <f>item.xml!U42</f>
        <v>0</v>
      </c>
    </row>
    <row r="39" spans="1:21">
      <c r="A39">
        <f>item.xml!A43</f>
        <v>20208</v>
      </c>
      <c r="B39" t="str">
        <f>item.xml!B43</f>
        <v>8级绿宝石</v>
      </c>
      <c r="C39">
        <f>item.xml!C43</f>
        <v>2</v>
      </c>
      <c r="D39">
        <f>item.xml!D43</f>
        <v>0</v>
      </c>
      <c r="E39">
        <f>item.xml!E43</f>
        <v>0</v>
      </c>
      <c r="F39">
        <f>item.xml!F43</f>
        <v>0</v>
      </c>
      <c r="G39">
        <f>item.xml!G43</f>
        <v>0</v>
      </c>
      <c r="H39">
        <f>item.xml!H43</f>
        <v>0</v>
      </c>
      <c r="I39" t="str">
        <f>item.xml!J43</f>
        <v>400000_20201_8</v>
      </c>
      <c r="J39">
        <f>item.xml!K43</f>
        <v>800</v>
      </c>
      <c r="K39">
        <f>item.xml!M43</f>
        <v>20209</v>
      </c>
      <c r="L39">
        <f>item.xml!N43</f>
        <v>0</v>
      </c>
      <c r="M39">
        <f>item.xml!O43</f>
        <v>170</v>
      </c>
      <c r="N39">
        <f>item.xml!P43</f>
        <v>0</v>
      </c>
      <c r="O39">
        <f>item.xml!Q43</f>
        <v>0</v>
      </c>
      <c r="P39" t="str">
        <f>item.xml!R43</f>
        <v>Item/208.png</v>
      </c>
      <c r="Q39" t="str">
        <f>item.xml!L43</f>
        <v>300,30</v>
      </c>
      <c r="R39" t="str">
        <f>item.xml!S43</f>
        <v>镶嵌后+170点敏捷，9-15级绿宝石升级的材料</v>
      </c>
      <c r="S39">
        <f>item.xml!I43</f>
        <v>0</v>
      </c>
      <c r="T39">
        <f>item.xml!T43</f>
        <v>2</v>
      </c>
      <c r="U39">
        <f>item.xml!U43</f>
        <v>0</v>
      </c>
    </row>
    <row r="40" spans="1:21">
      <c r="A40">
        <f>item.xml!A44</f>
        <v>20209</v>
      </c>
      <c r="B40" t="str">
        <f>item.xml!B44</f>
        <v>9级绿宝石</v>
      </c>
      <c r="C40">
        <f>item.xml!C44</f>
        <v>2</v>
      </c>
      <c r="D40">
        <f>item.xml!D44</f>
        <v>0</v>
      </c>
      <c r="E40">
        <f>item.xml!E44</f>
        <v>0</v>
      </c>
      <c r="F40">
        <f>item.xml!F44</f>
        <v>0</v>
      </c>
      <c r="G40">
        <f>item.xml!G44</f>
        <v>0</v>
      </c>
      <c r="H40">
        <f>item.xml!H44</f>
        <v>0</v>
      </c>
      <c r="I40" t="str">
        <f>item.xml!J44</f>
        <v>500000_20201_10</v>
      </c>
      <c r="J40">
        <f>item.xml!K44</f>
        <v>750</v>
      </c>
      <c r="K40">
        <f>item.xml!M44</f>
        <v>20210</v>
      </c>
      <c r="L40">
        <f>item.xml!N44</f>
        <v>0</v>
      </c>
      <c r="M40">
        <f>item.xml!O44</f>
        <v>230</v>
      </c>
      <c r="N40">
        <f>item.xml!P44</f>
        <v>0</v>
      </c>
      <c r="O40">
        <f>item.xml!Q44</f>
        <v>0</v>
      </c>
      <c r="P40" t="str">
        <f>item.xml!R44</f>
        <v>Item/209.png</v>
      </c>
      <c r="Q40" t="str">
        <f>item.xml!L44</f>
        <v>350,35</v>
      </c>
      <c r="R40" t="str">
        <f>item.xml!S44</f>
        <v>镶嵌后+230点敏捷，10-15级绿宝石升级的材料</v>
      </c>
      <c r="S40">
        <f>item.xml!I44</f>
        <v>0</v>
      </c>
      <c r="T40">
        <f>item.xml!T44</f>
        <v>2</v>
      </c>
      <c r="U40">
        <f>item.xml!U44</f>
        <v>0</v>
      </c>
    </row>
    <row r="41" spans="1:21">
      <c r="A41">
        <f>item.xml!A45</f>
        <v>20210</v>
      </c>
      <c r="B41" t="str">
        <f>item.xml!B45</f>
        <v>10级绿宝石</v>
      </c>
      <c r="C41">
        <f>item.xml!C45</f>
        <v>2</v>
      </c>
      <c r="D41">
        <f>item.xml!D45</f>
        <v>0</v>
      </c>
      <c r="E41">
        <f>item.xml!E45</f>
        <v>0</v>
      </c>
      <c r="F41">
        <f>item.xml!F45</f>
        <v>0</v>
      </c>
      <c r="G41">
        <f>item.xml!G45</f>
        <v>0</v>
      </c>
      <c r="H41">
        <f>item.xml!H45</f>
        <v>0</v>
      </c>
      <c r="I41" t="str">
        <f>item.xml!J45</f>
        <v>650000_20201_13</v>
      </c>
      <c r="J41">
        <f>item.xml!K45</f>
        <v>700</v>
      </c>
      <c r="K41">
        <f>item.xml!M45</f>
        <v>20211</v>
      </c>
      <c r="L41">
        <f>item.xml!N45</f>
        <v>0</v>
      </c>
      <c r="M41">
        <f>item.xml!O45</f>
        <v>300</v>
      </c>
      <c r="N41">
        <f>item.xml!P45</f>
        <v>0</v>
      </c>
      <c r="O41">
        <f>item.xml!Q45</f>
        <v>0</v>
      </c>
      <c r="P41" t="str">
        <f>item.xml!R45</f>
        <v>Item/210.png</v>
      </c>
      <c r="Q41" t="str">
        <f>item.xml!L45</f>
        <v>400,40</v>
      </c>
      <c r="R41" t="str">
        <f>item.xml!S45</f>
        <v>镶嵌后+300点敏捷，11-15级绿宝石升级的材料</v>
      </c>
      <c r="S41">
        <f>item.xml!I45</f>
        <v>0</v>
      </c>
      <c r="T41">
        <f>item.xml!T45</f>
        <v>2</v>
      </c>
      <c r="U41">
        <f>item.xml!U45</f>
        <v>0</v>
      </c>
    </row>
    <row r="42" spans="1:21">
      <c r="A42">
        <f>item.xml!A46</f>
        <v>20211</v>
      </c>
      <c r="B42" t="str">
        <f>item.xml!B46</f>
        <v>11级绿宝石</v>
      </c>
      <c r="C42">
        <f>item.xml!C46</f>
        <v>2</v>
      </c>
      <c r="D42">
        <f>item.xml!D46</f>
        <v>0</v>
      </c>
      <c r="E42">
        <f>item.xml!E46</f>
        <v>0</v>
      </c>
      <c r="F42">
        <f>item.xml!F46</f>
        <v>0</v>
      </c>
      <c r="G42">
        <f>item.xml!G46</f>
        <v>0</v>
      </c>
      <c r="H42">
        <f>item.xml!H46</f>
        <v>0</v>
      </c>
      <c r="I42" t="str">
        <f>item.xml!J46</f>
        <v>800000_20201_16</v>
      </c>
      <c r="J42">
        <f>item.xml!K46</f>
        <v>650</v>
      </c>
      <c r="K42">
        <f>item.xml!M46</f>
        <v>20212</v>
      </c>
      <c r="L42">
        <f>item.xml!N46</f>
        <v>0</v>
      </c>
      <c r="M42">
        <f>item.xml!O46</f>
        <v>380</v>
      </c>
      <c r="N42">
        <f>item.xml!P46</f>
        <v>0</v>
      </c>
      <c r="O42">
        <f>item.xml!Q46</f>
        <v>0</v>
      </c>
      <c r="P42" t="str">
        <f>item.xml!R46</f>
        <v>Item/211.png</v>
      </c>
      <c r="Q42" t="str">
        <f>item.xml!L46</f>
        <v>450,45</v>
      </c>
      <c r="R42" t="str">
        <f>item.xml!S46</f>
        <v>镶嵌后+380点敏捷，12-15级绿宝石升级的材料</v>
      </c>
      <c r="S42">
        <f>item.xml!I46</f>
        <v>0</v>
      </c>
      <c r="T42">
        <f>item.xml!T46</f>
        <v>2</v>
      </c>
      <c r="U42">
        <f>item.xml!U46</f>
        <v>0</v>
      </c>
    </row>
    <row r="43" spans="1:21">
      <c r="A43">
        <f>item.xml!A47</f>
        <v>20212</v>
      </c>
      <c r="B43" t="str">
        <f>item.xml!B47</f>
        <v>12级绿宝石</v>
      </c>
      <c r="C43">
        <f>item.xml!C47</f>
        <v>2</v>
      </c>
      <c r="D43">
        <f>item.xml!D47</f>
        <v>0</v>
      </c>
      <c r="E43">
        <f>item.xml!E47</f>
        <v>0</v>
      </c>
      <c r="F43">
        <f>item.xml!F47</f>
        <v>0</v>
      </c>
      <c r="G43">
        <f>item.xml!G47</f>
        <v>0</v>
      </c>
      <c r="H43">
        <f>item.xml!H47</f>
        <v>0</v>
      </c>
      <c r="I43" t="str">
        <f>item.xml!J47</f>
        <v>950000_20201_19</v>
      </c>
      <c r="J43">
        <f>item.xml!K47</f>
        <v>600</v>
      </c>
      <c r="K43">
        <f>item.xml!M47</f>
        <v>20213</v>
      </c>
      <c r="L43">
        <f>item.xml!N47</f>
        <v>0</v>
      </c>
      <c r="M43">
        <f>item.xml!O47</f>
        <v>470</v>
      </c>
      <c r="N43">
        <f>item.xml!P47</f>
        <v>0</v>
      </c>
      <c r="O43">
        <f>item.xml!Q47</f>
        <v>0</v>
      </c>
      <c r="P43" t="str">
        <f>item.xml!R47</f>
        <v>Item/212.png</v>
      </c>
      <c r="Q43" t="str">
        <f>item.xml!L47</f>
        <v>500,50</v>
      </c>
      <c r="R43" t="str">
        <f>item.xml!S47</f>
        <v>镶嵌后+470点敏捷，13-15级绿宝石升级的材料</v>
      </c>
      <c r="S43">
        <f>item.xml!I47</f>
        <v>0</v>
      </c>
      <c r="T43">
        <f>item.xml!T47</f>
        <v>2</v>
      </c>
      <c r="U43">
        <f>item.xml!U47</f>
        <v>0</v>
      </c>
    </row>
    <row r="44" spans="1:21">
      <c r="A44">
        <f>item.xml!A48</f>
        <v>20213</v>
      </c>
      <c r="B44" t="str">
        <f>item.xml!B48</f>
        <v>13级绿宝石</v>
      </c>
      <c r="C44">
        <f>item.xml!C48</f>
        <v>2</v>
      </c>
      <c r="D44">
        <f>item.xml!D48</f>
        <v>0</v>
      </c>
      <c r="E44">
        <f>item.xml!E48</f>
        <v>0</v>
      </c>
      <c r="F44">
        <f>item.xml!F48</f>
        <v>0</v>
      </c>
      <c r="G44">
        <f>item.xml!G48</f>
        <v>0</v>
      </c>
      <c r="H44">
        <f>item.xml!H48</f>
        <v>0</v>
      </c>
      <c r="I44" t="str">
        <f>item.xml!J48</f>
        <v>1150000_20201_23</v>
      </c>
      <c r="J44">
        <f>item.xml!K48</f>
        <v>550</v>
      </c>
      <c r="K44">
        <f>item.xml!M48</f>
        <v>20214</v>
      </c>
      <c r="L44">
        <f>item.xml!N48</f>
        <v>0</v>
      </c>
      <c r="M44">
        <f>item.xml!O48</f>
        <v>570</v>
      </c>
      <c r="N44">
        <f>item.xml!P48</f>
        <v>0</v>
      </c>
      <c r="O44">
        <f>item.xml!Q48</f>
        <v>0</v>
      </c>
      <c r="P44" t="str">
        <f>item.xml!R48</f>
        <v>Item/213.png</v>
      </c>
      <c r="Q44" t="str">
        <f>item.xml!L48</f>
        <v>550,55</v>
      </c>
      <c r="R44" t="str">
        <f>item.xml!S48</f>
        <v>镶嵌后+570点敏捷，14-15级绿宝石升级的材料</v>
      </c>
      <c r="S44">
        <f>item.xml!I48</f>
        <v>0</v>
      </c>
      <c r="T44">
        <f>item.xml!T48</f>
        <v>2</v>
      </c>
      <c r="U44">
        <f>item.xml!U48</f>
        <v>0</v>
      </c>
    </row>
    <row r="45" spans="1:21">
      <c r="A45">
        <f>item.xml!A49</f>
        <v>20214</v>
      </c>
      <c r="B45" t="str">
        <f>item.xml!B49</f>
        <v>14级绿宝石</v>
      </c>
      <c r="C45">
        <f>item.xml!C49</f>
        <v>2</v>
      </c>
      <c r="D45">
        <f>item.xml!D49</f>
        <v>0</v>
      </c>
      <c r="E45">
        <f>item.xml!E49</f>
        <v>0</v>
      </c>
      <c r="F45">
        <f>item.xml!F49</f>
        <v>0</v>
      </c>
      <c r="G45">
        <f>item.xml!G49</f>
        <v>0</v>
      </c>
      <c r="H45">
        <f>item.xml!H49</f>
        <v>0</v>
      </c>
      <c r="I45" t="str">
        <f>item.xml!J49</f>
        <v>1350000_20201_27</v>
      </c>
      <c r="J45">
        <f>item.xml!K49</f>
        <v>500</v>
      </c>
      <c r="K45">
        <f>item.xml!M49</f>
        <v>20215</v>
      </c>
      <c r="L45">
        <f>item.xml!N49</f>
        <v>0</v>
      </c>
      <c r="M45">
        <f>item.xml!O49</f>
        <v>680</v>
      </c>
      <c r="N45">
        <f>item.xml!P49</f>
        <v>0</v>
      </c>
      <c r="O45">
        <f>item.xml!Q49</f>
        <v>0</v>
      </c>
      <c r="P45" t="str">
        <f>item.xml!R49</f>
        <v>Item/214.png</v>
      </c>
      <c r="Q45" t="str">
        <f>item.xml!L49</f>
        <v>600,60</v>
      </c>
      <c r="R45" t="str">
        <f>item.xml!S49</f>
        <v>镶嵌后+680点敏捷，15级绿宝石升级的材料</v>
      </c>
      <c r="S45">
        <f>item.xml!I49</f>
        <v>0</v>
      </c>
      <c r="T45">
        <f>item.xml!T49</f>
        <v>2</v>
      </c>
      <c r="U45">
        <f>item.xml!U49</f>
        <v>0</v>
      </c>
    </row>
    <row r="46" spans="1:21">
      <c r="A46">
        <f>item.xml!A50</f>
        <v>20215</v>
      </c>
      <c r="B46" t="str">
        <f>item.xml!B50</f>
        <v>15级绿宝石</v>
      </c>
      <c r="C46">
        <f>item.xml!C50</f>
        <v>2</v>
      </c>
      <c r="D46">
        <f>item.xml!D50</f>
        <v>0</v>
      </c>
      <c r="E46">
        <f>item.xml!E50</f>
        <v>0</v>
      </c>
      <c r="F46">
        <f>item.xml!F50</f>
        <v>0</v>
      </c>
      <c r="G46">
        <f>item.xml!G50</f>
        <v>0</v>
      </c>
      <c r="H46">
        <f>item.xml!H50</f>
        <v>0</v>
      </c>
      <c r="I46">
        <f>item.xml!J50</f>
        <v>0</v>
      </c>
      <c r="J46">
        <f>item.xml!K50</f>
        <v>0</v>
      </c>
      <c r="K46">
        <f>item.xml!M50</f>
        <v>0</v>
      </c>
      <c r="L46">
        <f>item.xml!N50</f>
        <v>0</v>
      </c>
      <c r="M46">
        <f>item.xml!O50</f>
        <v>800</v>
      </c>
      <c r="N46">
        <f>item.xml!P50</f>
        <v>0</v>
      </c>
      <c r="O46">
        <f>item.xml!Q50</f>
        <v>0</v>
      </c>
      <c r="P46" t="str">
        <f>item.xml!R50</f>
        <v>Item/215.png</v>
      </c>
      <c r="Q46">
        <f>item.xml!L50</f>
        <v>0</v>
      </c>
      <c r="R46" t="str">
        <f>item.xml!S50</f>
        <v>镶嵌后+800点敏捷，顶级宝石</v>
      </c>
      <c r="S46">
        <f>item.xml!I50</f>
        <v>0</v>
      </c>
      <c r="T46">
        <f>item.xml!T50</f>
        <v>2</v>
      </c>
      <c r="U46">
        <f>item.xml!U50</f>
        <v>0</v>
      </c>
    </row>
    <row r="47" spans="1:21">
      <c r="A47">
        <f>item.xml!A51</f>
        <v>20301</v>
      </c>
      <c r="B47" t="str">
        <f>item.xml!B51</f>
        <v>1级蓝宝石</v>
      </c>
      <c r="C47">
        <f>item.xml!C51</f>
        <v>2</v>
      </c>
      <c r="D47">
        <f>item.xml!D51</f>
        <v>0</v>
      </c>
      <c r="E47">
        <f>item.xml!E51</f>
        <v>0</v>
      </c>
      <c r="F47">
        <f>item.xml!F51</f>
        <v>0</v>
      </c>
      <c r="G47">
        <f>item.xml!G51</f>
        <v>0</v>
      </c>
      <c r="H47">
        <f>item.xml!H51</f>
        <v>0</v>
      </c>
      <c r="I47" t="str">
        <f>item.xml!J51</f>
        <v>30000_0_0</v>
      </c>
      <c r="J47">
        <f>item.xml!K51</f>
        <v>3000</v>
      </c>
      <c r="K47">
        <f>item.xml!M51</f>
        <v>20302</v>
      </c>
      <c r="L47">
        <f>item.xml!N51</f>
        <v>0</v>
      </c>
      <c r="M47">
        <f>item.xml!O51</f>
        <v>0</v>
      </c>
      <c r="N47">
        <f>item.xml!P51</f>
        <v>10</v>
      </c>
      <c r="O47">
        <f>item.xml!Q51</f>
        <v>0</v>
      </c>
      <c r="P47" t="str">
        <f>item.xml!R51</f>
        <v>Item/301.png</v>
      </c>
      <c r="Q47" t="str">
        <f>item.xml!L51</f>
        <v>10,2</v>
      </c>
      <c r="R47" t="str">
        <f>item.xml!S51</f>
        <v>镶嵌后+10点智力，2-15级蓝宝石升级的材料</v>
      </c>
      <c r="S47">
        <f>item.xml!I51</f>
        <v>0</v>
      </c>
      <c r="T47">
        <f>item.xml!T51</f>
        <v>3</v>
      </c>
      <c r="U47">
        <f>item.xml!U51</f>
        <v>0</v>
      </c>
    </row>
    <row r="48" spans="1:21">
      <c r="A48">
        <f>item.xml!A52</f>
        <v>20302</v>
      </c>
      <c r="B48" t="str">
        <f>item.xml!B52</f>
        <v>2级蓝宝石</v>
      </c>
      <c r="C48">
        <f>item.xml!C52</f>
        <v>2</v>
      </c>
      <c r="D48">
        <f>item.xml!D52</f>
        <v>0</v>
      </c>
      <c r="E48">
        <f>item.xml!E52</f>
        <v>0</v>
      </c>
      <c r="F48">
        <f>item.xml!F52</f>
        <v>0</v>
      </c>
      <c r="G48">
        <f>item.xml!G52</f>
        <v>0</v>
      </c>
      <c r="H48">
        <f>item.xml!H52</f>
        <v>0</v>
      </c>
      <c r="I48" t="str">
        <f>item.xml!J52</f>
        <v>40000_0_0</v>
      </c>
      <c r="J48">
        <f>item.xml!K52</f>
        <v>2000</v>
      </c>
      <c r="K48">
        <f>item.xml!M52</f>
        <v>20303</v>
      </c>
      <c r="L48">
        <f>item.xml!N52</f>
        <v>0</v>
      </c>
      <c r="M48">
        <f>item.xml!O52</f>
        <v>0</v>
      </c>
      <c r="N48">
        <f>item.xml!P52</f>
        <v>15</v>
      </c>
      <c r="O48">
        <f>item.xml!Q52</f>
        <v>0</v>
      </c>
      <c r="P48" t="str">
        <f>item.xml!R52</f>
        <v>Item/302.png</v>
      </c>
      <c r="Q48" t="str">
        <f>item.xml!L52</f>
        <v>20,3</v>
      </c>
      <c r="R48" t="str">
        <f>item.xml!S52</f>
        <v>镶嵌后+15点智力，3-15级蓝宝石升级的材料</v>
      </c>
      <c r="S48">
        <f>item.xml!I52</f>
        <v>0</v>
      </c>
      <c r="T48">
        <f>item.xml!T52</f>
        <v>3</v>
      </c>
      <c r="U48">
        <f>item.xml!U52</f>
        <v>0</v>
      </c>
    </row>
    <row r="49" spans="1:21">
      <c r="A49">
        <f>item.xml!A53</f>
        <v>20303</v>
      </c>
      <c r="B49" t="str">
        <f>item.xml!B53</f>
        <v>3级蓝宝石</v>
      </c>
      <c r="C49">
        <f>item.xml!C53</f>
        <v>2</v>
      </c>
      <c r="D49">
        <f>item.xml!D53</f>
        <v>0</v>
      </c>
      <c r="E49">
        <f>item.xml!E53</f>
        <v>0</v>
      </c>
      <c r="F49">
        <f>item.xml!F53</f>
        <v>0</v>
      </c>
      <c r="G49">
        <f>item.xml!G53</f>
        <v>0</v>
      </c>
      <c r="H49">
        <f>item.xml!H53</f>
        <v>0</v>
      </c>
      <c r="I49" t="str">
        <f>item.xml!J53</f>
        <v>50000_20301_1</v>
      </c>
      <c r="J49">
        <f>item.xml!K53</f>
        <v>1500</v>
      </c>
      <c r="K49">
        <f>item.xml!M53</f>
        <v>20304</v>
      </c>
      <c r="L49">
        <f>item.xml!N53</f>
        <v>0</v>
      </c>
      <c r="M49">
        <f>item.xml!O53</f>
        <v>0</v>
      </c>
      <c r="N49">
        <f>item.xml!P53</f>
        <v>20</v>
      </c>
      <c r="O49">
        <f>item.xml!Q53</f>
        <v>0</v>
      </c>
      <c r="P49" t="str">
        <f>item.xml!R53</f>
        <v>Item/303.png</v>
      </c>
      <c r="Q49" t="str">
        <f>item.xml!L53</f>
        <v>40,5</v>
      </c>
      <c r="R49" t="str">
        <f>item.xml!S53</f>
        <v>镶嵌后+20点智力，4-15级蓝宝石升级的材料</v>
      </c>
      <c r="S49">
        <f>item.xml!I53</f>
        <v>0</v>
      </c>
      <c r="T49">
        <f>item.xml!T53</f>
        <v>3</v>
      </c>
      <c r="U49">
        <f>item.xml!U53</f>
        <v>0</v>
      </c>
    </row>
    <row r="50" spans="1:21">
      <c r="A50">
        <f>item.xml!A54</f>
        <v>20304</v>
      </c>
      <c r="B50" t="str">
        <f>item.xml!B54</f>
        <v>4级蓝宝石</v>
      </c>
      <c r="C50">
        <f>item.xml!C54</f>
        <v>2</v>
      </c>
      <c r="D50">
        <f>item.xml!D54</f>
        <v>0</v>
      </c>
      <c r="E50">
        <f>item.xml!E54</f>
        <v>0</v>
      </c>
      <c r="F50">
        <f>item.xml!F54</f>
        <v>0</v>
      </c>
      <c r="G50">
        <f>item.xml!G54</f>
        <v>0</v>
      </c>
      <c r="H50">
        <f>item.xml!H54</f>
        <v>0</v>
      </c>
      <c r="I50" t="str">
        <f>item.xml!J54</f>
        <v>100000_20301_2</v>
      </c>
      <c r="J50">
        <f>item.xml!K54</f>
        <v>1000</v>
      </c>
      <c r="K50">
        <f>item.xml!M54</f>
        <v>20305</v>
      </c>
      <c r="L50">
        <f>item.xml!N54</f>
        <v>0</v>
      </c>
      <c r="M50">
        <f>item.xml!O54</f>
        <v>0</v>
      </c>
      <c r="N50">
        <f>item.xml!P54</f>
        <v>30</v>
      </c>
      <c r="O50">
        <f>item.xml!Q54</f>
        <v>0</v>
      </c>
      <c r="P50" t="str">
        <f>item.xml!R54</f>
        <v>Item/304.png</v>
      </c>
      <c r="Q50" t="str">
        <f>item.xml!L54</f>
        <v>100,10</v>
      </c>
      <c r="R50" t="str">
        <f>item.xml!S54</f>
        <v>镶嵌后+30点智力，5-15级蓝宝石升级的材料</v>
      </c>
      <c r="S50">
        <f>item.xml!I54</f>
        <v>0</v>
      </c>
      <c r="T50">
        <f>item.xml!T54</f>
        <v>3</v>
      </c>
      <c r="U50">
        <f>item.xml!U54</f>
        <v>0</v>
      </c>
    </row>
    <row r="51" spans="1:21">
      <c r="A51">
        <f>item.xml!A55</f>
        <v>20305</v>
      </c>
      <c r="B51" t="str">
        <f>item.xml!B55</f>
        <v>5级蓝宝石</v>
      </c>
      <c r="C51">
        <f>item.xml!C55</f>
        <v>2</v>
      </c>
      <c r="D51">
        <f>item.xml!D55</f>
        <v>0</v>
      </c>
      <c r="E51">
        <f>item.xml!E55</f>
        <v>0</v>
      </c>
      <c r="F51">
        <f>item.xml!F55</f>
        <v>0</v>
      </c>
      <c r="G51">
        <f>item.xml!G55</f>
        <v>0</v>
      </c>
      <c r="H51">
        <f>item.xml!H55</f>
        <v>0</v>
      </c>
      <c r="I51" t="str">
        <f>item.xml!J55</f>
        <v>150000_20301_3</v>
      </c>
      <c r="J51">
        <f>item.xml!K55</f>
        <v>950</v>
      </c>
      <c r="K51">
        <f>item.xml!M55</f>
        <v>20306</v>
      </c>
      <c r="L51">
        <f>item.xml!N55</f>
        <v>0</v>
      </c>
      <c r="M51">
        <f>item.xml!O55</f>
        <v>0</v>
      </c>
      <c r="N51">
        <f>item.xml!P55</f>
        <v>50</v>
      </c>
      <c r="O51">
        <f>item.xml!Q55</f>
        <v>0</v>
      </c>
      <c r="P51" t="str">
        <f>item.xml!R55</f>
        <v>Item/305.png</v>
      </c>
      <c r="Q51" t="str">
        <f>item.xml!L55</f>
        <v>150,15</v>
      </c>
      <c r="R51" t="str">
        <f>item.xml!S55</f>
        <v>镶嵌后+50点智力，6-15级蓝宝石升级的材料</v>
      </c>
      <c r="S51">
        <f>item.xml!I55</f>
        <v>0</v>
      </c>
      <c r="T51">
        <f>item.xml!T55</f>
        <v>3</v>
      </c>
      <c r="U51">
        <f>item.xml!U55</f>
        <v>0</v>
      </c>
    </row>
    <row r="52" spans="1:21">
      <c r="A52">
        <f>item.xml!A56</f>
        <v>20306</v>
      </c>
      <c r="B52" t="str">
        <f>item.xml!B56</f>
        <v>6级蓝宝石</v>
      </c>
      <c r="C52">
        <f>item.xml!C56</f>
        <v>2</v>
      </c>
      <c r="D52">
        <f>item.xml!D56</f>
        <v>0</v>
      </c>
      <c r="E52">
        <f>item.xml!E56</f>
        <v>0</v>
      </c>
      <c r="F52">
        <f>item.xml!F56</f>
        <v>0</v>
      </c>
      <c r="G52">
        <f>item.xml!G56</f>
        <v>0</v>
      </c>
      <c r="H52">
        <f>item.xml!H56</f>
        <v>0</v>
      </c>
      <c r="I52" t="str">
        <f>item.xml!J56</f>
        <v>200000_20301_4</v>
      </c>
      <c r="J52">
        <f>item.xml!K56</f>
        <v>900</v>
      </c>
      <c r="K52">
        <f>item.xml!M56</f>
        <v>20307</v>
      </c>
      <c r="L52">
        <f>item.xml!N56</f>
        <v>0</v>
      </c>
      <c r="M52">
        <f>item.xml!O56</f>
        <v>0</v>
      </c>
      <c r="N52">
        <f>item.xml!P56</f>
        <v>80</v>
      </c>
      <c r="O52">
        <f>item.xml!Q56</f>
        <v>0</v>
      </c>
      <c r="P52" t="str">
        <f>item.xml!R56</f>
        <v>Item/306.png</v>
      </c>
      <c r="Q52" t="str">
        <f>item.xml!L56</f>
        <v>200,20</v>
      </c>
      <c r="R52" t="str">
        <f>item.xml!S56</f>
        <v>镶嵌后+80点智力，7-15级蓝宝石升级的材料</v>
      </c>
      <c r="S52">
        <f>item.xml!I56</f>
        <v>0</v>
      </c>
      <c r="T52">
        <f>item.xml!T56</f>
        <v>3</v>
      </c>
      <c r="U52">
        <f>item.xml!U56</f>
        <v>0</v>
      </c>
    </row>
    <row r="53" spans="1:21">
      <c r="A53">
        <f>item.xml!A57</f>
        <v>20307</v>
      </c>
      <c r="B53" t="str">
        <f>item.xml!B57</f>
        <v>7级蓝宝石</v>
      </c>
      <c r="C53">
        <f>item.xml!C57</f>
        <v>2</v>
      </c>
      <c r="D53">
        <f>item.xml!D57</f>
        <v>0</v>
      </c>
      <c r="E53">
        <f>item.xml!E57</f>
        <v>0</v>
      </c>
      <c r="F53">
        <f>item.xml!F57</f>
        <v>0</v>
      </c>
      <c r="G53">
        <f>item.xml!G57</f>
        <v>0</v>
      </c>
      <c r="H53">
        <f>item.xml!H57</f>
        <v>0</v>
      </c>
      <c r="I53" t="str">
        <f>item.xml!J57</f>
        <v>300000_20301_6</v>
      </c>
      <c r="J53">
        <f>item.xml!K57</f>
        <v>850</v>
      </c>
      <c r="K53">
        <f>item.xml!M57</f>
        <v>20308</v>
      </c>
      <c r="L53">
        <f>item.xml!N57</f>
        <v>0</v>
      </c>
      <c r="M53">
        <f>item.xml!O57</f>
        <v>0</v>
      </c>
      <c r="N53">
        <f>item.xml!P57</f>
        <v>120</v>
      </c>
      <c r="O53">
        <f>item.xml!Q57</f>
        <v>0</v>
      </c>
      <c r="P53" t="str">
        <f>item.xml!R57</f>
        <v>Item/307.png</v>
      </c>
      <c r="Q53" t="str">
        <f>item.xml!L57</f>
        <v>250,25</v>
      </c>
      <c r="R53" t="str">
        <f>item.xml!S57</f>
        <v>镶嵌后+120点智力，8-15级蓝宝石升级的材料</v>
      </c>
      <c r="S53">
        <f>item.xml!I57</f>
        <v>0</v>
      </c>
      <c r="T53">
        <f>item.xml!T57</f>
        <v>3</v>
      </c>
      <c r="U53">
        <f>item.xml!U57</f>
        <v>0</v>
      </c>
    </row>
    <row r="54" spans="1:21">
      <c r="A54">
        <f>item.xml!A58</f>
        <v>20308</v>
      </c>
      <c r="B54" t="str">
        <f>item.xml!B58</f>
        <v>8级蓝宝石</v>
      </c>
      <c r="C54">
        <f>item.xml!C58</f>
        <v>2</v>
      </c>
      <c r="D54">
        <f>item.xml!D58</f>
        <v>0</v>
      </c>
      <c r="E54">
        <f>item.xml!E58</f>
        <v>0</v>
      </c>
      <c r="F54">
        <f>item.xml!F58</f>
        <v>0</v>
      </c>
      <c r="G54">
        <f>item.xml!G58</f>
        <v>0</v>
      </c>
      <c r="H54">
        <f>item.xml!H58</f>
        <v>0</v>
      </c>
      <c r="I54" t="str">
        <f>item.xml!J58</f>
        <v>400000_20301_8</v>
      </c>
      <c r="J54">
        <f>item.xml!K58</f>
        <v>800</v>
      </c>
      <c r="K54">
        <f>item.xml!M58</f>
        <v>20309</v>
      </c>
      <c r="L54">
        <f>item.xml!N58</f>
        <v>0</v>
      </c>
      <c r="M54">
        <f>item.xml!O58</f>
        <v>0</v>
      </c>
      <c r="N54">
        <f>item.xml!P58</f>
        <v>170</v>
      </c>
      <c r="O54">
        <f>item.xml!Q58</f>
        <v>0</v>
      </c>
      <c r="P54" t="str">
        <f>item.xml!R58</f>
        <v>Item/308.png</v>
      </c>
      <c r="Q54" t="str">
        <f>item.xml!L58</f>
        <v>300,30</v>
      </c>
      <c r="R54" t="str">
        <f>item.xml!S58</f>
        <v>镶嵌后+170点智力，9-15级蓝宝石升级的材料</v>
      </c>
      <c r="S54">
        <f>item.xml!I58</f>
        <v>0</v>
      </c>
      <c r="T54">
        <f>item.xml!T58</f>
        <v>3</v>
      </c>
      <c r="U54">
        <f>item.xml!U58</f>
        <v>0</v>
      </c>
    </row>
    <row r="55" spans="1:21">
      <c r="A55">
        <f>item.xml!A59</f>
        <v>20309</v>
      </c>
      <c r="B55" t="str">
        <f>item.xml!B59</f>
        <v>9级蓝宝石</v>
      </c>
      <c r="C55">
        <f>item.xml!C59</f>
        <v>2</v>
      </c>
      <c r="D55">
        <f>item.xml!D59</f>
        <v>0</v>
      </c>
      <c r="E55">
        <f>item.xml!E59</f>
        <v>0</v>
      </c>
      <c r="F55">
        <f>item.xml!F59</f>
        <v>0</v>
      </c>
      <c r="G55">
        <f>item.xml!G59</f>
        <v>0</v>
      </c>
      <c r="H55">
        <f>item.xml!H59</f>
        <v>0</v>
      </c>
      <c r="I55" t="str">
        <f>item.xml!J59</f>
        <v>500000_20301_10</v>
      </c>
      <c r="J55">
        <f>item.xml!K59</f>
        <v>750</v>
      </c>
      <c r="K55">
        <f>item.xml!M59</f>
        <v>20310</v>
      </c>
      <c r="L55">
        <f>item.xml!N59</f>
        <v>0</v>
      </c>
      <c r="M55">
        <f>item.xml!O59</f>
        <v>0</v>
      </c>
      <c r="N55">
        <f>item.xml!P59</f>
        <v>230</v>
      </c>
      <c r="O55">
        <f>item.xml!Q59</f>
        <v>0</v>
      </c>
      <c r="P55" t="str">
        <f>item.xml!R59</f>
        <v>Item/309.png</v>
      </c>
      <c r="Q55" t="str">
        <f>item.xml!L59</f>
        <v>350,35</v>
      </c>
      <c r="R55" t="str">
        <f>item.xml!S59</f>
        <v>镶嵌后+230点智力，10-15级蓝宝石升级的材料</v>
      </c>
      <c r="S55">
        <f>item.xml!I59</f>
        <v>0</v>
      </c>
      <c r="T55">
        <f>item.xml!T59</f>
        <v>3</v>
      </c>
      <c r="U55">
        <f>item.xml!U59</f>
        <v>0</v>
      </c>
    </row>
    <row r="56" spans="1:21">
      <c r="A56">
        <f>item.xml!A60</f>
        <v>20310</v>
      </c>
      <c r="B56" t="str">
        <f>item.xml!B60</f>
        <v>10级蓝宝石</v>
      </c>
      <c r="C56">
        <f>item.xml!C60</f>
        <v>2</v>
      </c>
      <c r="D56">
        <f>item.xml!D60</f>
        <v>0</v>
      </c>
      <c r="E56">
        <f>item.xml!E60</f>
        <v>0</v>
      </c>
      <c r="F56">
        <f>item.xml!F60</f>
        <v>0</v>
      </c>
      <c r="G56">
        <f>item.xml!G60</f>
        <v>0</v>
      </c>
      <c r="H56">
        <f>item.xml!H60</f>
        <v>0</v>
      </c>
      <c r="I56" t="str">
        <f>item.xml!J60</f>
        <v>650000_20301_13</v>
      </c>
      <c r="J56">
        <f>item.xml!K60</f>
        <v>700</v>
      </c>
      <c r="K56">
        <f>item.xml!M60</f>
        <v>20311</v>
      </c>
      <c r="L56">
        <f>item.xml!N60</f>
        <v>0</v>
      </c>
      <c r="M56">
        <f>item.xml!O60</f>
        <v>0</v>
      </c>
      <c r="N56">
        <f>item.xml!P60</f>
        <v>300</v>
      </c>
      <c r="O56">
        <f>item.xml!Q60</f>
        <v>0</v>
      </c>
      <c r="P56" t="str">
        <f>item.xml!R60</f>
        <v>Item/310.png</v>
      </c>
      <c r="Q56" t="str">
        <f>item.xml!L60</f>
        <v>400,40</v>
      </c>
      <c r="R56" t="str">
        <f>item.xml!S60</f>
        <v>镶嵌后+300点智力，11-15级蓝宝石升级的材料</v>
      </c>
      <c r="S56">
        <f>item.xml!I60</f>
        <v>0</v>
      </c>
      <c r="T56">
        <f>item.xml!T60</f>
        <v>3</v>
      </c>
      <c r="U56">
        <f>item.xml!U60</f>
        <v>0</v>
      </c>
    </row>
    <row r="57" spans="1:21">
      <c r="A57">
        <f>item.xml!A61</f>
        <v>20311</v>
      </c>
      <c r="B57" t="str">
        <f>item.xml!B61</f>
        <v>11级蓝宝石</v>
      </c>
      <c r="C57">
        <f>item.xml!C61</f>
        <v>2</v>
      </c>
      <c r="D57">
        <f>item.xml!D61</f>
        <v>0</v>
      </c>
      <c r="E57">
        <f>item.xml!E61</f>
        <v>0</v>
      </c>
      <c r="F57">
        <f>item.xml!F61</f>
        <v>0</v>
      </c>
      <c r="G57">
        <f>item.xml!G61</f>
        <v>0</v>
      </c>
      <c r="H57">
        <f>item.xml!H61</f>
        <v>0</v>
      </c>
      <c r="I57" t="str">
        <f>item.xml!J61</f>
        <v>800000_20301_16</v>
      </c>
      <c r="J57">
        <f>item.xml!K61</f>
        <v>650</v>
      </c>
      <c r="K57">
        <f>item.xml!M61</f>
        <v>20312</v>
      </c>
      <c r="L57">
        <f>item.xml!N61</f>
        <v>0</v>
      </c>
      <c r="M57">
        <f>item.xml!O61</f>
        <v>0</v>
      </c>
      <c r="N57">
        <f>item.xml!P61</f>
        <v>380</v>
      </c>
      <c r="O57">
        <f>item.xml!Q61</f>
        <v>0</v>
      </c>
      <c r="P57" t="str">
        <f>item.xml!R61</f>
        <v>Item/311.png</v>
      </c>
      <c r="Q57" t="str">
        <f>item.xml!L61</f>
        <v>450,45</v>
      </c>
      <c r="R57" t="str">
        <f>item.xml!S61</f>
        <v>镶嵌后+380点智力，12-15级蓝宝石升级的材料</v>
      </c>
      <c r="S57">
        <f>item.xml!I61</f>
        <v>0</v>
      </c>
      <c r="T57">
        <f>item.xml!T61</f>
        <v>3</v>
      </c>
      <c r="U57">
        <f>item.xml!U61</f>
        <v>0</v>
      </c>
    </row>
    <row r="58" spans="1:21">
      <c r="A58">
        <f>item.xml!A62</f>
        <v>20312</v>
      </c>
      <c r="B58" t="str">
        <f>item.xml!B62</f>
        <v>12级蓝宝石</v>
      </c>
      <c r="C58">
        <f>item.xml!C62</f>
        <v>2</v>
      </c>
      <c r="D58">
        <f>item.xml!D62</f>
        <v>0</v>
      </c>
      <c r="E58">
        <f>item.xml!E62</f>
        <v>0</v>
      </c>
      <c r="F58">
        <f>item.xml!F62</f>
        <v>0</v>
      </c>
      <c r="G58">
        <f>item.xml!G62</f>
        <v>0</v>
      </c>
      <c r="H58">
        <f>item.xml!H62</f>
        <v>0</v>
      </c>
      <c r="I58" t="str">
        <f>item.xml!J62</f>
        <v>950000_20301_19</v>
      </c>
      <c r="J58">
        <f>item.xml!K62</f>
        <v>600</v>
      </c>
      <c r="K58">
        <f>item.xml!M62</f>
        <v>20313</v>
      </c>
      <c r="L58">
        <f>item.xml!N62</f>
        <v>0</v>
      </c>
      <c r="M58">
        <f>item.xml!O62</f>
        <v>0</v>
      </c>
      <c r="N58">
        <f>item.xml!P62</f>
        <v>470</v>
      </c>
      <c r="O58">
        <f>item.xml!Q62</f>
        <v>0</v>
      </c>
      <c r="P58" t="str">
        <f>item.xml!R62</f>
        <v>Item/312.png</v>
      </c>
      <c r="Q58" t="str">
        <f>item.xml!L62</f>
        <v>500,50</v>
      </c>
      <c r="R58" t="str">
        <f>item.xml!S62</f>
        <v>镶嵌后+470点智力，13-15级蓝宝石升级的材料</v>
      </c>
      <c r="S58">
        <f>item.xml!I62</f>
        <v>0</v>
      </c>
      <c r="T58">
        <f>item.xml!T62</f>
        <v>3</v>
      </c>
      <c r="U58">
        <f>item.xml!U62</f>
        <v>0</v>
      </c>
    </row>
    <row r="59" spans="1:21">
      <c r="A59">
        <f>item.xml!A63</f>
        <v>20313</v>
      </c>
      <c r="B59" t="str">
        <f>item.xml!B63</f>
        <v>13级蓝宝石</v>
      </c>
      <c r="C59">
        <f>item.xml!C63</f>
        <v>2</v>
      </c>
      <c r="D59">
        <f>item.xml!D63</f>
        <v>0</v>
      </c>
      <c r="E59">
        <f>item.xml!E63</f>
        <v>0</v>
      </c>
      <c r="F59">
        <f>item.xml!F63</f>
        <v>0</v>
      </c>
      <c r="G59">
        <f>item.xml!G63</f>
        <v>0</v>
      </c>
      <c r="H59">
        <f>item.xml!H63</f>
        <v>0</v>
      </c>
      <c r="I59" t="str">
        <f>item.xml!J63</f>
        <v>1150000_20301_23</v>
      </c>
      <c r="J59">
        <f>item.xml!K63</f>
        <v>550</v>
      </c>
      <c r="K59">
        <f>item.xml!M63</f>
        <v>20314</v>
      </c>
      <c r="L59">
        <f>item.xml!N63</f>
        <v>0</v>
      </c>
      <c r="M59">
        <f>item.xml!O63</f>
        <v>0</v>
      </c>
      <c r="N59">
        <f>item.xml!P63</f>
        <v>570</v>
      </c>
      <c r="O59">
        <f>item.xml!Q63</f>
        <v>0</v>
      </c>
      <c r="P59" t="str">
        <f>item.xml!R63</f>
        <v>Item/313.png</v>
      </c>
      <c r="Q59" t="str">
        <f>item.xml!L63</f>
        <v>550,55</v>
      </c>
      <c r="R59" t="str">
        <f>item.xml!S63</f>
        <v>镶嵌后+570点智力，14-15级蓝宝石升级的材料</v>
      </c>
      <c r="S59">
        <f>item.xml!I63</f>
        <v>0</v>
      </c>
      <c r="T59">
        <f>item.xml!T63</f>
        <v>3</v>
      </c>
      <c r="U59">
        <f>item.xml!U63</f>
        <v>0</v>
      </c>
    </row>
    <row r="60" spans="1:21">
      <c r="A60">
        <f>item.xml!A64</f>
        <v>20314</v>
      </c>
      <c r="B60" t="str">
        <f>item.xml!B64</f>
        <v>14级蓝宝石</v>
      </c>
      <c r="C60">
        <f>item.xml!C64</f>
        <v>2</v>
      </c>
      <c r="D60">
        <f>item.xml!D64</f>
        <v>0</v>
      </c>
      <c r="E60">
        <f>item.xml!E64</f>
        <v>0</v>
      </c>
      <c r="F60">
        <f>item.xml!F64</f>
        <v>0</v>
      </c>
      <c r="G60">
        <f>item.xml!G64</f>
        <v>0</v>
      </c>
      <c r="H60">
        <f>item.xml!H64</f>
        <v>0</v>
      </c>
      <c r="I60" t="str">
        <f>item.xml!J64</f>
        <v>1350000_20301_27</v>
      </c>
      <c r="J60">
        <f>item.xml!K64</f>
        <v>500</v>
      </c>
      <c r="K60">
        <f>item.xml!M64</f>
        <v>20315</v>
      </c>
      <c r="L60">
        <f>item.xml!N64</f>
        <v>0</v>
      </c>
      <c r="M60">
        <f>item.xml!O64</f>
        <v>0</v>
      </c>
      <c r="N60">
        <f>item.xml!P64</f>
        <v>680</v>
      </c>
      <c r="O60">
        <f>item.xml!Q64</f>
        <v>0</v>
      </c>
      <c r="P60" t="str">
        <f>item.xml!R64</f>
        <v>Item/314.png</v>
      </c>
      <c r="Q60" t="str">
        <f>item.xml!L64</f>
        <v>600,60</v>
      </c>
      <c r="R60" t="str">
        <f>item.xml!S64</f>
        <v>镶嵌后+680点智力，15级蓝宝石升级的材料</v>
      </c>
      <c r="S60">
        <f>item.xml!I64</f>
        <v>0</v>
      </c>
      <c r="T60">
        <f>item.xml!T64</f>
        <v>3</v>
      </c>
      <c r="U60">
        <f>item.xml!U64</f>
        <v>0</v>
      </c>
    </row>
    <row r="61" spans="1:21">
      <c r="A61">
        <f>item.xml!A65</f>
        <v>20315</v>
      </c>
      <c r="B61" t="str">
        <f>item.xml!B65</f>
        <v>15级蓝宝石</v>
      </c>
      <c r="C61">
        <f>item.xml!C65</f>
        <v>2</v>
      </c>
      <c r="D61">
        <f>item.xml!D65</f>
        <v>0</v>
      </c>
      <c r="E61">
        <f>item.xml!E65</f>
        <v>0</v>
      </c>
      <c r="F61">
        <f>item.xml!F65</f>
        <v>0</v>
      </c>
      <c r="G61">
        <f>item.xml!G65</f>
        <v>0</v>
      </c>
      <c r="H61">
        <f>item.xml!H65</f>
        <v>0</v>
      </c>
      <c r="I61">
        <f>item.xml!J65</f>
        <v>0</v>
      </c>
      <c r="J61">
        <f>item.xml!K65</f>
        <v>0</v>
      </c>
      <c r="K61">
        <f>item.xml!M65</f>
        <v>0</v>
      </c>
      <c r="L61">
        <f>item.xml!N65</f>
        <v>0</v>
      </c>
      <c r="M61">
        <f>item.xml!O65</f>
        <v>0</v>
      </c>
      <c r="N61">
        <f>item.xml!P65</f>
        <v>800</v>
      </c>
      <c r="O61">
        <f>item.xml!Q65</f>
        <v>0</v>
      </c>
      <c r="P61" t="str">
        <f>item.xml!R65</f>
        <v>Item/315.png</v>
      </c>
      <c r="Q61">
        <f>item.xml!L65</f>
        <v>0</v>
      </c>
      <c r="R61" t="str">
        <f>item.xml!S65</f>
        <v>镶嵌后+800点智力，顶级宝石</v>
      </c>
      <c r="S61">
        <f>item.xml!I65</f>
        <v>0</v>
      </c>
      <c r="T61">
        <f>item.xml!T65</f>
        <v>3</v>
      </c>
      <c r="U61">
        <f>item.xml!U65</f>
        <v>0</v>
      </c>
    </row>
    <row r="62" spans="1:21">
      <c r="A62">
        <f>item.xml!A66</f>
        <v>20401</v>
      </c>
      <c r="B62" t="str">
        <f>item.xml!B66</f>
        <v>1级黄宝石</v>
      </c>
      <c r="C62">
        <f>item.xml!C66</f>
        <v>2</v>
      </c>
      <c r="D62">
        <f>item.xml!D66</f>
        <v>0</v>
      </c>
      <c r="E62">
        <f>item.xml!E66</f>
        <v>0</v>
      </c>
      <c r="F62">
        <f>item.xml!F66</f>
        <v>0</v>
      </c>
      <c r="G62">
        <f>item.xml!G66</f>
        <v>0</v>
      </c>
      <c r="H62">
        <f>item.xml!H66</f>
        <v>0</v>
      </c>
      <c r="I62" t="str">
        <f>item.xml!J66</f>
        <v>30000_0_0</v>
      </c>
      <c r="J62">
        <f>item.xml!K66</f>
        <v>3000</v>
      </c>
      <c r="K62">
        <f>item.xml!M66</f>
        <v>20402</v>
      </c>
      <c r="L62">
        <f>item.xml!N66</f>
        <v>0</v>
      </c>
      <c r="M62">
        <f>item.xml!O66</f>
        <v>0</v>
      </c>
      <c r="N62">
        <f>item.xml!P66</f>
        <v>0</v>
      </c>
      <c r="O62">
        <f>item.xml!Q66</f>
        <v>10</v>
      </c>
      <c r="P62" t="str">
        <f>item.xml!R66</f>
        <v>Item/401.png</v>
      </c>
      <c r="Q62" t="str">
        <f>item.xml!L66</f>
        <v>10,2</v>
      </c>
      <c r="R62" t="str">
        <f>item.xml!S66</f>
        <v>镶嵌后+10点耐力，2-15级黄宝石升级的材料</v>
      </c>
      <c r="S62">
        <f>item.xml!I66</f>
        <v>0</v>
      </c>
      <c r="T62">
        <f>item.xml!T66</f>
        <v>4</v>
      </c>
      <c r="U62">
        <f>item.xml!U66</f>
        <v>0</v>
      </c>
    </row>
    <row r="63" spans="1:21">
      <c r="A63">
        <f>item.xml!A67</f>
        <v>20402</v>
      </c>
      <c r="B63" t="str">
        <f>item.xml!B67</f>
        <v>2级黄宝石</v>
      </c>
      <c r="C63">
        <f>item.xml!C67</f>
        <v>2</v>
      </c>
      <c r="D63">
        <f>item.xml!D67</f>
        <v>0</v>
      </c>
      <c r="E63">
        <f>item.xml!E67</f>
        <v>0</v>
      </c>
      <c r="F63">
        <f>item.xml!F67</f>
        <v>0</v>
      </c>
      <c r="G63">
        <f>item.xml!G67</f>
        <v>0</v>
      </c>
      <c r="H63">
        <f>item.xml!H67</f>
        <v>0</v>
      </c>
      <c r="I63" t="str">
        <f>item.xml!J67</f>
        <v>40000_0_0</v>
      </c>
      <c r="J63">
        <f>item.xml!K67</f>
        <v>2000</v>
      </c>
      <c r="K63">
        <f>item.xml!M67</f>
        <v>20403</v>
      </c>
      <c r="L63">
        <f>item.xml!N67</f>
        <v>0</v>
      </c>
      <c r="M63">
        <f>item.xml!O67</f>
        <v>0</v>
      </c>
      <c r="N63">
        <f>item.xml!P67</f>
        <v>0</v>
      </c>
      <c r="O63">
        <f>item.xml!Q67</f>
        <v>15</v>
      </c>
      <c r="P63" t="str">
        <f>item.xml!R67</f>
        <v>Item/402.png</v>
      </c>
      <c r="Q63" t="str">
        <f>item.xml!L67</f>
        <v>20,3</v>
      </c>
      <c r="R63" t="str">
        <f>item.xml!S67</f>
        <v>镶嵌后+15点耐力，3-15级黄宝石升级的材料</v>
      </c>
      <c r="S63">
        <f>item.xml!I67</f>
        <v>0</v>
      </c>
      <c r="T63">
        <f>item.xml!T67</f>
        <v>4</v>
      </c>
      <c r="U63">
        <f>item.xml!U67</f>
        <v>0</v>
      </c>
    </row>
    <row r="64" spans="1:21">
      <c r="A64">
        <f>item.xml!A68</f>
        <v>20403</v>
      </c>
      <c r="B64" t="str">
        <f>item.xml!B68</f>
        <v>3级黄宝石</v>
      </c>
      <c r="C64">
        <f>item.xml!C68</f>
        <v>2</v>
      </c>
      <c r="D64">
        <f>item.xml!D68</f>
        <v>0</v>
      </c>
      <c r="E64">
        <f>item.xml!E68</f>
        <v>0</v>
      </c>
      <c r="F64">
        <f>item.xml!F68</f>
        <v>0</v>
      </c>
      <c r="G64">
        <f>item.xml!G68</f>
        <v>0</v>
      </c>
      <c r="H64">
        <f>item.xml!H68</f>
        <v>0</v>
      </c>
      <c r="I64" t="str">
        <f>item.xml!J68</f>
        <v>50000_20401_1</v>
      </c>
      <c r="J64">
        <f>item.xml!K68</f>
        <v>1500</v>
      </c>
      <c r="K64">
        <f>item.xml!M68</f>
        <v>20404</v>
      </c>
      <c r="L64">
        <f>item.xml!N68</f>
        <v>0</v>
      </c>
      <c r="M64">
        <f>item.xml!O68</f>
        <v>0</v>
      </c>
      <c r="N64">
        <f>item.xml!P68</f>
        <v>0</v>
      </c>
      <c r="O64">
        <f>item.xml!Q68</f>
        <v>20</v>
      </c>
      <c r="P64" t="str">
        <f>item.xml!R68</f>
        <v>Item/403.png</v>
      </c>
      <c r="Q64" t="str">
        <f>item.xml!L68</f>
        <v>40,5</v>
      </c>
      <c r="R64" t="str">
        <f>item.xml!S68</f>
        <v>镶嵌后+20点耐力，4-15级黄宝石升级的材料</v>
      </c>
      <c r="S64">
        <f>item.xml!I68</f>
        <v>0</v>
      </c>
      <c r="T64">
        <f>item.xml!T68</f>
        <v>4</v>
      </c>
      <c r="U64">
        <f>item.xml!U68</f>
        <v>0</v>
      </c>
    </row>
    <row r="65" spans="1:21">
      <c r="A65">
        <f>item.xml!A69</f>
        <v>20404</v>
      </c>
      <c r="B65" t="str">
        <f>item.xml!B69</f>
        <v>4级黄宝石</v>
      </c>
      <c r="C65">
        <f>item.xml!C69</f>
        <v>2</v>
      </c>
      <c r="D65">
        <f>item.xml!D69</f>
        <v>0</v>
      </c>
      <c r="E65">
        <f>item.xml!E69</f>
        <v>0</v>
      </c>
      <c r="F65">
        <f>item.xml!F69</f>
        <v>0</v>
      </c>
      <c r="G65">
        <f>item.xml!G69</f>
        <v>0</v>
      </c>
      <c r="H65">
        <f>item.xml!H69</f>
        <v>0</v>
      </c>
      <c r="I65" t="str">
        <f>item.xml!J69</f>
        <v>100000_20401_2</v>
      </c>
      <c r="J65">
        <f>item.xml!K69</f>
        <v>1000</v>
      </c>
      <c r="K65">
        <f>item.xml!M69</f>
        <v>20405</v>
      </c>
      <c r="L65">
        <f>item.xml!N69</f>
        <v>0</v>
      </c>
      <c r="M65">
        <f>item.xml!O69</f>
        <v>0</v>
      </c>
      <c r="N65">
        <f>item.xml!P69</f>
        <v>0</v>
      </c>
      <c r="O65">
        <f>item.xml!Q69</f>
        <v>30</v>
      </c>
      <c r="P65" t="str">
        <f>item.xml!R69</f>
        <v>Item/404.png</v>
      </c>
      <c r="Q65" t="str">
        <f>item.xml!L69</f>
        <v>100,10</v>
      </c>
      <c r="R65" t="str">
        <f>item.xml!S69</f>
        <v>镶嵌后+30点耐力，5-15级黄宝石升级的材料</v>
      </c>
      <c r="S65">
        <f>item.xml!I69</f>
        <v>0</v>
      </c>
      <c r="T65">
        <f>item.xml!T69</f>
        <v>4</v>
      </c>
      <c r="U65">
        <f>item.xml!U69</f>
        <v>0</v>
      </c>
    </row>
    <row r="66" spans="1:21">
      <c r="A66">
        <f>item.xml!A70</f>
        <v>20405</v>
      </c>
      <c r="B66" t="str">
        <f>item.xml!B70</f>
        <v>5级黄宝石</v>
      </c>
      <c r="C66">
        <f>item.xml!C70</f>
        <v>2</v>
      </c>
      <c r="D66">
        <f>item.xml!D70</f>
        <v>0</v>
      </c>
      <c r="E66">
        <f>item.xml!E70</f>
        <v>0</v>
      </c>
      <c r="F66">
        <f>item.xml!F70</f>
        <v>0</v>
      </c>
      <c r="G66">
        <f>item.xml!G70</f>
        <v>0</v>
      </c>
      <c r="H66">
        <f>item.xml!H70</f>
        <v>0</v>
      </c>
      <c r="I66" t="str">
        <f>item.xml!J70</f>
        <v>150000_20401_3</v>
      </c>
      <c r="J66">
        <f>item.xml!K70</f>
        <v>950</v>
      </c>
      <c r="K66">
        <f>item.xml!M70</f>
        <v>20406</v>
      </c>
      <c r="L66">
        <f>item.xml!N70</f>
        <v>0</v>
      </c>
      <c r="M66">
        <f>item.xml!O70</f>
        <v>0</v>
      </c>
      <c r="N66">
        <f>item.xml!P70</f>
        <v>0</v>
      </c>
      <c r="O66">
        <f>item.xml!Q70</f>
        <v>50</v>
      </c>
      <c r="P66" t="str">
        <f>item.xml!R70</f>
        <v>Item/405.png</v>
      </c>
      <c r="Q66" t="str">
        <f>item.xml!L70</f>
        <v>150,15</v>
      </c>
      <c r="R66" t="str">
        <f>item.xml!S70</f>
        <v>镶嵌后+50点耐力，6-15级黄宝石升级的材料</v>
      </c>
      <c r="S66">
        <f>item.xml!I70</f>
        <v>0</v>
      </c>
      <c r="T66">
        <f>item.xml!T70</f>
        <v>4</v>
      </c>
      <c r="U66">
        <f>item.xml!U70</f>
        <v>0</v>
      </c>
    </row>
    <row r="67" spans="1:21">
      <c r="A67">
        <f>item.xml!A71</f>
        <v>20406</v>
      </c>
      <c r="B67" t="str">
        <f>item.xml!B71</f>
        <v>6级黄宝石</v>
      </c>
      <c r="C67">
        <f>item.xml!C71</f>
        <v>2</v>
      </c>
      <c r="D67">
        <f>item.xml!D71</f>
        <v>0</v>
      </c>
      <c r="E67">
        <f>item.xml!E71</f>
        <v>0</v>
      </c>
      <c r="F67">
        <f>item.xml!F71</f>
        <v>0</v>
      </c>
      <c r="G67">
        <f>item.xml!G71</f>
        <v>0</v>
      </c>
      <c r="H67">
        <f>item.xml!H71</f>
        <v>0</v>
      </c>
      <c r="I67" t="str">
        <f>item.xml!J71</f>
        <v>200000_20401_4</v>
      </c>
      <c r="J67">
        <f>item.xml!K71</f>
        <v>900</v>
      </c>
      <c r="K67">
        <f>item.xml!M71</f>
        <v>20407</v>
      </c>
      <c r="L67">
        <f>item.xml!N71</f>
        <v>0</v>
      </c>
      <c r="M67">
        <f>item.xml!O71</f>
        <v>0</v>
      </c>
      <c r="N67">
        <f>item.xml!P71</f>
        <v>0</v>
      </c>
      <c r="O67">
        <f>item.xml!Q71</f>
        <v>80</v>
      </c>
      <c r="P67" t="str">
        <f>item.xml!R71</f>
        <v>Item/406.png</v>
      </c>
      <c r="Q67" t="str">
        <f>item.xml!L71</f>
        <v>200,20</v>
      </c>
      <c r="R67" t="str">
        <f>item.xml!S71</f>
        <v>镶嵌后+80点耐力，7-15级黄宝石升级的材料</v>
      </c>
      <c r="S67">
        <f>item.xml!I71</f>
        <v>0</v>
      </c>
      <c r="T67">
        <f>item.xml!T71</f>
        <v>4</v>
      </c>
      <c r="U67">
        <f>item.xml!U71</f>
        <v>0</v>
      </c>
    </row>
    <row r="68" spans="1:21">
      <c r="A68">
        <f>item.xml!A72</f>
        <v>20407</v>
      </c>
      <c r="B68" t="str">
        <f>item.xml!B72</f>
        <v>7级黄宝石</v>
      </c>
      <c r="C68">
        <f>item.xml!C72</f>
        <v>2</v>
      </c>
      <c r="D68">
        <f>item.xml!D72</f>
        <v>0</v>
      </c>
      <c r="E68">
        <f>item.xml!E72</f>
        <v>0</v>
      </c>
      <c r="F68">
        <f>item.xml!F72</f>
        <v>0</v>
      </c>
      <c r="G68">
        <f>item.xml!G72</f>
        <v>0</v>
      </c>
      <c r="H68">
        <f>item.xml!H72</f>
        <v>0</v>
      </c>
      <c r="I68" t="str">
        <f>item.xml!J72</f>
        <v>300000_20401_6</v>
      </c>
      <c r="J68">
        <f>item.xml!K72</f>
        <v>850</v>
      </c>
      <c r="K68">
        <f>item.xml!M72</f>
        <v>20408</v>
      </c>
      <c r="L68">
        <f>item.xml!N72</f>
        <v>0</v>
      </c>
      <c r="M68">
        <f>item.xml!O72</f>
        <v>0</v>
      </c>
      <c r="N68">
        <f>item.xml!P72</f>
        <v>0</v>
      </c>
      <c r="O68">
        <f>item.xml!Q72</f>
        <v>120</v>
      </c>
      <c r="P68" t="str">
        <f>item.xml!R72</f>
        <v>Item/407.png</v>
      </c>
      <c r="Q68" t="str">
        <f>item.xml!L72</f>
        <v>250,25</v>
      </c>
      <c r="R68" t="str">
        <f>item.xml!S72</f>
        <v>镶嵌后+120点耐力，8-15级黄宝石升级的材料</v>
      </c>
      <c r="S68">
        <f>item.xml!I72</f>
        <v>0</v>
      </c>
      <c r="T68">
        <f>item.xml!T72</f>
        <v>4</v>
      </c>
      <c r="U68">
        <f>item.xml!U72</f>
        <v>0</v>
      </c>
    </row>
    <row r="69" spans="1:21">
      <c r="A69">
        <f>item.xml!A73</f>
        <v>20408</v>
      </c>
      <c r="B69" t="str">
        <f>item.xml!B73</f>
        <v>8级黄宝石</v>
      </c>
      <c r="C69">
        <f>item.xml!C73</f>
        <v>2</v>
      </c>
      <c r="D69">
        <f>item.xml!D73</f>
        <v>0</v>
      </c>
      <c r="E69">
        <f>item.xml!E73</f>
        <v>0</v>
      </c>
      <c r="F69">
        <f>item.xml!F73</f>
        <v>0</v>
      </c>
      <c r="G69">
        <f>item.xml!G73</f>
        <v>0</v>
      </c>
      <c r="H69">
        <f>item.xml!H73</f>
        <v>0</v>
      </c>
      <c r="I69" t="str">
        <f>item.xml!J73</f>
        <v>400000_20401_8</v>
      </c>
      <c r="J69">
        <f>item.xml!K73</f>
        <v>800</v>
      </c>
      <c r="K69">
        <f>item.xml!M73</f>
        <v>20409</v>
      </c>
      <c r="L69">
        <f>item.xml!N73</f>
        <v>0</v>
      </c>
      <c r="M69">
        <f>item.xml!O73</f>
        <v>0</v>
      </c>
      <c r="N69">
        <f>item.xml!P73</f>
        <v>0</v>
      </c>
      <c r="O69">
        <f>item.xml!Q73</f>
        <v>170</v>
      </c>
      <c r="P69" t="str">
        <f>item.xml!R73</f>
        <v>Item/408.png</v>
      </c>
      <c r="Q69" t="str">
        <f>item.xml!L73</f>
        <v>300,30</v>
      </c>
      <c r="R69" t="str">
        <f>item.xml!S73</f>
        <v>镶嵌后+170点耐力，9-15级黄宝石升级的材料</v>
      </c>
      <c r="S69">
        <f>item.xml!I73</f>
        <v>0</v>
      </c>
      <c r="T69">
        <f>item.xml!T73</f>
        <v>4</v>
      </c>
      <c r="U69">
        <f>item.xml!U73</f>
        <v>0</v>
      </c>
    </row>
    <row r="70" spans="1:21">
      <c r="A70">
        <f>item.xml!A74</f>
        <v>20409</v>
      </c>
      <c r="B70" t="str">
        <f>item.xml!B74</f>
        <v>9级黄宝石</v>
      </c>
      <c r="C70">
        <f>item.xml!C74</f>
        <v>2</v>
      </c>
      <c r="D70">
        <f>item.xml!D74</f>
        <v>0</v>
      </c>
      <c r="E70">
        <f>item.xml!E74</f>
        <v>0</v>
      </c>
      <c r="F70">
        <f>item.xml!F74</f>
        <v>0</v>
      </c>
      <c r="G70">
        <f>item.xml!G74</f>
        <v>0</v>
      </c>
      <c r="H70">
        <f>item.xml!H74</f>
        <v>0</v>
      </c>
      <c r="I70" t="str">
        <f>item.xml!J74</f>
        <v>500000_20401_10</v>
      </c>
      <c r="J70">
        <f>item.xml!K74</f>
        <v>750</v>
      </c>
      <c r="K70">
        <f>item.xml!M74</f>
        <v>20410</v>
      </c>
      <c r="L70">
        <f>item.xml!N74</f>
        <v>0</v>
      </c>
      <c r="M70">
        <f>item.xml!O74</f>
        <v>0</v>
      </c>
      <c r="N70">
        <f>item.xml!P74</f>
        <v>0</v>
      </c>
      <c r="O70">
        <f>item.xml!Q74</f>
        <v>230</v>
      </c>
      <c r="P70" t="str">
        <f>item.xml!R74</f>
        <v>Item/409.png</v>
      </c>
      <c r="Q70" t="str">
        <f>item.xml!L74</f>
        <v>350,35</v>
      </c>
      <c r="R70" t="str">
        <f>item.xml!S74</f>
        <v>镶嵌后+230点耐力，10-15级黄宝石升级的材料</v>
      </c>
      <c r="S70">
        <f>item.xml!I74</f>
        <v>0</v>
      </c>
      <c r="T70">
        <f>item.xml!T74</f>
        <v>4</v>
      </c>
      <c r="U70">
        <f>item.xml!U74</f>
        <v>0</v>
      </c>
    </row>
    <row r="71" spans="1:21">
      <c r="A71">
        <f>item.xml!A75</f>
        <v>20410</v>
      </c>
      <c r="B71" t="str">
        <f>item.xml!B75</f>
        <v>10级黄宝石</v>
      </c>
      <c r="C71">
        <f>item.xml!C75</f>
        <v>2</v>
      </c>
      <c r="D71">
        <f>item.xml!D75</f>
        <v>0</v>
      </c>
      <c r="E71">
        <f>item.xml!E75</f>
        <v>0</v>
      </c>
      <c r="F71">
        <f>item.xml!F75</f>
        <v>0</v>
      </c>
      <c r="G71">
        <f>item.xml!G75</f>
        <v>0</v>
      </c>
      <c r="H71">
        <f>item.xml!H75</f>
        <v>0</v>
      </c>
      <c r="I71" t="str">
        <f>item.xml!J75</f>
        <v>650000_20401_13</v>
      </c>
      <c r="J71">
        <f>item.xml!K75</f>
        <v>700</v>
      </c>
      <c r="K71">
        <f>item.xml!M75</f>
        <v>20411</v>
      </c>
      <c r="L71">
        <f>item.xml!N75</f>
        <v>0</v>
      </c>
      <c r="M71">
        <f>item.xml!O75</f>
        <v>0</v>
      </c>
      <c r="N71">
        <f>item.xml!P75</f>
        <v>0</v>
      </c>
      <c r="O71">
        <f>item.xml!Q75</f>
        <v>300</v>
      </c>
      <c r="P71" t="str">
        <f>item.xml!R75</f>
        <v>Item/410.png</v>
      </c>
      <c r="Q71" t="str">
        <f>item.xml!L75</f>
        <v>400,40</v>
      </c>
      <c r="R71" t="str">
        <f>item.xml!S75</f>
        <v>镶嵌后+300点耐力，11-15级黄宝石升级的材料</v>
      </c>
      <c r="S71">
        <f>item.xml!I75</f>
        <v>0</v>
      </c>
      <c r="T71">
        <f>item.xml!T75</f>
        <v>4</v>
      </c>
      <c r="U71">
        <f>item.xml!U75</f>
        <v>0</v>
      </c>
    </row>
    <row r="72" spans="1:21">
      <c r="A72">
        <f>item.xml!A76</f>
        <v>20411</v>
      </c>
      <c r="B72" t="str">
        <f>item.xml!B76</f>
        <v>11级黄宝石</v>
      </c>
      <c r="C72">
        <f>item.xml!C76</f>
        <v>2</v>
      </c>
      <c r="D72">
        <f>item.xml!D76</f>
        <v>0</v>
      </c>
      <c r="E72">
        <f>item.xml!E76</f>
        <v>0</v>
      </c>
      <c r="F72">
        <f>item.xml!F76</f>
        <v>0</v>
      </c>
      <c r="G72">
        <f>item.xml!G76</f>
        <v>0</v>
      </c>
      <c r="H72">
        <f>item.xml!H76</f>
        <v>0</v>
      </c>
      <c r="I72" t="str">
        <f>item.xml!J76</f>
        <v>800000_20401_16</v>
      </c>
      <c r="J72">
        <f>item.xml!K76</f>
        <v>650</v>
      </c>
      <c r="K72">
        <f>item.xml!M76</f>
        <v>20412</v>
      </c>
      <c r="L72">
        <f>item.xml!N76</f>
        <v>0</v>
      </c>
      <c r="M72">
        <f>item.xml!O76</f>
        <v>0</v>
      </c>
      <c r="N72">
        <f>item.xml!P76</f>
        <v>0</v>
      </c>
      <c r="O72">
        <f>item.xml!Q76</f>
        <v>380</v>
      </c>
      <c r="P72" t="str">
        <f>item.xml!R76</f>
        <v>Item/411.png</v>
      </c>
      <c r="Q72" t="str">
        <f>item.xml!L76</f>
        <v>450,45</v>
      </c>
      <c r="R72" t="str">
        <f>item.xml!S76</f>
        <v>镶嵌后+380点耐力，12-15级黄宝石升级的材料</v>
      </c>
      <c r="S72">
        <f>item.xml!I76</f>
        <v>0</v>
      </c>
      <c r="T72">
        <f>item.xml!T76</f>
        <v>4</v>
      </c>
      <c r="U72">
        <f>item.xml!U76</f>
        <v>0</v>
      </c>
    </row>
    <row r="73" spans="1:21">
      <c r="A73">
        <f>item.xml!A77</f>
        <v>20412</v>
      </c>
      <c r="B73" t="str">
        <f>item.xml!B77</f>
        <v>12级黄宝石</v>
      </c>
      <c r="C73">
        <f>item.xml!C77</f>
        <v>2</v>
      </c>
      <c r="D73">
        <f>item.xml!D77</f>
        <v>0</v>
      </c>
      <c r="E73">
        <f>item.xml!E77</f>
        <v>0</v>
      </c>
      <c r="F73">
        <f>item.xml!F77</f>
        <v>0</v>
      </c>
      <c r="G73">
        <f>item.xml!G77</f>
        <v>0</v>
      </c>
      <c r="H73">
        <f>item.xml!H77</f>
        <v>0</v>
      </c>
      <c r="I73" t="str">
        <f>item.xml!J77</f>
        <v>950000_20401_19</v>
      </c>
      <c r="J73">
        <f>item.xml!K77</f>
        <v>600</v>
      </c>
      <c r="K73">
        <f>item.xml!M77</f>
        <v>20413</v>
      </c>
      <c r="L73">
        <f>item.xml!N77</f>
        <v>0</v>
      </c>
      <c r="M73">
        <f>item.xml!O77</f>
        <v>0</v>
      </c>
      <c r="N73">
        <f>item.xml!P77</f>
        <v>0</v>
      </c>
      <c r="O73">
        <f>item.xml!Q77</f>
        <v>470</v>
      </c>
      <c r="P73" t="str">
        <f>item.xml!R77</f>
        <v>Item/412.png</v>
      </c>
      <c r="Q73" t="str">
        <f>item.xml!L77</f>
        <v>500,50</v>
      </c>
      <c r="R73" t="str">
        <f>item.xml!S77</f>
        <v>镶嵌后+470点耐力，13-15级黄宝石升级的材料</v>
      </c>
      <c r="S73">
        <f>item.xml!I77</f>
        <v>0</v>
      </c>
      <c r="T73">
        <f>item.xml!T77</f>
        <v>4</v>
      </c>
      <c r="U73">
        <f>item.xml!U77</f>
        <v>0</v>
      </c>
    </row>
    <row r="74" spans="1:21">
      <c r="A74">
        <f>item.xml!A78</f>
        <v>20413</v>
      </c>
      <c r="B74" t="str">
        <f>item.xml!B78</f>
        <v>13级黄宝石</v>
      </c>
      <c r="C74">
        <f>item.xml!C78</f>
        <v>2</v>
      </c>
      <c r="D74">
        <f>item.xml!D78</f>
        <v>0</v>
      </c>
      <c r="E74">
        <f>item.xml!E78</f>
        <v>0</v>
      </c>
      <c r="F74">
        <f>item.xml!F78</f>
        <v>0</v>
      </c>
      <c r="G74">
        <f>item.xml!G78</f>
        <v>0</v>
      </c>
      <c r="H74">
        <f>item.xml!H78</f>
        <v>0</v>
      </c>
      <c r="I74" t="str">
        <f>item.xml!J78</f>
        <v>1150000_20401_23</v>
      </c>
      <c r="J74">
        <f>item.xml!K78</f>
        <v>550</v>
      </c>
      <c r="K74">
        <f>item.xml!M78</f>
        <v>20414</v>
      </c>
      <c r="L74">
        <f>item.xml!N78</f>
        <v>0</v>
      </c>
      <c r="M74">
        <f>item.xml!O78</f>
        <v>0</v>
      </c>
      <c r="N74">
        <f>item.xml!P78</f>
        <v>0</v>
      </c>
      <c r="O74">
        <f>item.xml!Q78</f>
        <v>570</v>
      </c>
      <c r="P74" t="str">
        <f>item.xml!R78</f>
        <v>Item/413.png</v>
      </c>
      <c r="Q74" t="str">
        <f>item.xml!L78</f>
        <v>550,55</v>
      </c>
      <c r="R74" t="str">
        <f>item.xml!S78</f>
        <v>镶嵌后+570点耐力，14-15级黄宝石升级的材料</v>
      </c>
      <c r="S74">
        <f>item.xml!I78</f>
        <v>0</v>
      </c>
      <c r="T74">
        <f>item.xml!T78</f>
        <v>4</v>
      </c>
      <c r="U74">
        <f>item.xml!U78</f>
        <v>0</v>
      </c>
    </row>
    <row r="75" spans="1:21">
      <c r="A75">
        <f>item.xml!A79</f>
        <v>20414</v>
      </c>
      <c r="B75" t="str">
        <f>item.xml!B79</f>
        <v>14级黄宝石</v>
      </c>
      <c r="C75">
        <f>item.xml!C79</f>
        <v>2</v>
      </c>
      <c r="D75">
        <f>item.xml!D79</f>
        <v>0</v>
      </c>
      <c r="E75">
        <f>item.xml!E79</f>
        <v>0</v>
      </c>
      <c r="F75">
        <f>item.xml!F79</f>
        <v>0</v>
      </c>
      <c r="G75">
        <f>item.xml!G79</f>
        <v>0</v>
      </c>
      <c r="H75">
        <f>item.xml!H79</f>
        <v>0</v>
      </c>
      <c r="I75" t="str">
        <f>item.xml!J79</f>
        <v>1350000_20401_27</v>
      </c>
      <c r="J75">
        <f>item.xml!K79</f>
        <v>500</v>
      </c>
      <c r="K75">
        <f>item.xml!M79</f>
        <v>20415</v>
      </c>
      <c r="L75">
        <f>item.xml!N79</f>
        <v>0</v>
      </c>
      <c r="M75">
        <f>item.xml!O79</f>
        <v>0</v>
      </c>
      <c r="N75">
        <f>item.xml!P79</f>
        <v>0</v>
      </c>
      <c r="O75">
        <f>item.xml!Q79</f>
        <v>680</v>
      </c>
      <c r="P75" t="str">
        <f>item.xml!R79</f>
        <v>Item/414.png</v>
      </c>
      <c r="Q75" t="str">
        <f>item.xml!L79</f>
        <v>600,60</v>
      </c>
      <c r="R75" t="str">
        <f>item.xml!S79</f>
        <v>镶嵌后+680点耐力，15级黄宝石升级的材料</v>
      </c>
      <c r="S75">
        <f>item.xml!I79</f>
        <v>0</v>
      </c>
      <c r="T75">
        <f>item.xml!T79</f>
        <v>4</v>
      </c>
      <c r="U75">
        <f>item.xml!U79</f>
        <v>0</v>
      </c>
    </row>
    <row r="76" spans="1:21">
      <c r="A76">
        <f>item.xml!A80</f>
        <v>20415</v>
      </c>
      <c r="B76" t="str">
        <f>item.xml!B80</f>
        <v>15级黄宝石</v>
      </c>
      <c r="C76">
        <f>item.xml!C80</f>
        <v>2</v>
      </c>
      <c r="D76">
        <f>item.xml!D80</f>
        <v>0</v>
      </c>
      <c r="E76">
        <f>item.xml!E80</f>
        <v>0</v>
      </c>
      <c r="F76">
        <f>item.xml!F80</f>
        <v>0</v>
      </c>
      <c r="G76">
        <f>item.xml!G80</f>
        <v>0</v>
      </c>
      <c r="H76">
        <f>item.xml!H80</f>
        <v>0</v>
      </c>
      <c r="I76">
        <f>item.xml!J80</f>
        <v>0</v>
      </c>
      <c r="J76">
        <f>item.xml!K80</f>
        <v>0</v>
      </c>
      <c r="K76">
        <f>item.xml!M80</f>
        <v>0</v>
      </c>
      <c r="L76">
        <f>item.xml!N80</f>
        <v>0</v>
      </c>
      <c r="M76">
        <f>item.xml!O80</f>
        <v>0</v>
      </c>
      <c r="N76">
        <f>item.xml!P80</f>
        <v>0</v>
      </c>
      <c r="O76">
        <f>item.xml!Q80</f>
        <v>800</v>
      </c>
      <c r="P76" t="str">
        <f>item.xml!R80</f>
        <v>Item/415.png</v>
      </c>
      <c r="Q76">
        <f>item.xml!L80</f>
        <v>0</v>
      </c>
      <c r="R76" t="str">
        <f>item.xml!S80</f>
        <v>镶嵌后+800点耐力，顶级宝石</v>
      </c>
      <c r="S76">
        <f>item.xml!I80</f>
        <v>0</v>
      </c>
      <c r="T76">
        <f>item.xml!T80</f>
        <v>4</v>
      </c>
      <c r="U76">
        <f>item.xml!U80</f>
        <v>0</v>
      </c>
    </row>
    <row r="77" spans="1:21">
      <c r="A77">
        <f>item.xml!A81</f>
        <v>10001</v>
      </c>
      <c r="B77" t="str">
        <f>item.xml!B81</f>
        <v>神器碎片</v>
      </c>
      <c r="C77">
        <f>item.xml!C81</f>
        <v>1</v>
      </c>
      <c r="D77">
        <f>item.xml!D81</f>
        <v>0</v>
      </c>
      <c r="E77">
        <f>item.xml!E81</f>
        <v>0</v>
      </c>
      <c r="F77">
        <f>item.xml!F81</f>
        <v>0</v>
      </c>
      <c r="G77">
        <f>item.xml!G81</f>
        <v>0</v>
      </c>
      <c r="H77">
        <f>item.xml!H81</f>
        <v>0</v>
      </c>
      <c r="I77">
        <f>item.xml!J81</f>
        <v>0</v>
      </c>
      <c r="J77">
        <f>item.xml!K81</f>
        <v>0</v>
      </c>
      <c r="K77">
        <f>item.xml!M81</f>
        <v>0</v>
      </c>
      <c r="L77">
        <f>item.xml!N81</f>
        <v>0</v>
      </c>
      <c r="M77">
        <f>item.xml!O81</f>
        <v>0</v>
      </c>
      <c r="N77">
        <f>item.xml!P81</f>
        <v>0</v>
      </c>
      <c r="O77">
        <f>item.xml!Q81</f>
        <v>0</v>
      </c>
      <c r="P77" t="str">
        <f>item.xml!R81</f>
        <v>Item/4.png</v>
      </c>
      <c r="Q77">
        <f>item.xml!L81</f>
        <v>0</v>
      </c>
      <c r="R77" t="str">
        <f>item.xml!S81</f>
        <v>十个神器碎片可以合成一个神器</v>
      </c>
      <c r="S77">
        <f>item.xml!I81</f>
        <v>0</v>
      </c>
      <c r="T77">
        <f>item.xml!T81</f>
        <v>4</v>
      </c>
      <c r="U77">
        <f>item.xml!U81</f>
        <v>0</v>
      </c>
    </row>
    <row r="78" spans="1:21">
      <c r="A78">
        <f>item.xml!A82</f>
        <v>10002</v>
      </c>
      <c r="B78" t="str">
        <f>item.xml!B82</f>
        <v>全</v>
      </c>
      <c r="C78">
        <f>item.xml!C82</f>
        <v>10</v>
      </c>
      <c r="D78">
        <f>item.xml!D82</f>
        <v>0</v>
      </c>
      <c r="E78">
        <f>item.xml!E82</f>
        <v>0</v>
      </c>
      <c r="F78">
        <f>item.xml!F82</f>
        <v>10000</v>
      </c>
      <c r="G78">
        <f>item.xml!G82</f>
        <v>0</v>
      </c>
      <c r="H78">
        <f>item.xml!H82</f>
        <v>0</v>
      </c>
      <c r="I78">
        <f>item.xml!J82</f>
        <v>0</v>
      </c>
      <c r="J78">
        <f>item.xml!K82</f>
        <v>0</v>
      </c>
      <c r="K78">
        <f>item.xml!M82</f>
        <v>0</v>
      </c>
      <c r="L78">
        <f>item.xml!N82</f>
        <v>0</v>
      </c>
      <c r="M78">
        <f>item.xml!O82</f>
        <v>0</v>
      </c>
      <c r="N78">
        <f>item.xml!P82</f>
        <v>0</v>
      </c>
      <c r="O78">
        <f>item.xml!Q82</f>
        <v>0</v>
      </c>
      <c r="P78" t="str">
        <f>item.xml!R82</f>
        <v>Item/51.png</v>
      </c>
      <c r="Q78">
        <f>item.xml!L82</f>
        <v>0</v>
      </c>
      <c r="R78" t="str">
        <f>item.xml!S82</f>
        <v>集齐“全民挂机公测”，会有意想不到的惊喜哦！</v>
      </c>
      <c r="S78">
        <f>item.xml!I82</f>
        <v>0</v>
      </c>
      <c r="T78">
        <f>item.xml!T82</f>
        <v>4</v>
      </c>
      <c r="U78">
        <f>item.xml!U82</f>
        <v>0</v>
      </c>
    </row>
    <row r="79" spans="1:21">
      <c r="A79">
        <f>item.xml!A83</f>
        <v>10003</v>
      </c>
      <c r="B79" t="str">
        <f>item.xml!B83</f>
        <v>民</v>
      </c>
      <c r="C79">
        <f>item.xml!C83</f>
        <v>10</v>
      </c>
      <c r="D79">
        <f>item.xml!D83</f>
        <v>0</v>
      </c>
      <c r="E79">
        <f>item.xml!E83</f>
        <v>0</v>
      </c>
      <c r="F79">
        <f>item.xml!F83</f>
        <v>10000</v>
      </c>
      <c r="G79">
        <f>item.xml!G83</f>
        <v>0</v>
      </c>
      <c r="H79">
        <f>item.xml!H83</f>
        <v>0</v>
      </c>
      <c r="I79">
        <f>item.xml!J83</f>
        <v>0</v>
      </c>
      <c r="J79">
        <f>item.xml!K83</f>
        <v>0</v>
      </c>
      <c r="K79">
        <f>item.xml!M83</f>
        <v>0</v>
      </c>
      <c r="L79">
        <f>item.xml!N83</f>
        <v>0</v>
      </c>
      <c r="M79">
        <f>item.xml!O83</f>
        <v>0</v>
      </c>
      <c r="N79">
        <f>item.xml!P83</f>
        <v>0</v>
      </c>
      <c r="O79">
        <f>item.xml!Q83</f>
        <v>0</v>
      </c>
      <c r="P79" t="str">
        <f>item.xml!R83</f>
        <v>Item/52.png</v>
      </c>
      <c r="Q79">
        <f>item.xml!L83</f>
        <v>0</v>
      </c>
      <c r="R79" t="str">
        <f>item.xml!S83</f>
        <v>集齐“全民挂机公测”，会有意想不到的惊喜哦！</v>
      </c>
      <c r="S79">
        <f>item.xml!I83</f>
        <v>0</v>
      </c>
      <c r="T79">
        <f>item.xml!T83</f>
        <v>4</v>
      </c>
      <c r="U79">
        <f>item.xml!U83</f>
        <v>0</v>
      </c>
    </row>
    <row r="80" spans="1:21">
      <c r="A80">
        <f>item.xml!A84</f>
        <v>10004</v>
      </c>
      <c r="B80" t="str">
        <f>item.xml!B84</f>
        <v>挂</v>
      </c>
      <c r="C80">
        <f>item.xml!C84</f>
        <v>10</v>
      </c>
      <c r="D80">
        <f>item.xml!D84</f>
        <v>0</v>
      </c>
      <c r="E80">
        <f>item.xml!E84</f>
        <v>0</v>
      </c>
      <c r="F80">
        <f>item.xml!F84</f>
        <v>10000</v>
      </c>
      <c r="G80">
        <f>item.xml!G84</f>
        <v>0</v>
      </c>
      <c r="H80">
        <f>item.xml!H84</f>
        <v>0</v>
      </c>
      <c r="I80">
        <f>item.xml!J84</f>
        <v>0</v>
      </c>
      <c r="J80">
        <f>item.xml!K84</f>
        <v>0</v>
      </c>
      <c r="K80">
        <f>item.xml!M84</f>
        <v>0</v>
      </c>
      <c r="L80">
        <f>item.xml!N84</f>
        <v>0</v>
      </c>
      <c r="M80">
        <f>item.xml!O84</f>
        <v>0</v>
      </c>
      <c r="N80">
        <f>item.xml!P84</f>
        <v>0</v>
      </c>
      <c r="O80">
        <f>item.xml!Q84</f>
        <v>0</v>
      </c>
      <c r="P80" t="str">
        <f>item.xml!R84</f>
        <v>Item/53.png</v>
      </c>
      <c r="Q80">
        <f>item.xml!L84</f>
        <v>0</v>
      </c>
      <c r="R80" t="str">
        <f>item.xml!S84</f>
        <v>集齐“全民挂机公测”，会有意想不到的惊喜哦！</v>
      </c>
      <c r="S80">
        <f>item.xml!I84</f>
        <v>0</v>
      </c>
      <c r="T80">
        <f>item.xml!T84</f>
        <v>4</v>
      </c>
      <c r="U80">
        <f>item.xml!U84</f>
        <v>0</v>
      </c>
    </row>
    <row r="81" spans="1:21">
      <c r="A81">
        <f>item.xml!A85</f>
        <v>10005</v>
      </c>
      <c r="B81" t="str">
        <f>item.xml!B85</f>
        <v>机</v>
      </c>
      <c r="C81">
        <f>item.xml!C85</f>
        <v>10</v>
      </c>
      <c r="D81">
        <f>item.xml!D85</f>
        <v>0</v>
      </c>
      <c r="E81">
        <f>item.xml!E85</f>
        <v>0</v>
      </c>
      <c r="F81">
        <f>item.xml!F85</f>
        <v>10000</v>
      </c>
      <c r="G81">
        <f>item.xml!G85</f>
        <v>0</v>
      </c>
      <c r="H81">
        <f>item.xml!H85</f>
        <v>0</v>
      </c>
      <c r="I81">
        <f>item.xml!J85</f>
        <v>0</v>
      </c>
      <c r="J81">
        <f>item.xml!K85</f>
        <v>0</v>
      </c>
      <c r="K81">
        <f>item.xml!M85</f>
        <v>0</v>
      </c>
      <c r="L81">
        <f>item.xml!N85</f>
        <v>0</v>
      </c>
      <c r="M81">
        <f>item.xml!O85</f>
        <v>0</v>
      </c>
      <c r="N81">
        <f>item.xml!P85</f>
        <v>0</v>
      </c>
      <c r="O81">
        <f>item.xml!Q85</f>
        <v>0</v>
      </c>
      <c r="P81" t="str">
        <f>item.xml!R85</f>
        <v>Item/54.png</v>
      </c>
      <c r="Q81">
        <f>item.xml!L85</f>
        <v>0</v>
      </c>
      <c r="R81" t="str">
        <f>item.xml!S85</f>
        <v>集齐“全民挂机公测”，会有意想不到的惊喜哦！</v>
      </c>
      <c r="S81">
        <f>item.xml!I85</f>
        <v>0</v>
      </c>
      <c r="T81">
        <f>item.xml!T85</f>
        <v>4</v>
      </c>
      <c r="U81">
        <f>item.xml!U85</f>
        <v>0</v>
      </c>
    </row>
    <row r="82" spans="1:21">
      <c r="A82">
        <f>item.xml!A86</f>
        <v>10006</v>
      </c>
      <c r="B82" t="str">
        <f>item.xml!B86</f>
        <v>公</v>
      </c>
      <c r="C82">
        <f>item.xml!C86</f>
        <v>10</v>
      </c>
      <c r="D82">
        <f>item.xml!D86</f>
        <v>0</v>
      </c>
      <c r="E82">
        <f>item.xml!E86</f>
        <v>0</v>
      </c>
      <c r="F82">
        <f>item.xml!F86</f>
        <v>10000</v>
      </c>
      <c r="G82">
        <f>item.xml!G86</f>
        <v>0</v>
      </c>
      <c r="H82">
        <f>item.xml!H86</f>
        <v>0</v>
      </c>
      <c r="I82">
        <f>item.xml!J86</f>
        <v>0</v>
      </c>
      <c r="J82">
        <f>item.xml!K86</f>
        <v>0</v>
      </c>
      <c r="K82">
        <f>item.xml!M86</f>
        <v>0</v>
      </c>
      <c r="L82">
        <f>item.xml!N86</f>
        <v>0</v>
      </c>
      <c r="M82">
        <f>item.xml!O86</f>
        <v>0</v>
      </c>
      <c r="N82">
        <f>item.xml!P86</f>
        <v>0</v>
      </c>
      <c r="O82">
        <f>item.xml!Q86</f>
        <v>0</v>
      </c>
      <c r="P82" t="str">
        <f>item.xml!R86</f>
        <v>Item/55.png</v>
      </c>
      <c r="Q82">
        <f>item.xml!L86</f>
        <v>0</v>
      </c>
      <c r="R82" t="str">
        <f>item.xml!S86</f>
        <v>集齐“全民挂机公测”，会有意想不到的惊喜哦！</v>
      </c>
      <c r="S82">
        <f>item.xml!I86</f>
        <v>0</v>
      </c>
      <c r="T82">
        <f>item.xml!T86</f>
        <v>4</v>
      </c>
      <c r="U82">
        <f>item.xml!U86</f>
        <v>0</v>
      </c>
    </row>
    <row r="83" spans="1:21">
      <c r="A83">
        <f>item.xml!A87</f>
        <v>10007</v>
      </c>
      <c r="B83" t="str">
        <f>item.xml!B87</f>
        <v>测</v>
      </c>
      <c r="C83">
        <f>item.xml!C87</f>
        <v>10</v>
      </c>
      <c r="D83">
        <f>item.xml!D87</f>
        <v>0</v>
      </c>
      <c r="E83">
        <f>item.xml!E87</f>
        <v>0</v>
      </c>
      <c r="F83">
        <f>item.xml!F87</f>
        <v>10000</v>
      </c>
      <c r="G83">
        <f>item.xml!G87</f>
        <v>0</v>
      </c>
      <c r="H83">
        <f>item.xml!H87</f>
        <v>0</v>
      </c>
      <c r="I83">
        <f>item.xml!J87</f>
        <v>0</v>
      </c>
      <c r="J83">
        <f>item.xml!K87</f>
        <v>0</v>
      </c>
      <c r="K83">
        <f>item.xml!M87</f>
        <v>0</v>
      </c>
      <c r="L83">
        <f>item.xml!N87</f>
        <v>0</v>
      </c>
      <c r="M83">
        <f>item.xml!O87</f>
        <v>0</v>
      </c>
      <c r="N83">
        <f>item.xml!P87</f>
        <v>0</v>
      </c>
      <c r="O83">
        <f>item.xml!Q87</f>
        <v>0</v>
      </c>
      <c r="P83" t="str">
        <f>item.xml!R87</f>
        <v>Item/56.png</v>
      </c>
      <c r="Q83">
        <f>item.xml!L87</f>
        <v>0</v>
      </c>
      <c r="R83" t="str">
        <f>item.xml!S87</f>
        <v>集齐“全民挂机公测”，会有意想不到的惊喜哦！</v>
      </c>
      <c r="S83">
        <f>item.xml!I87</f>
        <v>0</v>
      </c>
      <c r="T83">
        <f>item.xml!T87</f>
        <v>4</v>
      </c>
      <c r="U83">
        <f>item.xml!U87</f>
        <v>0</v>
      </c>
    </row>
    <row r="84" spans="1:21">
      <c r="A84">
        <f>item.xml!A88</f>
        <v>10008</v>
      </c>
      <c r="B84" t="str">
        <f>item.xml!B88</f>
        <v>南瓜爪牙</v>
      </c>
      <c r="C84">
        <f>item.xml!C88</f>
        <v>9</v>
      </c>
      <c r="D84">
        <f>item.xml!D88</f>
        <v>0</v>
      </c>
      <c r="E84">
        <f>item.xml!E88</f>
        <v>0</v>
      </c>
      <c r="F84">
        <f>item.xml!F88</f>
        <v>20000</v>
      </c>
      <c r="G84">
        <f>item.xml!G88</f>
        <v>0</v>
      </c>
      <c r="H84">
        <f>item.xml!H88</f>
        <v>0</v>
      </c>
      <c r="I84">
        <f>item.xml!J88</f>
        <v>0</v>
      </c>
      <c r="J84">
        <f>item.xml!K88</f>
        <v>0</v>
      </c>
      <c r="K84">
        <f>item.xml!M88</f>
        <v>0</v>
      </c>
      <c r="L84">
        <f>item.xml!N88</f>
        <v>0</v>
      </c>
      <c r="M84">
        <f>item.xml!O88</f>
        <v>0</v>
      </c>
      <c r="N84">
        <f>item.xml!P88</f>
        <v>0</v>
      </c>
      <c r="O84">
        <f>item.xml!Q88</f>
        <v>0</v>
      </c>
      <c r="P84" t="str">
        <f>item.xml!R88</f>
        <v>Item/71.png</v>
      </c>
      <c r="Q84">
        <f>item.xml!L88</f>
        <v>0</v>
      </c>
      <c r="R84" t="str">
        <f>item.xml!S88</f>
        <v>南瓜军团的士兵。</v>
      </c>
      <c r="S84">
        <f>item.xml!I88</f>
        <v>0</v>
      </c>
      <c r="T84">
        <f>item.xml!T88</f>
        <v>4</v>
      </c>
      <c r="U84">
        <f>item.xml!U88</f>
        <v>7</v>
      </c>
    </row>
    <row r="85" spans="1:21">
      <c r="A85">
        <f>item.xml!A89</f>
        <v>10009</v>
      </c>
      <c r="B85" t="str">
        <f>item.xml!B89</f>
        <v>南瓜弓手</v>
      </c>
      <c r="C85">
        <f>item.xml!C89</f>
        <v>9</v>
      </c>
      <c r="D85">
        <f>item.xml!D89</f>
        <v>0</v>
      </c>
      <c r="E85">
        <f>item.xml!E89</f>
        <v>0</v>
      </c>
      <c r="F85">
        <f>item.xml!F89</f>
        <v>20000</v>
      </c>
      <c r="G85">
        <f>item.xml!G89</f>
        <v>0</v>
      </c>
      <c r="H85">
        <f>item.xml!H89</f>
        <v>0</v>
      </c>
      <c r="I85">
        <f>item.xml!J89</f>
        <v>0</v>
      </c>
      <c r="J85">
        <f>item.xml!K89</f>
        <v>0</v>
      </c>
      <c r="K85">
        <f>item.xml!M89</f>
        <v>0</v>
      </c>
      <c r="L85">
        <f>item.xml!N89</f>
        <v>0</v>
      </c>
      <c r="M85">
        <f>item.xml!O89</f>
        <v>0</v>
      </c>
      <c r="N85">
        <f>item.xml!P89</f>
        <v>0</v>
      </c>
      <c r="O85">
        <f>item.xml!Q89</f>
        <v>0</v>
      </c>
      <c r="P85" t="str">
        <f>item.xml!R89</f>
        <v>Item/72.png</v>
      </c>
      <c r="Q85">
        <f>item.xml!L89</f>
        <v>0</v>
      </c>
      <c r="R85" t="str">
        <f>item.xml!S89</f>
        <v>南瓜军团的弓手。</v>
      </c>
      <c r="S85">
        <f>item.xml!I89</f>
        <v>0</v>
      </c>
      <c r="T85">
        <f>item.xml!T89</f>
        <v>4</v>
      </c>
      <c r="U85">
        <f>item.xml!U89</f>
        <v>7</v>
      </c>
    </row>
    <row r="86" spans="1:21">
      <c r="A86">
        <f>item.xml!A90</f>
        <v>10010</v>
      </c>
      <c r="B86" t="str">
        <f>item.xml!B90</f>
        <v>南瓜卫士</v>
      </c>
      <c r="C86">
        <f>item.xml!C90</f>
        <v>9</v>
      </c>
      <c r="D86">
        <f>item.xml!D90</f>
        <v>0</v>
      </c>
      <c r="E86">
        <f>item.xml!E90</f>
        <v>0</v>
      </c>
      <c r="F86">
        <f>item.xml!F90</f>
        <v>20000</v>
      </c>
      <c r="G86">
        <f>item.xml!G90</f>
        <v>0</v>
      </c>
      <c r="H86">
        <f>item.xml!H90</f>
        <v>0</v>
      </c>
      <c r="I86">
        <f>item.xml!J90</f>
        <v>0</v>
      </c>
      <c r="J86">
        <f>item.xml!K90</f>
        <v>0</v>
      </c>
      <c r="K86">
        <f>item.xml!M90</f>
        <v>0</v>
      </c>
      <c r="L86">
        <f>item.xml!N90</f>
        <v>0</v>
      </c>
      <c r="M86">
        <f>item.xml!O90</f>
        <v>0</v>
      </c>
      <c r="N86">
        <f>item.xml!P90</f>
        <v>0</v>
      </c>
      <c r="O86">
        <f>item.xml!Q90</f>
        <v>0</v>
      </c>
      <c r="P86" t="str">
        <f>item.xml!R90</f>
        <v>Item/73.png</v>
      </c>
      <c r="Q86">
        <f>item.xml!L90</f>
        <v>0</v>
      </c>
      <c r="R86" t="str">
        <f>item.xml!S90</f>
        <v>南瓜军团的守卫者。</v>
      </c>
      <c r="S86">
        <f>item.xml!I90</f>
        <v>0</v>
      </c>
      <c r="T86">
        <f>item.xml!T90</f>
        <v>4</v>
      </c>
      <c r="U86">
        <f>item.xml!U90</f>
        <v>7</v>
      </c>
    </row>
    <row r="87" spans="1:21">
      <c r="A87">
        <f>item.xml!A91</f>
        <v>10011</v>
      </c>
      <c r="B87" t="str">
        <f>item.xml!B91</f>
        <v>南瓜将军</v>
      </c>
      <c r="C87">
        <f>item.xml!C91</f>
        <v>9</v>
      </c>
      <c r="D87">
        <f>item.xml!D91</f>
        <v>0</v>
      </c>
      <c r="E87">
        <f>item.xml!E91</f>
        <v>0</v>
      </c>
      <c r="F87">
        <f>item.xml!F91</f>
        <v>50000</v>
      </c>
      <c r="G87">
        <f>item.xml!G91</f>
        <v>0</v>
      </c>
      <c r="H87">
        <f>item.xml!H91</f>
        <v>0</v>
      </c>
      <c r="I87">
        <f>item.xml!J91</f>
        <v>0</v>
      </c>
      <c r="J87">
        <f>item.xml!K91</f>
        <v>0</v>
      </c>
      <c r="K87">
        <f>item.xml!M91</f>
        <v>0</v>
      </c>
      <c r="L87">
        <f>item.xml!N91</f>
        <v>0</v>
      </c>
      <c r="M87">
        <f>item.xml!O91</f>
        <v>0</v>
      </c>
      <c r="N87">
        <f>item.xml!P91</f>
        <v>0</v>
      </c>
      <c r="O87">
        <f>item.xml!Q91</f>
        <v>0</v>
      </c>
      <c r="P87" t="str">
        <f>item.xml!R91</f>
        <v>Item/74.png</v>
      </c>
      <c r="Q87">
        <f>item.xml!L91</f>
        <v>0</v>
      </c>
      <c r="R87" t="str">
        <f>item.xml!S91</f>
        <v>南瓜军团的将军。</v>
      </c>
      <c r="S87">
        <f>item.xml!I91</f>
        <v>0</v>
      </c>
      <c r="T87">
        <f>item.xml!T91</f>
        <v>5</v>
      </c>
      <c r="U87">
        <f>item.xml!U91</f>
        <v>7</v>
      </c>
    </row>
    <row r="88" spans="1:21">
      <c r="A88">
        <f>item.xml!A92</f>
        <v>10012</v>
      </c>
      <c r="B88" t="str">
        <f>item.xml!B92</f>
        <v>南瓜幽灵</v>
      </c>
      <c r="C88">
        <f>item.xml!C92</f>
        <v>9</v>
      </c>
      <c r="D88">
        <f>item.xml!D92</f>
        <v>0</v>
      </c>
      <c r="E88">
        <f>item.xml!E92</f>
        <v>0</v>
      </c>
      <c r="F88">
        <f>item.xml!F92</f>
        <v>80000</v>
      </c>
      <c r="G88">
        <f>item.xml!G92</f>
        <v>0</v>
      </c>
      <c r="H88">
        <f>item.xml!H92</f>
        <v>0</v>
      </c>
      <c r="I88">
        <f>item.xml!J92</f>
        <v>0</v>
      </c>
      <c r="J88">
        <f>item.xml!K92</f>
        <v>0</v>
      </c>
      <c r="K88">
        <f>item.xml!M92</f>
        <v>0</v>
      </c>
      <c r="L88">
        <f>item.xml!N92</f>
        <v>0</v>
      </c>
      <c r="M88">
        <f>item.xml!O92</f>
        <v>0</v>
      </c>
      <c r="N88">
        <f>item.xml!P92</f>
        <v>0</v>
      </c>
      <c r="O88">
        <f>item.xml!Q92</f>
        <v>0</v>
      </c>
      <c r="P88" t="str">
        <f>item.xml!R92</f>
        <v>Item/76.png</v>
      </c>
      <c r="Q88">
        <f>item.xml!L92</f>
        <v>0</v>
      </c>
      <c r="R88" t="str">
        <f>item.xml!S92</f>
        <v>幽灵般的南瓜，只会在万圣节前后出现。</v>
      </c>
      <c r="S88">
        <f>item.xml!I92</f>
        <v>0</v>
      </c>
      <c r="T88">
        <f>item.xml!T92</f>
        <v>5</v>
      </c>
      <c r="U88">
        <f>item.xml!U92</f>
        <v>7</v>
      </c>
    </row>
    <row r="89" spans="1:21">
      <c r="A89">
        <f>item.xml!A93</f>
        <v>10013</v>
      </c>
      <c r="B89" t="str">
        <f>item.xml!B93</f>
        <v>节日糖果</v>
      </c>
      <c r="C89">
        <f>item.xml!C93</f>
        <v>7</v>
      </c>
      <c r="D89">
        <f>item.xml!D93</f>
        <v>0</v>
      </c>
      <c r="E89">
        <f>item.xml!E93</f>
        <v>0</v>
      </c>
      <c r="F89">
        <f>item.xml!F93</f>
        <v>0</v>
      </c>
      <c r="G89">
        <f>item.xml!G93</f>
        <v>0</v>
      </c>
      <c r="H89" t="str">
        <f>item.xml!H93</f>
        <v>10000_1002_10000,30000_60001_1</v>
      </c>
      <c r="I89">
        <f>item.xml!J93</f>
        <v>0</v>
      </c>
      <c r="J89">
        <f>item.xml!K93</f>
        <v>0</v>
      </c>
      <c r="K89">
        <f>item.xml!M93</f>
        <v>0</v>
      </c>
      <c r="L89">
        <f>item.xml!N93</f>
        <v>0</v>
      </c>
      <c r="M89">
        <f>item.xml!O93</f>
        <v>0</v>
      </c>
      <c r="N89">
        <f>item.xml!P93</f>
        <v>0</v>
      </c>
      <c r="O89">
        <f>item.xml!Q93</f>
        <v>0</v>
      </c>
      <c r="P89" t="str">
        <f>item.xml!R93</f>
        <v>Item/gift1.png</v>
      </c>
      <c r="Q89">
        <f>item.xml!L93</f>
        <v>0</v>
      </c>
      <c r="R89" t="str">
        <f>item.xml!S93</f>
        <v>一小盒万圣节糖果。</v>
      </c>
      <c r="S89">
        <f>item.xml!I93</f>
        <v>0</v>
      </c>
      <c r="T89">
        <f>item.xml!T93</f>
        <v>2</v>
      </c>
      <c r="U89">
        <f>item.xml!U93</f>
        <v>0</v>
      </c>
    </row>
    <row r="90" spans="1:21">
      <c r="A90">
        <f>item.xml!A94</f>
        <v>10014</v>
      </c>
      <c r="B90" t="str">
        <f>item.xml!B94</f>
        <v>缤纷糖果</v>
      </c>
      <c r="C90">
        <f>item.xml!C94</f>
        <v>7</v>
      </c>
      <c r="D90">
        <f>item.xml!D94</f>
        <v>0</v>
      </c>
      <c r="E90">
        <f>item.xml!E94</f>
        <v>0</v>
      </c>
      <c r="F90">
        <f>item.xml!F94</f>
        <v>0</v>
      </c>
      <c r="G90">
        <f>item.xml!G94</f>
        <v>0</v>
      </c>
      <c r="H90" t="str">
        <f>item.xml!H94</f>
        <v>30000_50001_10,30000_41001_5</v>
      </c>
      <c r="I90">
        <f>item.xml!J94</f>
        <v>0</v>
      </c>
      <c r="J90">
        <f>item.xml!K94</f>
        <v>0</v>
      </c>
      <c r="K90">
        <f>item.xml!M94</f>
        <v>0</v>
      </c>
      <c r="L90">
        <f>item.xml!N94</f>
        <v>0</v>
      </c>
      <c r="M90">
        <f>item.xml!O94</f>
        <v>0</v>
      </c>
      <c r="N90">
        <f>item.xml!P94</f>
        <v>0</v>
      </c>
      <c r="O90">
        <f>item.xml!Q94</f>
        <v>0</v>
      </c>
      <c r="P90" t="str">
        <f>item.xml!R94</f>
        <v>Item/gift2.png</v>
      </c>
      <c r="Q90">
        <f>item.xml!L94</f>
        <v>0</v>
      </c>
      <c r="R90" t="str">
        <f>item.xml!S94</f>
        <v>不给糖就捣蛋！</v>
      </c>
      <c r="S90">
        <f>item.xml!I94</f>
        <v>0</v>
      </c>
      <c r="T90">
        <f>item.xml!T94</f>
        <v>3</v>
      </c>
      <c r="U90">
        <f>item.xml!U94</f>
        <v>0</v>
      </c>
    </row>
    <row r="91" spans="1:21">
      <c r="A91">
        <f>item.xml!A95</f>
        <v>10015</v>
      </c>
      <c r="B91" t="str">
        <f>item.xml!B95</f>
        <v>精致南瓜</v>
      </c>
      <c r="C91">
        <f>item.xml!C95</f>
        <v>7</v>
      </c>
      <c r="D91">
        <f>item.xml!D95</f>
        <v>0</v>
      </c>
      <c r="E91">
        <f>item.xml!E95</f>
        <v>0</v>
      </c>
      <c r="F91">
        <f>item.xml!F95</f>
        <v>0</v>
      </c>
      <c r="G91">
        <f>item.xml!G95</f>
        <v>0</v>
      </c>
      <c r="H91" t="str">
        <f>item.xml!H95</f>
        <v>30000_90001_1,30000_41002_1</v>
      </c>
      <c r="I91">
        <f>item.xml!J95</f>
        <v>0</v>
      </c>
      <c r="J91">
        <f>item.xml!K95</f>
        <v>0</v>
      </c>
      <c r="K91">
        <f>item.xml!M95</f>
        <v>0</v>
      </c>
      <c r="L91">
        <f>item.xml!N95</f>
        <v>0</v>
      </c>
      <c r="M91">
        <f>item.xml!O95</f>
        <v>0</v>
      </c>
      <c r="N91">
        <f>item.xml!P95</f>
        <v>0</v>
      </c>
      <c r="O91">
        <f>item.xml!Q95</f>
        <v>0</v>
      </c>
      <c r="P91" t="str">
        <f>item.xml!R95</f>
        <v>Item/77.png</v>
      </c>
      <c r="Q91">
        <f>item.xml!L95</f>
        <v>0</v>
      </c>
      <c r="R91" t="str">
        <f>item.xml!S95</f>
        <v>似乎燃烧着火焰的南瓜，不要轻易戴在头上。</v>
      </c>
      <c r="S91">
        <f>item.xml!I95</f>
        <v>0</v>
      </c>
      <c r="T91">
        <f>item.xml!T95</f>
        <v>4</v>
      </c>
      <c r="U91">
        <f>item.xml!U95</f>
        <v>0</v>
      </c>
    </row>
    <row r="92" spans="1:21">
      <c r="A92">
        <f>item.xml!A96</f>
        <v>10016</v>
      </c>
      <c r="B92" t="str">
        <f>item.xml!B96</f>
        <v>至尊南瓜</v>
      </c>
      <c r="C92">
        <f>item.xml!C96</f>
        <v>7</v>
      </c>
      <c r="D92">
        <f>item.xml!D96</f>
        <v>0</v>
      </c>
      <c r="E92">
        <f>item.xml!E96</f>
        <v>0</v>
      </c>
      <c r="F92">
        <f>item.xml!F96</f>
        <v>0</v>
      </c>
      <c r="G92">
        <f>item.xml!G96</f>
        <v>0</v>
      </c>
      <c r="H92" t="str">
        <f>item.xml!H96</f>
        <v>10000_1002_1500000,30000_60001_240</v>
      </c>
      <c r="I92">
        <f>item.xml!J96</f>
        <v>0</v>
      </c>
      <c r="J92">
        <f>item.xml!K96</f>
        <v>0</v>
      </c>
      <c r="K92">
        <f>item.xml!M96</f>
        <v>0</v>
      </c>
      <c r="L92">
        <f>item.xml!N96</f>
        <v>0</v>
      </c>
      <c r="M92">
        <f>item.xml!O96</f>
        <v>0</v>
      </c>
      <c r="N92">
        <f>item.xml!P96</f>
        <v>0</v>
      </c>
      <c r="O92">
        <f>item.xml!Q96</f>
        <v>0</v>
      </c>
      <c r="P92" t="str">
        <f>item.xml!R96</f>
        <v>Item/75.png</v>
      </c>
      <c r="Q92">
        <f>item.xml!L96</f>
        <v>0</v>
      </c>
      <c r="R92" t="str">
        <f>item.xml!S96</f>
        <v>超级大号的南瓜，里面有什么呢？</v>
      </c>
      <c r="S92">
        <f>item.xml!I96</f>
        <v>0</v>
      </c>
      <c r="T92">
        <f>item.xml!T96</f>
        <v>5</v>
      </c>
      <c r="U92">
        <f>item.xml!U96</f>
        <v>0</v>
      </c>
    </row>
    <row r="93" spans="1:21">
      <c r="A93">
        <f>item.xml!A97</f>
        <v>70002</v>
      </c>
      <c r="B93" t="str">
        <f>item.xml!B97</f>
        <v>出门装礼包</v>
      </c>
      <c r="C93">
        <f>item.xml!C97</f>
        <v>7</v>
      </c>
      <c r="D93">
        <f>item.xml!D97</f>
        <v>0</v>
      </c>
      <c r="E93">
        <f>item.xml!E97</f>
        <v>0</v>
      </c>
      <c r="F93">
        <f>item.xml!F97</f>
        <v>0</v>
      </c>
      <c r="G93">
        <f>item.xml!G97</f>
        <v>0</v>
      </c>
      <c r="H93" t="str">
        <f>item.xml!H97</f>
        <v>40000_10050040_1,40000_10050041_1,40000_10050070_1,40000_10100090_1,40000_10100010_1,40000_10100020_1,40000_10100080_1,40000_10100030_1</v>
      </c>
      <c r="I93">
        <f>item.xml!J97</f>
        <v>0</v>
      </c>
      <c r="J93">
        <f>item.xml!K97</f>
        <v>0</v>
      </c>
      <c r="K93">
        <f>item.xml!M97</f>
        <v>0</v>
      </c>
      <c r="L93">
        <f>item.xml!N97</f>
        <v>0</v>
      </c>
      <c r="M93">
        <f>item.xml!O97</f>
        <v>0</v>
      </c>
      <c r="N93">
        <f>item.xml!P97</f>
        <v>0</v>
      </c>
      <c r="O93">
        <f>item.xml!Q97</f>
        <v>0</v>
      </c>
      <c r="P93" t="str">
        <f>item.xml!R97</f>
        <v>Item/gift1.png</v>
      </c>
      <c r="Q93">
        <f>item.xml!L97</f>
        <v>0</v>
      </c>
      <c r="R93" t="str">
        <f>item.xml!S97</f>
        <v>出门装礼包</v>
      </c>
      <c r="S93">
        <f>item.xml!I97</f>
        <v>0</v>
      </c>
      <c r="T93">
        <f>item.xml!T97</f>
        <v>1</v>
      </c>
      <c r="U93">
        <f>item.xml!U97</f>
        <v>0</v>
      </c>
    </row>
    <row r="94" spans="1:21">
      <c r="A94">
        <f>item.xml!A98</f>
        <v>70003</v>
      </c>
      <c r="B94" t="str">
        <f>item.xml!B98</f>
        <v>金光闪闪礼包</v>
      </c>
      <c r="C94">
        <f>item.xml!C98</f>
        <v>7</v>
      </c>
      <c r="D94">
        <f>item.xml!D98</f>
        <v>0</v>
      </c>
      <c r="E94">
        <f>item.xml!E98</f>
        <v>0</v>
      </c>
      <c r="F94">
        <f>item.xml!F98</f>
        <v>0</v>
      </c>
      <c r="G94">
        <f>item.xml!G98</f>
        <v>0</v>
      </c>
      <c r="H94" t="str">
        <f>item.xml!H98</f>
        <v>40000_50600070_1,40000_50650010_1,40000_50650020_1,40000_50650080_1,40000_50650090_1,40000_50650100_1,40000_50651050_1</v>
      </c>
      <c r="I94">
        <f>item.xml!J98</f>
        <v>0</v>
      </c>
      <c r="J94">
        <f>item.xml!K98</f>
        <v>0</v>
      </c>
      <c r="K94">
        <f>item.xml!M98</f>
        <v>0</v>
      </c>
      <c r="L94">
        <f>item.xml!N98</f>
        <v>0</v>
      </c>
      <c r="M94">
        <f>item.xml!O98</f>
        <v>0</v>
      </c>
      <c r="N94">
        <f>item.xml!P98</f>
        <v>0</v>
      </c>
      <c r="O94">
        <f>item.xml!Q98</f>
        <v>0</v>
      </c>
      <c r="P94" t="str">
        <f>item.xml!R98</f>
        <v>Item/gift1.png</v>
      </c>
      <c r="Q94">
        <f>item.xml!L98</f>
        <v>0</v>
      </c>
      <c r="R94" t="str">
        <f>item.xml!S98</f>
        <v>金光闪闪礼包</v>
      </c>
      <c r="S94">
        <f>item.xml!I98</f>
        <v>0</v>
      </c>
      <c r="T94">
        <f>item.xml!T98</f>
        <v>1</v>
      </c>
      <c r="U94">
        <f>item.xml!U98</f>
        <v>0</v>
      </c>
    </row>
    <row r="95" spans="1:21">
      <c r="A95">
        <f>item.xml!A99</f>
        <v>70004</v>
      </c>
      <c r="B95" t="str">
        <f>item.xml!B99</f>
        <v>超级锤子礼包</v>
      </c>
      <c r="C95">
        <f>item.xml!C99</f>
        <v>7</v>
      </c>
      <c r="D95">
        <f>item.xml!D99</f>
        <v>0</v>
      </c>
      <c r="E95">
        <f>item.xml!E99</f>
        <v>0</v>
      </c>
      <c r="F95">
        <f>item.xml!F99</f>
        <v>0</v>
      </c>
      <c r="G95">
        <f>item.xml!G99</f>
        <v>0</v>
      </c>
      <c r="H95" t="str">
        <f>item.xml!H99</f>
        <v>30001_30001_100,30001_30002_100,30001_30003_100</v>
      </c>
      <c r="I95">
        <f>item.xml!J99</f>
        <v>0</v>
      </c>
      <c r="J95">
        <f>item.xml!K99</f>
        <v>0</v>
      </c>
      <c r="K95">
        <f>item.xml!M99</f>
        <v>0</v>
      </c>
      <c r="L95">
        <f>item.xml!N99</f>
        <v>0</v>
      </c>
      <c r="M95">
        <f>item.xml!O99</f>
        <v>0</v>
      </c>
      <c r="N95">
        <f>item.xml!P99</f>
        <v>0</v>
      </c>
      <c r="O95">
        <f>item.xml!Q99</f>
        <v>0</v>
      </c>
      <c r="P95" t="str">
        <f>item.xml!R99</f>
        <v>Item/gift1.png</v>
      </c>
      <c r="Q95">
        <f>item.xml!L99</f>
        <v>0</v>
      </c>
      <c r="R95" t="str">
        <f>item.xml!S99</f>
        <v>超级锤子礼包</v>
      </c>
      <c r="S95">
        <f>item.xml!I99</f>
        <v>0</v>
      </c>
      <c r="T95">
        <f>item.xml!T99</f>
        <v>1</v>
      </c>
      <c r="U95">
        <f>item.xml!U99</f>
        <v>0</v>
      </c>
    </row>
    <row r="96" spans="1:21">
      <c r="A96">
        <f>item.xml!A100</f>
        <v>70005</v>
      </c>
      <c r="B96" t="str">
        <f>item.xml!B100</f>
        <v>不开箱子不舒服斯基礼包</v>
      </c>
      <c r="C96">
        <f>item.xml!C100</f>
        <v>7</v>
      </c>
      <c r="D96">
        <f>item.xml!D100</f>
        <v>0</v>
      </c>
      <c r="E96">
        <f>item.xml!E100</f>
        <v>0</v>
      </c>
      <c r="F96">
        <f>item.xml!F100</f>
        <v>0</v>
      </c>
      <c r="G96">
        <f>item.xml!G100</f>
        <v>0</v>
      </c>
      <c r="H96" t="str">
        <f>item.xml!H100</f>
        <v>30001_50001_100,30001_50002_100,30001_50003_100</v>
      </c>
      <c r="I96">
        <f>item.xml!J100</f>
        <v>0</v>
      </c>
      <c r="J96">
        <f>item.xml!K100</f>
        <v>0</v>
      </c>
      <c r="K96">
        <f>item.xml!M100</f>
        <v>0</v>
      </c>
      <c r="L96">
        <f>item.xml!N100</f>
        <v>0</v>
      </c>
      <c r="M96">
        <f>item.xml!O100</f>
        <v>0</v>
      </c>
      <c r="N96">
        <f>item.xml!P100</f>
        <v>0</v>
      </c>
      <c r="O96">
        <f>item.xml!Q100</f>
        <v>0</v>
      </c>
      <c r="P96" t="str">
        <f>item.xml!R100</f>
        <v>Item/gift1.png</v>
      </c>
      <c r="Q96">
        <f>item.xml!L100</f>
        <v>0</v>
      </c>
      <c r="R96" t="str">
        <f>item.xml!S100</f>
        <v>不开箱子不舒服斯基礼包</v>
      </c>
      <c r="S96">
        <f>item.xml!I100</f>
        <v>0</v>
      </c>
      <c r="T96">
        <f>item.xml!T100</f>
        <v>1</v>
      </c>
      <c r="U96">
        <f>item.xml!U100</f>
        <v>0</v>
      </c>
    </row>
    <row r="97" spans="1:21">
      <c r="A97">
        <f>item.xml!A101</f>
        <v>70006</v>
      </c>
      <c r="B97" t="str">
        <f>item.xml!B101</f>
        <v>中华小当家礼包</v>
      </c>
      <c r="C97">
        <f>item.xml!C101</f>
        <v>7</v>
      </c>
      <c r="D97">
        <f>item.xml!D101</f>
        <v>0</v>
      </c>
      <c r="E97">
        <f>item.xml!E101</f>
        <v>0</v>
      </c>
      <c r="F97">
        <f>item.xml!F101</f>
        <v>0</v>
      </c>
      <c r="G97">
        <f>item.xml!G101</f>
        <v>0</v>
      </c>
      <c r="H97" t="str">
        <f>item.xml!H101</f>
        <v>30001_10001_100</v>
      </c>
      <c r="I97">
        <f>item.xml!J101</f>
        <v>0</v>
      </c>
      <c r="J97">
        <f>item.xml!K101</f>
        <v>0</v>
      </c>
      <c r="K97">
        <f>item.xml!M101</f>
        <v>0</v>
      </c>
      <c r="L97">
        <f>item.xml!N101</f>
        <v>0</v>
      </c>
      <c r="M97">
        <f>item.xml!O101</f>
        <v>0</v>
      </c>
      <c r="N97">
        <f>item.xml!P101</f>
        <v>0</v>
      </c>
      <c r="O97">
        <f>item.xml!Q101</f>
        <v>0</v>
      </c>
      <c r="P97" t="str">
        <f>item.xml!R101</f>
        <v>Item/gift1.png</v>
      </c>
      <c r="Q97">
        <f>item.xml!L101</f>
        <v>0</v>
      </c>
      <c r="R97" t="str">
        <f>item.xml!S101</f>
        <v>中华小当家礼包</v>
      </c>
      <c r="S97">
        <f>item.xml!I101</f>
        <v>0</v>
      </c>
      <c r="T97">
        <f>item.xml!T101</f>
        <v>1</v>
      </c>
      <c r="U97">
        <f>item.xml!U101</f>
        <v>0</v>
      </c>
    </row>
    <row r="98" spans="1:21">
      <c r="A98">
        <f>item.xml!A102</f>
        <v>70007</v>
      </c>
      <c r="B98" t="str">
        <f>item.xml!B102</f>
        <v>潘多拉礼包</v>
      </c>
      <c r="C98">
        <f>item.xml!C102</f>
        <v>7</v>
      </c>
      <c r="D98">
        <f>item.xml!D102</f>
        <v>0</v>
      </c>
      <c r="E98">
        <f>item.xml!E102</f>
        <v>0</v>
      </c>
      <c r="F98">
        <f>item.xml!F102</f>
        <v>0</v>
      </c>
      <c r="G98">
        <f>item.xml!G102</f>
        <v>0</v>
      </c>
      <c r="H98" t="str">
        <f>item.xml!H102</f>
        <v>30001_70007_1,30001_70006_1,30001_70005_1,30001_70004_1,30001_70003_1,30001_70002_1</v>
      </c>
      <c r="I98">
        <f>item.xml!J102</f>
        <v>0</v>
      </c>
      <c r="J98">
        <f>item.xml!K102</f>
        <v>0</v>
      </c>
      <c r="K98">
        <f>item.xml!M102</f>
        <v>0</v>
      </c>
      <c r="L98">
        <f>item.xml!N102</f>
        <v>0</v>
      </c>
      <c r="M98">
        <f>item.xml!O102</f>
        <v>0</v>
      </c>
      <c r="N98">
        <f>item.xml!P102</f>
        <v>0</v>
      </c>
      <c r="O98">
        <f>item.xml!Q102</f>
        <v>0</v>
      </c>
      <c r="P98" t="str">
        <f>item.xml!R102</f>
        <v>Item/gift1.png</v>
      </c>
      <c r="Q98">
        <f>item.xml!L102</f>
        <v>0</v>
      </c>
      <c r="R98" t="str">
        <f>item.xml!S102</f>
        <v>潘多拉礼包</v>
      </c>
      <c r="S98">
        <f>item.xml!I102</f>
        <v>0</v>
      </c>
      <c r="T98">
        <f>item.xml!T102</f>
        <v>1</v>
      </c>
      <c r="U98">
        <f>item.xml!U102</f>
        <v>0</v>
      </c>
    </row>
    <row r="99" spans="1:21">
      <c r="A99">
        <f>item.xml!A103</f>
        <v>90001</v>
      </c>
      <c r="B99" t="str">
        <f>item.xml!B103</f>
        <v>BOSS挑战券</v>
      </c>
      <c r="C99">
        <f>item.xml!C103</f>
        <v>11</v>
      </c>
      <c r="D99">
        <f>item.xml!D103</f>
        <v>0</v>
      </c>
      <c r="E99">
        <f>item.xml!E103</f>
        <v>0</v>
      </c>
      <c r="F99">
        <f>item.xml!F103</f>
        <v>0</v>
      </c>
      <c r="G99">
        <f>item.xml!G103</f>
        <v>0</v>
      </c>
      <c r="H99" t="str">
        <f>item.xml!H103</f>
        <v>10000_1009_1</v>
      </c>
      <c r="I99">
        <f>item.xml!J103</f>
        <v>0</v>
      </c>
      <c r="J99">
        <f>item.xml!K103</f>
        <v>0</v>
      </c>
      <c r="K99">
        <f>item.xml!M103</f>
        <v>0</v>
      </c>
      <c r="L99">
        <f>item.xml!N103</f>
        <v>0</v>
      </c>
      <c r="M99">
        <f>item.xml!O103</f>
        <v>0</v>
      </c>
      <c r="N99">
        <f>item.xml!P103</f>
        <v>0</v>
      </c>
      <c r="O99">
        <f>item.xml!Q103</f>
        <v>0</v>
      </c>
      <c r="P99" t="str">
        <f>item.xml!R103</f>
        <v>Item/11.png</v>
      </c>
      <c r="Q99">
        <f>item.xml!L103</f>
        <v>0</v>
      </c>
      <c r="R99" t="str">
        <f>item.xml!S103</f>
        <v>使用后可增加一次副本BOSS挑战次数</v>
      </c>
      <c r="S99">
        <f>item.xml!I103</f>
        <v>0</v>
      </c>
      <c r="T99">
        <f>item.xml!T103</f>
        <v>1</v>
      </c>
      <c r="U99">
        <f>item.xml!U103</f>
        <v>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item.xml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2014-10-31T05:41:32Z</dcterms:modified>
</cp:coreProperties>
</file>