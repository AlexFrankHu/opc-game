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7E998C4-C9E5-D4B9-71C8-EB1FF731991C}"/>
  <workbookPr filterPrivacy="1" codeName="ThisWorkbook" defaultThemeVersion="124226"/>
  <bookViews>
    <workbookView xWindow="0" yWindow="0" windowWidth="19440" windowHeight="12240"/>
  </bookViews>
  <sheets>
    <sheet name="battleParameter.xml" sheetId="1" r:id="rId1"/>
    <sheet name="battleParameter.txt" sheetId="2" r:id="rId2"/>
    <sheet name="抗性占比" sheetId="3" r:id="rId3"/>
  </sheets>
  <calcPr calcId="152511"/>
</workbook>
</file>

<file path=xl/calcChain.xml><?xml version="1.0" encoding="utf-8"?>
<calcChain xmlns="http://schemas.openxmlformats.org/spreadsheetml/2006/main">
  <c r="I3" i="2" l="1"/>
  <c r="J3" i="2"/>
  <c r="K3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I12" i="2"/>
  <c r="J12" i="2"/>
  <c r="K12" i="2"/>
  <c r="I13" i="2"/>
  <c r="J13" i="2"/>
  <c r="K13" i="2"/>
  <c r="I14" i="2"/>
  <c r="J14" i="2"/>
  <c r="K14" i="2"/>
  <c r="I15" i="2"/>
  <c r="J15" i="2"/>
  <c r="K15" i="2"/>
  <c r="I16" i="2"/>
  <c r="J16" i="2"/>
  <c r="K16" i="2"/>
  <c r="I17" i="2"/>
  <c r="J17" i="2"/>
  <c r="K17" i="2"/>
  <c r="I18" i="2"/>
  <c r="J18" i="2"/>
  <c r="K18" i="2"/>
  <c r="I19" i="2"/>
  <c r="J19" i="2"/>
  <c r="K19" i="2"/>
  <c r="I20" i="2"/>
  <c r="J20" i="2"/>
  <c r="K20" i="2"/>
  <c r="I21" i="2"/>
  <c r="J21" i="2"/>
  <c r="K21" i="2"/>
  <c r="I22" i="2"/>
  <c r="J22" i="2"/>
  <c r="K22" i="2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I37" i="2"/>
  <c r="J37" i="2"/>
  <c r="K37" i="2"/>
  <c r="I38" i="2"/>
  <c r="J38" i="2"/>
  <c r="K38" i="2"/>
  <c r="I39" i="2"/>
  <c r="J39" i="2"/>
  <c r="K39" i="2"/>
  <c r="I40" i="2"/>
  <c r="J40" i="2"/>
  <c r="K40" i="2"/>
  <c r="I41" i="2"/>
  <c r="J41" i="2"/>
  <c r="K41" i="2"/>
  <c r="I42" i="2"/>
  <c r="J42" i="2"/>
  <c r="K42" i="2"/>
  <c r="I43" i="2"/>
  <c r="J43" i="2"/>
  <c r="K43" i="2"/>
  <c r="I44" i="2"/>
  <c r="J44" i="2"/>
  <c r="K44" i="2"/>
  <c r="I45" i="2"/>
  <c r="J45" i="2"/>
  <c r="K45" i="2"/>
  <c r="I46" i="2"/>
  <c r="J46" i="2"/>
  <c r="K46" i="2"/>
  <c r="I47" i="2"/>
  <c r="J47" i="2"/>
  <c r="K47" i="2"/>
  <c r="I48" i="2"/>
  <c r="J48" i="2"/>
  <c r="K48" i="2"/>
  <c r="I49" i="2"/>
  <c r="J49" i="2"/>
  <c r="K49" i="2"/>
  <c r="I50" i="2"/>
  <c r="J50" i="2"/>
  <c r="K50" i="2"/>
  <c r="I51" i="2"/>
  <c r="J51" i="2"/>
  <c r="K51" i="2"/>
  <c r="I52" i="2"/>
  <c r="J52" i="2"/>
  <c r="K52" i="2"/>
  <c r="I53" i="2"/>
  <c r="J53" i="2"/>
  <c r="K53" i="2"/>
  <c r="I54" i="2"/>
  <c r="J54" i="2"/>
  <c r="K54" i="2"/>
  <c r="I55" i="2"/>
  <c r="J55" i="2"/>
  <c r="K55" i="2"/>
  <c r="I56" i="2"/>
  <c r="J56" i="2"/>
  <c r="K56" i="2"/>
  <c r="I57" i="2"/>
  <c r="J57" i="2"/>
  <c r="K57" i="2"/>
  <c r="I58" i="2"/>
  <c r="J58" i="2"/>
  <c r="K58" i="2"/>
  <c r="I59" i="2"/>
  <c r="J59" i="2"/>
  <c r="K59" i="2"/>
  <c r="I60" i="2"/>
  <c r="J60" i="2"/>
  <c r="K60" i="2"/>
  <c r="I61" i="2"/>
  <c r="J61" i="2"/>
  <c r="K61" i="2"/>
  <c r="I62" i="2"/>
  <c r="J62" i="2"/>
  <c r="K62" i="2"/>
  <c r="I63" i="2"/>
  <c r="J63" i="2"/>
  <c r="K63" i="2"/>
  <c r="I64" i="2"/>
  <c r="J64" i="2"/>
  <c r="K64" i="2"/>
  <c r="I65" i="2"/>
  <c r="J65" i="2"/>
  <c r="K65" i="2"/>
  <c r="I66" i="2"/>
  <c r="J66" i="2"/>
  <c r="K66" i="2"/>
  <c r="I67" i="2"/>
  <c r="J67" i="2"/>
  <c r="K67" i="2"/>
  <c r="I68" i="2"/>
  <c r="J68" i="2"/>
  <c r="K68" i="2"/>
  <c r="I69" i="2"/>
  <c r="J69" i="2"/>
  <c r="K69" i="2"/>
  <c r="I70" i="2"/>
  <c r="J70" i="2"/>
  <c r="K70" i="2"/>
  <c r="I71" i="2"/>
  <c r="J71" i="2"/>
  <c r="K71" i="2"/>
  <c r="I72" i="2"/>
  <c r="J72" i="2"/>
  <c r="K72" i="2"/>
  <c r="I73" i="2"/>
  <c r="J73" i="2"/>
  <c r="K73" i="2"/>
  <c r="I74" i="2"/>
  <c r="J74" i="2"/>
  <c r="K74" i="2"/>
  <c r="I75" i="2"/>
  <c r="J75" i="2"/>
  <c r="K75" i="2"/>
  <c r="I76" i="2"/>
  <c r="J76" i="2"/>
  <c r="K76" i="2"/>
  <c r="I77" i="2"/>
  <c r="J77" i="2"/>
  <c r="K77" i="2"/>
  <c r="I78" i="2"/>
  <c r="J78" i="2"/>
  <c r="K78" i="2"/>
  <c r="I79" i="2"/>
  <c r="J79" i="2"/>
  <c r="K79" i="2"/>
  <c r="I80" i="2"/>
  <c r="J80" i="2"/>
  <c r="K80" i="2"/>
  <c r="I81" i="2"/>
  <c r="J81" i="2"/>
  <c r="K81" i="2"/>
  <c r="I82" i="2"/>
  <c r="J82" i="2"/>
  <c r="K82" i="2"/>
  <c r="I83" i="2"/>
  <c r="J83" i="2"/>
  <c r="K83" i="2"/>
  <c r="I84" i="2"/>
  <c r="J84" i="2"/>
  <c r="K84" i="2"/>
  <c r="I85" i="2"/>
  <c r="J85" i="2"/>
  <c r="K85" i="2"/>
  <c r="I86" i="2"/>
  <c r="J86" i="2"/>
  <c r="K86" i="2"/>
  <c r="I87" i="2"/>
  <c r="J87" i="2"/>
  <c r="K87" i="2"/>
  <c r="I88" i="2"/>
  <c r="J88" i="2"/>
  <c r="K88" i="2"/>
  <c r="I89" i="2"/>
  <c r="J89" i="2"/>
  <c r="K89" i="2"/>
  <c r="I90" i="2"/>
  <c r="J90" i="2"/>
  <c r="K90" i="2"/>
  <c r="I91" i="2"/>
  <c r="J91" i="2"/>
  <c r="K91" i="2"/>
  <c r="I92" i="2"/>
  <c r="J92" i="2"/>
  <c r="K92" i="2"/>
  <c r="I93" i="2"/>
  <c r="J93" i="2"/>
  <c r="K93" i="2"/>
  <c r="I94" i="2"/>
  <c r="J94" i="2"/>
  <c r="K94" i="2"/>
  <c r="I95" i="2"/>
  <c r="J95" i="2"/>
  <c r="K95" i="2"/>
  <c r="I96" i="2"/>
  <c r="J96" i="2"/>
  <c r="K96" i="2"/>
  <c r="I97" i="2"/>
  <c r="J97" i="2"/>
  <c r="K97" i="2"/>
  <c r="I98" i="2"/>
  <c r="J98" i="2"/>
  <c r="K98" i="2"/>
  <c r="I99" i="2"/>
  <c r="J99" i="2"/>
  <c r="K99" i="2"/>
  <c r="I100" i="2"/>
  <c r="J100" i="2"/>
  <c r="K100" i="2"/>
  <c r="I101" i="2"/>
  <c r="J101" i="2"/>
  <c r="K101" i="2"/>
  <c r="I102" i="2"/>
  <c r="J102" i="2"/>
  <c r="K102" i="2"/>
  <c r="I103" i="2"/>
  <c r="J103" i="2"/>
  <c r="K103" i="2"/>
  <c r="I2" i="2"/>
  <c r="J2" i="2"/>
  <c r="K2" i="2"/>
  <c r="A103" i="2"/>
  <c r="C103" i="2"/>
  <c r="A72" i="2"/>
  <c r="C72" i="2"/>
  <c r="A73" i="2"/>
  <c r="C73" i="2"/>
  <c r="A74" i="2"/>
  <c r="C74" i="2"/>
  <c r="A75" i="2"/>
  <c r="C75" i="2"/>
  <c r="A76" i="2"/>
  <c r="C76" i="2"/>
  <c r="A77" i="2"/>
  <c r="C77" i="2"/>
  <c r="A78" i="2"/>
  <c r="C78" i="2"/>
  <c r="A79" i="2"/>
  <c r="C79" i="2"/>
  <c r="A80" i="2"/>
  <c r="C80" i="2"/>
  <c r="A81" i="2"/>
  <c r="C81" i="2"/>
  <c r="A82" i="2"/>
  <c r="C82" i="2"/>
  <c r="A83" i="2"/>
  <c r="C83" i="2"/>
  <c r="A84" i="2"/>
  <c r="C84" i="2"/>
  <c r="A85" i="2"/>
  <c r="C85" i="2"/>
  <c r="A86" i="2"/>
  <c r="C86" i="2"/>
  <c r="A87" i="2"/>
  <c r="C87" i="2"/>
  <c r="A88" i="2"/>
  <c r="C88" i="2"/>
  <c r="A89" i="2"/>
  <c r="C89" i="2"/>
  <c r="A90" i="2"/>
  <c r="C90" i="2"/>
  <c r="A91" i="2"/>
  <c r="C91" i="2"/>
  <c r="A92" i="2"/>
  <c r="C92" i="2"/>
  <c r="A93" i="2"/>
  <c r="C93" i="2"/>
  <c r="A94" i="2"/>
  <c r="C94" i="2"/>
  <c r="A95" i="2"/>
  <c r="C95" i="2"/>
  <c r="A96" i="2"/>
  <c r="C96" i="2"/>
  <c r="A97" i="2"/>
  <c r="C97" i="2"/>
  <c r="A98" i="2"/>
  <c r="C98" i="2"/>
  <c r="A99" i="2"/>
  <c r="C99" i="2"/>
  <c r="A100" i="2"/>
  <c r="C100" i="2"/>
  <c r="A101" i="2"/>
  <c r="C101" i="2"/>
  <c r="A102" i="2"/>
  <c r="C102" i="2"/>
  <c r="D106" i="1"/>
  <c r="D102" i="2" s="1"/>
  <c r="E106" i="1"/>
  <c r="F106" i="1" s="1"/>
  <c r="F102" i="2" s="1"/>
  <c r="B107" i="1"/>
  <c r="D107" i="1"/>
  <c r="D103" i="2" s="1"/>
  <c r="E107" i="1"/>
  <c r="E103" i="2" s="1"/>
  <c r="G107" i="1"/>
  <c r="G103" i="2" s="1"/>
  <c r="D31" i="3"/>
  <c r="E31" i="3" s="1"/>
  <c r="F31" i="3" s="1"/>
  <c r="D29" i="3"/>
  <c r="E29" i="3" s="1"/>
  <c r="D27" i="3"/>
  <c r="E27" i="3" s="1"/>
  <c r="F27" i="3" s="1"/>
  <c r="D25" i="3"/>
  <c r="E25" i="3" s="1"/>
  <c r="D23" i="3"/>
  <c r="E23" i="3" s="1"/>
  <c r="D21" i="3"/>
  <c r="E21" i="3" s="1"/>
  <c r="D19" i="3"/>
  <c r="E19" i="3" s="1"/>
  <c r="D17" i="3"/>
  <c r="E17" i="3" s="1"/>
  <c r="D15" i="3"/>
  <c r="E15" i="3" s="1"/>
  <c r="F15" i="3" s="1"/>
  <c r="D13" i="3"/>
  <c r="E13" i="3" s="1"/>
  <c r="D11" i="3"/>
  <c r="E11" i="3" s="1"/>
  <c r="D9" i="3"/>
  <c r="E9" i="3" s="1"/>
  <c r="D7" i="3"/>
  <c r="E7" i="3" s="1"/>
  <c r="F7" i="3" s="1"/>
  <c r="D5" i="3"/>
  <c r="E5" i="3" s="1"/>
  <c r="D3" i="3"/>
  <c r="E3" i="3" s="1"/>
  <c r="F3" i="3" s="1"/>
  <c r="D77" i="1"/>
  <c r="D73" i="2" s="1"/>
  <c r="D78" i="1"/>
  <c r="D79" i="1"/>
  <c r="D75" i="2" s="1"/>
  <c r="D80" i="1"/>
  <c r="D76" i="2" s="1"/>
  <c r="D81" i="1"/>
  <c r="D77" i="2" s="1"/>
  <c r="D82" i="1"/>
  <c r="D83" i="1"/>
  <c r="D79" i="2" s="1"/>
  <c r="D84" i="1"/>
  <c r="D80" i="2" s="1"/>
  <c r="D85" i="1"/>
  <c r="D81" i="2" s="1"/>
  <c r="D86" i="1"/>
  <c r="D87" i="1"/>
  <c r="D83" i="2" s="1"/>
  <c r="D88" i="1"/>
  <c r="D84" i="2" s="1"/>
  <c r="D89" i="1"/>
  <c r="D85" i="2" s="1"/>
  <c r="D90" i="1"/>
  <c r="D91" i="1"/>
  <c r="D87" i="2" s="1"/>
  <c r="D92" i="1"/>
  <c r="D88" i="2" s="1"/>
  <c r="D93" i="1"/>
  <c r="D89" i="2" s="1"/>
  <c r="D94" i="1"/>
  <c r="D95" i="1"/>
  <c r="D91" i="2" s="1"/>
  <c r="D96" i="1"/>
  <c r="D92" i="2" s="1"/>
  <c r="D97" i="1"/>
  <c r="D93" i="2" s="1"/>
  <c r="D98" i="1"/>
  <c r="D99" i="1"/>
  <c r="D95" i="2" s="1"/>
  <c r="D100" i="1"/>
  <c r="D96" i="2" s="1"/>
  <c r="D101" i="1"/>
  <c r="D97" i="2" s="1"/>
  <c r="D102" i="1"/>
  <c r="D103" i="1"/>
  <c r="D99" i="2" s="1"/>
  <c r="D104" i="1"/>
  <c r="D100" i="2" s="1"/>
  <c r="D105" i="1"/>
  <c r="D101" i="2" s="1"/>
  <c r="D76" i="1"/>
  <c r="D98" i="2" l="1"/>
  <c r="D28" i="3"/>
  <c r="E28" i="3" s="1"/>
  <c r="F28" i="3" s="1"/>
  <c r="D90" i="2"/>
  <c r="D20" i="3"/>
  <c r="E20" i="3" s="1"/>
  <c r="D82" i="2"/>
  <c r="D12" i="3"/>
  <c r="E12" i="3" s="1"/>
  <c r="F12" i="3" s="1"/>
  <c r="D74" i="2"/>
  <c r="D4" i="3"/>
  <c r="E4" i="3" s="1"/>
  <c r="H107" i="1"/>
  <c r="H103" i="2" s="1"/>
  <c r="B103" i="2"/>
  <c r="D72" i="2"/>
  <c r="D2" i="3"/>
  <c r="E2" i="3" s="1"/>
  <c r="F2" i="3" s="1"/>
  <c r="D94" i="2"/>
  <c r="D24" i="3"/>
  <c r="E24" i="3" s="1"/>
  <c r="D86" i="2"/>
  <c r="D16" i="3"/>
  <c r="E16" i="3" s="1"/>
  <c r="D78" i="2"/>
  <c r="D8" i="3"/>
  <c r="E8" i="3" s="1"/>
  <c r="F107" i="1"/>
  <c r="F103" i="2" s="1"/>
  <c r="G106" i="1"/>
  <c r="G102" i="2" s="1"/>
  <c r="B106" i="1"/>
  <c r="E102" i="2"/>
  <c r="D6" i="3"/>
  <c r="E6" i="3" s="1"/>
  <c r="F6" i="3" s="1"/>
  <c r="D10" i="3"/>
  <c r="E10" i="3" s="1"/>
  <c r="D14" i="3"/>
  <c r="E14" i="3" s="1"/>
  <c r="D18" i="3"/>
  <c r="E18" i="3" s="1"/>
  <c r="D22" i="3"/>
  <c r="E22" i="3" s="1"/>
  <c r="F22" i="3" s="1"/>
  <c r="D26" i="3"/>
  <c r="E26" i="3" s="1"/>
  <c r="D30" i="3"/>
  <c r="E30" i="3" s="1"/>
  <c r="F8" i="3"/>
  <c r="F16" i="3"/>
  <c r="F20" i="3"/>
  <c r="F24" i="3"/>
  <c r="F29" i="3"/>
  <c r="F4" i="3"/>
  <c r="F26" i="3"/>
  <c r="F5" i="3"/>
  <c r="F9" i="3"/>
  <c r="F13" i="3"/>
  <c r="F17" i="3"/>
  <c r="F21" i="3"/>
  <c r="F25" i="3"/>
  <c r="F30" i="3"/>
  <c r="F10" i="3"/>
  <c r="F14" i="3"/>
  <c r="F18" i="3"/>
  <c r="F11" i="3"/>
  <c r="F19" i="3"/>
  <c r="F23" i="3"/>
  <c r="H106" i="1" l="1"/>
  <c r="H102" i="2" s="1"/>
  <c r="B102" i="2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2" i="2"/>
  <c r="E75" i="2" l="1"/>
  <c r="G5" i="3"/>
  <c r="J5" i="3" s="1"/>
  <c r="H5" i="3"/>
  <c r="I5" i="3" s="1"/>
  <c r="E93" i="2"/>
  <c r="G23" i="3"/>
  <c r="J23" i="3" s="1"/>
  <c r="H23" i="3"/>
  <c r="I23" i="3" s="1"/>
  <c r="G14" i="3"/>
  <c r="J14" i="3" s="1"/>
  <c r="E84" i="2"/>
  <c r="H14" i="3"/>
  <c r="G10" i="3"/>
  <c r="J10" i="3" s="1"/>
  <c r="E80" i="2"/>
  <c r="H10" i="3"/>
  <c r="I10" i="3" s="1"/>
  <c r="G6" i="3"/>
  <c r="J6" i="3" s="1"/>
  <c r="E76" i="2"/>
  <c r="H6" i="3"/>
  <c r="I6" i="3" s="1"/>
  <c r="G2" i="3"/>
  <c r="J2" i="3" s="1"/>
  <c r="E72" i="2"/>
  <c r="H2" i="3"/>
  <c r="G28" i="3"/>
  <c r="J28" i="3" s="1"/>
  <c r="E98" i="2"/>
  <c r="H28" i="3"/>
  <c r="G24" i="3"/>
  <c r="J24" i="3" s="1"/>
  <c r="E94" i="2"/>
  <c r="H24" i="3"/>
  <c r="I24" i="3" s="1"/>
  <c r="G20" i="3"/>
  <c r="J20" i="3" s="1"/>
  <c r="E90" i="2"/>
  <c r="H20" i="3"/>
  <c r="I20" i="3" s="1"/>
  <c r="G16" i="3"/>
  <c r="J16" i="3" s="1"/>
  <c r="E86" i="2"/>
  <c r="H16" i="3"/>
  <c r="E83" i="2"/>
  <c r="G13" i="3"/>
  <c r="J13" i="3" s="1"/>
  <c r="H13" i="3"/>
  <c r="G31" i="3"/>
  <c r="J31" i="3" s="1"/>
  <c r="E101" i="2"/>
  <c r="H31" i="3"/>
  <c r="I31" i="3" s="1"/>
  <c r="E85" i="2"/>
  <c r="G15" i="3"/>
  <c r="J15" i="3" s="1"/>
  <c r="H15" i="3"/>
  <c r="I15" i="3" s="1"/>
  <c r="G12" i="3"/>
  <c r="J12" i="3" s="1"/>
  <c r="E82" i="2"/>
  <c r="H12" i="3"/>
  <c r="G8" i="3"/>
  <c r="J8" i="3" s="1"/>
  <c r="E78" i="2"/>
  <c r="H8" i="3"/>
  <c r="G4" i="3"/>
  <c r="J4" i="3" s="1"/>
  <c r="E74" i="2"/>
  <c r="H4" i="3"/>
  <c r="I4" i="3" s="1"/>
  <c r="G30" i="3"/>
  <c r="J30" i="3" s="1"/>
  <c r="E100" i="2"/>
  <c r="H30" i="3"/>
  <c r="I30" i="3" s="1"/>
  <c r="G26" i="3"/>
  <c r="J26" i="3" s="1"/>
  <c r="E96" i="2"/>
  <c r="H26" i="3"/>
  <c r="G22" i="3"/>
  <c r="J22" i="3" s="1"/>
  <c r="E92" i="2"/>
  <c r="H22" i="3"/>
  <c r="G18" i="3"/>
  <c r="J18" i="3" s="1"/>
  <c r="E88" i="2"/>
  <c r="H18" i="3"/>
  <c r="I18" i="3" s="1"/>
  <c r="E79" i="2"/>
  <c r="G9" i="3"/>
  <c r="J9" i="3" s="1"/>
  <c r="H9" i="3"/>
  <c r="I9" i="3" s="1"/>
  <c r="E97" i="2"/>
  <c r="G27" i="3"/>
  <c r="J27" i="3" s="1"/>
  <c r="H27" i="3"/>
  <c r="I27" i="3" s="1"/>
  <c r="E89" i="2"/>
  <c r="G19" i="3"/>
  <c r="J19" i="3" s="1"/>
  <c r="H19" i="3"/>
  <c r="E81" i="2"/>
  <c r="G11" i="3"/>
  <c r="J11" i="3" s="1"/>
  <c r="H11" i="3"/>
  <c r="I11" i="3" s="1"/>
  <c r="E77" i="2"/>
  <c r="G7" i="3"/>
  <c r="J7" i="3" s="1"/>
  <c r="H7" i="3"/>
  <c r="I7" i="3" s="1"/>
  <c r="E73" i="2"/>
  <c r="G3" i="3"/>
  <c r="J3" i="3" s="1"/>
  <c r="H3" i="3"/>
  <c r="I3" i="3" s="1"/>
  <c r="E99" i="2"/>
  <c r="G29" i="3"/>
  <c r="J29" i="3" s="1"/>
  <c r="H29" i="3"/>
  <c r="E95" i="2"/>
  <c r="G25" i="3"/>
  <c r="J25" i="3" s="1"/>
  <c r="H25" i="3"/>
  <c r="I25" i="3" s="1"/>
  <c r="E91" i="2"/>
  <c r="G21" i="3"/>
  <c r="J21" i="3" s="1"/>
  <c r="H21" i="3"/>
  <c r="I21" i="3" s="1"/>
  <c r="E87" i="2"/>
  <c r="G17" i="3"/>
  <c r="J17" i="3" s="1"/>
  <c r="H17" i="3"/>
  <c r="I17" i="3" s="1"/>
  <c r="G88" i="1"/>
  <c r="G84" i="2" s="1"/>
  <c r="B88" i="1"/>
  <c r="F88" i="1"/>
  <c r="F84" i="2" s="1"/>
  <c r="G80" i="1"/>
  <c r="G76" i="2" s="1"/>
  <c r="B80" i="1"/>
  <c r="F80" i="1"/>
  <c r="F76" i="2" s="1"/>
  <c r="F98" i="1"/>
  <c r="F94" i="2" s="1"/>
  <c r="G98" i="1"/>
  <c r="G94" i="2" s="1"/>
  <c r="B98" i="1"/>
  <c r="F94" i="1"/>
  <c r="F90" i="2" s="1"/>
  <c r="G94" i="1"/>
  <c r="G90" i="2" s="1"/>
  <c r="B94" i="1"/>
  <c r="B81" i="1"/>
  <c r="F81" i="1"/>
  <c r="F77" i="2" s="1"/>
  <c r="G81" i="1"/>
  <c r="G77" i="2" s="1"/>
  <c r="G103" i="1"/>
  <c r="G99" i="2" s="1"/>
  <c r="B103" i="1"/>
  <c r="F103" i="1"/>
  <c r="F99" i="2" s="1"/>
  <c r="G91" i="1"/>
  <c r="G87" i="2" s="1"/>
  <c r="B91" i="1"/>
  <c r="F91" i="1"/>
  <c r="F87" i="2" s="1"/>
  <c r="F86" i="1"/>
  <c r="F82" i="2" s="1"/>
  <c r="G86" i="1"/>
  <c r="G82" i="2" s="1"/>
  <c r="B86" i="1"/>
  <c r="F82" i="1"/>
  <c r="F78" i="2" s="1"/>
  <c r="G82" i="1"/>
  <c r="G78" i="2" s="1"/>
  <c r="B82" i="1"/>
  <c r="F78" i="1"/>
  <c r="F74" i="2" s="1"/>
  <c r="G78" i="1"/>
  <c r="G74" i="2" s="1"/>
  <c r="B78" i="1"/>
  <c r="G104" i="1"/>
  <c r="G100" i="2" s="1"/>
  <c r="B104" i="1"/>
  <c r="F104" i="1"/>
  <c r="F100" i="2" s="1"/>
  <c r="G100" i="1"/>
  <c r="G96" i="2" s="1"/>
  <c r="B100" i="1"/>
  <c r="F100" i="1"/>
  <c r="F96" i="2" s="1"/>
  <c r="G96" i="1"/>
  <c r="G92" i="2" s="1"/>
  <c r="B96" i="1"/>
  <c r="F96" i="1"/>
  <c r="F92" i="2" s="1"/>
  <c r="G92" i="1"/>
  <c r="G88" i="2" s="1"/>
  <c r="B92" i="1"/>
  <c r="F92" i="1"/>
  <c r="F88" i="2" s="1"/>
  <c r="G84" i="1"/>
  <c r="G80" i="2" s="1"/>
  <c r="B84" i="1"/>
  <c r="F84" i="1"/>
  <c r="F80" i="2" s="1"/>
  <c r="G76" i="1"/>
  <c r="G72" i="2" s="1"/>
  <c r="B76" i="1"/>
  <c r="F76" i="1"/>
  <c r="F72" i="2" s="1"/>
  <c r="F102" i="1"/>
  <c r="F98" i="2" s="1"/>
  <c r="G102" i="1"/>
  <c r="G98" i="2" s="1"/>
  <c r="B102" i="1"/>
  <c r="F90" i="1"/>
  <c r="F86" i="2" s="1"/>
  <c r="G90" i="1"/>
  <c r="G86" i="2" s="1"/>
  <c r="B90" i="1"/>
  <c r="B85" i="1"/>
  <c r="F85" i="1"/>
  <c r="F81" i="2" s="1"/>
  <c r="G85" i="1"/>
  <c r="G81" i="2" s="1"/>
  <c r="B77" i="1"/>
  <c r="F77" i="1"/>
  <c r="F73" i="2" s="1"/>
  <c r="G77" i="1"/>
  <c r="G73" i="2" s="1"/>
  <c r="G99" i="1"/>
  <c r="G95" i="2" s="1"/>
  <c r="B99" i="1"/>
  <c r="F99" i="1"/>
  <c r="F95" i="2" s="1"/>
  <c r="G95" i="1"/>
  <c r="G91" i="2" s="1"/>
  <c r="B95" i="1"/>
  <c r="F95" i="1"/>
  <c r="F91" i="2" s="1"/>
  <c r="G87" i="1"/>
  <c r="G83" i="2" s="1"/>
  <c r="B87" i="1"/>
  <c r="F87" i="1"/>
  <c r="F83" i="2" s="1"/>
  <c r="G83" i="1"/>
  <c r="G79" i="2" s="1"/>
  <c r="B83" i="1"/>
  <c r="F83" i="1"/>
  <c r="F79" i="2" s="1"/>
  <c r="G79" i="1"/>
  <c r="G75" i="2" s="1"/>
  <c r="B79" i="1"/>
  <c r="F79" i="1"/>
  <c r="F75" i="2" s="1"/>
  <c r="B105" i="1"/>
  <c r="F105" i="1"/>
  <c r="F101" i="2" s="1"/>
  <c r="G105" i="1"/>
  <c r="G101" i="2" s="1"/>
  <c r="B101" i="1"/>
  <c r="F101" i="1"/>
  <c r="F97" i="2" s="1"/>
  <c r="G101" i="1"/>
  <c r="G97" i="2" s="1"/>
  <c r="B97" i="1"/>
  <c r="F97" i="1"/>
  <c r="F93" i="2" s="1"/>
  <c r="G97" i="1"/>
  <c r="G93" i="2" s="1"/>
  <c r="B93" i="1"/>
  <c r="F93" i="1"/>
  <c r="F89" i="2" s="1"/>
  <c r="G93" i="1"/>
  <c r="G89" i="2" s="1"/>
  <c r="B89" i="1"/>
  <c r="F89" i="1"/>
  <c r="F85" i="2" s="1"/>
  <c r="G89" i="1"/>
  <c r="G85" i="2" s="1"/>
  <c r="E75" i="1"/>
  <c r="D75" i="1"/>
  <c r="D71" i="2" s="1"/>
  <c r="C75" i="1"/>
  <c r="C71" i="2" s="1"/>
  <c r="E74" i="1"/>
  <c r="D74" i="1"/>
  <c r="D70" i="2" s="1"/>
  <c r="C74" i="1"/>
  <c r="C70" i="2" s="1"/>
  <c r="E73" i="1"/>
  <c r="D73" i="1"/>
  <c r="D69" i="2" s="1"/>
  <c r="C73" i="1"/>
  <c r="C69" i="2" s="1"/>
  <c r="E72" i="1"/>
  <c r="D72" i="1"/>
  <c r="D68" i="2" s="1"/>
  <c r="C72" i="1"/>
  <c r="C68" i="2" s="1"/>
  <c r="E71" i="1"/>
  <c r="D71" i="1"/>
  <c r="D67" i="2" s="1"/>
  <c r="C71" i="1"/>
  <c r="C67" i="2" s="1"/>
  <c r="E70" i="1"/>
  <c r="D70" i="1"/>
  <c r="D66" i="2" s="1"/>
  <c r="C70" i="1"/>
  <c r="C66" i="2" s="1"/>
  <c r="E69" i="1"/>
  <c r="D69" i="1"/>
  <c r="D65" i="2" s="1"/>
  <c r="C69" i="1"/>
  <c r="C65" i="2" s="1"/>
  <c r="E68" i="1"/>
  <c r="D68" i="1"/>
  <c r="D64" i="2" s="1"/>
  <c r="C68" i="1"/>
  <c r="C64" i="2" s="1"/>
  <c r="E67" i="1"/>
  <c r="D67" i="1"/>
  <c r="D63" i="2" s="1"/>
  <c r="C67" i="1"/>
  <c r="C63" i="2" s="1"/>
  <c r="E66" i="1"/>
  <c r="D66" i="1"/>
  <c r="D62" i="2" s="1"/>
  <c r="C66" i="1"/>
  <c r="C62" i="2" s="1"/>
  <c r="E65" i="1"/>
  <c r="D65" i="1"/>
  <c r="D61" i="2" s="1"/>
  <c r="C65" i="1"/>
  <c r="C61" i="2" s="1"/>
  <c r="E64" i="1"/>
  <c r="D64" i="1"/>
  <c r="D60" i="2" s="1"/>
  <c r="C64" i="1"/>
  <c r="C60" i="2" s="1"/>
  <c r="E63" i="1"/>
  <c r="D63" i="1"/>
  <c r="D59" i="2" s="1"/>
  <c r="C63" i="1"/>
  <c r="C59" i="2" s="1"/>
  <c r="E62" i="1"/>
  <c r="D62" i="1"/>
  <c r="D58" i="2" s="1"/>
  <c r="C62" i="1"/>
  <c r="C58" i="2" s="1"/>
  <c r="E61" i="1"/>
  <c r="D61" i="1"/>
  <c r="D57" i="2" s="1"/>
  <c r="C61" i="1"/>
  <c r="C57" i="2" s="1"/>
  <c r="E60" i="1"/>
  <c r="D60" i="1"/>
  <c r="D56" i="2" s="1"/>
  <c r="C60" i="1"/>
  <c r="C56" i="2" s="1"/>
  <c r="E59" i="1"/>
  <c r="D59" i="1"/>
  <c r="D55" i="2" s="1"/>
  <c r="C59" i="1"/>
  <c r="C55" i="2" s="1"/>
  <c r="E58" i="1"/>
  <c r="D58" i="1"/>
  <c r="D54" i="2" s="1"/>
  <c r="C58" i="1"/>
  <c r="C54" i="2" s="1"/>
  <c r="E57" i="1"/>
  <c r="D57" i="1"/>
  <c r="D53" i="2" s="1"/>
  <c r="C57" i="1"/>
  <c r="C53" i="2" s="1"/>
  <c r="E56" i="1"/>
  <c r="D56" i="1"/>
  <c r="D52" i="2" s="1"/>
  <c r="C56" i="1"/>
  <c r="C52" i="2" s="1"/>
  <c r="E55" i="1"/>
  <c r="D55" i="1"/>
  <c r="D51" i="2" s="1"/>
  <c r="C55" i="1"/>
  <c r="C51" i="2" s="1"/>
  <c r="E54" i="1"/>
  <c r="D54" i="1"/>
  <c r="D50" i="2" s="1"/>
  <c r="C54" i="1"/>
  <c r="C50" i="2" s="1"/>
  <c r="E53" i="1"/>
  <c r="D53" i="1"/>
  <c r="D49" i="2" s="1"/>
  <c r="C53" i="1"/>
  <c r="C49" i="2" s="1"/>
  <c r="E52" i="1"/>
  <c r="D52" i="1"/>
  <c r="D48" i="2" s="1"/>
  <c r="C52" i="1"/>
  <c r="C48" i="2" s="1"/>
  <c r="E51" i="1"/>
  <c r="D51" i="1"/>
  <c r="D47" i="2" s="1"/>
  <c r="C51" i="1"/>
  <c r="C47" i="2" s="1"/>
  <c r="E50" i="1"/>
  <c r="D50" i="1"/>
  <c r="D46" i="2" s="1"/>
  <c r="C50" i="1"/>
  <c r="C46" i="2" s="1"/>
  <c r="E49" i="1"/>
  <c r="D49" i="1"/>
  <c r="D45" i="2" s="1"/>
  <c r="C49" i="1"/>
  <c r="C45" i="2" s="1"/>
  <c r="E48" i="1"/>
  <c r="D48" i="1"/>
  <c r="D44" i="2" s="1"/>
  <c r="C48" i="1"/>
  <c r="C44" i="2" s="1"/>
  <c r="E47" i="1"/>
  <c r="D47" i="1"/>
  <c r="D43" i="2" s="1"/>
  <c r="C47" i="1"/>
  <c r="C43" i="2" s="1"/>
  <c r="E46" i="1"/>
  <c r="D46" i="1"/>
  <c r="D42" i="2" s="1"/>
  <c r="C46" i="1"/>
  <c r="C42" i="2" s="1"/>
  <c r="E45" i="1"/>
  <c r="D45" i="1"/>
  <c r="D41" i="2" s="1"/>
  <c r="C45" i="1"/>
  <c r="C41" i="2" s="1"/>
  <c r="E44" i="1"/>
  <c r="D44" i="1"/>
  <c r="D40" i="2" s="1"/>
  <c r="C44" i="1"/>
  <c r="C40" i="2" s="1"/>
  <c r="E43" i="1"/>
  <c r="D43" i="1"/>
  <c r="D39" i="2" s="1"/>
  <c r="C43" i="1"/>
  <c r="C39" i="2" s="1"/>
  <c r="E42" i="1"/>
  <c r="D42" i="1"/>
  <c r="D38" i="2" s="1"/>
  <c r="C42" i="1"/>
  <c r="C38" i="2" s="1"/>
  <c r="E41" i="1"/>
  <c r="D41" i="1"/>
  <c r="D37" i="2" s="1"/>
  <c r="C41" i="1"/>
  <c r="C37" i="2" s="1"/>
  <c r="E40" i="1"/>
  <c r="D40" i="1"/>
  <c r="D36" i="2" s="1"/>
  <c r="C40" i="1"/>
  <c r="C36" i="2" s="1"/>
  <c r="E39" i="1"/>
  <c r="D39" i="1"/>
  <c r="D35" i="2" s="1"/>
  <c r="C39" i="1"/>
  <c r="C35" i="2" s="1"/>
  <c r="E38" i="1"/>
  <c r="D38" i="1"/>
  <c r="D34" i="2" s="1"/>
  <c r="C38" i="1"/>
  <c r="C34" i="2" s="1"/>
  <c r="E37" i="1"/>
  <c r="D37" i="1"/>
  <c r="D33" i="2" s="1"/>
  <c r="C37" i="1"/>
  <c r="C33" i="2" s="1"/>
  <c r="E36" i="1"/>
  <c r="D36" i="1"/>
  <c r="D32" i="2" s="1"/>
  <c r="C36" i="1"/>
  <c r="C32" i="2" s="1"/>
  <c r="E35" i="1"/>
  <c r="D35" i="1"/>
  <c r="D31" i="2" s="1"/>
  <c r="C35" i="1"/>
  <c r="C31" i="2" s="1"/>
  <c r="E34" i="1"/>
  <c r="D34" i="1"/>
  <c r="D30" i="2" s="1"/>
  <c r="C34" i="1"/>
  <c r="C30" i="2" s="1"/>
  <c r="E33" i="1"/>
  <c r="D33" i="1"/>
  <c r="D29" i="2" s="1"/>
  <c r="C33" i="1"/>
  <c r="C29" i="2" s="1"/>
  <c r="E32" i="1"/>
  <c r="D32" i="1"/>
  <c r="D28" i="2" s="1"/>
  <c r="C32" i="1"/>
  <c r="C28" i="2" s="1"/>
  <c r="E31" i="1"/>
  <c r="D31" i="1"/>
  <c r="D27" i="2" s="1"/>
  <c r="C31" i="1"/>
  <c r="C27" i="2" s="1"/>
  <c r="E30" i="1"/>
  <c r="D30" i="1"/>
  <c r="D26" i="2" s="1"/>
  <c r="C30" i="1"/>
  <c r="C26" i="2" s="1"/>
  <c r="E29" i="1"/>
  <c r="D29" i="1"/>
  <c r="D25" i="2" s="1"/>
  <c r="C29" i="1"/>
  <c r="C25" i="2" s="1"/>
  <c r="E28" i="1"/>
  <c r="D28" i="1"/>
  <c r="D24" i="2" s="1"/>
  <c r="C28" i="1"/>
  <c r="C24" i="2" s="1"/>
  <c r="E27" i="1"/>
  <c r="D27" i="1"/>
  <c r="D23" i="2" s="1"/>
  <c r="C27" i="1"/>
  <c r="C23" i="2" s="1"/>
  <c r="E26" i="1"/>
  <c r="D26" i="1"/>
  <c r="D22" i="2" s="1"/>
  <c r="C26" i="1"/>
  <c r="C22" i="2" s="1"/>
  <c r="E25" i="1"/>
  <c r="D25" i="1"/>
  <c r="D21" i="2" s="1"/>
  <c r="C25" i="1"/>
  <c r="C21" i="2" s="1"/>
  <c r="E24" i="1"/>
  <c r="D24" i="1"/>
  <c r="D20" i="2" s="1"/>
  <c r="C24" i="1"/>
  <c r="C20" i="2" s="1"/>
  <c r="E23" i="1"/>
  <c r="D23" i="1"/>
  <c r="D19" i="2" s="1"/>
  <c r="C23" i="1"/>
  <c r="C19" i="2" s="1"/>
  <c r="E22" i="1"/>
  <c r="D22" i="1"/>
  <c r="D18" i="2" s="1"/>
  <c r="C22" i="1"/>
  <c r="C18" i="2" s="1"/>
  <c r="E21" i="1"/>
  <c r="D21" i="1"/>
  <c r="D17" i="2" s="1"/>
  <c r="C21" i="1"/>
  <c r="C17" i="2" s="1"/>
  <c r="E20" i="1"/>
  <c r="D20" i="1"/>
  <c r="D16" i="2" s="1"/>
  <c r="C20" i="1"/>
  <c r="C16" i="2" s="1"/>
  <c r="E19" i="1"/>
  <c r="D19" i="1"/>
  <c r="D15" i="2" s="1"/>
  <c r="C19" i="1"/>
  <c r="C15" i="2" s="1"/>
  <c r="E18" i="1"/>
  <c r="D18" i="1"/>
  <c r="D14" i="2" s="1"/>
  <c r="C18" i="1"/>
  <c r="C14" i="2" s="1"/>
  <c r="E17" i="1"/>
  <c r="D17" i="1"/>
  <c r="D13" i="2" s="1"/>
  <c r="C17" i="1"/>
  <c r="C13" i="2" s="1"/>
  <c r="E16" i="1"/>
  <c r="D16" i="1"/>
  <c r="D12" i="2" s="1"/>
  <c r="C16" i="1"/>
  <c r="C12" i="2" s="1"/>
  <c r="E15" i="1"/>
  <c r="D15" i="1"/>
  <c r="D11" i="2" s="1"/>
  <c r="C15" i="1"/>
  <c r="C11" i="2" s="1"/>
  <c r="E14" i="1"/>
  <c r="D14" i="1"/>
  <c r="D10" i="2" s="1"/>
  <c r="C14" i="1"/>
  <c r="C10" i="2" s="1"/>
  <c r="E13" i="1"/>
  <c r="D13" i="1"/>
  <c r="D9" i="2" s="1"/>
  <c r="C13" i="1"/>
  <c r="C9" i="2" s="1"/>
  <c r="E12" i="1"/>
  <c r="D12" i="1"/>
  <c r="D8" i="2" s="1"/>
  <c r="C12" i="1"/>
  <c r="C8" i="2" s="1"/>
  <c r="E11" i="1"/>
  <c r="D11" i="1"/>
  <c r="D7" i="2" s="1"/>
  <c r="C11" i="1"/>
  <c r="C7" i="2" s="1"/>
  <c r="E10" i="1"/>
  <c r="D10" i="1"/>
  <c r="D6" i="2" s="1"/>
  <c r="C10" i="1"/>
  <c r="C6" i="2" s="1"/>
  <c r="E9" i="1"/>
  <c r="D9" i="1"/>
  <c r="D5" i="2" s="1"/>
  <c r="C9" i="1"/>
  <c r="C5" i="2" s="1"/>
  <c r="E8" i="1"/>
  <c r="D8" i="1"/>
  <c r="D4" i="2" s="1"/>
  <c r="C8" i="1"/>
  <c r="C4" i="2" s="1"/>
  <c r="E7" i="1"/>
  <c r="D7" i="1"/>
  <c r="D3" i="2" s="1"/>
  <c r="C7" i="1"/>
  <c r="C3" i="2" s="1"/>
  <c r="E6" i="1"/>
  <c r="D6" i="1"/>
  <c r="D2" i="2" s="1"/>
  <c r="C6" i="1"/>
  <c r="C2" i="2" s="1"/>
  <c r="H77" i="1" l="1"/>
  <c r="H73" i="2" s="1"/>
  <c r="B73" i="2"/>
  <c r="H96" i="1"/>
  <c r="H92" i="2" s="1"/>
  <c r="B92" i="2"/>
  <c r="H78" i="1"/>
  <c r="H74" i="2" s="1"/>
  <c r="B74" i="2"/>
  <c r="H93" i="1"/>
  <c r="H89" i="2" s="1"/>
  <c r="B89" i="2"/>
  <c r="H95" i="1"/>
  <c r="H91" i="2" s="1"/>
  <c r="B91" i="2"/>
  <c r="H92" i="1"/>
  <c r="H88" i="2" s="1"/>
  <c r="B88" i="2"/>
  <c r="H103" i="1"/>
  <c r="H99" i="2" s="1"/>
  <c r="B99" i="2"/>
  <c r="H81" i="1"/>
  <c r="H77" i="2" s="1"/>
  <c r="B77" i="2"/>
  <c r="H98" i="1"/>
  <c r="H94" i="2" s="1"/>
  <c r="B94" i="2"/>
  <c r="H80" i="1"/>
  <c r="H76" i="2" s="1"/>
  <c r="B76" i="2"/>
  <c r="H89" i="1"/>
  <c r="H85" i="2" s="1"/>
  <c r="B85" i="2"/>
  <c r="H105" i="1"/>
  <c r="H101" i="2" s="1"/>
  <c r="B101" i="2"/>
  <c r="H87" i="1"/>
  <c r="H83" i="2" s="1"/>
  <c r="B83" i="2"/>
  <c r="H84" i="1"/>
  <c r="H80" i="2" s="1"/>
  <c r="B80" i="2"/>
  <c r="H104" i="1"/>
  <c r="H100" i="2" s="1"/>
  <c r="B100" i="2"/>
  <c r="H86" i="1"/>
  <c r="H82" i="2" s="1"/>
  <c r="B82" i="2"/>
  <c r="H91" i="1"/>
  <c r="H87" i="2" s="1"/>
  <c r="B87" i="2"/>
  <c r="H94" i="1"/>
  <c r="H90" i="2" s="1"/>
  <c r="B90" i="2"/>
  <c r="I26" i="3"/>
  <c r="I12" i="3"/>
  <c r="I16" i="3"/>
  <c r="I2" i="3"/>
  <c r="H97" i="1"/>
  <c r="H93" i="2" s="1"/>
  <c r="B93" i="2"/>
  <c r="H79" i="1"/>
  <c r="H75" i="2" s="1"/>
  <c r="B75" i="2"/>
  <c r="H99" i="1"/>
  <c r="H95" i="2" s="1"/>
  <c r="B95" i="2"/>
  <c r="H90" i="1"/>
  <c r="H86" i="2" s="1"/>
  <c r="B86" i="2"/>
  <c r="H88" i="1"/>
  <c r="H84" i="2" s="1"/>
  <c r="B84" i="2"/>
  <c r="H101" i="1"/>
  <c r="H97" i="2" s="1"/>
  <c r="B97" i="2"/>
  <c r="H83" i="1"/>
  <c r="H79" i="2" s="1"/>
  <c r="B79" i="2"/>
  <c r="H85" i="1"/>
  <c r="H81" i="2" s="1"/>
  <c r="B81" i="2"/>
  <c r="H102" i="1"/>
  <c r="H98" i="2" s="1"/>
  <c r="B98" i="2"/>
  <c r="H76" i="1"/>
  <c r="H72" i="2" s="1"/>
  <c r="B72" i="2"/>
  <c r="H100" i="1"/>
  <c r="H96" i="2" s="1"/>
  <c r="B96" i="2"/>
  <c r="H82" i="1"/>
  <c r="H78" i="2" s="1"/>
  <c r="B78" i="2"/>
  <c r="I29" i="3"/>
  <c r="I19" i="3"/>
  <c r="I22" i="3"/>
  <c r="I8" i="3"/>
  <c r="I13" i="3"/>
  <c r="I28" i="3"/>
  <c r="I14" i="3"/>
  <c r="B17" i="1"/>
  <c r="F17" i="1"/>
  <c r="F13" i="2" s="1"/>
  <c r="E13" i="2"/>
  <c r="G17" i="1"/>
  <c r="G13" i="2" s="1"/>
  <c r="B29" i="1"/>
  <c r="E25" i="2"/>
  <c r="F29" i="1"/>
  <c r="F25" i="2" s="1"/>
  <c r="G29" i="1"/>
  <c r="G25" i="2" s="1"/>
  <c r="B37" i="1"/>
  <c r="E33" i="2"/>
  <c r="F37" i="1"/>
  <c r="F33" i="2" s="1"/>
  <c r="G37" i="1"/>
  <c r="G33" i="2" s="1"/>
  <c r="B49" i="1"/>
  <c r="F49" i="1"/>
  <c r="F45" i="2" s="1"/>
  <c r="G49" i="1"/>
  <c r="G45" i="2" s="1"/>
  <c r="E45" i="2"/>
  <c r="B57" i="1"/>
  <c r="E53" i="2"/>
  <c r="F57" i="1"/>
  <c r="F53" i="2" s="1"/>
  <c r="G57" i="1"/>
  <c r="G53" i="2" s="1"/>
  <c r="B69" i="1"/>
  <c r="E65" i="2"/>
  <c r="F69" i="1"/>
  <c r="F65" i="2" s="1"/>
  <c r="G69" i="1"/>
  <c r="G65" i="2" s="1"/>
  <c r="B18" i="1"/>
  <c r="F18" i="1"/>
  <c r="F14" i="2" s="1"/>
  <c r="E14" i="2"/>
  <c r="G18" i="1"/>
  <c r="G14" i="2" s="1"/>
  <c r="B30" i="1"/>
  <c r="F30" i="1"/>
  <c r="F26" i="2" s="1"/>
  <c r="E26" i="2"/>
  <c r="G30" i="1"/>
  <c r="G26" i="2" s="1"/>
  <c r="B38" i="1"/>
  <c r="F38" i="1"/>
  <c r="F34" i="2" s="1"/>
  <c r="E34" i="2"/>
  <c r="G38" i="1"/>
  <c r="G34" i="2" s="1"/>
  <c r="B50" i="1"/>
  <c r="F50" i="1"/>
  <c r="F46" i="2" s="1"/>
  <c r="G50" i="1"/>
  <c r="G46" i="2" s="1"/>
  <c r="E46" i="2"/>
  <c r="B54" i="1"/>
  <c r="F54" i="1"/>
  <c r="F50" i="2" s="1"/>
  <c r="E50" i="2"/>
  <c r="G54" i="1"/>
  <c r="G50" i="2" s="1"/>
  <c r="B66" i="1"/>
  <c r="F66" i="1"/>
  <c r="F62" i="2" s="1"/>
  <c r="G66" i="1"/>
  <c r="G62" i="2" s="1"/>
  <c r="E62" i="2"/>
  <c r="B70" i="1"/>
  <c r="F70" i="1"/>
  <c r="F66" i="2" s="1"/>
  <c r="G70" i="1"/>
  <c r="G66" i="2" s="1"/>
  <c r="E66" i="2"/>
  <c r="B74" i="1"/>
  <c r="F74" i="1"/>
  <c r="F70" i="2" s="1"/>
  <c r="E70" i="2"/>
  <c r="G74" i="1"/>
  <c r="G70" i="2" s="1"/>
  <c r="B7" i="1"/>
  <c r="E3" i="2"/>
  <c r="G7" i="1"/>
  <c r="G3" i="2" s="1"/>
  <c r="F7" i="1"/>
  <c r="F3" i="2" s="1"/>
  <c r="B11" i="1"/>
  <c r="G11" i="1"/>
  <c r="G7" i="2" s="1"/>
  <c r="E7" i="2"/>
  <c r="F11" i="1"/>
  <c r="F7" i="2" s="1"/>
  <c r="B15" i="1"/>
  <c r="F15" i="1"/>
  <c r="F11" i="2" s="1"/>
  <c r="G15" i="1"/>
  <c r="G11" i="2" s="1"/>
  <c r="E11" i="2"/>
  <c r="B19" i="1"/>
  <c r="F19" i="1"/>
  <c r="F15" i="2" s="1"/>
  <c r="G19" i="1"/>
  <c r="G15" i="2" s="1"/>
  <c r="E15" i="2"/>
  <c r="B23" i="1"/>
  <c r="F23" i="1"/>
  <c r="F19" i="2" s="1"/>
  <c r="G23" i="1"/>
  <c r="G19" i="2" s="1"/>
  <c r="E19" i="2"/>
  <c r="B8" i="1"/>
  <c r="G8" i="1"/>
  <c r="G4" i="2" s="1"/>
  <c r="E4" i="2"/>
  <c r="F8" i="1"/>
  <c r="F4" i="2" s="1"/>
  <c r="B12" i="1"/>
  <c r="G12" i="1"/>
  <c r="G8" i="2" s="1"/>
  <c r="E8" i="2"/>
  <c r="F12" i="1"/>
  <c r="F8" i="2" s="1"/>
  <c r="B16" i="1"/>
  <c r="G16" i="1"/>
  <c r="G12" i="2" s="1"/>
  <c r="E12" i="2"/>
  <c r="F16" i="1"/>
  <c r="F12" i="2" s="1"/>
  <c r="B20" i="1"/>
  <c r="G20" i="1"/>
  <c r="G16" i="2" s="1"/>
  <c r="E16" i="2"/>
  <c r="F20" i="1"/>
  <c r="F16" i="2" s="1"/>
  <c r="B24" i="1"/>
  <c r="G24" i="1"/>
  <c r="G20" i="2" s="1"/>
  <c r="E20" i="2"/>
  <c r="F24" i="1"/>
  <c r="F20" i="2" s="1"/>
  <c r="B28" i="1"/>
  <c r="G28" i="1"/>
  <c r="G24" i="2" s="1"/>
  <c r="F28" i="1"/>
  <c r="F24" i="2" s="1"/>
  <c r="E24" i="2"/>
  <c r="B32" i="1"/>
  <c r="G32" i="1"/>
  <c r="G28" i="2" s="1"/>
  <c r="E28" i="2"/>
  <c r="F32" i="1"/>
  <c r="F28" i="2" s="1"/>
  <c r="B36" i="1"/>
  <c r="G36" i="1"/>
  <c r="G32" i="2" s="1"/>
  <c r="F36" i="1"/>
  <c r="F32" i="2" s="1"/>
  <c r="E32" i="2"/>
  <c r="B40" i="1"/>
  <c r="G40" i="1"/>
  <c r="G36" i="2" s="1"/>
  <c r="E36" i="2"/>
  <c r="F40" i="1"/>
  <c r="F36" i="2" s="1"/>
  <c r="B44" i="1"/>
  <c r="G44" i="1"/>
  <c r="G40" i="2" s="1"/>
  <c r="F44" i="1"/>
  <c r="F40" i="2" s="1"/>
  <c r="E40" i="2"/>
  <c r="B48" i="1"/>
  <c r="G48" i="1"/>
  <c r="G44" i="2" s="1"/>
  <c r="E44" i="2"/>
  <c r="F48" i="1"/>
  <c r="F44" i="2" s="1"/>
  <c r="B52" i="1"/>
  <c r="G52" i="1"/>
  <c r="G48" i="2" s="1"/>
  <c r="E48" i="2"/>
  <c r="F52" i="1"/>
  <c r="F48" i="2" s="1"/>
  <c r="B56" i="1"/>
  <c r="G56" i="1"/>
  <c r="G52" i="2" s="1"/>
  <c r="F56" i="1"/>
  <c r="F52" i="2" s="1"/>
  <c r="E52" i="2"/>
  <c r="B60" i="1"/>
  <c r="G60" i="1"/>
  <c r="G56" i="2" s="1"/>
  <c r="E56" i="2"/>
  <c r="F60" i="1"/>
  <c r="F56" i="2" s="1"/>
  <c r="B64" i="1"/>
  <c r="G64" i="1"/>
  <c r="G60" i="2" s="1"/>
  <c r="F64" i="1"/>
  <c r="F60" i="2" s="1"/>
  <c r="E60" i="2"/>
  <c r="B68" i="1"/>
  <c r="G68" i="1"/>
  <c r="G64" i="2" s="1"/>
  <c r="E64" i="2"/>
  <c r="F68" i="1"/>
  <c r="F64" i="2" s="1"/>
  <c r="B72" i="1"/>
  <c r="G72" i="1"/>
  <c r="G68" i="2" s="1"/>
  <c r="F72" i="1"/>
  <c r="F68" i="2" s="1"/>
  <c r="E68" i="2"/>
  <c r="B9" i="1"/>
  <c r="F9" i="1"/>
  <c r="F5" i="2" s="1"/>
  <c r="E5" i="2"/>
  <c r="G9" i="1"/>
  <c r="G5" i="2" s="1"/>
  <c r="B13" i="1"/>
  <c r="F13" i="1"/>
  <c r="F9" i="2" s="1"/>
  <c r="G13" i="1"/>
  <c r="G9" i="2" s="1"/>
  <c r="E9" i="2"/>
  <c r="B21" i="1"/>
  <c r="F21" i="1"/>
  <c r="F17" i="2" s="1"/>
  <c r="G21" i="1"/>
  <c r="G17" i="2" s="1"/>
  <c r="E17" i="2"/>
  <c r="B25" i="1"/>
  <c r="E21" i="2"/>
  <c r="F25" i="1"/>
  <c r="F21" i="2" s="1"/>
  <c r="G25" i="1"/>
  <c r="G21" i="2" s="1"/>
  <c r="B33" i="1"/>
  <c r="E29" i="2"/>
  <c r="F33" i="1"/>
  <c r="F29" i="2" s="1"/>
  <c r="G33" i="1"/>
  <c r="G29" i="2" s="1"/>
  <c r="B41" i="1"/>
  <c r="F41" i="1"/>
  <c r="F37" i="2" s="1"/>
  <c r="G41" i="1"/>
  <c r="G37" i="2" s="1"/>
  <c r="E37" i="2"/>
  <c r="B45" i="1"/>
  <c r="F45" i="1"/>
  <c r="F41" i="2" s="1"/>
  <c r="E41" i="2"/>
  <c r="G45" i="1"/>
  <c r="G41" i="2" s="1"/>
  <c r="B53" i="1"/>
  <c r="F53" i="1"/>
  <c r="F49" i="2" s="1"/>
  <c r="E49" i="2"/>
  <c r="G53" i="1"/>
  <c r="G49" i="2" s="1"/>
  <c r="B61" i="1"/>
  <c r="E57" i="2"/>
  <c r="F61" i="1"/>
  <c r="F57" i="2" s="1"/>
  <c r="G61" i="1"/>
  <c r="G57" i="2" s="1"/>
  <c r="B65" i="1"/>
  <c r="E61" i="2"/>
  <c r="F65" i="1"/>
  <c r="F61" i="2" s="1"/>
  <c r="G65" i="1"/>
  <c r="G61" i="2" s="1"/>
  <c r="B73" i="1"/>
  <c r="F73" i="1"/>
  <c r="F69" i="2" s="1"/>
  <c r="E69" i="2"/>
  <c r="G73" i="1"/>
  <c r="G69" i="2" s="1"/>
  <c r="B6" i="1"/>
  <c r="G6" i="1"/>
  <c r="G2" i="2" s="1"/>
  <c r="E2" i="2"/>
  <c r="F6" i="1"/>
  <c r="F2" i="2" s="1"/>
  <c r="B10" i="1"/>
  <c r="E6" i="2"/>
  <c r="G10" i="1"/>
  <c r="G6" i="2" s="1"/>
  <c r="F10" i="1"/>
  <c r="F6" i="2" s="1"/>
  <c r="B14" i="1"/>
  <c r="G14" i="1"/>
  <c r="G10" i="2" s="1"/>
  <c r="E10" i="2"/>
  <c r="F14" i="1"/>
  <c r="F10" i="2" s="1"/>
  <c r="B22" i="1"/>
  <c r="F22" i="1"/>
  <c r="F18" i="2" s="1"/>
  <c r="E18" i="2"/>
  <c r="G22" i="1"/>
  <c r="G18" i="2" s="1"/>
  <c r="B26" i="1"/>
  <c r="F26" i="1"/>
  <c r="F22" i="2" s="1"/>
  <c r="G26" i="1"/>
  <c r="G22" i="2" s="1"/>
  <c r="E22" i="2"/>
  <c r="B34" i="1"/>
  <c r="F34" i="1"/>
  <c r="F30" i="2" s="1"/>
  <c r="G34" i="1"/>
  <c r="G30" i="2" s="1"/>
  <c r="E30" i="2"/>
  <c r="B42" i="1"/>
  <c r="F42" i="1"/>
  <c r="F38" i="2" s="1"/>
  <c r="G42" i="1"/>
  <c r="G38" i="2" s="1"/>
  <c r="E38" i="2"/>
  <c r="B46" i="1"/>
  <c r="F46" i="1"/>
  <c r="F42" i="2" s="1"/>
  <c r="E42" i="2"/>
  <c r="G46" i="1"/>
  <c r="G42" i="2" s="1"/>
  <c r="B58" i="1"/>
  <c r="F58" i="1"/>
  <c r="F54" i="2" s="1"/>
  <c r="G58" i="1"/>
  <c r="G54" i="2" s="1"/>
  <c r="E54" i="2"/>
  <c r="B62" i="1"/>
  <c r="F62" i="1"/>
  <c r="F58" i="2" s="1"/>
  <c r="G62" i="1"/>
  <c r="G58" i="2" s="1"/>
  <c r="E58" i="2"/>
  <c r="B27" i="1"/>
  <c r="E23" i="2"/>
  <c r="F27" i="1"/>
  <c r="F23" i="2" s="1"/>
  <c r="G27" i="1"/>
  <c r="G23" i="2" s="1"/>
  <c r="B31" i="1"/>
  <c r="F31" i="1"/>
  <c r="F27" i="2" s="1"/>
  <c r="G31" i="1"/>
  <c r="G27" i="2" s="1"/>
  <c r="E27" i="2"/>
  <c r="B35" i="1"/>
  <c r="E31" i="2"/>
  <c r="G35" i="1"/>
  <c r="G31" i="2" s="1"/>
  <c r="F35" i="1"/>
  <c r="F31" i="2" s="1"/>
  <c r="B39" i="1"/>
  <c r="F39" i="1"/>
  <c r="F35" i="2" s="1"/>
  <c r="G39" i="1"/>
  <c r="G35" i="2" s="1"/>
  <c r="E35" i="2"/>
  <c r="B43" i="1"/>
  <c r="F43" i="1"/>
  <c r="F39" i="2" s="1"/>
  <c r="G43" i="1"/>
  <c r="G39" i="2" s="1"/>
  <c r="E39" i="2"/>
  <c r="B47" i="1"/>
  <c r="G47" i="1"/>
  <c r="G43" i="2" s="1"/>
  <c r="E43" i="2"/>
  <c r="F47" i="1"/>
  <c r="F43" i="2" s="1"/>
  <c r="B51" i="1"/>
  <c r="F51" i="1"/>
  <c r="F47" i="2" s="1"/>
  <c r="G51" i="1"/>
  <c r="G47" i="2" s="1"/>
  <c r="E47" i="2"/>
  <c r="B55" i="1"/>
  <c r="G55" i="1"/>
  <c r="G51" i="2" s="1"/>
  <c r="E51" i="2"/>
  <c r="F55" i="1"/>
  <c r="F51" i="2" s="1"/>
  <c r="B59" i="1"/>
  <c r="E55" i="2"/>
  <c r="F59" i="1"/>
  <c r="F55" i="2" s="1"/>
  <c r="G59" i="1"/>
  <c r="G55" i="2" s="1"/>
  <c r="B63" i="1"/>
  <c r="E59" i="2"/>
  <c r="G63" i="1"/>
  <c r="G59" i="2" s="1"/>
  <c r="F63" i="1"/>
  <c r="F59" i="2" s="1"/>
  <c r="B67" i="1"/>
  <c r="E63" i="2"/>
  <c r="F67" i="1"/>
  <c r="F63" i="2" s="1"/>
  <c r="G67" i="1"/>
  <c r="G63" i="2" s="1"/>
  <c r="B71" i="1"/>
  <c r="E67" i="2"/>
  <c r="G71" i="1"/>
  <c r="G67" i="2" s="1"/>
  <c r="F71" i="1"/>
  <c r="F67" i="2" s="1"/>
  <c r="B75" i="1"/>
  <c r="F75" i="1"/>
  <c r="F71" i="2" s="1"/>
  <c r="G75" i="1"/>
  <c r="G71" i="2" s="1"/>
  <c r="E71" i="2"/>
  <c r="B71" i="2" l="1"/>
  <c r="H75" i="1"/>
  <c r="H71" i="2" s="1"/>
  <c r="B67" i="2"/>
  <c r="H71" i="1"/>
  <c r="H67" i="2" s="1"/>
  <c r="B63" i="2"/>
  <c r="H67" i="1"/>
  <c r="H63" i="2" s="1"/>
  <c r="H63" i="1"/>
  <c r="H59" i="2" s="1"/>
  <c r="B59" i="2"/>
  <c r="B55" i="2"/>
  <c r="H59" i="1"/>
  <c r="H55" i="2" s="1"/>
  <c r="B51" i="2"/>
  <c r="H55" i="1"/>
  <c r="H51" i="2" s="1"/>
  <c r="B47" i="2"/>
  <c r="H51" i="1"/>
  <c r="H47" i="2" s="1"/>
  <c r="B43" i="2"/>
  <c r="H47" i="1"/>
  <c r="H43" i="2" s="1"/>
  <c r="B39" i="2"/>
  <c r="H43" i="1"/>
  <c r="H39" i="2" s="1"/>
  <c r="B35" i="2"/>
  <c r="H39" i="1"/>
  <c r="H35" i="2" s="1"/>
  <c r="H35" i="1"/>
  <c r="H31" i="2" s="1"/>
  <c r="B31" i="2"/>
  <c r="B27" i="2"/>
  <c r="H31" i="1"/>
  <c r="H27" i="2" s="1"/>
  <c r="H27" i="1"/>
  <c r="H23" i="2" s="1"/>
  <c r="B23" i="2"/>
  <c r="H62" i="1"/>
  <c r="H58" i="2" s="1"/>
  <c r="B58" i="2"/>
  <c r="B54" i="2"/>
  <c r="H58" i="1"/>
  <c r="H54" i="2" s="1"/>
  <c r="H46" i="1"/>
  <c r="H42" i="2" s="1"/>
  <c r="B42" i="2"/>
  <c r="H42" i="1"/>
  <c r="H38" i="2" s="1"/>
  <c r="B38" i="2"/>
  <c r="H34" i="1"/>
  <c r="H30" i="2" s="1"/>
  <c r="B30" i="2"/>
  <c r="H26" i="1"/>
  <c r="H22" i="2" s="1"/>
  <c r="B22" i="2"/>
  <c r="H22" i="1"/>
  <c r="H18" i="2" s="1"/>
  <c r="B18" i="2"/>
  <c r="H14" i="1"/>
  <c r="H10" i="2" s="1"/>
  <c r="B10" i="2"/>
  <c r="H10" i="1"/>
  <c r="H6" i="2" s="1"/>
  <c r="B6" i="2"/>
  <c r="B2" i="2"/>
  <c r="H6" i="1"/>
  <c r="H2" i="2" s="1"/>
  <c r="B69" i="2"/>
  <c r="H73" i="1"/>
  <c r="H69" i="2" s="1"/>
  <c r="B61" i="2"/>
  <c r="H65" i="1"/>
  <c r="H61" i="2" s="1"/>
  <c r="H61" i="1"/>
  <c r="H57" i="2" s="1"/>
  <c r="B57" i="2"/>
  <c r="B49" i="2"/>
  <c r="H53" i="1"/>
  <c r="H49" i="2" s="1"/>
  <c r="B41" i="2"/>
  <c r="H45" i="1"/>
  <c r="H41" i="2" s="1"/>
  <c r="H41" i="1"/>
  <c r="H37" i="2" s="1"/>
  <c r="B37" i="2"/>
  <c r="H33" i="1"/>
  <c r="H29" i="2" s="1"/>
  <c r="B29" i="2"/>
  <c r="H25" i="1"/>
  <c r="H21" i="2" s="1"/>
  <c r="B21" i="2"/>
  <c r="B17" i="2"/>
  <c r="H21" i="1"/>
  <c r="H17" i="2" s="1"/>
  <c r="B9" i="2"/>
  <c r="H13" i="1"/>
  <c r="H9" i="2" s="1"/>
  <c r="B5" i="2"/>
  <c r="H9" i="1"/>
  <c r="H5" i="2" s="1"/>
  <c r="B68" i="2"/>
  <c r="H72" i="1"/>
  <c r="H68" i="2" s="1"/>
  <c r="B64" i="2"/>
  <c r="H68" i="1"/>
  <c r="H64" i="2" s="1"/>
  <c r="B60" i="2"/>
  <c r="H64" i="1"/>
  <c r="H60" i="2" s="1"/>
  <c r="B56" i="2"/>
  <c r="H60" i="1"/>
  <c r="H56" i="2" s="1"/>
  <c r="H56" i="1"/>
  <c r="H52" i="2" s="1"/>
  <c r="B52" i="2"/>
  <c r="B48" i="2"/>
  <c r="H52" i="1"/>
  <c r="H48" i="2" s="1"/>
  <c r="H48" i="1"/>
  <c r="H44" i="2" s="1"/>
  <c r="B44" i="2"/>
  <c r="H44" i="1"/>
  <c r="H40" i="2" s="1"/>
  <c r="B40" i="2"/>
  <c r="H40" i="1"/>
  <c r="H36" i="2" s="1"/>
  <c r="B36" i="2"/>
  <c r="H36" i="1"/>
  <c r="H32" i="2" s="1"/>
  <c r="B32" i="2"/>
  <c r="B28" i="2"/>
  <c r="H32" i="1"/>
  <c r="H28" i="2" s="1"/>
  <c r="B24" i="2"/>
  <c r="H28" i="1"/>
  <c r="H24" i="2" s="1"/>
  <c r="B20" i="2"/>
  <c r="H24" i="1"/>
  <c r="H20" i="2" s="1"/>
  <c r="H20" i="1"/>
  <c r="H16" i="2" s="1"/>
  <c r="B16" i="2"/>
  <c r="H16" i="1"/>
  <c r="H12" i="2" s="1"/>
  <c r="B12" i="2"/>
  <c r="H12" i="1"/>
  <c r="H8" i="2" s="1"/>
  <c r="B8" i="2"/>
  <c r="H8" i="1"/>
  <c r="H4" i="2" s="1"/>
  <c r="B4" i="2"/>
  <c r="B19" i="2"/>
  <c r="H23" i="1"/>
  <c r="H19" i="2" s="1"/>
  <c r="B15" i="2"/>
  <c r="H19" i="1"/>
  <c r="H15" i="2" s="1"/>
  <c r="B11" i="2"/>
  <c r="H15" i="1"/>
  <c r="H11" i="2" s="1"/>
  <c r="B7" i="2"/>
  <c r="H11" i="1"/>
  <c r="H7" i="2" s="1"/>
  <c r="B3" i="2"/>
  <c r="H7" i="1"/>
  <c r="H3" i="2" s="1"/>
  <c r="H74" i="1"/>
  <c r="H70" i="2" s="1"/>
  <c r="B70" i="2"/>
  <c r="H70" i="1"/>
  <c r="H66" i="2" s="1"/>
  <c r="B66" i="2"/>
  <c r="B62" i="2"/>
  <c r="H66" i="1"/>
  <c r="H62" i="2" s="1"/>
  <c r="H54" i="1"/>
  <c r="H50" i="2" s="1"/>
  <c r="B50" i="2"/>
  <c r="H50" i="1"/>
  <c r="H46" i="2" s="1"/>
  <c r="B46" i="2"/>
  <c r="B34" i="2"/>
  <c r="H38" i="1"/>
  <c r="H34" i="2" s="1"/>
  <c r="B26" i="2"/>
  <c r="H30" i="1"/>
  <c r="H26" i="2" s="1"/>
  <c r="H18" i="1"/>
  <c r="H14" i="2" s="1"/>
  <c r="B14" i="2"/>
  <c r="H69" i="1"/>
  <c r="H65" i="2" s="1"/>
  <c r="B65" i="2"/>
  <c r="B53" i="2"/>
  <c r="H57" i="1"/>
  <c r="H53" i="2" s="1"/>
  <c r="H49" i="1"/>
  <c r="H45" i="2" s="1"/>
  <c r="B45" i="2"/>
  <c r="B33" i="2"/>
  <c r="H37" i="1"/>
  <c r="H33" i="2" s="1"/>
  <c r="B25" i="2"/>
  <c r="H29" i="1"/>
  <c r="H25" i="2" s="1"/>
  <c r="B13" i="2"/>
  <c r="H17" i="1"/>
  <c r="H13" i="2" s="1"/>
</calcChain>
</file>

<file path=xl/sharedStrings.xml><?xml version="1.0" encoding="utf-8"?>
<sst xmlns="http://schemas.openxmlformats.org/spreadsheetml/2006/main" count="41" uniqueCount="30">
  <si>
    <t>data</t>
    <phoneticPr fontId="1" type="noConversion"/>
  </si>
  <si>
    <t>英雄等级</t>
    <phoneticPr fontId="1" type="noConversion"/>
  </si>
  <si>
    <t>level</t>
    <phoneticPr fontId="1" type="noConversion"/>
  </si>
  <si>
    <t>护甲修正参数</t>
    <phoneticPr fontId="1" type="noConversion"/>
  </si>
  <si>
    <t>物抗修正参数</t>
    <phoneticPr fontId="1" type="noConversion"/>
  </si>
  <si>
    <t>魔抗修正参数</t>
    <phoneticPr fontId="1" type="noConversion"/>
  </si>
  <si>
    <t>暴击修正参数</t>
    <phoneticPr fontId="1" type="noConversion"/>
  </si>
  <si>
    <t>韧性修正参数</t>
    <phoneticPr fontId="1" type="noConversion"/>
  </si>
  <si>
    <t>命中修正参数</t>
    <phoneticPr fontId="1" type="noConversion"/>
  </si>
  <si>
    <t>闪避修正参数</t>
    <phoneticPr fontId="1" type="noConversion"/>
  </si>
  <si>
    <t>armor</t>
    <phoneticPr fontId="4" type="noConversion"/>
  </si>
  <si>
    <t>phyDef</t>
    <phoneticPr fontId="4" type="noConversion"/>
  </si>
  <si>
    <t>magDef</t>
    <phoneticPr fontId="4" type="noConversion"/>
  </si>
  <si>
    <t>critical</t>
    <phoneticPr fontId="4" type="noConversion"/>
  </si>
  <si>
    <t>hit</t>
    <phoneticPr fontId="4" type="noConversion"/>
  </si>
  <si>
    <t>dodge</t>
    <phoneticPr fontId="4" type="noConversion"/>
  </si>
  <si>
    <t>resilience</t>
    <phoneticPr fontId="4" type="noConversion"/>
  </si>
  <si>
    <t>装备所得抗性</t>
    <phoneticPr fontId="1" type="noConversion"/>
  </si>
  <si>
    <t>装备抗性比</t>
    <phoneticPr fontId="1" type="noConversion"/>
  </si>
  <si>
    <t>装备强化</t>
    <phoneticPr fontId="1" type="noConversion"/>
  </si>
  <si>
    <t>等级</t>
    <phoneticPr fontId="1" type="noConversion"/>
  </si>
  <si>
    <t>物抗值</t>
    <phoneticPr fontId="1" type="noConversion"/>
  </si>
  <si>
    <t>力量物抗</t>
    <phoneticPr fontId="1" type="noConversion"/>
  </si>
  <si>
    <t>智力魔抗</t>
    <phoneticPr fontId="1" type="noConversion"/>
  </si>
  <si>
    <t>总减伤</t>
    <phoneticPr fontId="1" type="noConversion"/>
  </si>
  <si>
    <t>强化后减伤</t>
    <phoneticPr fontId="1" type="noConversion"/>
  </si>
  <si>
    <t>战/法有效生命比</t>
    <phoneticPr fontId="1" type="noConversion"/>
  </si>
  <si>
    <t>avoidArmor</t>
  </si>
  <si>
    <t>magDefPenetrate</t>
  </si>
  <si>
    <t>phyDefPenetrate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</si>
</sst>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indexed="10"/>
      <name val="宋体"/>
      <family val="2"/>
      <charset val="134"/>
    </font>
    <font>
      <sz val="9"/>
      <name val="宋体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0</xdr:row>
          <xdr:rowOff>114300</xdr:rowOff>
        </xdr:from>
        <xdr:to>
          <xdr:col>6</xdr:col>
          <xdr:colOff>400050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07"/>
  <sheetViews>
    <sheetView tabSelected="1" workbookViewId="0">
      <pane ySplit="3" topLeftCell="A4" activePane="bottomLeft" state="frozen"/>
      <selection pane="bottomLeft" activeCell="G63" sqref="G63"/>
    </sheetView>
  </sheetViews>
  <sheetFormatPr defaultRowHeight="13.5" x14ac:dyDescent="0.15"/>
  <cols>
    <col min="1" max="1" width="20" bestFit="1" customWidth="1"/>
    <col min="2" max="2" width="21.125" bestFit="1" customWidth="1"/>
    <col min="3" max="4" width="20" bestFit="1" customWidth="1"/>
    <col min="5" max="5" width="17.75" bestFit="1" customWidth="1"/>
    <col min="6" max="8" width="13" bestFit="1" customWidth="1"/>
    <col min="9" max="9" width="11.625" bestFit="1" customWidth="1"/>
    <col min="10" max="11" width="17.25" bestFit="1" customWidth="1"/>
  </cols>
  <sheetData>
    <row r="1" spans="1:11" x14ac:dyDescent="0.15">
      <c r="A1" t="s">
        <v>0</v>
      </c>
    </row>
    <row r="3" spans="1:11" x14ac:dyDescent="0.15">
      <c r="A3" t="s">
        <v>1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</row>
    <row r="4" spans="1:11" x14ac:dyDescent="0.15">
      <c r="A4" t="s">
        <v>2</v>
      </c>
      <c r="B4" s="1" t="s">
        <v>10</v>
      </c>
      <c r="C4" s="1" t="s">
        <v>11</v>
      </c>
      <c r="D4" s="1" t="s">
        <v>12</v>
      </c>
      <c r="E4" s="1" t="s">
        <v>13</v>
      </c>
      <c r="F4" s="1" t="s">
        <v>16</v>
      </c>
      <c r="G4" s="1" t="s">
        <v>14</v>
      </c>
      <c r="H4" s="1" t="s">
        <v>15</v>
      </c>
      <c r="I4" t="s">
        <v>27</v>
      </c>
      <c r="J4" t="s">
        <v>29</v>
      </c>
      <c r="K4" t="s">
        <v>28</v>
      </c>
    </row>
    <row r="6" spans="1:11" x14ac:dyDescent="0.15">
      <c r="A6">
        <v>1</v>
      </c>
      <c r="B6">
        <f>E6</f>
        <v>60</v>
      </c>
      <c r="C6">
        <f>(A6+1)*50</f>
        <v>100</v>
      </c>
      <c r="D6">
        <f>(A6+1)*50</f>
        <v>100</v>
      </c>
      <c r="E6">
        <f>3*A6^2+2*A6+55</f>
        <v>60</v>
      </c>
      <c r="F6">
        <f>E6*2</f>
        <v>120</v>
      </c>
      <c r="G6">
        <f>E6</f>
        <v>60</v>
      </c>
      <c r="H6">
        <f>INT(B6/4)</f>
        <v>15</v>
      </c>
      <c r="I6">
        <v>100</v>
      </c>
      <c r="J6">
        <v>100</v>
      </c>
      <c r="K6">
        <v>100</v>
      </c>
    </row>
    <row r="7" spans="1:11" x14ac:dyDescent="0.15">
      <c r="A7">
        <v>2</v>
      </c>
      <c r="B7">
        <f t="shared" ref="B7:B70" si="0">E7</f>
        <v>71</v>
      </c>
      <c r="C7">
        <f t="shared" ref="C7:C70" si="1">(A7+1)*50</f>
        <v>150</v>
      </c>
      <c r="D7">
        <f t="shared" ref="D7:D70" si="2">(A7+1)*50</f>
        <v>150</v>
      </c>
      <c r="E7">
        <f t="shared" ref="E7:E70" si="3">3*A7^2+2*A7+55</f>
        <v>71</v>
      </c>
      <c r="F7">
        <f t="shared" ref="F7:F70" si="4">E7*2</f>
        <v>142</v>
      </c>
      <c r="G7">
        <f t="shared" ref="G7:G70" si="5">E7</f>
        <v>71</v>
      </c>
      <c r="H7">
        <f t="shared" ref="H7:H70" si="6">INT(B7/4)</f>
        <v>17</v>
      </c>
      <c r="I7">
        <v>100</v>
      </c>
      <c r="J7">
        <v>100</v>
      </c>
      <c r="K7">
        <v>100</v>
      </c>
    </row>
    <row r="8" spans="1:11" x14ac:dyDescent="0.15">
      <c r="A8">
        <v>3</v>
      </c>
      <c r="B8">
        <f t="shared" si="0"/>
        <v>88</v>
      </c>
      <c r="C8">
        <f t="shared" si="1"/>
        <v>200</v>
      </c>
      <c r="D8">
        <f t="shared" si="2"/>
        <v>200</v>
      </c>
      <c r="E8">
        <f t="shared" si="3"/>
        <v>88</v>
      </c>
      <c r="F8">
        <f t="shared" si="4"/>
        <v>176</v>
      </c>
      <c r="G8">
        <f t="shared" si="5"/>
        <v>88</v>
      </c>
      <c r="H8">
        <f t="shared" si="6"/>
        <v>22</v>
      </c>
      <c r="I8">
        <v>100</v>
      </c>
      <c r="J8">
        <v>100</v>
      </c>
      <c r="K8">
        <v>100</v>
      </c>
    </row>
    <row r="9" spans="1:11" x14ac:dyDescent="0.15">
      <c r="A9">
        <v>4</v>
      </c>
      <c r="B9">
        <f t="shared" si="0"/>
        <v>111</v>
      </c>
      <c r="C9">
        <f t="shared" si="1"/>
        <v>250</v>
      </c>
      <c r="D9">
        <f t="shared" si="2"/>
        <v>250</v>
      </c>
      <c r="E9">
        <f t="shared" si="3"/>
        <v>111</v>
      </c>
      <c r="F9">
        <f t="shared" si="4"/>
        <v>222</v>
      </c>
      <c r="G9">
        <f t="shared" si="5"/>
        <v>111</v>
      </c>
      <c r="H9">
        <f t="shared" si="6"/>
        <v>27</v>
      </c>
      <c r="I9">
        <v>100</v>
      </c>
      <c r="J9">
        <v>100</v>
      </c>
      <c r="K9">
        <v>100</v>
      </c>
    </row>
    <row r="10" spans="1:11" x14ac:dyDescent="0.15">
      <c r="A10">
        <v>5</v>
      </c>
      <c r="B10">
        <f t="shared" si="0"/>
        <v>140</v>
      </c>
      <c r="C10">
        <f t="shared" si="1"/>
        <v>300</v>
      </c>
      <c r="D10">
        <f t="shared" si="2"/>
        <v>300</v>
      </c>
      <c r="E10">
        <f t="shared" si="3"/>
        <v>140</v>
      </c>
      <c r="F10">
        <f t="shared" si="4"/>
        <v>280</v>
      </c>
      <c r="G10">
        <f t="shared" si="5"/>
        <v>140</v>
      </c>
      <c r="H10">
        <f t="shared" si="6"/>
        <v>35</v>
      </c>
      <c r="I10">
        <v>100</v>
      </c>
      <c r="J10">
        <v>100</v>
      </c>
      <c r="K10">
        <v>100</v>
      </c>
    </row>
    <row r="11" spans="1:11" x14ac:dyDescent="0.15">
      <c r="A11">
        <v>6</v>
      </c>
      <c r="B11">
        <f t="shared" si="0"/>
        <v>175</v>
      </c>
      <c r="C11">
        <f t="shared" si="1"/>
        <v>350</v>
      </c>
      <c r="D11">
        <f t="shared" si="2"/>
        <v>350</v>
      </c>
      <c r="E11">
        <f t="shared" si="3"/>
        <v>175</v>
      </c>
      <c r="F11">
        <f t="shared" si="4"/>
        <v>350</v>
      </c>
      <c r="G11">
        <f t="shared" si="5"/>
        <v>175</v>
      </c>
      <c r="H11">
        <f t="shared" si="6"/>
        <v>43</v>
      </c>
      <c r="I11">
        <v>100</v>
      </c>
      <c r="J11">
        <v>100</v>
      </c>
      <c r="K11">
        <v>100</v>
      </c>
    </row>
    <row r="12" spans="1:11" x14ac:dyDescent="0.15">
      <c r="A12">
        <v>7</v>
      </c>
      <c r="B12">
        <f t="shared" si="0"/>
        <v>216</v>
      </c>
      <c r="C12">
        <f t="shared" si="1"/>
        <v>400</v>
      </c>
      <c r="D12">
        <f t="shared" si="2"/>
        <v>400</v>
      </c>
      <c r="E12">
        <f t="shared" si="3"/>
        <v>216</v>
      </c>
      <c r="F12">
        <f t="shared" si="4"/>
        <v>432</v>
      </c>
      <c r="G12">
        <f t="shared" si="5"/>
        <v>216</v>
      </c>
      <c r="H12">
        <f t="shared" si="6"/>
        <v>54</v>
      </c>
      <c r="I12">
        <v>100</v>
      </c>
      <c r="J12">
        <v>100</v>
      </c>
      <c r="K12">
        <v>100</v>
      </c>
    </row>
    <row r="13" spans="1:11" x14ac:dyDescent="0.15">
      <c r="A13">
        <v>8</v>
      </c>
      <c r="B13">
        <f t="shared" si="0"/>
        <v>263</v>
      </c>
      <c r="C13">
        <f t="shared" si="1"/>
        <v>450</v>
      </c>
      <c r="D13">
        <f t="shared" si="2"/>
        <v>450</v>
      </c>
      <c r="E13">
        <f t="shared" si="3"/>
        <v>263</v>
      </c>
      <c r="F13">
        <f t="shared" si="4"/>
        <v>526</v>
      </c>
      <c r="G13">
        <f t="shared" si="5"/>
        <v>263</v>
      </c>
      <c r="H13">
        <f t="shared" si="6"/>
        <v>65</v>
      </c>
      <c r="I13">
        <v>100</v>
      </c>
      <c r="J13">
        <v>100</v>
      </c>
      <c r="K13">
        <v>100</v>
      </c>
    </row>
    <row r="14" spans="1:11" x14ac:dyDescent="0.15">
      <c r="A14">
        <v>9</v>
      </c>
      <c r="B14">
        <f t="shared" si="0"/>
        <v>316</v>
      </c>
      <c r="C14">
        <f t="shared" si="1"/>
        <v>500</v>
      </c>
      <c r="D14">
        <f t="shared" si="2"/>
        <v>500</v>
      </c>
      <c r="E14">
        <f t="shared" si="3"/>
        <v>316</v>
      </c>
      <c r="F14">
        <f t="shared" si="4"/>
        <v>632</v>
      </c>
      <c r="G14">
        <f t="shared" si="5"/>
        <v>316</v>
      </c>
      <c r="H14">
        <f t="shared" si="6"/>
        <v>79</v>
      </c>
      <c r="I14">
        <v>100</v>
      </c>
      <c r="J14">
        <v>100</v>
      </c>
      <c r="K14">
        <v>100</v>
      </c>
    </row>
    <row r="15" spans="1:11" x14ac:dyDescent="0.15">
      <c r="A15">
        <v>10</v>
      </c>
      <c r="B15">
        <f t="shared" si="0"/>
        <v>375</v>
      </c>
      <c r="C15">
        <f t="shared" si="1"/>
        <v>550</v>
      </c>
      <c r="D15">
        <f t="shared" si="2"/>
        <v>550</v>
      </c>
      <c r="E15">
        <f t="shared" si="3"/>
        <v>375</v>
      </c>
      <c r="F15">
        <f t="shared" si="4"/>
        <v>750</v>
      </c>
      <c r="G15">
        <f t="shared" si="5"/>
        <v>375</v>
      </c>
      <c r="H15">
        <f t="shared" si="6"/>
        <v>93</v>
      </c>
      <c r="I15">
        <v>100</v>
      </c>
      <c r="J15">
        <v>100</v>
      </c>
      <c r="K15">
        <v>100</v>
      </c>
    </row>
    <row r="16" spans="1:11" x14ac:dyDescent="0.15">
      <c r="A16">
        <v>11</v>
      </c>
      <c r="B16">
        <f t="shared" si="0"/>
        <v>440</v>
      </c>
      <c r="C16">
        <f t="shared" si="1"/>
        <v>600</v>
      </c>
      <c r="D16">
        <f t="shared" si="2"/>
        <v>600</v>
      </c>
      <c r="E16">
        <f t="shared" si="3"/>
        <v>440</v>
      </c>
      <c r="F16">
        <f t="shared" si="4"/>
        <v>880</v>
      </c>
      <c r="G16">
        <f t="shared" si="5"/>
        <v>440</v>
      </c>
      <c r="H16">
        <f t="shared" si="6"/>
        <v>110</v>
      </c>
      <c r="I16">
        <v>100</v>
      </c>
      <c r="J16">
        <v>100</v>
      </c>
      <c r="K16">
        <v>100</v>
      </c>
    </row>
    <row r="17" spans="1:11" x14ac:dyDescent="0.15">
      <c r="A17">
        <v>12</v>
      </c>
      <c r="B17">
        <f t="shared" si="0"/>
        <v>511</v>
      </c>
      <c r="C17">
        <f t="shared" si="1"/>
        <v>650</v>
      </c>
      <c r="D17">
        <f t="shared" si="2"/>
        <v>650</v>
      </c>
      <c r="E17">
        <f t="shared" si="3"/>
        <v>511</v>
      </c>
      <c r="F17">
        <f t="shared" si="4"/>
        <v>1022</v>
      </c>
      <c r="G17">
        <f t="shared" si="5"/>
        <v>511</v>
      </c>
      <c r="H17">
        <f t="shared" si="6"/>
        <v>127</v>
      </c>
      <c r="I17">
        <v>100</v>
      </c>
      <c r="J17">
        <v>100</v>
      </c>
      <c r="K17">
        <v>100</v>
      </c>
    </row>
    <row r="18" spans="1:11" x14ac:dyDescent="0.15">
      <c r="A18">
        <v>13</v>
      </c>
      <c r="B18">
        <f t="shared" si="0"/>
        <v>588</v>
      </c>
      <c r="C18">
        <f t="shared" si="1"/>
        <v>700</v>
      </c>
      <c r="D18">
        <f t="shared" si="2"/>
        <v>700</v>
      </c>
      <c r="E18">
        <f t="shared" si="3"/>
        <v>588</v>
      </c>
      <c r="F18">
        <f t="shared" si="4"/>
        <v>1176</v>
      </c>
      <c r="G18">
        <f t="shared" si="5"/>
        <v>588</v>
      </c>
      <c r="H18">
        <f t="shared" si="6"/>
        <v>147</v>
      </c>
      <c r="I18">
        <v>100</v>
      </c>
      <c r="J18">
        <v>100</v>
      </c>
      <c r="K18">
        <v>100</v>
      </c>
    </row>
    <row r="19" spans="1:11" x14ac:dyDescent="0.15">
      <c r="A19">
        <v>14</v>
      </c>
      <c r="B19">
        <f t="shared" si="0"/>
        <v>671</v>
      </c>
      <c r="C19">
        <f t="shared" si="1"/>
        <v>750</v>
      </c>
      <c r="D19">
        <f t="shared" si="2"/>
        <v>750</v>
      </c>
      <c r="E19">
        <f t="shared" si="3"/>
        <v>671</v>
      </c>
      <c r="F19">
        <f t="shared" si="4"/>
        <v>1342</v>
      </c>
      <c r="G19">
        <f t="shared" si="5"/>
        <v>671</v>
      </c>
      <c r="H19">
        <f t="shared" si="6"/>
        <v>167</v>
      </c>
      <c r="I19">
        <v>100</v>
      </c>
      <c r="J19">
        <v>100</v>
      </c>
      <c r="K19">
        <v>100</v>
      </c>
    </row>
    <row r="20" spans="1:11" x14ac:dyDescent="0.15">
      <c r="A20">
        <v>15</v>
      </c>
      <c r="B20">
        <f t="shared" si="0"/>
        <v>760</v>
      </c>
      <c r="C20">
        <f t="shared" si="1"/>
        <v>800</v>
      </c>
      <c r="D20">
        <f t="shared" si="2"/>
        <v>800</v>
      </c>
      <c r="E20">
        <f t="shared" si="3"/>
        <v>760</v>
      </c>
      <c r="F20">
        <f t="shared" si="4"/>
        <v>1520</v>
      </c>
      <c r="G20">
        <f t="shared" si="5"/>
        <v>760</v>
      </c>
      <c r="H20">
        <f t="shared" si="6"/>
        <v>190</v>
      </c>
      <c r="I20">
        <v>100</v>
      </c>
      <c r="J20">
        <v>100</v>
      </c>
      <c r="K20">
        <v>100</v>
      </c>
    </row>
    <row r="21" spans="1:11" x14ac:dyDescent="0.15">
      <c r="A21">
        <v>16</v>
      </c>
      <c r="B21">
        <f t="shared" si="0"/>
        <v>855</v>
      </c>
      <c r="C21">
        <f t="shared" si="1"/>
        <v>850</v>
      </c>
      <c r="D21">
        <f t="shared" si="2"/>
        <v>850</v>
      </c>
      <c r="E21">
        <f t="shared" si="3"/>
        <v>855</v>
      </c>
      <c r="F21">
        <f t="shared" si="4"/>
        <v>1710</v>
      </c>
      <c r="G21">
        <f t="shared" si="5"/>
        <v>855</v>
      </c>
      <c r="H21">
        <f t="shared" si="6"/>
        <v>213</v>
      </c>
      <c r="I21">
        <v>100</v>
      </c>
      <c r="J21">
        <v>100</v>
      </c>
      <c r="K21">
        <v>100</v>
      </c>
    </row>
    <row r="22" spans="1:11" x14ac:dyDescent="0.15">
      <c r="A22">
        <v>17</v>
      </c>
      <c r="B22">
        <f t="shared" si="0"/>
        <v>956</v>
      </c>
      <c r="C22">
        <f t="shared" si="1"/>
        <v>900</v>
      </c>
      <c r="D22">
        <f t="shared" si="2"/>
        <v>900</v>
      </c>
      <c r="E22">
        <f t="shared" si="3"/>
        <v>956</v>
      </c>
      <c r="F22">
        <f t="shared" si="4"/>
        <v>1912</v>
      </c>
      <c r="G22">
        <f t="shared" si="5"/>
        <v>956</v>
      </c>
      <c r="H22">
        <f t="shared" si="6"/>
        <v>239</v>
      </c>
      <c r="I22">
        <v>100</v>
      </c>
      <c r="J22">
        <v>100</v>
      </c>
      <c r="K22">
        <v>100</v>
      </c>
    </row>
    <row r="23" spans="1:11" x14ac:dyDescent="0.15">
      <c r="A23">
        <v>18</v>
      </c>
      <c r="B23">
        <f t="shared" si="0"/>
        <v>1063</v>
      </c>
      <c r="C23">
        <f t="shared" si="1"/>
        <v>950</v>
      </c>
      <c r="D23">
        <f t="shared" si="2"/>
        <v>950</v>
      </c>
      <c r="E23">
        <f t="shared" si="3"/>
        <v>1063</v>
      </c>
      <c r="F23">
        <f t="shared" si="4"/>
        <v>2126</v>
      </c>
      <c r="G23">
        <f t="shared" si="5"/>
        <v>1063</v>
      </c>
      <c r="H23">
        <f t="shared" si="6"/>
        <v>265</v>
      </c>
      <c r="I23">
        <v>100</v>
      </c>
      <c r="J23">
        <v>100</v>
      </c>
      <c r="K23">
        <v>100</v>
      </c>
    </row>
    <row r="24" spans="1:11" x14ac:dyDescent="0.15">
      <c r="A24">
        <v>19</v>
      </c>
      <c r="B24">
        <f t="shared" si="0"/>
        <v>1176</v>
      </c>
      <c r="C24">
        <f t="shared" si="1"/>
        <v>1000</v>
      </c>
      <c r="D24">
        <f t="shared" si="2"/>
        <v>1000</v>
      </c>
      <c r="E24">
        <f t="shared" si="3"/>
        <v>1176</v>
      </c>
      <c r="F24">
        <f t="shared" si="4"/>
        <v>2352</v>
      </c>
      <c r="G24">
        <f t="shared" si="5"/>
        <v>1176</v>
      </c>
      <c r="H24">
        <f t="shared" si="6"/>
        <v>294</v>
      </c>
      <c r="I24">
        <v>100</v>
      </c>
      <c r="J24">
        <v>100</v>
      </c>
      <c r="K24">
        <v>100</v>
      </c>
    </row>
    <row r="25" spans="1:11" x14ac:dyDescent="0.15">
      <c r="A25">
        <v>20</v>
      </c>
      <c r="B25">
        <f t="shared" si="0"/>
        <v>1295</v>
      </c>
      <c r="C25">
        <f t="shared" si="1"/>
        <v>1050</v>
      </c>
      <c r="D25">
        <f t="shared" si="2"/>
        <v>1050</v>
      </c>
      <c r="E25">
        <f t="shared" si="3"/>
        <v>1295</v>
      </c>
      <c r="F25">
        <f t="shared" si="4"/>
        <v>2590</v>
      </c>
      <c r="G25">
        <f t="shared" si="5"/>
        <v>1295</v>
      </c>
      <c r="H25">
        <f t="shared" si="6"/>
        <v>323</v>
      </c>
      <c r="I25">
        <v>100</v>
      </c>
      <c r="J25">
        <v>100</v>
      </c>
      <c r="K25">
        <v>100</v>
      </c>
    </row>
    <row r="26" spans="1:11" x14ac:dyDescent="0.15">
      <c r="A26">
        <v>21</v>
      </c>
      <c r="B26">
        <f t="shared" si="0"/>
        <v>1420</v>
      </c>
      <c r="C26">
        <f t="shared" si="1"/>
        <v>1100</v>
      </c>
      <c r="D26">
        <f t="shared" si="2"/>
        <v>1100</v>
      </c>
      <c r="E26">
        <f t="shared" si="3"/>
        <v>1420</v>
      </c>
      <c r="F26">
        <f t="shared" si="4"/>
        <v>2840</v>
      </c>
      <c r="G26">
        <f t="shared" si="5"/>
        <v>1420</v>
      </c>
      <c r="H26">
        <f t="shared" si="6"/>
        <v>355</v>
      </c>
      <c r="I26">
        <v>100</v>
      </c>
      <c r="J26">
        <v>100</v>
      </c>
      <c r="K26">
        <v>100</v>
      </c>
    </row>
    <row r="27" spans="1:11" x14ac:dyDescent="0.15">
      <c r="A27">
        <v>22</v>
      </c>
      <c r="B27">
        <f t="shared" si="0"/>
        <v>1551</v>
      </c>
      <c r="C27">
        <f t="shared" si="1"/>
        <v>1150</v>
      </c>
      <c r="D27">
        <f t="shared" si="2"/>
        <v>1150</v>
      </c>
      <c r="E27">
        <f t="shared" si="3"/>
        <v>1551</v>
      </c>
      <c r="F27">
        <f t="shared" si="4"/>
        <v>3102</v>
      </c>
      <c r="G27">
        <f t="shared" si="5"/>
        <v>1551</v>
      </c>
      <c r="H27">
        <f t="shared" si="6"/>
        <v>387</v>
      </c>
      <c r="I27">
        <v>100</v>
      </c>
      <c r="J27">
        <v>100</v>
      </c>
      <c r="K27">
        <v>100</v>
      </c>
    </row>
    <row r="28" spans="1:11" x14ac:dyDescent="0.15">
      <c r="A28">
        <v>23</v>
      </c>
      <c r="B28">
        <f t="shared" si="0"/>
        <v>1688</v>
      </c>
      <c r="C28">
        <f t="shared" si="1"/>
        <v>1200</v>
      </c>
      <c r="D28">
        <f t="shared" si="2"/>
        <v>1200</v>
      </c>
      <c r="E28">
        <f t="shared" si="3"/>
        <v>1688</v>
      </c>
      <c r="F28">
        <f t="shared" si="4"/>
        <v>3376</v>
      </c>
      <c r="G28">
        <f t="shared" si="5"/>
        <v>1688</v>
      </c>
      <c r="H28">
        <f t="shared" si="6"/>
        <v>422</v>
      </c>
      <c r="I28">
        <v>100</v>
      </c>
      <c r="J28">
        <v>100</v>
      </c>
      <c r="K28">
        <v>100</v>
      </c>
    </row>
    <row r="29" spans="1:11" x14ac:dyDescent="0.15">
      <c r="A29">
        <v>24</v>
      </c>
      <c r="B29">
        <f t="shared" si="0"/>
        <v>1831</v>
      </c>
      <c r="C29">
        <f t="shared" si="1"/>
        <v>1250</v>
      </c>
      <c r="D29">
        <f t="shared" si="2"/>
        <v>1250</v>
      </c>
      <c r="E29">
        <f t="shared" si="3"/>
        <v>1831</v>
      </c>
      <c r="F29">
        <f t="shared" si="4"/>
        <v>3662</v>
      </c>
      <c r="G29">
        <f t="shared" si="5"/>
        <v>1831</v>
      </c>
      <c r="H29">
        <f t="shared" si="6"/>
        <v>457</v>
      </c>
      <c r="I29">
        <v>100</v>
      </c>
      <c r="J29">
        <v>100</v>
      </c>
      <c r="K29">
        <v>100</v>
      </c>
    </row>
    <row r="30" spans="1:11" x14ac:dyDescent="0.15">
      <c r="A30">
        <v>25</v>
      </c>
      <c r="B30">
        <f t="shared" si="0"/>
        <v>1980</v>
      </c>
      <c r="C30">
        <f t="shared" si="1"/>
        <v>1300</v>
      </c>
      <c r="D30">
        <f t="shared" si="2"/>
        <v>1300</v>
      </c>
      <c r="E30">
        <f t="shared" si="3"/>
        <v>1980</v>
      </c>
      <c r="F30">
        <f t="shared" si="4"/>
        <v>3960</v>
      </c>
      <c r="G30">
        <f t="shared" si="5"/>
        <v>1980</v>
      </c>
      <c r="H30">
        <f t="shared" si="6"/>
        <v>495</v>
      </c>
      <c r="I30">
        <v>100</v>
      </c>
      <c r="J30">
        <v>100</v>
      </c>
      <c r="K30">
        <v>100</v>
      </c>
    </row>
    <row r="31" spans="1:11" x14ac:dyDescent="0.15">
      <c r="A31">
        <v>26</v>
      </c>
      <c r="B31">
        <f t="shared" si="0"/>
        <v>2135</v>
      </c>
      <c r="C31">
        <f t="shared" si="1"/>
        <v>1350</v>
      </c>
      <c r="D31">
        <f t="shared" si="2"/>
        <v>1350</v>
      </c>
      <c r="E31">
        <f t="shared" si="3"/>
        <v>2135</v>
      </c>
      <c r="F31">
        <f t="shared" si="4"/>
        <v>4270</v>
      </c>
      <c r="G31">
        <f t="shared" si="5"/>
        <v>2135</v>
      </c>
      <c r="H31">
        <f t="shared" si="6"/>
        <v>533</v>
      </c>
      <c r="I31">
        <v>100</v>
      </c>
      <c r="J31">
        <v>100</v>
      </c>
      <c r="K31">
        <v>100</v>
      </c>
    </row>
    <row r="32" spans="1:11" x14ac:dyDescent="0.15">
      <c r="A32">
        <v>27</v>
      </c>
      <c r="B32">
        <f t="shared" si="0"/>
        <v>2296</v>
      </c>
      <c r="C32">
        <f t="shared" si="1"/>
        <v>1400</v>
      </c>
      <c r="D32">
        <f t="shared" si="2"/>
        <v>1400</v>
      </c>
      <c r="E32">
        <f t="shared" si="3"/>
        <v>2296</v>
      </c>
      <c r="F32">
        <f t="shared" si="4"/>
        <v>4592</v>
      </c>
      <c r="G32">
        <f t="shared" si="5"/>
        <v>2296</v>
      </c>
      <c r="H32">
        <f t="shared" si="6"/>
        <v>574</v>
      </c>
      <c r="I32">
        <v>100</v>
      </c>
      <c r="J32">
        <v>100</v>
      </c>
      <c r="K32">
        <v>100</v>
      </c>
    </row>
    <row r="33" spans="1:11" x14ac:dyDescent="0.15">
      <c r="A33">
        <v>28</v>
      </c>
      <c r="B33">
        <f t="shared" si="0"/>
        <v>2463</v>
      </c>
      <c r="C33">
        <f t="shared" si="1"/>
        <v>1450</v>
      </c>
      <c r="D33">
        <f t="shared" si="2"/>
        <v>1450</v>
      </c>
      <c r="E33">
        <f t="shared" si="3"/>
        <v>2463</v>
      </c>
      <c r="F33">
        <f t="shared" si="4"/>
        <v>4926</v>
      </c>
      <c r="G33">
        <f t="shared" si="5"/>
        <v>2463</v>
      </c>
      <c r="H33">
        <f t="shared" si="6"/>
        <v>615</v>
      </c>
      <c r="I33">
        <v>100</v>
      </c>
      <c r="J33">
        <v>100</v>
      </c>
      <c r="K33">
        <v>100</v>
      </c>
    </row>
    <row r="34" spans="1:11" x14ac:dyDescent="0.15">
      <c r="A34">
        <v>29</v>
      </c>
      <c r="B34">
        <f t="shared" si="0"/>
        <v>2636</v>
      </c>
      <c r="C34">
        <f t="shared" si="1"/>
        <v>1500</v>
      </c>
      <c r="D34">
        <f t="shared" si="2"/>
        <v>1500</v>
      </c>
      <c r="E34">
        <f t="shared" si="3"/>
        <v>2636</v>
      </c>
      <c r="F34">
        <f t="shared" si="4"/>
        <v>5272</v>
      </c>
      <c r="G34">
        <f t="shared" si="5"/>
        <v>2636</v>
      </c>
      <c r="H34">
        <f t="shared" si="6"/>
        <v>659</v>
      </c>
      <c r="I34">
        <v>100</v>
      </c>
      <c r="J34">
        <v>100</v>
      </c>
      <c r="K34">
        <v>100</v>
      </c>
    </row>
    <row r="35" spans="1:11" x14ac:dyDescent="0.15">
      <c r="A35">
        <v>30</v>
      </c>
      <c r="B35">
        <f t="shared" si="0"/>
        <v>2815</v>
      </c>
      <c r="C35">
        <f t="shared" si="1"/>
        <v>1550</v>
      </c>
      <c r="D35">
        <f t="shared" si="2"/>
        <v>1550</v>
      </c>
      <c r="E35">
        <f t="shared" si="3"/>
        <v>2815</v>
      </c>
      <c r="F35">
        <f t="shared" si="4"/>
        <v>5630</v>
      </c>
      <c r="G35">
        <f t="shared" si="5"/>
        <v>2815</v>
      </c>
      <c r="H35">
        <f t="shared" si="6"/>
        <v>703</v>
      </c>
      <c r="I35">
        <v>100</v>
      </c>
      <c r="J35">
        <v>100</v>
      </c>
      <c r="K35">
        <v>100</v>
      </c>
    </row>
    <row r="36" spans="1:11" x14ac:dyDescent="0.15">
      <c r="A36">
        <v>31</v>
      </c>
      <c r="B36">
        <f t="shared" si="0"/>
        <v>3000</v>
      </c>
      <c r="C36">
        <f t="shared" si="1"/>
        <v>1600</v>
      </c>
      <c r="D36">
        <f t="shared" si="2"/>
        <v>1600</v>
      </c>
      <c r="E36">
        <f t="shared" si="3"/>
        <v>3000</v>
      </c>
      <c r="F36">
        <f t="shared" si="4"/>
        <v>6000</v>
      </c>
      <c r="G36">
        <f t="shared" si="5"/>
        <v>3000</v>
      </c>
      <c r="H36">
        <f t="shared" si="6"/>
        <v>750</v>
      </c>
      <c r="I36">
        <v>100</v>
      </c>
      <c r="J36">
        <v>100</v>
      </c>
      <c r="K36">
        <v>100</v>
      </c>
    </row>
    <row r="37" spans="1:11" x14ac:dyDescent="0.15">
      <c r="A37">
        <v>32</v>
      </c>
      <c r="B37">
        <f t="shared" si="0"/>
        <v>3191</v>
      </c>
      <c r="C37">
        <f t="shared" si="1"/>
        <v>1650</v>
      </c>
      <c r="D37">
        <f t="shared" si="2"/>
        <v>1650</v>
      </c>
      <c r="E37">
        <f t="shared" si="3"/>
        <v>3191</v>
      </c>
      <c r="F37">
        <f t="shared" si="4"/>
        <v>6382</v>
      </c>
      <c r="G37">
        <f t="shared" si="5"/>
        <v>3191</v>
      </c>
      <c r="H37">
        <f t="shared" si="6"/>
        <v>797</v>
      </c>
      <c r="I37">
        <v>100</v>
      </c>
      <c r="J37">
        <v>100</v>
      </c>
      <c r="K37">
        <v>100</v>
      </c>
    </row>
    <row r="38" spans="1:11" x14ac:dyDescent="0.15">
      <c r="A38">
        <v>33</v>
      </c>
      <c r="B38">
        <f t="shared" si="0"/>
        <v>3388</v>
      </c>
      <c r="C38">
        <f t="shared" si="1"/>
        <v>1700</v>
      </c>
      <c r="D38">
        <f t="shared" si="2"/>
        <v>1700</v>
      </c>
      <c r="E38">
        <f t="shared" si="3"/>
        <v>3388</v>
      </c>
      <c r="F38">
        <f t="shared" si="4"/>
        <v>6776</v>
      </c>
      <c r="G38">
        <f t="shared" si="5"/>
        <v>3388</v>
      </c>
      <c r="H38">
        <f t="shared" si="6"/>
        <v>847</v>
      </c>
      <c r="I38">
        <v>100</v>
      </c>
      <c r="J38">
        <v>100</v>
      </c>
      <c r="K38">
        <v>100</v>
      </c>
    </row>
    <row r="39" spans="1:11" x14ac:dyDescent="0.15">
      <c r="A39">
        <v>34</v>
      </c>
      <c r="B39">
        <f t="shared" si="0"/>
        <v>3591</v>
      </c>
      <c r="C39">
        <f t="shared" si="1"/>
        <v>1750</v>
      </c>
      <c r="D39">
        <f t="shared" si="2"/>
        <v>1750</v>
      </c>
      <c r="E39">
        <f t="shared" si="3"/>
        <v>3591</v>
      </c>
      <c r="F39">
        <f t="shared" si="4"/>
        <v>7182</v>
      </c>
      <c r="G39">
        <f t="shared" si="5"/>
        <v>3591</v>
      </c>
      <c r="H39">
        <f t="shared" si="6"/>
        <v>897</v>
      </c>
      <c r="I39">
        <v>100</v>
      </c>
      <c r="J39">
        <v>100</v>
      </c>
      <c r="K39">
        <v>100</v>
      </c>
    </row>
    <row r="40" spans="1:11" x14ac:dyDescent="0.15">
      <c r="A40">
        <v>35</v>
      </c>
      <c r="B40">
        <f t="shared" si="0"/>
        <v>3800</v>
      </c>
      <c r="C40">
        <f t="shared" si="1"/>
        <v>1800</v>
      </c>
      <c r="D40">
        <f t="shared" si="2"/>
        <v>1800</v>
      </c>
      <c r="E40">
        <f t="shared" si="3"/>
        <v>3800</v>
      </c>
      <c r="F40">
        <f t="shared" si="4"/>
        <v>7600</v>
      </c>
      <c r="G40">
        <f t="shared" si="5"/>
        <v>3800</v>
      </c>
      <c r="H40">
        <f t="shared" si="6"/>
        <v>950</v>
      </c>
      <c r="I40">
        <v>100</v>
      </c>
      <c r="J40">
        <v>100</v>
      </c>
      <c r="K40">
        <v>100</v>
      </c>
    </row>
    <row r="41" spans="1:11" x14ac:dyDescent="0.15">
      <c r="A41">
        <v>36</v>
      </c>
      <c r="B41">
        <f t="shared" si="0"/>
        <v>4015</v>
      </c>
      <c r="C41">
        <f t="shared" si="1"/>
        <v>1850</v>
      </c>
      <c r="D41">
        <f t="shared" si="2"/>
        <v>1850</v>
      </c>
      <c r="E41">
        <f t="shared" si="3"/>
        <v>4015</v>
      </c>
      <c r="F41">
        <f t="shared" si="4"/>
        <v>8030</v>
      </c>
      <c r="G41">
        <f t="shared" si="5"/>
        <v>4015</v>
      </c>
      <c r="H41">
        <f t="shared" si="6"/>
        <v>1003</v>
      </c>
      <c r="I41">
        <v>100</v>
      </c>
      <c r="J41">
        <v>100</v>
      </c>
      <c r="K41">
        <v>100</v>
      </c>
    </row>
    <row r="42" spans="1:11" x14ac:dyDescent="0.15">
      <c r="A42">
        <v>37</v>
      </c>
      <c r="B42">
        <f t="shared" si="0"/>
        <v>4236</v>
      </c>
      <c r="C42">
        <f t="shared" si="1"/>
        <v>1900</v>
      </c>
      <c r="D42">
        <f t="shared" si="2"/>
        <v>1900</v>
      </c>
      <c r="E42">
        <f t="shared" si="3"/>
        <v>4236</v>
      </c>
      <c r="F42">
        <f t="shared" si="4"/>
        <v>8472</v>
      </c>
      <c r="G42">
        <f t="shared" si="5"/>
        <v>4236</v>
      </c>
      <c r="H42">
        <f t="shared" si="6"/>
        <v>1059</v>
      </c>
      <c r="I42">
        <v>100</v>
      </c>
      <c r="J42">
        <v>100</v>
      </c>
      <c r="K42">
        <v>100</v>
      </c>
    </row>
    <row r="43" spans="1:11" x14ac:dyDescent="0.15">
      <c r="A43">
        <v>38</v>
      </c>
      <c r="B43">
        <f t="shared" si="0"/>
        <v>4463</v>
      </c>
      <c r="C43">
        <f t="shared" si="1"/>
        <v>1950</v>
      </c>
      <c r="D43">
        <f t="shared" si="2"/>
        <v>1950</v>
      </c>
      <c r="E43">
        <f t="shared" si="3"/>
        <v>4463</v>
      </c>
      <c r="F43">
        <f t="shared" si="4"/>
        <v>8926</v>
      </c>
      <c r="G43">
        <f t="shared" si="5"/>
        <v>4463</v>
      </c>
      <c r="H43">
        <f t="shared" si="6"/>
        <v>1115</v>
      </c>
      <c r="I43">
        <v>100</v>
      </c>
      <c r="J43">
        <v>100</v>
      </c>
      <c r="K43">
        <v>100</v>
      </c>
    </row>
    <row r="44" spans="1:11" x14ac:dyDescent="0.15">
      <c r="A44">
        <v>39</v>
      </c>
      <c r="B44">
        <f t="shared" si="0"/>
        <v>4696</v>
      </c>
      <c r="C44">
        <f t="shared" si="1"/>
        <v>2000</v>
      </c>
      <c r="D44">
        <f t="shared" si="2"/>
        <v>2000</v>
      </c>
      <c r="E44">
        <f t="shared" si="3"/>
        <v>4696</v>
      </c>
      <c r="F44">
        <f t="shared" si="4"/>
        <v>9392</v>
      </c>
      <c r="G44">
        <f t="shared" si="5"/>
        <v>4696</v>
      </c>
      <c r="H44">
        <f t="shared" si="6"/>
        <v>1174</v>
      </c>
      <c r="I44">
        <v>100</v>
      </c>
      <c r="J44">
        <v>100</v>
      </c>
      <c r="K44">
        <v>100</v>
      </c>
    </row>
    <row r="45" spans="1:11" x14ac:dyDescent="0.15">
      <c r="A45">
        <v>40</v>
      </c>
      <c r="B45">
        <f t="shared" si="0"/>
        <v>4935</v>
      </c>
      <c r="C45">
        <f t="shared" si="1"/>
        <v>2050</v>
      </c>
      <c r="D45">
        <f t="shared" si="2"/>
        <v>2050</v>
      </c>
      <c r="E45">
        <f t="shared" si="3"/>
        <v>4935</v>
      </c>
      <c r="F45">
        <f t="shared" si="4"/>
        <v>9870</v>
      </c>
      <c r="G45">
        <f t="shared" si="5"/>
        <v>4935</v>
      </c>
      <c r="H45">
        <f t="shared" si="6"/>
        <v>1233</v>
      </c>
      <c r="I45">
        <v>100</v>
      </c>
      <c r="J45">
        <v>100</v>
      </c>
      <c r="K45">
        <v>100</v>
      </c>
    </row>
    <row r="46" spans="1:11" x14ac:dyDescent="0.15">
      <c r="A46">
        <v>41</v>
      </c>
      <c r="B46">
        <f t="shared" si="0"/>
        <v>5180</v>
      </c>
      <c r="C46">
        <f t="shared" si="1"/>
        <v>2100</v>
      </c>
      <c r="D46">
        <f t="shared" si="2"/>
        <v>2100</v>
      </c>
      <c r="E46">
        <f t="shared" si="3"/>
        <v>5180</v>
      </c>
      <c r="F46">
        <f t="shared" si="4"/>
        <v>10360</v>
      </c>
      <c r="G46">
        <f t="shared" si="5"/>
        <v>5180</v>
      </c>
      <c r="H46">
        <f t="shared" si="6"/>
        <v>1295</v>
      </c>
      <c r="I46">
        <v>100</v>
      </c>
      <c r="J46">
        <v>100</v>
      </c>
      <c r="K46">
        <v>100</v>
      </c>
    </row>
    <row r="47" spans="1:11" x14ac:dyDescent="0.15">
      <c r="A47">
        <v>42</v>
      </c>
      <c r="B47">
        <f t="shared" si="0"/>
        <v>5431</v>
      </c>
      <c r="C47">
        <f t="shared" si="1"/>
        <v>2150</v>
      </c>
      <c r="D47">
        <f t="shared" si="2"/>
        <v>2150</v>
      </c>
      <c r="E47">
        <f t="shared" si="3"/>
        <v>5431</v>
      </c>
      <c r="F47">
        <f t="shared" si="4"/>
        <v>10862</v>
      </c>
      <c r="G47">
        <f t="shared" si="5"/>
        <v>5431</v>
      </c>
      <c r="H47">
        <f t="shared" si="6"/>
        <v>1357</v>
      </c>
      <c r="I47">
        <v>100</v>
      </c>
      <c r="J47">
        <v>100</v>
      </c>
      <c r="K47">
        <v>100</v>
      </c>
    </row>
    <row r="48" spans="1:11" x14ac:dyDescent="0.15">
      <c r="A48">
        <v>43</v>
      </c>
      <c r="B48">
        <f t="shared" si="0"/>
        <v>5688</v>
      </c>
      <c r="C48">
        <f t="shared" si="1"/>
        <v>2200</v>
      </c>
      <c r="D48">
        <f t="shared" si="2"/>
        <v>2200</v>
      </c>
      <c r="E48">
        <f t="shared" si="3"/>
        <v>5688</v>
      </c>
      <c r="F48">
        <f t="shared" si="4"/>
        <v>11376</v>
      </c>
      <c r="G48">
        <f t="shared" si="5"/>
        <v>5688</v>
      </c>
      <c r="H48">
        <f t="shared" si="6"/>
        <v>1422</v>
      </c>
      <c r="I48">
        <v>100</v>
      </c>
      <c r="J48">
        <v>100</v>
      </c>
      <c r="K48">
        <v>100</v>
      </c>
    </row>
    <row r="49" spans="1:11" x14ac:dyDescent="0.15">
      <c r="A49">
        <v>44</v>
      </c>
      <c r="B49">
        <f t="shared" si="0"/>
        <v>5951</v>
      </c>
      <c r="C49">
        <f t="shared" si="1"/>
        <v>2250</v>
      </c>
      <c r="D49">
        <f t="shared" si="2"/>
        <v>2250</v>
      </c>
      <c r="E49">
        <f t="shared" si="3"/>
        <v>5951</v>
      </c>
      <c r="F49">
        <f t="shared" si="4"/>
        <v>11902</v>
      </c>
      <c r="G49">
        <f t="shared" si="5"/>
        <v>5951</v>
      </c>
      <c r="H49">
        <f t="shared" si="6"/>
        <v>1487</v>
      </c>
      <c r="I49">
        <v>100</v>
      </c>
      <c r="J49">
        <v>100</v>
      </c>
      <c r="K49">
        <v>100</v>
      </c>
    </row>
    <row r="50" spans="1:11" x14ac:dyDescent="0.15">
      <c r="A50">
        <v>45</v>
      </c>
      <c r="B50">
        <f t="shared" si="0"/>
        <v>6220</v>
      </c>
      <c r="C50">
        <f t="shared" si="1"/>
        <v>2300</v>
      </c>
      <c r="D50">
        <f t="shared" si="2"/>
        <v>2300</v>
      </c>
      <c r="E50">
        <f t="shared" si="3"/>
        <v>6220</v>
      </c>
      <c r="F50">
        <f t="shared" si="4"/>
        <v>12440</v>
      </c>
      <c r="G50">
        <f t="shared" si="5"/>
        <v>6220</v>
      </c>
      <c r="H50">
        <f t="shared" si="6"/>
        <v>1555</v>
      </c>
      <c r="I50">
        <v>100</v>
      </c>
      <c r="J50">
        <v>100</v>
      </c>
      <c r="K50">
        <v>100</v>
      </c>
    </row>
    <row r="51" spans="1:11" x14ac:dyDescent="0.15">
      <c r="A51">
        <v>46</v>
      </c>
      <c r="B51">
        <f t="shared" si="0"/>
        <v>6495</v>
      </c>
      <c r="C51">
        <f t="shared" si="1"/>
        <v>2350</v>
      </c>
      <c r="D51">
        <f t="shared" si="2"/>
        <v>2350</v>
      </c>
      <c r="E51">
        <f t="shared" si="3"/>
        <v>6495</v>
      </c>
      <c r="F51">
        <f t="shared" si="4"/>
        <v>12990</v>
      </c>
      <c r="G51">
        <f t="shared" si="5"/>
        <v>6495</v>
      </c>
      <c r="H51">
        <f t="shared" si="6"/>
        <v>1623</v>
      </c>
      <c r="I51">
        <v>100</v>
      </c>
      <c r="J51">
        <v>100</v>
      </c>
      <c r="K51">
        <v>100</v>
      </c>
    </row>
    <row r="52" spans="1:11" x14ac:dyDescent="0.15">
      <c r="A52">
        <v>47</v>
      </c>
      <c r="B52">
        <f t="shared" si="0"/>
        <v>6776</v>
      </c>
      <c r="C52">
        <f t="shared" si="1"/>
        <v>2400</v>
      </c>
      <c r="D52">
        <f t="shared" si="2"/>
        <v>2400</v>
      </c>
      <c r="E52">
        <f t="shared" si="3"/>
        <v>6776</v>
      </c>
      <c r="F52">
        <f t="shared" si="4"/>
        <v>13552</v>
      </c>
      <c r="G52">
        <f t="shared" si="5"/>
        <v>6776</v>
      </c>
      <c r="H52">
        <f t="shared" si="6"/>
        <v>1694</v>
      </c>
      <c r="I52">
        <v>100</v>
      </c>
      <c r="J52">
        <v>100</v>
      </c>
      <c r="K52">
        <v>100</v>
      </c>
    </row>
    <row r="53" spans="1:11" x14ac:dyDescent="0.15">
      <c r="A53">
        <v>48</v>
      </c>
      <c r="B53">
        <f t="shared" si="0"/>
        <v>7063</v>
      </c>
      <c r="C53">
        <f t="shared" si="1"/>
        <v>2450</v>
      </c>
      <c r="D53">
        <f t="shared" si="2"/>
        <v>2450</v>
      </c>
      <c r="E53">
        <f t="shared" si="3"/>
        <v>7063</v>
      </c>
      <c r="F53">
        <f t="shared" si="4"/>
        <v>14126</v>
      </c>
      <c r="G53">
        <f t="shared" si="5"/>
        <v>7063</v>
      </c>
      <c r="H53">
        <f t="shared" si="6"/>
        <v>1765</v>
      </c>
      <c r="I53">
        <v>100</v>
      </c>
      <c r="J53">
        <v>100</v>
      </c>
      <c r="K53">
        <v>100</v>
      </c>
    </row>
    <row r="54" spans="1:11" x14ac:dyDescent="0.15">
      <c r="A54">
        <v>49</v>
      </c>
      <c r="B54">
        <f t="shared" si="0"/>
        <v>7356</v>
      </c>
      <c r="C54">
        <f t="shared" si="1"/>
        <v>2500</v>
      </c>
      <c r="D54">
        <f t="shared" si="2"/>
        <v>2500</v>
      </c>
      <c r="E54">
        <f t="shared" si="3"/>
        <v>7356</v>
      </c>
      <c r="F54">
        <f t="shared" si="4"/>
        <v>14712</v>
      </c>
      <c r="G54">
        <f t="shared" si="5"/>
        <v>7356</v>
      </c>
      <c r="H54">
        <f t="shared" si="6"/>
        <v>1839</v>
      </c>
      <c r="I54">
        <v>100</v>
      </c>
      <c r="J54">
        <v>100</v>
      </c>
      <c r="K54">
        <v>100</v>
      </c>
    </row>
    <row r="55" spans="1:11" x14ac:dyDescent="0.15">
      <c r="A55">
        <v>50</v>
      </c>
      <c r="B55">
        <f t="shared" si="0"/>
        <v>7655</v>
      </c>
      <c r="C55">
        <f t="shared" si="1"/>
        <v>2550</v>
      </c>
      <c r="D55">
        <f t="shared" si="2"/>
        <v>2550</v>
      </c>
      <c r="E55">
        <f t="shared" si="3"/>
        <v>7655</v>
      </c>
      <c r="F55">
        <f t="shared" si="4"/>
        <v>15310</v>
      </c>
      <c r="G55">
        <f t="shared" si="5"/>
        <v>7655</v>
      </c>
      <c r="H55">
        <f t="shared" si="6"/>
        <v>1913</v>
      </c>
      <c r="I55">
        <v>100</v>
      </c>
      <c r="J55">
        <v>100</v>
      </c>
      <c r="K55">
        <v>100</v>
      </c>
    </row>
    <row r="56" spans="1:11" x14ac:dyDescent="0.15">
      <c r="A56">
        <v>51</v>
      </c>
      <c r="B56">
        <f t="shared" si="0"/>
        <v>7960</v>
      </c>
      <c r="C56">
        <f t="shared" si="1"/>
        <v>2600</v>
      </c>
      <c r="D56">
        <f t="shared" si="2"/>
        <v>2600</v>
      </c>
      <c r="E56">
        <f t="shared" si="3"/>
        <v>7960</v>
      </c>
      <c r="F56">
        <f t="shared" si="4"/>
        <v>15920</v>
      </c>
      <c r="G56">
        <f t="shared" si="5"/>
        <v>7960</v>
      </c>
      <c r="H56">
        <f t="shared" si="6"/>
        <v>1990</v>
      </c>
      <c r="I56">
        <v>100</v>
      </c>
      <c r="J56">
        <v>100</v>
      </c>
      <c r="K56">
        <v>100</v>
      </c>
    </row>
    <row r="57" spans="1:11" x14ac:dyDescent="0.15">
      <c r="A57">
        <v>52</v>
      </c>
      <c r="B57">
        <f t="shared" si="0"/>
        <v>8271</v>
      </c>
      <c r="C57">
        <f t="shared" si="1"/>
        <v>2650</v>
      </c>
      <c r="D57">
        <f t="shared" si="2"/>
        <v>2650</v>
      </c>
      <c r="E57">
        <f t="shared" si="3"/>
        <v>8271</v>
      </c>
      <c r="F57">
        <f t="shared" si="4"/>
        <v>16542</v>
      </c>
      <c r="G57">
        <f t="shared" si="5"/>
        <v>8271</v>
      </c>
      <c r="H57">
        <f t="shared" si="6"/>
        <v>2067</v>
      </c>
      <c r="I57">
        <v>100</v>
      </c>
      <c r="J57">
        <v>100</v>
      </c>
      <c r="K57">
        <v>100</v>
      </c>
    </row>
    <row r="58" spans="1:11" x14ac:dyDescent="0.15">
      <c r="A58">
        <v>53</v>
      </c>
      <c r="B58">
        <f t="shared" si="0"/>
        <v>8588</v>
      </c>
      <c r="C58">
        <f t="shared" si="1"/>
        <v>2700</v>
      </c>
      <c r="D58">
        <f t="shared" si="2"/>
        <v>2700</v>
      </c>
      <c r="E58">
        <f t="shared" si="3"/>
        <v>8588</v>
      </c>
      <c r="F58">
        <f t="shared" si="4"/>
        <v>17176</v>
      </c>
      <c r="G58">
        <f t="shared" si="5"/>
        <v>8588</v>
      </c>
      <c r="H58">
        <f t="shared" si="6"/>
        <v>2147</v>
      </c>
      <c r="I58">
        <v>100</v>
      </c>
      <c r="J58">
        <v>100</v>
      </c>
      <c r="K58">
        <v>100</v>
      </c>
    </row>
    <row r="59" spans="1:11" x14ac:dyDescent="0.15">
      <c r="A59">
        <v>54</v>
      </c>
      <c r="B59">
        <f t="shared" si="0"/>
        <v>8911</v>
      </c>
      <c r="C59">
        <f t="shared" si="1"/>
        <v>2750</v>
      </c>
      <c r="D59">
        <f t="shared" si="2"/>
        <v>2750</v>
      </c>
      <c r="E59">
        <f t="shared" si="3"/>
        <v>8911</v>
      </c>
      <c r="F59">
        <f t="shared" si="4"/>
        <v>17822</v>
      </c>
      <c r="G59">
        <f t="shared" si="5"/>
        <v>8911</v>
      </c>
      <c r="H59">
        <f t="shared" si="6"/>
        <v>2227</v>
      </c>
      <c r="I59">
        <v>100</v>
      </c>
      <c r="J59">
        <v>100</v>
      </c>
      <c r="K59">
        <v>100</v>
      </c>
    </row>
    <row r="60" spans="1:11" x14ac:dyDescent="0.15">
      <c r="A60">
        <v>55</v>
      </c>
      <c r="B60">
        <f t="shared" si="0"/>
        <v>9240</v>
      </c>
      <c r="C60">
        <f t="shared" si="1"/>
        <v>2800</v>
      </c>
      <c r="D60">
        <f t="shared" si="2"/>
        <v>2800</v>
      </c>
      <c r="E60">
        <f t="shared" si="3"/>
        <v>9240</v>
      </c>
      <c r="F60">
        <f t="shared" si="4"/>
        <v>18480</v>
      </c>
      <c r="G60">
        <f t="shared" si="5"/>
        <v>9240</v>
      </c>
      <c r="H60">
        <f t="shared" si="6"/>
        <v>2310</v>
      </c>
      <c r="I60">
        <v>100</v>
      </c>
      <c r="J60">
        <v>100</v>
      </c>
      <c r="K60">
        <v>100</v>
      </c>
    </row>
    <row r="61" spans="1:11" x14ac:dyDescent="0.15">
      <c r="A61">
        <v>56</v>
      </c>
      <c r="B61">
        <f t="shared" si="0"/>
        <v>9575</v>
      </c>
      <c r="C61">
        <f t="shared" si="1"/>
        <v>2850</v>
      </c>
      <c r="D61">
        <f t="shared" si="2"/>
        <v>2850</v>
      </c>
      <c r="E61">
        <f t="shared" si="3"/>
        <v>9575</v>
      </c>
      <c r="F61">
        <f t="shared" si="4"/>
        <v>19150</v>
      </c>
      <c r="G61">
        <f t="shared" si="5"/>
        <v>9575</v>
      </c>
      <c r="H61">
        <f t="shared" si="6"/>
        <v>2393</v>
      </c>
      <c r="I61">
        <v>100</v>
      </c>
      <c r="J61">
        <v>100</v>
      </c>
      <c r="K61">
        <v>100</v>
      </c>
    </row>
    <row r="62" spans="1:11" x14ac:dyDescent="0.15">
      <c r="A62">
        <v>57</v>
      </c>
      <c r="B62">
        <f t="shared" si="0"/>
        <v>9916</v>
      </c>
      <c r="C62">
        <f t="shared" si="1"/>
        <v>2900</v>
      </c>
      <c r="D62">
        <f t="shared" si="2"/>
        <v>2900</v>
      </c>
      <c r="E62">
        <f t="shared" si="3"/>
        <v>9916</v>
      </c>
      <c r="F62">
        <f t="shared" si="4"/>
        <v>19832</v>
      </c>
      <c r="G62">
        <f t="shared" si="5"/>
        <v>9916</v>
      </c>
      <c r="H62">
        <f t="shared" si="6"/>
        <v>2479</v>
      </c>
      <c r="I62">
        <v>100</v>
      </c>
      <c r="J62">
        <v>100</v>
      </c>
      <c r="K62">
        <v>100</v>
      </c>
    </row>
    <row r="63" spans="1:11" x14ac:dyDescent="0.15">
      <c r="A63">
        <v>58</v>
      </c>
      <c r="B63">
        <f t="shared" si="0"/>
        <v>10263</v>
      </c>
      <c r="C63">
        <f t="shared" si="1"/>
        <v>2950</v>
      </c>
      <c r="D63">
        <f t="shared" si="2"/>
        <v>2950</v>
      </c>
      <c r="E63">
        <f t="shared" si="3"/>
        <v>10263</v>
      </c>
      <c r="F63">
        <f t="shared" si="4"/>
        <v>20526</v>
      </c>
      <c r="G63">
        <f t="shared" si="5"/>
        <v>10263</v>
      </c>
      <c r="H63">
        <f t="shared" si="6"/>
        <v>2565</v>
      </c>
      <c r="I63">
        <v>100</v>
      </c>
      <c r="J63">
        <v>100</v>
      </c>
      <c r="K63">
        <v>100</v>
      </c>
    </row>
    <row r="64" spans="1:11" x14ac:dyDescent="0.15">
      <c r="A64">
        <v>59</v>
      </c>
      <c r="B64">
        <f t="shared" si="0"/>
        <v>10616</v>
      </c>
      <c r="C64">
        <f t="shared" si="1"/>
        <v>3000</v>
      </c>
      <c r="D64">
        <f t="shared" si="2"/>
        <v>3000</v>
      </c>
      <c r="E64">
        <f t="shared" si="3"/>
        <v>10616</v>
      </c>
      <c r="F64">
        <f t="shared" si="4"/>
        <v>21232</v>
      </c>
      <c r="G64">
        <f t="shared" si="5"/>
        <v>10616</v>
      </c>
      <c r="H64">
        <f t="shared" si="6"/>
        <v>2654</v>
      </c>
      <c r="I64">
        <v>100</v>
      </c>
      <c r="J64">
        <v>100</v>
      </c>
      <c r="K64">
        <v>100</v>
      </c>
    </row>
    <row r="65" spans="1:11" x14ac:dyDescent="0.15">
      <c r="A65">
        <v>60</v>
      </c>
      <c r="B65">
        <f t="shared" si="0"/>
        <v>10975</v>
      </c>
      <c r="C65">
        <f t="shared" si="1"/>
        <v>3050</v>
      </c>
      <c r="D65">
        <f t="shared" si="2"/>
        <v>3050</v>
      </c>
      <c r="E65">
        <f t="shared" si="3"/>
        <v>10975</v>
      </c>
      <c r="F65">
        <f t="shared" si="4"/>
        <v>21950</v>
      </c>
      <c r="G65">
        <f t="shared" si="5"/>
        <v>10975</v>
      </c>
      <c r="H65">
        <f t="shared" si="6"/>
        <v>2743</v>
      </c>
      <c r="I65">
        <v>100</v>
      </c>
      <c r="J65">
        <v>100</v>
      </c>
      <c r="K65">
        <v>100</v>
      </c>
    </row>
    <row r="66" spans="1:11" x14ac:dyDescent="0.15">
      <c r="A66">
        <v>61</v>
      </c>
      <c r="B66">
        <f t="shared" si="0"/>
        <v>11340</v>
      </c>
      <c r="C66">
        <f t="shared" si="1"/>
        <v>3100</v>
      </c>
      <c r="D66">
        <f t="shared" si="2"/>
        <v>3100</v>
      </c>
      <c r="E66">
        <f t="shared" si="3"/>
        <v>11340</v>
      </c>
      <c r="F66">
        <f t="shared" si="4"/>
        <v>22680</v>
      </c>
      <c r="G66">
        <f t="shared" si="5"/>
        <v>11340</v>
      </c>
      <c r="H66">
        <f t="shared" si="6"/>
        <v>2835</v>
      </c>
      <c r="I66">
        <v>100</v>
      </c>
      <c r="J66">
        <v>100</v>
      </c>
      <c r="K66">
        <v>100</v>
      </c>
    </row>
    <row r="67" spans="1:11" x14ac:dyDescent="0.15">
      <c r="A67">
        <v>62</v>
      </c>
      <c r="B67">
        <f t="shared" si="0"/>
        <v>11711</v>
      </c>
      <c r="C67">
        <f t="shared" si="1"/>
        <v>3150</v>
      </c>
      <c r="D67">
        <f t="shared" si="2"/>
        <v>3150</v>
      </c>
      <c r="E67">
        <f t="shared" si="3"/>
        <v>11711</v>
      </c>
      <c r="F67">
        <f t="shared" si="4"/>
        <v>23422</v>
      </c>
      <c r="G67">
        <f t="shared" si="5"/>
        <v>11711</v>
      </c>
      <c r="H67">
        <f t="shared" si="6"/>
        <v>2927</v>
      </c>
      <c r="I67">
        <v>100</v>
      </c>
      <c r="J67">
        <v>100</v>
      </c>
      <c r="K67">
        <v>100</v>
      </c>
    </row>
    <row r="68" spans="1:11" x14ac:dyDescent="0.15">
      <c r="A68">
        <v>63</v>
      </c>
      <c r="B68">
        <f t="shared" si="0"/>
        <v>12088</v>
      </c>
      <c r="C68">
        <f t="shared" si="1"/>
        <v>3200</v>
      </c>
      <c r="D68">
        <f t="shared" si="2"/>
        <v>3200</v>
      </c>
      <c r="E68">
        <f t="shared" si="3"/>
        <v>12088</v>
      </c>
      <c r="F68">
        <f t="shared" si="4"/>
        <v>24176</v>
      </c>
      <c r="G68">
        <f t="shared" si="5"/>
        <v>12088</v>
      </c>
      <c r="H68">
        <f t="shared" si="6"/>
        <v>3022</v>
      </c>
      <c r="I68">
        <v>100</v>
      </c>
      <c r="J68">
        <v>100</v>
      </c>
      <c r="K68">
        <v>100</v>
      </c>
    </row>
    <row r="69" spans="1:11" x14ac:dyDescent="0.15">
      <c r="A69">
        <v>64</v>
      </c>
      <c r="B69">
        <f t="shared" si="0"/>
        <v>12471</v>
      </c>
      <c r="C69">
        <f t="shared" si="1"/>
        <v>3250</v>
      </c>
      <c r="D69">
        <f t="shared" si="2"/>
        <v>3250</v>
      </c>
      <c r="E69">
        <f t="shared" si="3"/>
        <v>12471</v>
      </c>
      <c r="F69">
        <f t="shared" si="4"/>
        <v>24942</v>
      </c>
      <c r="G69">
        <f t="shared" si="5"/>
        <v>12471</v>
      </c>
      <c r="H69">
        <f t="shared" si="6"/>
        <v>3117</v>
      </c>
      <c r="I69">
        <v>100</v>
      </c>
      <c r="J69">
        <v>100</v>
      </c>
      <c r="K69">
        <v>100</v>
      </c>
    </row>
    <row r="70" spans="1:11" x14ac:dyDescent="0.15">
      <c r="A70">
        <v>65</v>
      </c>
      <c r="B70">
        <f t="shared" si="0"/>
        <v>12860</v>
      </c>
      <c r="C70">
        <f t="shared" si="1"/>
        <v>3300</v>
      </c>
      <c r="D70">
        <f t="shared" si="2"/>
        <v>3300</v>
      </c>
      <c r="E70">
        <f t="shared" si="3"/>
        <v>12860</v>
      </c>
      <c r="F70">
        <f t="shared" si="4"/>
        <v>25720</v>
      </c>
      <c r="G70">
        <f t="shared" si="5"/>
        <v>12860</v>
      </c>
      <c r="H70">
        <f t="shared" si="6"/>
        <v>3215</v>
      </c>
      <c r="I70">
        <v>100</v>
      </c>
      <c r="J70">
        <v>100</v>
      </c>
      <c r="K70">
        <v>100</v>
      </c>
    </row>
    <row r="71" spans="1:11" x14ac:dyDescent="0.15">
      <c r="A71">
        <v>66</v>
      </c>
      <c r="B71">
        <f t="shared" ref="B71:B105" si="7">E71</f>
        <v>13255</v>
      </c>
      <c r="C71">
        <f t="shared" ref="C71:C75" si="8">(A71+1)*50</f>
        <v>3350</v>
      </c>
      <c r="D71">
        <f t="shared" ref="D71:D75" si="9">(A71+1)*50</f>
        <v>3350</v>
      </c>
      <c r="E71">
        <f t="shared" ref="E71:E105" si="10">3*A71^2+2*A71+55</f>
        <v>13255</v>
      </c>
      <c r="F71">
        <f t="shared" ref="F71:F105" si="11">E71*2</f>
        <v>26510</v>
      </c>
      <c r="G71">
        <f t="shared" ref="G71:G105" si="12">E71</f>
        <v>13255</v>
      </c>
      <c r="H71">
        <f t="shared" ref="H71:H105" si="13">INT(B71/4)</f>
        <v>3313</v>
      </c>
      <c r="I71">
        <v>100</v>
      </c>
      <c r="J71">
        <v>100</v>
      </c>
      <c r="K71">
        <v>100</v>
      </c>
    </row>
    <row r="72" spans="1:11" x14ac:dyDescent="0.15">
      <c r="A72">
        <v>67</v>
      </c>
      <c r="B72">
        <f t="shared" si="7"/>
        <v>13656</v>
      </c>
      <c r="C72">
        <f t="shared" si="8"/>
        <v>3400</v>
      </c>
      <c r="D72">
        <f t="shared" si="9"/>
        <v>3400</v>
      </c>
      <c r="E72">
        <f t="shared" si="10"/>
        <v>13656</v>
      </c>
      <c r="F72">
        <f t="shared" si="11"/>
        <v>27312</v>
      </c>
      <c r="G72">
        <f t="shared" si="12"/>
        <v>13656</v>
      </c>
      <c r="H72">
        <f t="shared" si="13"/>
        <v>3414</v>
      </c>
      <c r="I72">
        <v>100</v>
      </c>
      <c r="J72">
        <v>100</v>
      </c>
      <c r="K72">
        <v>100</v>
      </c>
    </row>
    <row r="73" spans="1:11" x14ac:dyDescent="0.15">
      <c r="A73">
        <v>68</v>
      </c>
      <c r="B73">
        <f t="shared" si="7"/>
        <v>14063</v>
      </c>
      <c r="C73">
        <f t="shared" si="8"/>
        <v>3450</v>
      </c>
      <c r="D73">
        <f t="shared" si="9"/>
        <v>3450</v>
      </c>
      <c r="E73">
        <f t="shared" si="10"/>
        <v>14063</v>
      </c>
      <c r="F73">
        <f t="shared" si="11"/>
        <v>28126</v>
      </c>
      <c r="G73">
        <f t="shared" si="12"/>
        <v>14063</v>
      </c>
      <c r="H73">
        <f t="shared" si="13"/>
        <v>3515</v>
      </c>
      <c r="I73">
        <v>100</v>
      </c>
      <c r="J73">
        <v>100</v>
      </c>
      <c r="K73">
        <v>100</v>
      </c>
    </row>
    <row r="74" spans="1:11" x14ac:dyDescent="0.15">
      <c r="A74">
        <v>69</v>
      </c>
      <c r="B74">
        <f t="shared" si="7"/>
        <v>14476</v>
      </c>
      <c r="C74">
        <f t="shared" si="8"/>
        <v>3500</v>
      </c>
      <c r="D74">
        <f t="shared" si="9"/>
        <v>3500</v>
      </c>
      <c r="E74">
        <f t="shared" si="10"/>
        <v>14476</v>
      </c>
      <c r="F74">
        <f t="shared" si="11"/>
        <v>28952</v>
      </c>
      <c r="G74">
        <f t="shared" si="12"/>
        <v>14476</v>
      </c>
      <c r="H74">
        <f t="shared" si="13"/>
        <v>3619</v>
      </c>
      <c r="I74">
        <v>100</v>
      </c>
      <c r="J74">
        <v>100</v>
      </c>
      <c r="K74">
        <v>100</v>
      </c>
    </row>
    <row r="75" spans="1:11" x14ac:dyDescent="0.15">
      <c r="A75">
        <v>70</v>
      </c>
      <c r="B75">
        <f t="shared" si="7"/>
        <v>14895</v>
      </c>
      <c r="C75">
        <f t="shared" si="8"/>
        <v>3550</v>
      </c>
      <c r="D75">
        <f t="shared" si="9"/>
        <v>3550</v>
      </c>
      <c r="E75">
        <f t="shared" si="10"/>
        <v>14895</v>
      </c>
      <c r="F75">
        <f t="shared" si="11"/>
        <v>29790</v>
      </c>
      <c r="G75">
        <f t="shared" si="12"/>
        <v>14895</v>
      </c>
      <c r="H75">
        <f t="shared" si="13"/>
        <v>3723</v>
      </c>
      <c r="I75">
        <v>100</v>
      </c>
      <c r="J75">
        <v>100</v>
      </c>
      <c r="K75">
        <v>100</v>
      </c>
    </row>
    <row r="76" spans="1:11" x14ac:dyDescent="0.15">
      <c r="A76">
        <v>71</v>
      </c>
      <c r="B76">
        <f t="shared" si="7"/>
        <v>15320</v>
      </c>
      <c r="C76">
        <v>3610</v>
      </c>
      <c r="D76">
        <f>C76</f>
        <v>3610</v>
      </c>
      <c r="E76">
        <f t="shared" si="10"/>
        <v>15320</v>
      </c>
      <c r="F76">
        <f t="shared" si="11"/>
        <v>30640</v>
      </c>
      <c r="G76">
        <f t="shared" si="12"/>
        <v>15320</v>
      </c>
      <c r="H76">
        <f t="shared" si="13"/>
        <v>3830</v>
      </c>
      <c r="I76">
        <v>100</v>
      </c>
      <c r="J76">
        <v>100</v>
      </c>
      <c r="K76">
        <v>100</v>
      </c>
    </row>
    <row r="77" spans="1:11" x14ac:dyDescent="0.15">
      <c r="A77">
        <v>72</v>
      </c>
      <c r="B77">
        <f t="shared" si="7"/>
        <v>15751</v>
      </c>
      <c r="C77">
        <v>3680</v>
      </c>
      <c r="D77">
        <f t="shared" ref="D77:D105" si="14">C77</f>
        <v>3680</v>
      </c>
      <c r="E77">
        <f t="shared" si="10"/>
        <v>15751</v>
      </c>
      <c r="F77">
        <f t="shared" si="11"/>
        <v>31502</v>
      </c>
      <c r="G77">
        <f t="shared" si="12"/>
        <v>15751</v>
      </c>
      <c r="H77">
        <f t="shared" si="13"/>
        <v>3937</v>
      </c>
      <c r="I77">
        <v>100</v>
      </c>
      <c r="J77">
        <v>100</v>
      </c>
      <c r="K77">
        <v>100</v>
      </c>
    </row>
    <row r="78" spans="1:11" x14ac:dyDescent="0.15">
      <c r="A78">
        <v>73</v>
      </c>
      <c r="B78">
        <f t="shared" si="7"/>
        <v>16188</v>
      </c>
      <c r="C78">
        <v>3760</v>
      </c>
      <c r="D78">
        <f t="shared" si="14"/>
        <v>3760</v>
      </c>
      <c r="E78">
        <f t="shared" si="10"/>
        <v>16188</v>
      </c>
      <c r="F78">
        <f t="shared" si="11"/>
        <v>32376</v>
      </c>
      <c r="G78">
        <f t="shared" si="12"/>
        <v>16188</v>
      </c>
      <c r="H78">
        <f t="shared" si="13"/>
        <v>4047</v>
      </c>
      <c r="I78">
        <v>100</v>
      </c>
      <c r="J78">
        <v>100</v>
      </c>
      <c r="K78">
        <v>100</v>
      </c>
    </row>
    <row r="79" spans="1:11" x14ac:dyDescent="0.15">
      <c r="A79">
        <v>74</v>
      </c>
      <c r="B79">
        <f t="shared" si="7"/>
        <v>16631</v>
      </c>
      <c r="C79">
        <v>3850</v>
      </c>
      <c r="D79">
        <f t="shared" si="14"/>
        <v>3850</v>
      </c>
      <c r="E79">
        <f t="shared" si="10"/>
        <v>16631</v>
      </c>
      <c r="F79">
        <f t="shared" si="11"/>
        <v>33262</v>
      </c>
      <c r="G79">
        <f t="shared" si="12"/>
        <v>16631</v>
      </c>
      <c r="H79">
        <f t="shared" si="13"/>
        <v>4157</v>
      </c>
      <c r="I79">
        <v>100</v>
      </c>
      <c r="J79">
        <v>100</v>
      </c>
      <c r="K79">
        <v>100</v>
      </c>
    </row>
    <row r="80" spans="1:11" x14ac:dyDescent="0.15">
      <c r="A80">
        <v>75</v>
      </c>
      <c r="B80">
        <f t="shared" si="7"/>
        <v>17080</v>
      </c>
      <c r="C80">
        <v>3950</v>
      </c>
      <c r="D80">
        <f t="shared" si="14"/>
        <v>3950</v>
      </c>
      <c r="E80">
        <f t="shared" si="10"/>
        <v>17080</v>
      </c>
      <c r="F80">
        <f t="shared" si="11"/>
        <v>34160</v>
      </c>
      <c r="G80">
        <f t="shared" si="12"/>
        <v>17080</v>
      </c>
      <c r="H80">
        <f t="shared" si="13"/>
        <v>4270</v>
      </c>
      <c r="I80">
        <v>100</v>
      </c>
      <c r="J80">
        <v>100</v>
      </c>
      <c r="K80">
        <v>100</v>
      </c>
    </row>
    <row r="81" spans="1:11" x14ac:dyDescent="0.15">
      <c r="A81">
        <v>76</v>
      </c>
      <c r="B81">
        <f t="shared" si="7"/>
        <v>17535</v>
      </c>
      <c r="C81">
        <v>4060</v>
      </c>
      <c r="D81">
        <f t="shared" si="14"/>
        <v>4060</v>
      </c>
      <c r="E81">
        <f t="shared" si="10"/>
        <v>17535</v>
      </c>
      <c r="F81">
        <f t="shared" si="11"/>
        <v>35070</v>
      </c>
      <c r="G81">
        <f t="shared" si="12"/>
        <v>17535</v>
      </c>
      <c r="H81">
        <f t="shared" si="13"/>
        <v>4383</v>
      </c>
      <c r="I81">
        <v>100</v>
      </c>
      <c r="J81">
        <v>100</v>
      </c>
      <c r="K81">
        <v>100</v>
      </c>
    </row>
    <row r="82" spans="1:11" x14ac:dyDescent="0.15">
      <c r="A82">
        <v>77</v>
      </c>
      <c r="B82">
        <f t="shared" si="7"/>
        <v>17996</v>
      </c>
      <c r="C82">
        <v>4180</v>
      </c>
      <c r="D82">
        <f t="shared" si="14"/>
        <v>4180</v>
      </c>
      <c r="E82">
        <f t="shared" si="10"/>
        <v>17996</v>
      </c>
      <c r="F82">
        <f t="shared" si="11"/>
        <v>35992</v>
      </c>
      <c r="G82">
        <f t="shared" si="12"/>
        <v>17996</v>
      </c>
      <c r="H82">
        <f t="shared" si="13"/>
        <v>4499</v>
      </c>
      <c r="I82">
        <v>100</v>
      </c>
      <c r="J82">
        <v>100</v>
      </c>
      <c r="K82">
        <v>100</v>
      </c>
    </row>
    <row r="83" spans="1:11" x14ac:dyDescent="0.15">
      <c r="A83">
        <v>78</v>
      </c>
      <c r="B83">
        <f t="shared" si="7"/>
        <v>18463</v>
      </c>
      <c r="C83">
        <v>4310</v>
      </c>
      <c r="D83">
        <f t="shared" si="14"/>
        <v>4310</v>
      </c>
      <c r="E83">
        <f t="shared" si="10"/>
        <v>18463</v>
      </c>
      <c r="F83">
        <f t="shared" si="11"/>
        <v>36926</v>
      </c>
      <c r="G83">
        <f t="shared" si="12"/>
        <v>18463</v>
      </c>
      <c r="H83">
        <f t="shared" si="13"/>
        <v>4615</v>
      </c>
      <c r="I83">
        <v>100</v>
      </c>
      <c r="J83">
        <v>100</v>
      </c>
      <c r="K83">
        <v>100</v>
      </c>
    </row>
    <row r="84" spans="1:11" x14ac:dyDescent="0.15">
      <c r="A84">
        <v>79</v>
      </c>
      <c r="B84">
        <f t="shared" si="7"/>
        <v>18936</v>
      </c>
      <c r="C84">
        <v>4450</v>
      </c>
      <c r="D84">
        <f t="shared" si="14"/>
        <v>4450</v>
      </c>
      <c r="E84">
        <f t="shared" si="10"/>
        <v>18936</v>
      </c>
      <c r="F84">
        <f t="shared" si="11"/>
        <v>37872</v>
      </c>
      <c r="G84">
        <f t="shared" si="12"/>
        <v>18936</v>
      </c>
      <c r="H84">
        <f t="shared" si="13"/>
        <v>4734</v>
      </c>
      <c r="I84">
        <v>100</v>
      </c>
      <c r="J84">
        <v>100</v>
      </c>
      <c r="K84">
        <v>100</v>
      </c>
    </row>
    <row r="85" spans="1:11" x14ac:dyDescent="0.15">
      <c r="A85">
        <v>80</v>
      </c>
      <c r="B85">
        <f t="shared" si="7"/>
        <v>19415</v>
      </c>
      <c r="C85">
        <v>4600</v>
      </c>
      <c r="D85">
        <f t="shared" si="14"/>
        <v>4600</v>
      </c>
      <c r="E85">
        <f t="shared" si="10"/>
        <v>19415</v>
      </c>
      <c r="F85">
        <f t="shared" si="11"/>
        <v>38830</v>
      </c>
      <c r="G85">
        <f t="shared" si="12"/>
        <v>19415</v>
      </c>
      <c r="H85">
        <f t="shared" si="13"/>
        <v>4853</v>
      </c>
      <c r="I85">
        <v>100</v>
      </c>
      <c r="J85">
        <v>100</v>
      </c>
      <c r="K85">
        <v>100</v>
      </c>
    </row>
    <row r="86" spans="1:11" x14ac:dyDescent="0.15">
      <c r="A86">
        <v>81</v>
      </c>
      <c r="B86">
        <f t="shared" si="7"/>
        <v>19900</v>
      </c>
      <c r="C86">
        <v>4760</v>
      </c>
      <c r="D86">
        <f t="shared" si="14"/>
        <v>4760</v>
      </c>
      <c r="E86">
        <f t="shared" si="10"/>
        <v>19900</v>
      </c>
      <c r="F86">
        <f t="shared" si="11"/>
        <v>39800</v>
      </c>
      <c r="G86">
        <f t="shared" si="12"/>
        <v>19900</v>
      </c>
      <c r="H86">
        <f t="shared" si="13"/>
        <v>4975</v>
      </c>
      <c r="I86">
        <v>100</v>
      </c>
      <c r="J86">
        <v>100</v>
      </c>
      <c r="K86">
        <v>100</v>
      </c>
    </row>
    <row r="87" spans="1:11" x14ac:dyDescent="0.15">
      <c r="A87">
        <v>82</v>
      </c>
      <c r="B87">
        <f t="shared" si="7"/>
        <v>20391</v>
      </c>
      <c r="C87">
        <v>4930</v>
      </c>
      <c r="D87">
        <f t="shared" si="14"/>
        <v>4930</v>
      </c>
      <c r="E87">
        <f t="shared" si="10"/>
        <v>20391</v>
      </c>
      <c r="F87">
        <f t="shared" si="11"/>
        <v>40782</v>
      </c>
      <c r="G87">
        <f t="shared" si="12"/>
        <v>20391</v>
      </c>
      <c r="H87">
        <f t="shared" si="13"/>
        <v>5097</v>
      </c>
      <c r="I87">
        <v>100</v>
      </c>
      <c r="J87">
        <v>100</v>
      </c>
      <c r="K87">
        <v>100</v>
      </c>
    </row>
    <row r="88" spans="1:11" x14ac:dyDescent="0.15">
      <c r="A88">
        <v>83</v>
      </c>
      <c r="B88">
        <f t="shared" si="7"/>
        <v>20888</v>
      </c>
      <c r="C88">
        <v>5110</v>
      </c>
      <c r="D88">
        <f t="shared" si="14"/>
        <v>5110</v>
      </c>
      <c r="E88">
        <f t="shared" si="10"/>
        <v>20888</v>
      </c>
      <c r="F88">
        <f t="shared" si="11"/>
        <v>41776</v>
      </c>
      <c r="G88">
        <f t="shared" si="12"/>
        <v>20888</v>
      </c>
      <c r="H88">
        <f t="shared" si="13"/>
        <v>5222</v>
      </c>
      <c r="I88">
        <v>100</v>
      </c>
      <c r="J88">
        <v>100</v>
      </c>
      <c r="K88">
        <v>100</v>
      </c>
    </row>
    <row r="89" spans="1:11" x14ac:dyDescent="0.15">
      <c r="A89">
        <v>84</v>
      </c>
      <c r="B89">
        <f t="shared" si="7"/>
        <v>21391</v>
      </c>
      <c r="C89">
        <v>5300</v>
      </c>
      <c r="D89">
        <f t="shared" si="14"/>
        <v>5300</v>
      </c>
      <c r="E89">
        <f t="shared" si="10"/>
        <v>21391</v>
      </c>
      <c r="F89">
        <f t="shared" si="11"/>
        <v>42782</v>
      </c>
      <c r="G89">
        <f t="shared" si="12"/>
        <v>21391</v>
      </c>
      <c r="H89">
        <f t="shared" si="13"/>
        <v>5347</v>
      </c>
      <c r="I89">
        <v>100</v>
      </c>
      <c r="J89">
        <v>100</v>
      </c>
      <c r="K89">
        <v>100</v>
      </c>
    </row>
    <row r="90" spans="1:11" x14ac:dyDescent="0.15">
      <c r="A90">
        <v>85</v>
      </c>
      <c r="B90">
        <f t="shared" si="7"/>
        <v>21900</v>
      </c>
      <c r="C90">
        <v>5500</v>
      </c>
      <c r="D90">
        <f t="shared" si="14"/>
        <v>5500</v>
      </c>
      <c r="E90">
        <f t="shared" si="10"/>
        <v>21900</v>
      </c>
      <c r="F90">
        <f t="shared" si="11"/>
        <v>43800</v>
      </c>
      <c r="G90">
        <f t="shared" si="12"/>
        <v>21900</v>
      </c>
      <c r="H90">
        <f t="shared" si="13"/>
        <v>5475</v>
      </c>
      <c r="I90">
        <v>100</v>
      </c>
      <c r="J90">
        <v>100</v>
      </c>
      <c r="K90">
        <v>100</v>
      </c>
    </row>
    <row r="91" spans="1:11" x14ac:dyDescent="0.15">
      <c r="A91">
        <v>86</v>
      </c>
      <c r="B91">
        <f t="shared" si="7"/>
        <v>22415</v>
      </c>
      <c r="C91">
        <v>5710</v>
      </c>
      <c r="D91">
        <f t="shared" si="14"/>
        <v>5710</v>
      </c>
      <c r="E91">
        <f t="shared" si="10"/>
        <v>22415</v>
      </c>
      <c r="F91">
        <f t="shared" si="11"/>
        <v>44830</v>
      </c>
      <c r="G91">
        <f t="shared" si="12"/>
        <v>22415</v>
      </c>
      <c r="H91">
        <f t="shared" si="13"/>
        <v>5603</v>
      </c>
      <c r="I91">
        <v>100</v>
      </c>
      <c r="J91">
        <v>100</v>
      </c>
      <c r="K91">
        <v>100</v>
      </c>
    </row>
    <row r="92" spans="1:11" x14ac:dyDescent="0.15">
      <c r="A92">
        <v>87</v>
      </c>
      <c r="B92">
        <f t="shared" si="7"/>
        <v>22936</v>
      </c>
      <c r="C92">
        <v>5930</v>
      </c>
      <c r="D92">
        <f t="shared" si="14"/>
        <v>5930</v>
      </c>
      <c r="E92">
        <f t="shared" si="10"/>
        <v>22936</v>
      </c>
      <c r="F92">
        <f t="shared" si="11"/>
        <v>45872</v>
      </c>
      <c r="G92">
        <f t="shared" si="12"/>
        <v>22936</v>
      </c>
      <c r="H92">
        <f t="shared" si="13"/>
        <v>5734</v>
      </c>
      <c r="I92">
        <v>100</v>
      </c>
      <c r="J92">
        <v>100</v>
      </c>
      <c r="K92">
        <v>100</v>
      </c>
    </row>
    <row r="93" spans="1:11" x14ac:dyDescent="0.15">
      <c r="A93">
        <v>88</v>
      </c>
      <c r="B93">
        <f t="shared" si="7"/>
        <v>23463</v>
      </c>
      <c r="C93">
        <v>6160</v>
      </c>
      <c r="D93">
        <f t="shared" si="14"/>
        <v>6160</v>
      </c>
      <c r="E93">
        <f t="shared" si="10"/>
        <v>23463</v>
      </c>
      <c r="F93">
        <f t="shared" si="11"/>
        <v>46926</v>
      </c>
      <c r="G93">
        <f t="shared" si="12"/>
        <v>23463</v>
      </c>
      <c r="H93">
        <f t="shared" si="13"/>
        <v>5865</v>
      </c>
      <c r="I93">
        <v>100</v>
      </c>
      <c r="J93">
        <v>100</v>
      </c>
      <c r="K93">
        <v>100</v>
      </c>
    </row>
    <row r="94" spans="1:11" x14ac:dyDescent="0.15">
      <c r="A94">
        <v>89</v>
      </c>
      <c r="B94">
        <f t="shared" si="7"/>
        <v>23996</v>
      </c>
      <c r="C94">
        <v>6400</v>
      </c>
      <c r="D94">
        <f t="shared" si="14"/>
        <v>6400</v>
      </c>
      <c r="E94">
        <f t="shared" si="10"/>
        <v>23996</v>
      </c>
      <c r="F94">
        <f t="shared" si="11"/>
        <v>47992</v>
      </c>
      <c r="G94">
        <f t="shared" si="12"/>
        <v>23996</v>
      </c>
      <c r="H94">
        <f t="shared" si="13"/>
        <v>5999</v>
      </c>
      <c r="I94">
        <v>100</v>
      </c>
      <c r="J94">
        <v>100</v>
      </c>
      <c r="K94">
        <v>100</v>
      </c>
    </row>
    <row r="95" spans="1:11" x14ac:dyDescent="0.15">
      <c r="A95">
        <v>90</v>
      </c>
      <c r="B95">
        <f t="shared" si="7"/>
        <v>24535</v>
      </c>
      <c r="C95">
        <v>6650</v>
      </c>
      <c r="D95">
        <f t="shared" si="14"/>
        <v>6650</v>
      </c>
      <c r="E95">
        <f t="shared" si="10"/>
        <v>24535</v>
      </c>
      <c r="F95">
        <f t="shared" si="11"/>
        <v>49070</v>
      </c>
      <c r="G95">
        <f t="shared" si="12"/>
        <v>24535</v>
      </c>
      <c r="H95">
        <f t="shared" si="13"/>
        <v>6133</v>
      </c>
      <c r="I95">
        <v>100</v>
      </c>
      <c r="J95">
        <v>100</v>
      </c>
      <c r="K95">
        <v>100</v>
      </c>
    </row>
    <row r="96" spans="1:11" x14ac:dyDescent="0.15">
      <c r="A96">
        <v>91</v>
      </c>
      <c r="B96">
        <f t="shared" si="7"/>
        <v>25080</v>
      </c>
      <c r="C96">
        <v>6910</v>
      </c>
      <c r="D96">
        <f t="shared" si="14"/>
        <v>6910</v>
      </c>
      <c r="E96">
        <f t="shared" si="10"/>
        <v>25080</v>
      </c>
      <c r="F96">
        <f t="shared" si="11"/>
        <v>50160</v>
      </c>
      <c r="G96">
        <f t="shared" si="12"/>
        <v>25080</v>
      </c>
      <c r="H96">
        <f t="shared" si="13"/>
        <v>6270</v>
      </c>
      <c r="I96">
        <v>100</v>
      </c>
      <c r="J96">
        <v>100</v>
      </c>
      <c r="K96">
        <v>100</v>
      </c>
    </row>
    <row r="97" spans="1:11" x14ac:dyDescent="0.15">
      <c r="A97">
        <v>92</v>
      </c>
      <c r="B97">
        <f t="shared" si="7"/>
        <v>25631</v>
      </c>
      <c r="C97">
        <v>7180</v>
      </c>
      <c r="D97">
        <f t="shared" si="14"/>
        <v>7180</v>
      </c>
      <c r="E97">
        <f t="shared" si="10"/>
        <v>25631</v>
      </c>
      <c r="F97">
        <f t="shared" si="11"/>
        <v>51262</v>
      </c>
      <c r="G97">
        <f t="shared" si="12"/>
        <v>25631</v>
      </c>
      <c r="H97">
        <f t="shared" si="13"/>
        <v>6407</v>
      </c>
      <c r="I97">
        <v>100</v>
      </c>
      <c r="J97">
        <v>100</v>
      </c>
      <c r="K97">
        <v>100</v>
      </c>
    </row>
    <row r="98" spans="1:11" x14ac:dyDescent="0.15">
      <c r="A98">
        <v>93</v>
      </c>
      <c r="B98">
        <f t="shared" si="7"/>
        <v>26188</v>
      </c>
      <c r="C98">
        <v>7460</v>
      </c>
      <c r="D98">
        <f t="shared" si="14"/>
        <v>7460</v>
      </c>
      <c r="E98">
        <f t="shared" si="10"/>
        <v>26188</v>
      </c>
      <c r="F98">
        <f t="shared" si="11"/>
        <v>52376</v>
      </c>
      <c r="G98">
        <f t="shared" si="12"/>
        <v>26188</v>
      </c>
      <c r="H98">
        <f t="shared" si="13"/>
        <v>6547</v>
      </c>
      <c r="I98">
        <v>100</v>
      </c>
      <c r="J98">
        <v>100</v>
      </c>
      <c r="K98">
        <v>100</v>
      </c>
    </row>
    <row r="99" spans="1:11" x14ac:dyDescent="0.15">
      <c r="A99">
        <v>94</v>
      </c>
      <c r="B99">
        <f t="shared" si="7"/>
        <v>26751</v>
      </c>
      <c r="C99">
        <v>7750</v>
      </c>
      <c r="D99">
        <f t="shared" si="14"/>
        <v>7750</v>
      </c>
      <c r="E99">
        <f t="shared" si="10"/>
        <v>26751</v>
      </c>
      <c r="F99">
        <f t="shared" si="11"/>
        <v>53502</v>
      </c>
      <c r="G99">
        <f t="shared" si="12"/>
        <v>26751</v>
      </c>
      <c r="H99">
        <f t="shared" si="13"/>
        <v>6687</v>
      </c>
      <c r="I99">
        <v>100</v>
      </c>
      <c r="J99">
        <v>100</v>
      </c>
      <c r="K99">
        <v>100</v>
      </c>
    </row>
    <row r="100" spans="1:11" x14ac:dyDescent="0.15">
      <c r="A100">
        <v>95</v>
      </c>
      <c r="B100">
        <f t="shared" si="7"/>
        <v>27320</v>
      </c>
      <c r="C100">
        <v>8050</v>
      </c>
      <c r="D100">
        <f t="shared" si="14"/>
        <v>8050</v>
      </c>
      <c r="E100">
        <f t="shared" si="10"/>
        <v>27320</v>
      </c>
      <c r="F100">
        <f t="shared" si="11"/>
        <v>54640</v>
      </c>
      <c r="G100">
        <f t="shared" si="12"/>
        <v>27320</v>
      </c>
      <c r="H100">
        <f t="shared" si="13"/>
        <v>6830</v>
      </c>
      <c r="I100">
        <v>100</v>
      </c>
      <c r="J100">
        <v>100</v>
      </c>
      <c r="K100">
        <v>100</v>
      </c>
    </row>
    <row r="101" spans="1:11" x14ac:dyDescent="0.15">
      <c r="A101">
        <v>96</v>
      </c>
      <c r="B101">
        <f t="shared" si="7"/>
        <v>27895</v>
      </c>
      <c r="C101">
        <v>8360</v>
      </c>
      <c r="D101">
        <f t="shared" si="14"/>
        <v>8360</v>
      </c>
      <c r="E101">
        <f t="shared" si="10"/>
        <v>27895</v>
      </c>
      <c r="F101">
        <f t="shared" si="11"/>
        <v>55790</v>
      </c>
      <c r="G101">
        <f t="shared" si="12"/>
        <v>27895</v>
      </c>
      <c r="H101">
        <f t="shared" si="13"/>
        <v>6973</v>
      </c>
      <c r="I101">
        <v>100</v>
      </c>
      <c r="J101">
        <v>100</v>
      </c>
      <c r="K101">
        <v>100</v>
      </c>
    </row>
    <row r="102" spans="1:11" x14ac:dyDescent="0.15">
      <c r="A102">
        <v>97</v>
      </c>
      <c r="B102">
        <f t="shared" si="7"/>
        <v>28476</v>
      </c>
      <c r="C102">
        <v>8680</v>
      </c>
      <c r="D102">
        <f t="shared" si="14"/>
        <v>8680</v>
      </c>
      <c r="E102">
        <f t="shared" si="10"/>
        <v>28476</v>
      </c>
      <c r="F102">
        <f t="shared" si="11"/>
        <v>56952</v>
      </c>
      <c r="G102">
        <f t="shared" si="12"/>
        <v>28476</v>
      </c>
      <c r="H102">
        <f t="shared" si="13"/>
        <v>7119</v>
      </c>
      <c r="I102">
        <v>100</v>
      </c>
      <c r="J102">
        <v>100</v>
      </c>
      <c r="K102">
        <v>100</v>
      </c>
    </row>
    <row r="103" spans="1:11" x14ac:dyDescent="0.15">
      <c r="A103">
        <v>98</v>
      </c>
      <c r="B103">
        <f t="shared" si="7"/>
        <v>29063</v>
      </c>
      <c r="C103">
        <v>9010</v>
      </c>
      <c r="D103">
        <f t="shared" si="14"/>
        <v>9010</v>
      </c>
      <c r="E103">
        <f t="shared" si="10"/>
        <v>29063</v>
      </c>
      <c r="F103">
        <f t="shared" si="11"/>
        <v>58126</v>
      </c>
      <c r="G103">
        <f t="shared" si="12"/>
        <v>29063</v>
      </c>
      <c r="H103">
        <f t="shared" si="13"/>
        <v>7265</v>
      </c>
      <c r="I103">
        <v>100</v>
      </c>
      <c r="J103">
        <v>100</v>
      </c>
      <c r="K103">
        <v>100</v>
      </c>
    </row>
    <row r="104" spans="1:11" x14ac:dyDescent="0.15">
      <c r="A104">
        <v>99</v>
      </c>
      <c r="B104">
        <f t="shared" si="7"/>
        <v>29656</v>
      </c>
      <c r="C104">
        <v>9350</v>
      </c>
      <c r="D104">
        <f t="shared" si="14"/>
        <v>9350</v>
      </c>
      <c r="E104">
        <f t="shared" si="10"/>
        <v>29656</v>
      </c>
      <c r="F104">
        <f t="shared" si="11"/>
        <v>59312</v>
      </c>
      <c r="G104">
        <f t="shared" si="12"/>
        <v>29656</v>
      </c>
      <c r="H104">
        <f t="shared" si="13"/>
        <v>7414</v>
      </c>
      <c r="I104">
        <v>100</v>
      </c>
      <c r="J104">
        <v>100</v>
      </c>
      <c r="K104">
        <v>100</v>
      </c>
    </row>
    <row r="105" spans="1:11" x14ac:dyDescent="0.15">
      <c r="A105">
        <v>100</v>
      </c>
      <c r="B105">
        <f t="shared" si="7"/>
        <v>30255</v>
      </c>
      <c r="C105">
        <v>9700</v>
      </c>
      <c r="D105">
        <f t="shared" si="14"/>
        <v>9700</v>
      </c>
      <c r="E105">
        <f t="shared" si="10"/>
        <v>30255</v>
      </c>
      <c r="F105">
        <f t="shared" si="11"/>
        <v>60510</v>
      </c>
      <c r="G105">
        <f t="shared" si="12"/>
        <v>30255</v>
      </c>
      <c r="H105">
        <f t="shared" si="13"/>
        <v>7563</v>
      </c>
      <c r="I105">
        <v>100</v>
      </c>
      <c r="J105">
        <v>100</v>
      </c>
      <c r="K105">
        <v>100</v>
      </c>
    </row>
    <row r="106" spans="1:11" x14ac:dyDescent="0.15">
      <c r="A106">
        <v>101</v>
      </c>
      <c r="B106">
        <f t="shared" ref="B106:B107" si="15">E106</f>
        <v>30860</v>
      </c>
      <c r="C106">
        <v>10060</v>
      </c>
      <c r="D106">
        <f t="shared" ref="D106:D107" si="16">C106</f>
        <v>10060</v>
      </c>
      <c r="E106">
        <f t="shared" ref="E106:E107" si="17">3*A106^2+2*A106+55</f>
        <v>30860</v>
      </c>
      <c r="F106">
        <f t="shared" ref="F106:F107" si="18">E106*2</f>
        <v>61720</v>
      </c>
      <c r="G106">
        <f t="shared" ref="G106:G107" si="19">E106</f>
        <v>30860</v>
      </c>
      <c r="H106">
        <f t="shared" ref="H106:H107" si="20">INT(B106/4)</f>
        <v>7715</v>
      </c>
      <c r="I106">
        <v>100</v>
      </c>
      <c r="J106">
        <v>100</v>
      </c>
      <c r="K106">
        <v>100</v>
      </c>
    </row>
    <row r="107" spans="1:11" x14ac:dyDescent="0.15">
      <c r="A107">
        <v>102</v>
      </c>
      <c r="B107">
        <f t="shared" si="15"/>
        <v>31471</v>
      </c>
      <c r="C107">
        <v>10400</v>
      </c>
      <c r="D107">
        <f t="shared" si="16"/>
        <v>10400</v>
      </c>
      <c r="E107">
        <f t="shared" si="17"/>
        <v>31471</v>
      </c>
      <c r="F107">
        <f t="shared" si="18"/>
        <v>62942</v>
      </c>
      <c r="G107">
        <f t="shared" si="19"/>
        <v>31471</v>
      </c>
      <c r="H107">
        <f t="shared" si="20"/>
        <v>7867</v>
      </c>
      <c r="I107">
        <v>100</v>
      </c>
      <c r="J107">
        <v>100</v>
      </c>
      <c r="K107">
        <v>100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ound">
                <anchor moveWithCells="1" sizeWithCells="1">
                  <from>
                    <xdr:col>5</xdr:col>
                    <xdr:colOff>190500</xdr:colOff>
                    <xdr:row>0</xdr:row>
                    <xdr:rowOff>114300</xdr:rowOff>
                  </from>
                  <to>
                    <xdr:col>6</xdr:col>
                    <xdr:colOff>400050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03"/>
  <sheetViews>
    <sheetView topLeftCell="A73" workbookViewId="0">
      <selection activeCell="L22" sqref="L22"/>
    </sheetView>
  </sheetViews>
  <sheetFormatPr defaultRowHeight="13.5" x14ac:dyDescent="0.15"/>
  <sheetData>
    <row r="1" spans="1:11" x14ac:dyDescent="0.15">
      <c r="A1" t="s">
        <v>1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3</v>
      </c>
      <c r="J1" t="s">
        <v>4</v>
      </c>
      <c r="K1" t="s">
        <v>5</v>
      </c>
    </row>
    <row r="2" spans="1:11" x14ac:dyDescent="0.15">
      <c r="A2">
        <f>battleParameter.xml!A6</f>
        <v>1</v>
      </c>
      <c r="B2">
        <f>battleParameter.xml!B6</f>
        <v>60</v>
      </c>
      <c r="C2">
        <f>battleParameter.xml!C6</f>
        <v>100</v>
      </c>
      <c r="D2">
        <f>battleParameter.xml!D6</f>
        <v>100</v>
      </c>
      <c r="E2">
        <f>battleParameter.xml!E6</f>
        <v>60</v>
      </c>
      <c r="F2">
        <f>battleParameter.xml!F6</f>
        <v>120</v>
      </c>
      <c r="G2">
        <f>battleParameter.xml!G6</f>
        <v>60</v>
      </c>
      <c r="H2">
        <f>battleParameter.xml!H6</f>
        <v>15</v>
      </c>
      <c r="I2">
        <f>battleParameter.xml!I6</f>
        <v>100</v>
      </c>
      <c r="J2">
        <f>battleParameter.xml!J6</f>
        <v>100</v>
      </c>
      <c r="K2">
        <f>battleParameter.xml!K6</f>
        <v>100</v>
      </c>
    </row>
    <row r="3" spans="1:11" x14ac:dyDescent="0.15">
      <c r="A3">
        <f>battleParameter.xml!A7</f>
        <v>2</v>
      </c>
      <c r="B3">
        <f>battleParameter.xml!B7</f>
        <v>71</v>
      </c>
      <c r="C3">
        <f>battleParameter.xml!C7</f>
        <v>150</v>
      </c>
      <c r="D3">
        <f>battleParameter.xml!D7</f>
        <v>150</v>
      </c>
      <c r="E3">
        <f>battleParameter.xml!E7</f>
        <v>71</v>
      </c>
      <c r="F3">
        <f>battleParameter.xml!F7</f>
        <v>142</v>
      </c>
      <c r="G3">
        <f>battleParameter.xml!G7</f>
        <v>71</v>
      </c>
      <c r="H3">
        <f>battleParameter.xml!H7</f>
        <v>17</v>
      </c>
      <c r="I3">
        <f>battleParameter.xml!I7</f>
        <v>100</v>
      </c>
      <c r="J3">
        <f>battleParameter.xml!J7</f>
        <v>100</v>
      </c>
      <c r="K3">
        <f>battleParameter.xml!K7</f>
        <v>100</v>
      </c>
    </row>
    <row r="4" spans="1:11" x14ac:dyDescent="0.15">
      <c r="A4">
        <f>battleParameter.xml!A8</f>
        <v>3</v>
      </c>
      <c r="B4">
        <f>battleParameter.xml!B8</f>
        <v>88</v>
      </c>
      <c r="C4">
        <f>battleParameter.xml!C8</f>
        <v>200</v>
      </c>
      <c r="D4">
        <f>battleParameter.xml!D8</f>
        <v>200</v>
      </c>
      <c r="E4">
        <f>battleParameter.xml!E8</f>
        <v>88</v>
      </c>
      <c r="F4">
        <f>battleParameter.xml!F8</f>
        <v>176</v>
      </c>
      <c r="G4">
        <f>battleParameter.xml!G8</f>
        <v>88</v>
      </c>
      <c r="H4">
        <f>battleParameter.xml!H8</f>
        <v>22</v>
      </c>
      <c r="I4">
        <f>battleParameter.xml!I8</f>
        <v>100</v>
      </c>
      <c r="J4">
        <f>battleParameter.xml!J8</f>
        <v>100</v>
      </c>
      <c r="K4">
        <f>battleParameter.xml!K8</f>
        <v>100</v>
      </c>
    </row>
    <row r="5" spans="1:11" x14ac:dyDescent="0.15">
      <c r="A5">
        <f>battleParameter.xml!A9</f>
        <v>4</v>
      </c>
      <c r="B5">
        <f>battleParameter.xml!B9</f>
        <v>111</v>
      </c>
      <c r="C5">
        <f>battleParameter.xml!C9</f>
        <v>250</v>
      </c>
      <c r="D5">
        <f>battleParameter.xml!D9</f>
        <v>250</v>
      </c>
      <c r="E5">
        <f>battleParameter.xml!E9</f>
        <v>111</v>
      </c>
      <c r="F5">
        <f>battleParameter.xml!F9</f>
        <v>222</v>
      </c>
      <c r="G5">
        <f>battleParameter.xml!G9</f>
        <v>111</v>
      </c>
      <c r="H5">
        <f>battleParameter.xml!H9</f>
        <v>27</v>
      </c>
      <c r="I5">
        <f>battleParameter.xml!I9</f>
        <v>100</v>
      </c>
      <c r="J5">
        <f>battleParameter.xml!J9</f>
        <v>100</v>
      </c>
      <c r="K5">
        <f>battleParameter.xml!K9</f>
        <v>100</v>
      </c>
    </row>
    <row r="6" spans="1:11" x14ac:dyDescent="0.15">
      <c r="A6">
        <f>battleParameter.xml!A10</f>
        <v>5</v>
      </c>
      <c r="B6">
        <f>battleParameter.xml!B10</f>
        <v>140</v>
      </c>
      <c r="C6">
        <f>battleParameter.xml!C10</f>
        <v>300</v>
      </c>
      <c r="D6">
        <f>battleParameter.xml!D10</f>
        <v>300</v>
      </c>
      <c r="E6">
        <f>battleParameter.xml!E10</f>
        <v>140</v>
      </c>
      <c r="F6">
        <f>battleParameter.xml!F10</f>
        <v>280</v>
      </c>
      <c r="G6">
        <f>battleParameter.xml!G10</f>
        <v>140</v>
      </c>
      <c r="H6">
        <f>battleParameter.xml!H10</f>
        <v>35</v>
      </c>
      <c r="I6">
        <f>battleParameter.xml!I10</f>
        <v>100</v>
      </c>
      <c r="J6">
        <f>battleParameter.xml!J10</f>
        <v>100</v>
      </c>
      <c r="K6">
        <f>battleParameter.xml!K10</f>
        <v>100</v>
      </c>
    </row>
    <row r="7" spans="1:11" x14ac:dyDescent="0.15">
      <c r="A7">
        <f>battleParameter.xml!A11</f>
        <v>6</v>
      </c>
      <c r="B7">
        <f>battleParameter.xml!B11</f>
        <v>175</v>
      </c>
      <c r="C7">
        <f>battleParameter.xml!C11</f>
        <v>350</v>
      </c>
      <c r="D7">
        <f>battleParameter.xml!D11</f>
        <v>350</v>
      </c>
      <c r="E7">
        <f>battleParameter.xml!E11</f>
        <v>175</v>
      </c>
      <c r="F7">
        <f>battleParameter.xml!F11</f>
        <v>350</v>
      </c>
      <c r="G7">
        <f>battleParameter.xml!G11</f>
        <v>175</v>
      </c>
      <c r="H7">
        <f>battleParameter.xml!H11</f>
        <v>43</v>
      </c>
      <c r="I7">
        <f>battleParameter.xml!I11</f>
        <v>100</v>
      </c>
      <c r="J7">
        <f>battleParameter.xml!J11</f>
        <v>100</v>
      </c>
      <c r="K7">
        <f>battleParameter.xml!K11</f>
        <v>100</v>
      </c>
    </row>
    <row r="8" spans="1:11" x14ac:dyDescent="0.15">
      <c r="A8">
        <f>battleParameter.xml!A12</f>
        <v>7</v>
      </c>
      <c r="B8">
        <f>battleParameter.xml!B12</f>
        <v>216</v>
      </c>
      <c r="C8">
        <f>battleParameter.xml!C12</f>
        <v>400</v>
      </c>
      <c r="D8">
        <f>battleParameter.xml!D12</f>
        <v>400</v>
      </c>
      <c r="E8">
        <f>battleParameter.xml!E12</f>
        <v>216</v>
      </c>
      <c r="F8">
        <f>battleParameter.xml!F12</f>
        <v>432</v>
      </c>
      <c r="G8">
        <f>battleParameter.xml!G12</f>
        <v>216</v>
      </c>
      <c r="H8">
        <f>battleParameter.xml!H12</f>
        <v>54</v>
      </c>
      <c r="I8">
        <f>battleParameter.xml!I12</f>
        <v>100</v>
      </c>
      <c r="J8">
        <f>battleParameter.xml!J12</f>
        <v>100</v>
      </c>
      <c r="K8">
        <f>battleParameter.xml!K12</f>
        <v>100</v>
      </c>
    </row>
    <row r="9" spans="1:11" x14ac:dyDescent="0.15">
      <c r="A9">
        <f>battleParameter.xml!A13</f>
        <v>8</v>
      </c>
      <c r="B9">
        <f>battleParameter.xml!B13</f>
        <v>263</v>
      </c>
      <c r="C9">
        <f>battleParameter.xml!C13</f>
        <v>450</v>
      </c>
      <c r="D9">
        <f>battleParameter.xml!D13</f>
        <v>450</v>
      </c>
      <c r="E9">
        <f>battleParameter.xml!E13</f>
        <v>263</v>
      </c>
      <c r="F9">
        <f>battleParameter.xml!F13</f>
        <v>526</v>
      </c>
      <c r="G9">
        <f>battleParameter.xml!G13</f>
        <v>263</v>
      </c>
      <c r="H9">
        <f>battleParameter.xml!H13</f>
        <v>65</v>
      </c>
      <c r="I9">
        <f>battleParameter.xml!I13</f>
        <v>100</v>
      </c>
      <c r="J9">
        <f>battleParameter.xml!J13</f>
        <v>100</v>
      </c>
      <c r="K9">
        <f>battleParameter.xml!K13</f>
        <v>100</v>
      </c>
    </row>
    <row r="10" spans="1:11" x14ac:dyDescent="0.15">
      <c r="A10">
        <f>battleParameter.xml!A14</f>
        <v>9</v>
      </c>
      <c r="B10">
        <f>battleParameter.xml!B14</f>
        <v>316</v>
      </c>
      <c r="C10">
        <f>battleParameter.xml!C14</f>
        <v>500</v>
      </c>
      <c r="D10">
        <f>battleParameter.xml!D14</f>
        <v>500</v>
      </c>
      <c r="E10">
        <f>battleParameter.xml!E14</f>
        <v>316</v>
      </c>
      <c r="F10">
        <f>battleParameter.xml!F14</f>
        <v>632</v>
      </c>
      <c r="G10">
        <f>battleParameter.xml!G14</f>
        <v>316</v>
      </c>
      <c r="H10">
        <f>battleParameter.xml!H14</f>
        <v>79</v>
      </c>
      <c r="I10">
        <f>battleParameter.xml!I14</f>
        <v>100</v>
      </c>
      <c r="J10">
        <f>battleParameter.xml!J14</f>
        <v>100</v>
      </c>
      <c r="K10">
        <f>battleParameter.xml!K14</f>
        <v>100</v>
      </c>
    </row>
    <row r="11" spans="1:11" x14ac:dyDescent="0.15">
      <c r="A11">
        <f>battleParameter.xml!A15</f>
        <v>10</v>
      </c>
      <c r="B11">
        <f>battleParameter.xml!B15</f>
        <v>375</v>
      </c>
      <c r="C11">
        <f>battleParameter.xml!C15</f>
        <v>550</v>
      </c>
      <c r="D11">
        <f>battleParameter.xml!D15</f>
        <v>550</v>
      </c>
      <c r="E11">
        <f>battleParameter.xml!E15</f>
        <v>375</v>
      </c>
      <c r="F11">
        <f>battleParameter.xml!F15</f>
        <v>750</v>
      </c>
      <c r="G11">
        <f>battleParameter.xml!G15</f>
        <v>375</v>
      </c>
      <c r="H11">
        <f>battleParameter.xml!H15</f>
        <v>93</v>
      </c>
      <c r="I11">
        <f>battleParameter.xml!I15</f>
        <v>100</v>
      </c>
      <c r="J11">
        <f>battleParameter.xml!J15</f>
        <v>100</v>
      </c>
      <c r="K11">
        <f>battleParameter.xml!K15</f>
        <v>100</v>
      </c>
    </row>
    <row r="12" spans="1:11" x14ac:dyDescent="0.15">
      <c r="A12">
        <f>battleParameter.xml!A16</f>
        <v>11</v>
      </c>
      <c r="B12">
        <f>battleParameter.xml!B16</f>
        <v>440</v>
      </c>
      <c r="C12">
        <f>battleParameter.xml!C16</f>
        <v>600</v>
      </c>
      <c r="D12">
        <f>battleParameter.xml!D16</f>
        <v>600</v>
      </c>
      <c r="E12">
        <f>battleParameter.xml!E16</f>
        <v>440</v>
      </c>
      <c r="F12">
        <f>battleParameter.xml!F16</f>
        <v>880</v>
      </c>
      <c r="G12">
        <f>battleParameter.xml!G16</f>
        <v>440</v>
      </c>
      <c r="H12">
        <f>battleParameter.xml!H16</f>
        <v>110</v>
      </c>
      <c r="I12">
        <f>battleParameter.xml!I16</f>
        <v>100</v>
      </c>
      <c r="J12">
        <f>battleParameter.xml!J16</f>
        <v>100</v>
      </c>
      <c r="K12">
        <f>battleParameter.xml!K16</f>
        <v>100</v>
      </c>
    </row>
    <row r="13" spans="1:11" x14ac:dyDescent="0.15">
      <c r="A13">
        <f>battleParameter.xml!A17</f>
        <v>12</v>
      </c>
      <c r="B13">
        <f>battleParameter.xml!B17</f>
        <v>511</v>
      </c>
      <c r="C13">
        <f>battleParameter.xml!C17</f>
        <v>650</v>
      </c>
      <c r="D13">
        <f>battleParameter.xml!D17</f>
        <v>650</v>
      </c>
      <c r="E13">
        <f>battleParameter.xml!E17</f>
        <v>511</v>
      </c>
      <c r="F13">
        <f>battleParameter.xml!F17</f>
        <v>1022</v>
      </c>
      <c r="G13">
        <f>battleParameter.xml!G17</f>
        <v>511</v>
      </c>
      <c r="H13">
        <f>battleParameter.xml!H17</f>
        <v>127</v>
      </c>
      <c r="I13">
        <f>battleParameter.xml!I17</f>
        <v>100</v>
      </c>
      <c r="J13">
        <f>battleParameter.xml!J17</f>
        <v>100</v>
      </c>
      <c r="K13">
        <f>battleParameter.xml!K17</f>
        <v>100</v>
      </c>
    </row>
    <row r="14" spans="1:11" x14ac:dyDescent="0.15">
      <c r="A14">
        <f>battleParameter.xml!A18</f>
        <v>13</v>
      </c>
      <c r="B14">
        <f>battleParameter.xml!B18</f>
        <v>588</v>
      </c>
      <c r="C14">
        <f>battleParameter.xml!C18</f>
        <v>700</v>
      </c>
      <c r="D14">
        <f>battleParameter.xml!D18</f>
        <v>700</v>
      </c>
      <c r="E14">
        <f>battleParameter.xml!E18</f>
        <v>588</v>
      </c>
      <c r="F14">
        <f>battleParameter.xml!F18</f>
        <v>1176</v>
      </c>
      <c r="G14">
        <f>battleParameter.xml!G18</f>
        <v>588</v>
      </c>
      <c r="H14">
        <f>battleParameter.xml!H18</f>
        <v>147</v>
      </c>
      <c r="I14">
        <f>battleParameter.xml!I18</f>
        <v>100</v>
      </c>
      <c r="J14">
        <f>battleParameter.xml!J18</f>
        <v>100</v>
      </c>
      <c r="K14">
        <f>battleParameter.xml!K18</f>
        <v>100</v>
      </c>
    </row>
    <row r="15" spans="1:11" x14ac:dyDescent="0.15">
      <c r="A15">
        <f>battleParameter.xml!A19</f>
        <v>14</v>
      </c>
      <c r="B15">
        <f>battleParameter.xml!B19</f>
        <v>671</v>
      </c>
      <c r="C15">
        <f>battleParameter.xml!C19</f>
        <v>750</v>
      </c>
      <c r="D15">
        <f>battleParameter.xml!D19</f>
        <v>750</v>
      </c>
      <c r="E15">
        <f>battleParameter.xml!E19</f>
        <v>671</v>
      </c>
      <c r="F15">
        <f>battleParameter.xml!F19</f>
        <v>1342</v>
      </c>
      <c r="G15">
        <f>battleParameter.xml!G19</f>
        <v>671</v>
      </c>
      <c r="H15">
        <f>battleParameter.xml!H19</f>
        <v>167</v>
      </c>
      <c r="I15">
        <f>battleParameter.xml!I19</f>
        <v>100</v>
      </c>
      <c r="J15">
        <f>battleParameter.xml!J19</f>
        <v>100</v>
      </c>
      <c r="K15">
        <f>battleParameter.xml!K19</f>
        <v>100</v>
      </c>
    </row>
    <row r="16" spans="1:11" x14ac:dyDescent="0.15">
      <c r="A16">
        <f>battleParameter.xml!A20</f>
        <v>15</v>
      </c>
      <c r="B16">
        <f>battleParameter.xml!B20</f>
        <v>760</v>
      </c>
      <c r="C16">
        <f>battleParameter.xml!C20</f>
        <v>800</v>
      </c>
      <c r="D16">
        <f>battleParameter.xml!D20</f>
        <v>800</v>
      </c>
      <c r="E16">
        <f>battleParameter.xml!E20</f>
        <v>760</v>
      </c>
      <c r="F16">
        <f>battleParameter.xml!F20</f>
        <v>1520</v>
      </c>
      <c r="G16">
        <f>battleParameter.xml!G20</f>
        <v>760</v>
      </c>
      <c r="H16">
        <f>battleParameter.xml!H20</f>
        <v>190</v>
      </c>
      <c r="I16">
        <f>battleParameter.xml!I20</f>
        <v>100</v>
      </c>
      <c r="J16">
        <f>battleParameter.xml!J20</f>
        <v>100</v>
      </c>
      <c r="K16">
        <f>battleParameter.xml!K20</f>
        <v>100</v>
      </c>
    </row>
    <row r="17" spans="1:11" x14ac:dyDescent="0.15">
      <c r="A17">
        <f>battleParameter.xml!A21</f>
        <v>16</v>
      </c>
      <c r="B17">
        <f>battleParameter.xml!B21</f>
        <v>855</v>
      </c>
      <c r="C17">
        <f>battleParameter.xml!C21</f>
        <v>850</v>
      </c>
      <c r="D17">
        <f>battleParameter.xml!D21</f>
        <v>850</v>
      </c>
      <c r="E17">
        <f>battleParameter.xml!E21</f>
        <v>855</v>
      </c>
      <c r="F17">
        <f>battleParameter.xml!F21</f>
        <v>1710</v>
      </c>
      <c r="G17">
        <f>battleParameter.xml!G21</f>
        <v>855</v>
      </c>
      <c r="H17">
        <f>battleParameter.xml!H21</f>
        <v>213</v>
      </c>
      <c r="I17">
        <f>battleParameter.xml!I21</f>
        <v>100</v>
      </c>
      <c r="J17">
        <f>battleParameter.xml!J21</f>
        <v>100</v>
      </c>
      <c r="K17">
        <f>battleParameter.xml!K21</f>
        <v>100</v>
      </c>
    </row>
    <row r="18" spans="1:11" x14ac:dyDescent="0.15">
      <c r="A18">
        <f>battleParameter.xml!A22</f>
        <v>17</v>
      </c>
      <c r="B18">
        <f>battleParameter.xml!B22</f>
        <v>956</v>
      </c>
      <c r="C18">
        <f>battleParameter.xml!C22</f>
        <v>900</v>
      </c>
      <c r="D18">
        <f>battleParameter.xml!D22</f>
        <v>900</v>
      </c>
      <c r="E18">
        <f>battleParameter.xml!E22</f>
        <v>956</v>
      </c>
      <c r="F18">
        <f>battleParameter.xml!F22</f>
        <v>1912</v>
      </c>
      <c r="G18">
        <f>battleParameter.xml!G22</f>
        <v>956</v>
      </c>
      <c r="H18">
        <f>battleParameter.xml!H22</f>
        <v>239</v>
      </c>
      <c r="I18">
        <f>battleParameter.xml!I22</f>
        <v>100</v>
      </c>
      <c r="J18">
        <f>battleParameter.xml!J22</f>
        <v>100</v>
      </c>
      <c r="K18">
        <f>battleParameter.xml!K22</f>
        <v>100</v>
      </c>
    </row>
    <row r="19" spans="1:11" x14ac:dyDescent="0.15">
      <c r="A19">
        <f>battleParameter.xml!A23</f>
        <v>18</v>
      </c>
      <c r="B19">
        <f>battleParameter.xml!B23</f>
        <v>1063</v>
      </c>
      <c r="C19">
        <f>battleParameter.xml!C23</f>
        <v>950</v>
      </c>
      <c r="D19">
        <f>battleParameter.xml!D23</f>
        <v>950</v>
      </c>
      <c r="E19">
        <f>battleParameter.xml!E23</f>
        <v>1063</v>
      </c>
      <c r="F19">
        <f>battleParameter.xml!F23</f>
        <v>2126</v>
      </c>
      <c r="G19">
        <f>battleParameter.xml!G23</f>
        <v>1063</v>
      </c>
      <c r="H19">
        <f>battleParameter.xml!H23</f>
        <v>265</v>
      </c>
      <c r="I19">
        <f>battleParameter.xml!I23</f>
        <v>100</v>
      </c>
      <c r="J19">
        <f>battleParameter.xml!J23</f>
        <v>100</v>
      </c>
      <c r="K19">
        <f>battleParameter.xml!K23</f>
        <v>100</v>
      </c>
    </row>
    <row r="20" spans="1:11" x14ac:dyDescent="0.15">
      <c r="A20">
        <f>battleParameter.xml!A24</f>
        <v>19</v>
      </c>
      <c r="B20">
        <f>battleParameter.xml!B24</f>
        <v>1176</v>
      </c>
      <c r="C20">
        <f>battleParameter.xml!C24</f>
        <v>1000</v>
      </c>
      <c r="D20">
        <f>battleParameter.xml!D24</f>
        <v>1000</v>
      </c>
      <c r="E20">
        <f>battleParameter.xml!E24</f>
        <v>1176</v>
      </c>
      <c r="F20">
        <f>battleParameter.xml!F24</f>
        <v>2352</v>
      </c>
      <c r="G20">
        <f>battleParameter.xml!G24</f>
        <v>1176</v>
      </c>
      <c r="H20">
        <f>battleParameter.xml!H24</f>
        <v>294</v>
      </c>
      <c r="I20">
        <f>battleParameter.xml!I24</f>
        <v>100</v>
      </c>
      <c r="J20">
        <f>battleParameter.xml!J24</f>
        <v>100</v>
      </c>
      <c r="K20">
        <f>battleParameter.xml!K24</f>
        <v>100</v>
      </c>
    </row>
    <row r="21" spans="1:11" x14ac:dyDescent="0.15">
      <c r="A21">
        <f>battleParameter.xml!A25</f>
        <v>20</v>
      </c>
      <c r="B21">
        <f>battleParameter.xml!B25</f>
        <v>1295</v>
      </c>
      <c r="C21">
        <f>battleParameter.xml!C25</f>
        <v>1050</v>
      </c>
      <c r="D21">
        <f>battleParameter.xml!D25</f>
        <v>1050</v>
      </c>
      <c r="E21">
        <f>battleParameter.xml!E25</f>
        <v>1295</v>
      </c>
      <c r="F21">
        <f>battleParameter.xml!F25</f>
        <v>2590</v>
      </c>
      <c r="G21">
        <f>battleParameter.xml!G25</f>
        <v>1295</v>
      </c>
      <c r="H21">
        <f>battleParameter.xml!H25</f>
        <v>323</v>
      </c>
      <c r="I21">
        <f>battleParameter.xml!I25</f>
        <v>100</v>
      </c>
      <c r="J21">
        <f>battleParameter.xml!J25</f>
        <v>100</v>
      </c>
      <c r="K21">
        <f>battleParameter.xml!K25</f>
        <v>100</v>
      </c>
    </row>
    <row r="22" spans="1:11" x14ac:dyDescent="0.15">
      <c r="A22">
        <f>battleParameter.xml!A26</f>
        <v>21</v>
      </c>
      <c r="B22">
        <f>battleParameter.xml!B26</f>
        <v>1420</v>
      </c>
      <c r="C22">
        <f>battleParameter.xml!C26</f>
        <v>1100</v>
      </c>
      <c r="D22">
        <f>battleParameter.xml!D26</f>
        <v>1100</v>
      </c>
      <c r="E22">
        <f>battleParameter.xml!E26</f>
        <v>1420</v>
      </c>
      <c r="F22">
        <f>battleParameter.xml!F26</f>
        <v>2840</v>
      </c>
      <c r="G22">
        <f>battleParameter.xml!G26</f>
        <v>1420</v>
      </c>
      <c r="H22">
        <f>battleParameter.xml!H26</f>
        <v>355</v>
      </c>
      <c r="I22">
        <f>battleParameter.xml!I26</f>
        <v>100</v>
      </c>
      <c r="J22">
        <f>battleParameter.xml!J26</f>
        <v>100</v>
      </c>
      <c r="K22">
        <f>battleParameter.xml!K26</f>
        <v>100</v>
      </c>
    </row>
    <row r="23" spans="1:11" x14ac:dyDescent="0.15">
      <c r="A23">
        <f>battleParameter.xml!A27</f>
        <v>22</v>
      </c>
      <c r="B23">
        <f>battleParameter.xml!B27</f>
        <v>1551</v>
      </c>
      <c r="C23">
        <f>battleParameter.xml!C27</f>
        <v>1150</v>
      </c>
      <c r="D23">
        <f>battleParameter.xml!D27</f>
        <v>1150</v>
      </c>
      <c r="E23">
        <f>battleParameter.xml!E27</f>
        <v>1551</v>
      </c>
      <c r="F23">
        <f>battleParameter.xml!F27</f>
        <v>3102</v>
      </c>
      <c r="G23">
        <f>battleParameter.xml!G27</f>
        <v>1551</v>
      </c>
      <c r="H23">
        <f>battleParameter.xml!H27</f>
        <v>387</v>
      </c>
      <c r="I23">
        <f>battleParameter.xml!I27</f>
        <v>100</v>
      </c>
      <c r="J23">
        <f>battleParameter.xml!J27</f>
        <v>100</v>
      </c>
      <c r="K23">
        <f>battleParameter.xml!K27</f>
        <v>100</v>
      </c>
    </row>
    <row r="24" spans="1:11" x14ac:dyDescent="0.15">
      <c r="A24">
        <f>battleParameter.xml!A28</f>
        <v>23</v>
      </c>
      <c r="B24">
        <f>battleParameter.xml!B28</f>
        <v>1688</v>
      </c>
      <c r="C24">
        <f>battleParameter.xml!C28</f>
        <v>1200</v>
      </c>
      <c r="D24">
        <f>battleParameter.xml!D28</f>
        <v>1200</v>
      </c>
      <c r="E24">
        <f>battleParameter.xml!E28</f>
        <v>1688</v>
      </c>
      <c r="F24">
        <f>battleParameter.xml!F28</f>
        <v>3376</v>
      </c>
      <c r="G24">
        <f>battleParameter.xml!G28</f>
        <v>1688</v>
      </c>
      <c r="H24">
        <f>battleParameter.xml!H28</f>
        <v>422</v>
      </c>
      <c r="I24">
        <f>battleParameter.xml!I28</f>
        <v>100</v>
      </c>
      <c r="J24">
        <f>battleParameter.xml!J28</f>
        <v>100</v>
      </c>
      <c r="K24">
        <f>battleParameter.xml!K28</f>
        <v>100</v>
      </c>
    </row>
    <row r="25" spans="1:11" x14ac:dyDescent="0.15">
      <c r="A25">
        <f>battleParameter.xml!A29</f>
        <v>24</v>
      </c>
      <c r="B25">
        <f>battleParameter.xml!B29</f>
        <v>1831</v>
      </c>
      <c r="C25">
        <f>battleParameter.xml!C29</f>
        <v>1250</v>
      </c>
      <c r="D25">
        <f>battleParameter.xml!D29</f>
        <v>1250</v>
      </c>
      <c r="E25">
        <f>battleParameter.xml!E29</f>
        <v>1831</v>
      </c>
      <c r="F25">
        <f>battleParameter.xml!F29</f>
        <v>3662</v>
      </c>
      <c r="G25">
        <f>battleParameter.xml!G29</f>
        <v>1831</v>
      </c>
      <c r="H25">
        <f>battleParameter.xml!H29</f>
        <v>457</v>
      </c>
      <c r="I25">
        <f>battleParameter.xml!I29</f>
        <v>100</v>
      </c>
      <c r="J25">
        <f>battleParameter.xml!J29</f>
        <v>100</v>
      </c>
      <c r="K25">
        <f>battleParameter.xml!K29</f>
        <v>100</v>
      </c>
    </row>
    <row r="26" spans="1:11" x14ac:dyDescent="0.15">
      <c r="A26">
        <f>battleParameter.xml!A30</f>
        <v>25</v>
      </c>
      <c r="B26">
        <f>battleParameter.xml!B30</f>
        <v>1980</v>
      </c>
      <c r="C26">
        <f>battleParameter.xml!C30</f>
        <v>1300</v>
      </c>
      <c r="D26">
        <f>battleParameter.xml!D30</f>
        <v>1300</v>
      </c>
      <c r="E26">
        <f>battleParameter.xml!E30</f>
        <v>1980</v>
      </c>
      <c r="F26">
        <f>battleParameter.xml!F30</f>
        <v>3960</v>
      </c>
      <c r="G26">
        <f>battleParameter.xml!G30</f>
        <v>1980</v>
      </c>
      <c r="H26">
        <f>battleParameter.xml!H30</f>
        <v>495</v>
      </c>
      <c r="I26">
        <f>battleParameter.xml!I30</f>
        <v>100</v>
      </c>
      <c r="J26">
        <f>battleParameter.xml!J30</f>
        <v>100</v>
      </c>
      <c r="K26">
        <f>battleParameter.xml!K30</f>
        <v>100</v>
      </c>
    </row>
    <row r="27" spans="1:11" x14ac:dyDescent="0.15">
      <c r="A27">
        <f>battleParameter.xml!A31</f>
        <v>26</v>
      </c>
      <c r="B27">
        <f>battleParameter.xml!B31</f>
        <v>2135</v>
      </c>
      <c r="C27">
        <f>battleParameter.xml!C31</f>
        <v>1350</v>
      </c>
      <c r="D27">
        <f>battleParameter.xml!D31</f>
        <v>1350</v>
      </c>
      <c r="E27">
        <f>battleParameter.xml!E31</f>
        <v>2135</v>
      </c>
      <c r="F27">
        <f>battleParameter.xml!F31</f>
        <v>4270</v>
      </c>
      <c r="G27">
        <f>battleParameter.xml!G31</f>
        <v>2135</v>
      </c>
      <c r="H27">
        <f>battleParameter.xml!H31</f>
        <v>533</v>
      </c>
      <c r="I27">
        <f>battleParameter.xml!I31</f>
        <v>100</v>
      </c>
      <c r="J27">
        <f>battleParameter.xml!J31</f>
        <v>100</v>
      </c>
      <c r="K27">
        <f>battleParameter.xml!K31</f>
        <v>100</v>
      </c>
    </row>
    <row r="28" spans="1:11" x14ac:dyDescent="0.15">
      <c r="A28">
        <f>battleParameter.xml!A32</f>
        <v>27</v>
      </c>
      <c r="B28">
        <f>battleParameter.xml!B32</f>
        <v>2296</v>
      </c>
      <c r="C28">
        <f>battleParameter.xml!C32</f>
        <v>1400</v>
      </c>
      <c r="D28">
        <f>battleParameter.xml!D32</f>
        <v>1400</v>
      </c>
      <c r="E28">
        <f>battleParameter.xml!E32</f>
        <v>2296</v>
      </c>
      <c r="F28">
        <f>battleParameter.xml!F32</f>
        <v>4592</v>
      </c>
      <c r="G28">
        <f>battleParameter.xml!G32</f>
        <v>2296</v>
      </c>
      <c r="H28">
        <f>battleParameter.xml!H32</f>
        <v>574</v>
      </c>
      <c r="I28">
        <f>battleParameter.xml!I32</f>
        <v>100</v>
      </c>
      <c r="J28">
        <f>battleParameter.xml!J32</f>
        <v>100</v>
      </c>
      <c r="K28">
        <f>battleParameter.xml!K32</f>
        <v>100</v>
      </c>
    </row>
    <row r="29" spans="1:11" x14ac:dyDescent="0.15">
      <c r="A29">
        <f>battleParameter.xml!A33</f>
        <v>28</v>
      </c>
      <c r="B29">
        <f>battleParameter.xml!B33</f>
        <v>2463</v>
      </c>
      <c r="C29">
        <f>battleParameter.xml!C33</f>
        <v>1450</v>
      </c>
      <c r="D29">
        <f>battleParameter.xml!D33</f>
        <v>1450</v>
      </c>
      <c r="E29">
        <f>battleParameter.xml!E33</f>
        <v>2463</v>
      </c>
      <c r="F29">
        <f>battleParameter.xml!F33</f>
        <v>4926</v>
      </c>
      <c r="G29">
        <f>battleParameter.xml!G33</f>
        <v>2463</v>
      </c>
      <c r="H29">
        <f>battleParameter.xml!H33</f>
        <v>615</v>
      </c>
      <c r="I29">
        <f>battleParameter.xml!I33</f>
        <v>100</v>
      </c>
      <c r="J29">
        <f>battleParameter.xml!J33</f>
        <v>100</v>
      </c>
      <c r="K29">
        <f>battleParameter.xml!K33</f>
        <v>100</v>
      </c>
    </row>
    <row r="30" spans="1:11" x14ac:dyDescent="0.15">
      <c r="A30">
        <f>battleParameter.xml!A34</f>
        <v>29</v>
      </c>
      <c r="B30">
        <f>battleParameter.xml!B34</f>
        <v>2636</v>
      </c>
      <c r="C30">
        <f>battleParameter.xml!C34</f>
        <v>1500</v>
      </c>
      <c r="D30">
        <f>battleParameter.xml!D34</f>
        <v>1500</v>
      </c>
      <c r="E30">
        <f>battleParameter.xml!E34</f>
        <v>2636</v>
      </c>
      <c r="F30">
        <f>battleParameter.xml!F34</f>
        <v>5272</v>
      </c>
      <c r="G30">
        <f>battleParameter.xml!G34</f>
        <v>2636</v>
      </c>
      <c r="H30">
        <f>battleParameter.xml!H34</f>
        <v>659</v>
      </c>
      <c r="I30">
        <f>battleParameter.xml!I34</f>
        <v>100</v>
      </c>
      <c r="J30">
        <f>battleParameter.xml!J34</f>
        <v>100</v>
      </c>
      <c r="K30">
        <f>battleParameter.xml!K34</f>
        <v>100</v>
      </c>
    </row>
    <row r="31" spans="1:11" x14ac:dyDescent="0.15">
      <c r="A31">
        <f>battleParameter.xml!A35</f>
        <v>30</v>
      </c>
      <c r="B31">
        <f>battleParameter.xml!B35</f>
        <v>2815</v>
      </c>
      <c r="C31">
        <f>battleParameter.xml!C35</f>
        <v>1550</v>
      </c>
      <c r="D31">
        <f>battleParameter.xml!D35</f>
        <v>1550</v>
      </c>
      <c r="E31">
        <f>battleParameter.xml!E35</f>
        <v>2815</v>
      </c>
      <c r="F31">
        <f>battleParameter.xml!F35</f>
        <v>5630</v>
      </c>
      <c r="G31">
        <f>battleParameter.xml!G35</f>
        <v>2815</v>
      </c>
      <c r="H31">
        <f>battleParameter.xml!H35</f>
        <v>703</v>
      </c>
      <c r="I31">
        <f>battleParameter.xml!I35</f>
        <v>100</v>
      </c>
      <c r="J31">
        <f>battleParameter.xml!J35</f>
        <v>100</v>
      </c>
      <c r="K31">
        <f>battleParameter.xml!K35</f>
        <v>100</v>
      </c>
    </row>
    <row r="32" spans="1:11" x14ac:dyDescent="0.15">
      <c r="A32">
        <f>battleParameter.xml!A36</f>
        <v>31</v>
      </c>
      <c r="B32">
        <f>battleParameter.xml!B36</f>
        <v>3000</v>
      </c>
      <c r="C32">
        <f>battleParameter.xml!C36</f>
        <v>1600</v>
      </c>
      <c r="D32">
        <f>battleParameter.xml!D36</f>
        <v>1600</v>
      </c>
      <c r="E32">
        <f>battleParameter.xml!E36</f>
        <v>3000</v>
      </c>
      <c r="F32">
        <f>battleParameter.xml!F36</f>
        <v>6000</v>
      </c>
      <c r="G32">
        <f>battleParameter.xml!G36</f>
        <v>3000</v>
      </c>
      <c r="H32">
        <f>battleParameter.xml!H36</f>
        <v>750</v>
      </c>
      <c r="I32">
        <f>battleParameter.xml!I36</f>
        <v>100</v>
      </c>
      <c r="J32">
        <f>battleParameter.xml!J36</f>
        <v>100</v>
      </c>
      <c r="K32">
        <f>battleParameter.xml!K36</f>
        <v>100</v>
      </c>
    </row>
    <row r="33" spans="1:11" x14ac:dyDescent="0.15">
      <c r="A33">
        <f>battleParameter.xml!A37</f>
        <v>32</v>
      </c>
      <c r="B33">
        <f>battleParameter.xml!B37</f>
        <v>3191</v>
      </c>
      <c r="C33">
        <f>battleParameter.xml!C37</f>
        <v>1650</v>
      </c>
      <c r="D33">
        <f>battleParameter.xml!D37</f>
        <v>1650</v>
      </c>
      <c r="E33">
        <f>battleParameter.xml!E37</f>
        <v>3191</v>
      </c>
      <c r="F33">
        <f>battleParameter.xml!F37</f>
        <v>6382</v>
      </c>
      <c r="G33">
        <f>battleParameter.xml!G37</f>
        <v>3191</v>
      </c>
      <c r="H33">
        <f>battleParameter.xml!H37</f>
        <v>797</v>
      </c>
      <c r="I33">
        <f>battleParameter.xml!I37</f>
        <v>100</v>
      </c>
      <c r="J33">
        <f>battleParameter.xml!J37</f>
        <v>100</v>
      </c>
      <c r="K33">
        <f>battleParameter.xml!K37</f>
        <v>100</v>
      </c>
    </row>
    <row r="34" spans="1:11" x14ac:dyDescent="0.15">
      <c r="A34">
        <f>battleParameter.xml!A38</f>
        <v>33</v>
      </c>
      <c r="B34">
        <f>battleParameter.xml!B38</f>
        <v>3388</v>
      </c>
      <c r="C34">
        <f>battleParameter.xml!C38</f>
        <v>1700</v>
      </c>
      <c r="D34">
        <f>battleParameter.xml!D38</f>
        <v>1700</v>
      </c>
      <c r="E34">
        <f>battleParameter.xml!E38</f>
        <v>3388</v>
      </c>
      <c r="F34">
        <f>battleParameter.xml!F38</f>
        <v>6776</v>
      </c>
      <c r="G34">
        <f>battleParameter.xml!G38</f>
        <v>3388</v>
      </c>
      <c r="H34">
        <f>battleParameter.xml!H38</f>
        <v>847</v>
      </c>
      <c r="I34">
        <f>battleParameter.xml!I38</f>
        <v>100</v>
      </c>
      <c r="J34">
        <f>battleParameter.xml!J38</f>
        <v>100</v>
      </c>
      <c r="K34">
        <f>battleParameter.xml!K38</f>
        <v>100</v>
      </c>
    </row>
    <row r="35" spans="1:11" x14ac:dyDescent="0.15">
      <c r="A35">
        <f>battleParameter.xml!A39</f>
        <v>34</v>
      </c>
      <c r="B35">
        <f>battleParameter.xml!B39</f>
        <v>3591</v>
      </c>
      <c r="C35">
        <f>battleParameter.xml!C39</f>
        <v>1750</v>
      </c>
      <c r="D35">
        <f>battleParameter.xml!D39</f>
        <v>1750</v>
      </c>
      <c r="E35">
        <f>battleParameter.xml!E39</f>
        <v>3591</v>
      </c>
      <c r="F35">
        <f>battleParameter.xml!F39</f>
        <v>7182</v>
      </c>
      <c r="G35">
        <f>battleParameter.xml!G39</f>
        <v>3591</v>
      </c>
      <c r="H35">
        <f>battleParameter.xml!H39</f>
        <v>897</v>
      </c>
      <c r="I35">
        <f>battleParameter.xml!I39</f>
        <v>100</v>
      </c>
      <c r="J35">
        <f>battleParameter.xml!J39</f>
        <v>100</v>
      </c>
      <c r="K35">
        <f>battleParameter.xml!K39</f>
        <v>100</v>
      </c>
    </row>
    <row r="36" spans="1:11" x14ac:dyDescent="0.15">
      <c r="A36">
        <f>battleParameter.xml!A40</f>
        <v>35</v>
      </c>
      <c r="B36">
        <f>battleParameter.xml!B40</f>
        <v>3800</v>
      </c>
      <c r="C36">
        <f>battleParameter.xml!C40</f>
        <v>1800</v>
      </c>
      <c r="D36">
        <f>battleParameter.xml!D40</f>
        <v>1800</v>
      </c>
      <c r="E36">
        <f>battleParameter.xml!E40</f>
        <v>3800</v>
      </c>
      <c r="F36">
        <f>battleParameter.xml!F40</f>
        <v>7600</v>
      </c>
      <c r="G36">
        <f>battleParameter.xml!G40</f>
        <v>3800</v>
      </c>
      <c r="H36">
        <f>battleParameter.xml!H40</f>
        <v>950</v>
      </c>
      <c r="I36">
        <f>battleParameter.xml!I40</f>
        <v>100</v>
      </c>
      <c r="J36">
        <f>battleParameter.xml!J40</f>
        <v>100</v>
      </c>
      <c r="K36">
        <f>battleParameter.xml!K40</f>
        <v>100</v>
      </c>
    </row>
    <row r="37" spans="1:11" x14ac:dyDescent="0.15">
      <c r="A37">
        <f>battleParameter.xml!A41</f>
        <v>36</v>
      </c>
      <c r="B37">
        <f>battleParameter.xml!B41</f>
        <v>4015</v>
      </c>
      <c r="C37">
        <f>battleParameter.xml!C41</f>
        <v>1850</v>
      </c>
      <c r="D37">
        <f>battleParameter.xml!D41</f>
        <v>1850</v>
      </c>
      <c r="E37">
        <f>battleParameter.xml!E41</f>
        <v>4015</v>
      </c>
      <c r="F37">
        <f>battleParameter.xml!F41</f>
        <v>8030</v>
      </c>
      <c r="G37">
        <f>battleParameter.xml!G41</f>
        <v>4015</v>
      </c>
      <c r="H37">
        <f>battleParameter.xml!H41</f>
        <v>1003</v>
      </c>
      <c r="I37">
        <f>battleParameter.xml!I41</f>
        <v>100</v>
      </c>
      <c r="J37">
        <f>battleParameter.xml!J41</f>
        <v>100</v>
      </c>
      <c r="K37">
        <f>battleParameter.xml!K41</f>
        <v>100</v>
      </c>
    </row>
    <row r="38" spans="1:11" x14ac:dyDescent="0.15">
      <c r="A38">
        <f>battleParameter.xml!A42</f>
        <v>37</v>
      </c>
      <c r="B38">
        <f>battleParameter.xml!B42</f>
        <v>4236</v>
      </c>
      <c r="C38">
        <f>battleParameter.xml!C42</f>
        <v>1900</v>
      </c>
      <c r="D38">
        <f>battleParameter.xml!D42</f>
        <v>1900</v>
      </c>
      <c r="E38">
        <f>battleParameter.xml!E42</f>
        <v>4236</v>
      </c>
      <c r="F38">
        <f>battleParameter.xml!F42</f>
        <v>8472</v>
      </c>
      <c r="G38">
        <f>battleParameter.xml!G42</f>
        <v>4236</v>
      </c>
      <c r="H38">
        <f>battleParameter.xml!H42</f>
        <v>1059</v>
      </c>
      <c r="I38">
        <f>battleParameter.xml!I42</f>
        <v>100</v>
      </c>
      <c r="J38">
        <f>battleParameter.xml!J42</f>
        <v>100</v>
      </c>
      <c r="K38">
        <f>battleParameter.xml!K42</f>
        <v>100</v>
      </c>
    </row>
    <row r="39" spans="1:11" x14ac:dyDescent="0.15">
      <c r="A39">
        <f>battleParameter.xml!A43</f>
        <v>38</v>
      </c>
      <c r="B39">
        <f>battleParameter.xml!B43</f>
        <v>4463</v>
      </c>
      <c r="C39">
        <f>battleParameter.xml!C43</f>
        <v>1950</v>
      </c>
      <c r="D39">
        <f>battleParameter.xml!D43</f>
        <v>1950</v>
      </c>
      <c r="E39">
        <f>battleParameter.xml!E43</f>
        <v>4463</v>
      </c>
      <c r="F39">
        <f>battleParameter.xml!F43</f>
        <v>8926</v>
      </c>
      <c r="G39">
        <f>battleParameter.xml!G43</f>
        <v>4463</v>
      </c>
      <c r="H39">
        <f>battleParameter.xml!H43</f>
        <v>1115</v>
      </c>
      <c r="I39">
        <f>battleParameter.xml!I43</f>
        <v>100</v>
      </c>
      <c r="J39">
        <f>battleParameter.xml!J43</f>
        <v>100</v>
      </c>
      <c r="K39">
        <f>battleParameter.xml!K43</f>
        <v>100</v>
      </c>
    </row>
    <row r="40" spans="1:11" x14ac:dyDescent="0.15">
      <c r="A40">
        <f>battleParameter.xml!A44</f>
        <v>39</v>
      </c>
      <c r="B40">
        <f>battleParameter.xml!B44</f>
        <v>4696</v>
      </c>
      <c r="C40">
        <f>battleParameter.xml!C44</f>
        <v>2000</v>
      </c>
      <c r="D40">
        <f>battleParameter.xml!D44</f>
        <v>2000</v>
      </c>
      <c r="E40">
        <f>battleParameter.xml!E44</f>
        <v>4696</v>
      </c>
      <c r="F40">
        <f>battleParameter.xml!F44</f>
        <v>9392</v>
      </c>
      <c r="G40">
        <f>battleParameter.xml!G44</f>
        <v>4696</v>
      </c>
      <c r="H40">
        <f>battleParameter.xml!H44</f>
        <v>1174</v>
      </c>
      <c r="I40">
        <f>battleParameter.xml!I44</f>
        <v>100</v>
      </c>
      <c r="J40">
        <f>battleParameter.xml!J44</f>
        <v>100</v>
      </c>
      <c r="K40">
        <f>battleParameter.xml!K44</f>
        <v>100</v>
      </c>
    </row>
    <row r="41" spans="1:11" x14ac:dyDescent="0.15">
      <c r="A41">
        <f>battleParameter.xml!A45</f>
        <v>40</v>
      </c>
      <c r="B41">
        <f>battleParameter.xml!B45</f>
        <v>4935</v>
      </c>
      <c r="C41">
        <f>battleParameter.xml!C45</f>
        <v>2050</v>
      </c>
      <c r="D41">
        <f>battleParameter.xml!D45</f>
        <v>2050</v>
      </c>
      <c r="E41">
        <f>battleParameter.xml!E45</f>
        <v>4935</v>
      </c>
      <c r="F41">
        <f>battleParameter.xml!F45</f>
        <v>9870</v>
      </c>
      <c r="G41">
        <f>battleParameter.xml!G45</f>
        <v>4935</v>
      </c>
      <c r="H41">
        <f>battleParameter.xml!H45</f>
        <v>1233</v>
      </c>
      <c r="I41">
        <f>battleParameter.xml!I45</f>
        <v>100</v>
      </c>
      <c r="J41">
        <f>battleParameter.xml!J45</f>
        <v>100</v>
      </c>
      <c r="K41">
        <f>battleParameter.xml!K45</f>
        <v>100</v>
      </c>
    </row>
    <row r="42" spans="1:11" x14ac:dyDescent="0.15">
      <c r="A42">
        <f>battleParameter.xml!A46</f>
        <v>41</v>
      </c>
      <c r="B42">
        <f>battleParameter.xml!B46</f>
        <v>5180</v>
      </c>
      <c r="C42">
        <f>battleParameter.xml!C46</f>
        <v>2100</v>
      </c>
      <c r="D42">
        <f>battleParameter.xml!D46</f>
        <v>2100</v>
      </c>
      <c r="E42">
        <f>battleParameter.xml!E46</f>
        <v>5180</v>
      </c>
      <c r="F42">
        <f>battleParameter.xml!F46</f>
        <v>10360</v>
      </c>
      <c r="G42">
        <f>battleParameter.xml!G46</f>
        <v>5180</v>
      </c>
      <c r="H42">
        <f>battleParameter.xml!H46</f>
        <v>1295</v>
      </c>
      <c r="I42">
        <f>battleParameter.xml!I46</f>
        <v>100</v>
      </c>
      <c r="J42">
        <f>battleParameter.xml!J46</f>
        <v>100</v>
      </c>
      <c r="K42">
        <f>battleParameter.xml!K46</f>
        <v>100</v>
      </c>
    </row>
    <row r="43" spans="1:11" x14ac:dyDescent="0.15">
      <c r="A43">
        <f>battleParameter.xml!A47</f>
        <v>42</v>
      </c>
      <c r="B43">
        <f>battleParameter.xml!B47</f>
        <v>5431</v>
      </c>
      <c r="C43">
        <f>battleParameter.xml!C47</f>
        <v>2150</v>
      </c>
      <c r="D43">
        <f>battleParameter.xml!D47</f>
        <v>2150</v>
      </c>
      <c r="E43">
        <f>battleParameter.xml!E47</f>
        <v>5431</v>
      </c>
      <c r="F43">
        <f>battleParameter.xml!F47</f>
        <v>10862</v>
      </c>
      <c r="G43">
        <f>battleParameter.xml!G47</f>
        <v>5431</v>
      </c>
      <c r="H43">
        <f>battleParameter.xml!H47</f>
        <v>1357</v>
      </c>
      <c r="I43">
        <f>battleParameter.xml!I47</f>
        <v>100</v>
      </c>
      <c r="J43">
        <f>battleParameter.xml!J47</f>
        <v>100</v>
      </c>
      <c r="K43">
        <f>battleParameter.xml!K47</f>
        <v>100</v>
      </c>
    </row>
    <row r="44" spans="1:11" x14ac:dyDescent="0.15">
      <c r="A44">
        <f>battleParameter.xml!A48</f>
        <v>43</v>
      </c>
      <c r="B44">
        <f>battleParameter.xml!B48</f>
        <v>5688</v>
      </c>
      <c r="C44">
        <f>battleParameter.xml!C48</f>
        <v>2200</v>
      </c>
      <c r="D44">
        <f>battleParameter.xml!D48</f>
        <v>2200</v>
      </c>
      <c r="E44">
        <f>battleParameter.xml!E48</f>
        <v>5688</v>
      </c>
      <c r="F44">
        <f>battleParameter.xml!F48</f>
        <v>11376</v>
      </c>
      <c r="G44">
        <f>battleParameter.xml!G48</f>
        <v>5688</v>
      </c>
      <c r="H44">
        <f>battleParameter.xml!H48</f>
        <v>1422</v>
      </c>
      <c r="I44">
        <f>battleParameter.xml!I48</f>
        <v>100</v>
      </c>
      <c r="J44">
        <f>battleParameter.xml!J48</f>
        <v>100</v>
      </c>
      <c r="K44">
        <f>battleParameter.xml!K48</f>
        <v>100</v>
      </c>
    </row>
    <row r="45" spans="1:11" x14ac:dyDescent="0.15">
      <c r="A45">
        <f>battleParameter.xml!A49</f>
        <v>44</v>
      </c>
      <c r="B45">
        <f>battleParameter.xml!B49</f>
        <v>5951</v>
      </c>
      <c r="C45">
        <f>battleParameter.xml!C49</f>
        <v>2250</v>
      </c>
      <c r="D45">
        <f>battleParameter.xml!D49</f>
        <v>2250</v>
      </c>
      <c r="E45">
        <f>battleParameter.xml!E49</f>
        <v>5951</v>
      </c>
      <c r="F45">
        <f>battleParameter.xml!F49</f>
        <v>11902</v>
      </c>
      <c r="G45">
        <f>battleParameter.xml!G49</f>
        <v>5951</v>
      </c>
      <c r="H45">
        <f>battleParameter.xml!H49</f>
        <v>1487</v>
      </c>
      <c r="I45">
        <f>battleParameter.xml!I49</f>
        <v>100</v>
      </c>
      <c r="J45">
        <f>battleParameter.xml!J49</f>
        <v>100</v>
      </c>
      <c r="K45">
        <f>battleParameter.xml!K49</f>
        <v>100</v>
      </c>
    </row>
    <row r="46" spans="1:11" x14ac:dyDescent="0.15">
      <c r="A46">
        <f>battleParameter.xml!A50</f>
        <v>45</v>
      </c>
      <c r="B46">
        <f>battleParameter.xml!B50</f>
        <v>6220</v>
      </c>
      <c r="C46">
        <f>battleParameter.xml!C50</f>
        <v>2300</v>
      </c>
      <c r="D46">
        <f>battleParameter.xml!D50</f>
        <v>2300</v>
      </c>
      <c r="E46">
        <f>battleParameter.xml!E50</f>
        <v>6220</v>
      </c>
      <c r="F46">
        <f>battleParameter.xml!F50</f>
        <v>12440</v>
      </c>
      <c r="G46">
        <f>battleParameter.xml!G50</f>
        <v>6220</v>
      </c>
      <c r="H46">
        <f>battleParameter.xml!H50</f>
        <v>1555</v>
      </c>
      <c r="I46">
        <f>battleParameter.xml!I50</f>
        <v>100</v>
      </c>
      <c r="J46">
        <f>battleParameter.xml!J50</f>
        <v>100</v>
      </c>
      <c r="K46">
        <f>battleParameter.xml!K50</f>
        <v>100</v>
      </c>
    </row>
    <row r="47" spans="1:11" x14ac:dyDescent="0.15">
      <c r="A47">
        <f>battleParameter.xml!A51</f>
        <v>46</v>
      </c>
      <c r="B47">
        <f>battleParameter.xml!B51</f>
        <v>6495</v>
      </c>
      <c r="C47">
        <f>battleParameter.xml!C51</f>
        <v>2350</v>
      </c>
      <c r="D47">
        <f>battleParameter.xml!D51</f>
        <v>2350</v>
      </c>
      <c r="E47">
        <f>battleParameter.xml!E51</f>
        <v>6495</v>
      </c>
      <c r="F47">
        <f>battleParameter.xml!F51</f>
        <v>12990</v>
      </c>
      <c r="G47">
        <f>battleParameter.xml!G51</f>
        <v>6495</v>
      </c>
      <c r="H47">
        <f>battleParameter.xml!H51</f>
        <v>1623</v>
      </c>
      <c r="I47">
        <f>battleParameter.xml!I51</f>
        <v>100</v>
      </c>
      <c r="J47">
        <f>battleParameter.xml!J51</f>
        <v>100</v>
      </c>
      <c r="K47">
        <f>battleParameter.xml!K51</f>
        <v>100</v>
      </c>
    </row>
    <row r="48" spans="1:11" x14ac:dyDescent="0.15">
      <c r="A48">
        <f>battleParameter.xml!A52</f>
        <v>47</v>
      </c>
      <c r="B48">
        <f>battleParameter.xml!B52</f>
        <v>6776</v>
      </c>
      <c r="C48">
        <f>battleParameter.xml!C52</f>
        <v>2400</v>
      </c>
      <c r="D48">
        <f>battleParameter.xml!D52</f>
        <v>2400</v>
      </c>
      <c r="E48">
        <f>battleParameter.xml!E52</f>
        <v>6776</v>
      </c>
      <c r="F48">
        <f>battleParameter.xml!F52</f>
        <v>13552</v>
      </c>
      <c r="G48">
        <f>battleParameter.xml!G52</f>
        <v>6776</v>
      </c>
      <c r="H48">
        <f>battleParameter.xml!H52</f>
        <v>1694</v>
      </c>
      <c r="I48">
        <f>battleParameter.xml!I52</f>
        <v>100</v>
      </c>
      <c r="J48">
        <f>battleParameter.xml!J52</f>
        <v>100</v>
      </c>
      <c r="K48">
        <f>battleParameter.xml!K52</f>
        <v>100</v>
      </c>
    </row>
    <row r="49" spans="1:11" x14ac:dyDescent="0.15">
      <c r="A49">
        <f>battleParameter.xml!A53</f>
        <v>48</v>
      </c>
      <c r="B49">
        <f>battleParameter.xml!B53</f>
        <v>7063</v>
      </c>
      <c r="C49">
        <f>battleParameter.xml!C53</f>
        <v>2450</v>
      </c>
      <c r="D49">
        <f>battleParameter.xml!D53</f>
        <v>2450</v>
      </c>
      <c r="E49">
        <f>battleParameter.xml!E53</f>
        <v>7063</v>
      </c>
      <c r="F49">
        <f>battleParameter.xml!F53</f>
        <v>14126</v>
      </c>
      <c r="G49">
        <f>battleParameter.xml!G53</f>
        <v>7063</v>
      </c>
      <c r="H49">
        <f>battleParameter.xml!H53</f>
        <v>1765</v>
      </c>
      <c r="I49">
        <f>battleParameter.xml!I53</f>
        <v>100</v>
      </c>
      <c r="J49">
        <f>battleParameter.xml!J53</f>
        <v>100</v>
      </c>
      <c r="K49">
        <f>battleParameter.xml!K53</f>
        <v>100</v>
      </c>
    </row>
    <row r="50" spans="1:11" x14ac:dyDescent="0.15">
      <c r="A50">
        <f>battleParameter.xml!A54</f>
        <v>49</v>
      </c>
      <c r="B50">
        <f>battleParameter.xml!B54</f>
        <v>7356</v>
      </c>
      <c r="C50">
        <f>battleParameter.xml!C54</f>
        <v>2500</v>
      </c>
      <c r="D50">
        <f>battleParameter.xml!D54</f>
        <v>2500</v>
      </c>
      <c r="E50">
        <f>battleParameter.xml!E54</f>
        <v>7356</v>
      </c>
      <c r="F50">
        <f>battleParameter.xml!F54</f>
        <v>14712</v>
      </c>
      <c r="G50">
        <f>battleParameter.xml!G54</f>
        <v>7356</v>
      </c>
      <c r="H50">
        <f>battleParameter.xml!H54</f>
        <v>1839</v>
      </c>
      <c r="I50">
        <f>battleParameter.xml!I54</f>
        <v>100</v>
      </c>
      <c r="J50">
        <f>battleParameter.xml!J54</f>
        <v>100</v>
      </c>
      <c r="K50">
        <f>battleParameter.xml!K54</f>
        <v>100</v>
      </c>
    </row>
    <row r="51" spans="1:11" x14ac:dyDescent="0.15">
      <c r="A51">
        <f>battleParameter.xml!A55</f>
        <v>50</v>
      </c>
      <c r="B51">
        <f>battleParameter.xml!B55</f>
        <v>7655</v>
      </c>
      <c r="C51">
        <f>battleParameter.xml!C55</f>
        <v>2550</v>
      </c>
      <c r="D51">
        <f>battleParameter.xml!D55</f>
        <v>2550</v>
      </c>
      <c r="E51">
        <f>battleParameter.xml!E55</f>
        <v>7655</v>
      </c>
      <c r="F51">
        <f>battleParameter.xml!F55</f>
        <v>15310</v>
      </c>
      <c r="G51">
        <f>battleParameter.xml!G55</f>
        <v>7655</v>
      </c>
      <c r="H51">
        <f>battleParameter.xml!H55</f>
        <v>1913</v>
      </c>
      <c r="I51">
        <f>battleParameter.xml!I55</f>
        <v>100</v>
      </c>
      <c r="J51">
        <f>battleParameter.xml!J55</f>
        <v>100</v>
      </c>
      <c r="K51">
        <f>battleParameter.xml!K55</f>
        <v>100</v>
      </c>
    </row>
    <row r="52" spans="1:11" x14ac:dyDescent="0.15">
      <c r="A52">
        <f>battleParameter.xml!A56</f>
        <v>51</v>
      </c>
      <c r="B52">
        <f>battleParameter.xml!B56</f>
        <v>7960</v>
      </c>
      <c r="C52">
        <f>battleParameter.xml!C56</f>
        <v>2600</v>
      </c>
      <c r="D52">
        <f>battleParameter.xml!D56</f>
        <v>2600</v>
      </c>
      <c r="E52">
        <f>battleParameter.xml!E56</f>
        <v>7960</v>
      </c>
      <c r="F52">
        <f>battleParameter.xml!F56</f>
        <v>15920</v>
      </c>
      <c r="G52">
        <f>battleParameter.xml!G56</f>
        <v>7960</v>
      </c>
      <c r="H52">
        <f>battleParameter.xml!H56</f>
        <v>1990</v>
      </c>
      <c r="I52">
        <f>battleParameter.xml!I56</f>
        <v>100</v>
      </c>
      <c r="J52">
        <f>battleParameter.xml!J56</f>
        <v>100</v>
      </c>
      <c r="K52">
        <f>battleParameter.xml!K56</f>
        <v>100</v>
      </c>
    </row>
    <row r="53" spans="1:11" x14ac:dyDescent="0.15">
      <c r="A53">
        <f>battleParameter.xml!A57</f>
        <v>52</v>
      </c>
      <c r="B53">
        <f>battleParameter.xml!B57</f>
        <v>8271</v>
      </c>
      <c r="C53">
        <f>battleParameter.xml!C57</f>
        <v>2650</v>
      </c>
      <c r="D53">
        <f>battleParameter.xml!D57</f>
        <v>2650</v>
      </c>
      <c r="E53">
        <f>battleParameter.xml!E57</f>
        <v>8271</v>
      </c>
      <c r="F53">
        <f>battleParameter.xml!F57</f>
        <v>16542</v>
      </c>
      <c r="G53">
        <f>battleParameter.xml!G57</f>
        <v>8271</v>
      </c>
      <c r="H53">
        <f>battleParameter.xml!H57</f>
        <v>2067</v>
      </c>
      <c r="I53">
        <f>battleParameter.xml!I57</f>
        <v>100</v>
      </c>
      <c r="J53">
        <f>battleParameter.xml!J57</f>
        <v>100</v>
      </c>
      <c r="K53">
        <f>battleParameter.xml!K57</f>
        <v>100</v>
      </c>
    </row>
    <row r="54" spans="1:11" x14ac:dyDescent="0.15">
      <c r="A54">
        <f>battleParameter.xml!A58</f>
        <v>53</v>
      </c>
      <c r="B54">
        <f>battleParameter.xml!B58</f>
        <v>8588</v>
      </c>
      <c r="C54">
        <f>battleParameter.xml!C58</f>
        <v>2700</v>
      </c>
      <c r="D54">
        <f>battleParameter.xml!D58</f>
        <v>2700</v>
      </c>
      <c r="E54">
        <f>battleParameter.xml!E58</f>
        <v>8588</v>
      </c>
      <c r="F54">
        <f>battleParameter.xml!F58</f>
        <v>17176</v>
      </c>
      <c r="G54">
        <f>battleParameter.xml!G58</f>
        <v>8588</v>
      </c>
      <c r="H54">
        <f>battleParameter.xml!H58</f>
        <v>2147</v>
      </c>
      <c r="I54">
        <f>battleParameter.xml!I58</f>
        <v>100</v>
      </c>
      <c r="J54">
        <f>battleParameter.xml!J58</f>
        <v>100</v>
      </c>
      <c r="K54">
        <f>battleParameter.xml!K58</f>
        <v>100</v>
      </c>
    </row>
    <row r="55" spans="1:11" x14ac:dyDescent="0.15">
      <c r="A55">
        <f>battleParameter.xml!A59</f>
        <v>54</v>
      </c>
      <c r="B55">
        <f>battleParameter.xml!B59</f>
        <v>8911</v>
      </c>
      <c r="C55">
        <f>battleParameter.xml!C59</f>
        <v>2750</v>
      </c>
      <c r="D55">
        <f>battleParameter.xml!D59</f>
        <v>2750</v>
      </c>
      <c r="E55">
        <f>battleParameter.xml!E59</f>
        <v>8911</v>
      </c>
      <c r="F55">
        <f>battleParameter.xml!F59</f>
        <v>17822</v>
      </c>
      <c r="G55">
        <f>battleParameter.xml!G59</f>
        <v>8911</v>
      </c>
      <c r="H55">
        <f>battleParameter.xml!H59</f>
        <v>2227</v>
      </c>
      <c r="I55">
        <f>battleParameter.xml!I59</f>
        <v>100</v>
      </c>
      <c r="J55">
        <f>battleParameter.xml!J59</f>
        <v>100</v>
      </c>
      <c r="K55">
        <f>battleParameter.xml!K59</f>
        <v>100</v>
      </c>
    </row>
    <row r="56" spans="1:11" x14ac:dyDescent="0.15">
      <c r="A56">
        <f>battleParameter.xml!A60</f>
        <v>55</v>
      </c>
      <c r="B56">
        <f>battleParameter.xml!B60</f>
        <v>9240</v>
      </c>
      <c r="C56">
        <f>battleParameter.xml!C60</f>
        <v>2800</v>
      </c>
      <c r="D56">
        <f>battleParameter.xml!D60</f>
        <v>2800</v>
      </c>
      <c r="E56">
        <f>battleParameter.xml!E60</f>
        <v>9240</v>
      </c>
      <c r="F56">
        <f>battleParameter.xml!F60</f>
        <v>18480</v>
      </c>
      <c r="G56">
        <f>battleParameter.xml!G60</f>
        <v>9240</v>
      </c>
      <c r="H56">
        <f>battleParameter.xml!H60</f>
        <v>2310</v>
      </c>
      <c r="I56">
        <f>battleParameter.xml!I60</f>
        <v>100</v>
      </c>
      <c r="J56">
        <f>battleParameter.xml!J60</f>
        <v>100</v>
      </c>
      <c r="K56">
        <f>battleParameter.xml!K60</f>
        <v>100</v>
      </c>
    </row>
    <row r="57" spans="1:11" x14ac:dyDescent="0.15">
      <c r="A57">
        <f>battleParameter.xml!A61</f>
        <v>56</v>
      </c>
      <c r="B57">
        <f>battleParameter.xml!B61</f>
        <v>9575</v>
      </c>
      <c r="C57">
        <f>battleParameter.xml!C61</f>
        <v>2850</v>
      </c>
      <c r="D57">
        <f>battleParameter.xml!D61</f>
        <v>2850</v>
      </c>
      <c r="E57">
        <f>battleParameter.xml!E61</f>
        <v>9575</v>
      </c>
      <c r="F57">
        <f>battleParameter.xml!F61</f>
        <v>19150</v>
      </c>
      <c r="G57">
        <f>battleParameter.xml!G61</f>
        <v>9575</v>
      </c>
      <c r="H57">
        <f>battleParameter.xml!H61</f>
        <v>2393</v>
      </c>
      <c r="I57">
        <f>battleParameter.xml!I61</f>
        <v>100</v>
      </c>
      <c r="J57">
        <f>battleParameter.xml!J61</f>
        <v>100</v>
      </c>
      <c r="K57">
        <f>battleParameter.xml!K61</f>
        <v>100</v>
      </c>
    </row>
    <row r="58" spans="1:11" x14ac:dyDescent="0.15">
      <c r="A58">
        <f>battleParameter.xml!A62</f>
        <v>57</v>
      </c>
      <c r="B58">
        <f>battleParameter.xml!B62</f>
        <v>9916</v>
      </c>
      <c r="C58">
        <f>battleParameter.xml!C62</f>
        <v>2900</v>
      </c>
      <c r="D58">
        <f>battleParameter.xml!D62</f>
        <v>2900</v>
      </c>
      <c r="E58">
        <f>battleParameter.xml!E62</f>
        <v>9916</v>
      </c>
      <c r="F58">
        <f>battleParameter.xml!F62</f>
        <v>19832</v>
      </c>
      <c r="G58">
        <f>battleParameter.xml!G62</f>
        <v>9916</v>
      </c>
      <c r="H58">
        <f>battleParameter.xml!H62</f>
        <v>2479</v>
      </c>
      <c r="I58">
        <f>battleParameter.xml!I62</f>
        <v>100</v>
      </c>
      <c r="J58">
        <f>battleParameter.xml!J62</f>
        <v>100</v>
      </c>
      <c r="K58">
        <f>battleParameter.xml!K62</f>
        <v>100</v>
      </c>
    </row>
    <row r="59" spans="1:11" x14ac:dyDescent="0.15">
      <c r="A59">
        <f>battleParameter.xml!A63</f>
        <v>58</v>
      </c>
      <c r="B59">
        <f>battleParameter.xml!B63</f>
        <v>10263</v>
      </c>
      <c r="C59">
        <f>battleParameter.xml!C63</f>
        <v>2950</v>
      </c>
      <c r="D59">
        <f>battleParameter.xml!D63</f>
        <v>2950</v>
      </c>
      <c r="E59">
        <f>battleParameter.xml!E63</f>
        <v>10263</v>
      </c>
      <c r="F59">
        <f>battleParameter.xml!F63</f>
        <v>20526</v>
      </c>
      <c r="G59">
        <f>battleParameter.xml!G63</f>
        <v>10263</v>
      </c>
      <c r="H59">
        <f>battleParameter.xml!H63</f>
        <v>2565</v>
      </c>
      <c r="I59">
        <f>battleParameter.xml!I63</f>
        <v>100</v>
      </c>
      <c r="J59">
        <f>battleParameter.xml!J63</f>
        <v>100</v>
      </c>
      <c r="K59">
        <f>battleParameter.xml!K63</f>
        <v>100</v>
      </c>
    </row>
    <row r="60" spans="1:11" x14ac:dyDescent="0.15">
      <c r="A60">
        <f>battleParameter.xml!A64</f>
        <v>59</v>
      </c>
      <c r="B60">
        <f>battleParameter.xml!B64</f>
        <v>10616</v>
      </c>
      <c r="C60">
        <f>battleParameter.xml!C64</f>
        <v>3000</v>
      </c>
      <c r="D60">
        <f>battleParameter.xml!D64</f>
        <v>3000</v>
      </c>
      <c r="E60">
        <f>battleParameter.xml!E64</f>
        <v>10616</v>
      </c>
      <c r="F60">
        <f>battleParameter.xml!F64</f>
        <v>21232</v>
      </c>
      <c r="G60">
        <f>battleParameter.xml!G64</f>
        <v>10616</v>
      </c>
      <c r="H60">
        <f>battleParameter.xml!H64</f>
        <v>2654</v>
      </c>
      <c r="I60">
        <f>battleParameter.xml!I64</f>
        <v>100</v>
      </c>
      <c r="J60">
        <f>battleParameter.xml!J64</f>
        <v>100</v>
      </c>
      <c r="K60">
        <f>battleParameter.xml!K64</f>
        <v>100</v>
      </c>
    </row>
    <row r="61" spans="1:11" x14ac:dyDescent="0.15">
      <c r="A61">
        <f>battleParameter.xml!A65</f>
        <v>60</v>
      </c>
      <c r="B61">
        <f>battleParameter.xml!B65</f>
        <v>10975</v>
      </c>
      <c r="C61">
        <f>battleParameter.xml!C65</f>
        <v>3050</v>
      </c>
      <c r="D61">
        <f>battleParameter.xml!D65</f>
        <v>3050</v>
      </c>
      <c r="E61">
        <f>battleParameter.xml!E65</f>
        <v>10975</v>
      </c>
      <c r="F61">
        <f>battleParameter.xml!F65</f>
        <v>21950</v>
      </c>
      <c r="G61">
        <f>battleParameter.xml!G65</f>
        <v>10975</v>
      </c>
      <c r="H61">
        <f>battleParameter.xml!H65</f>
        <v>2743</v>
      </c>
      <c r="I61">
        <f>battleParameter.xml!I65</f>
        <v>100</v>
      </c>
      <c r="J61">
        <f>battleParameter.xml!J65</f>
        <v>100</v>
      </c>
      <c r="K61">
        <f>battleParameter.xml!K65</f>
        <v>100</v>
      </c>
    </row>
    <row r="62" spans="1:11" x14ac:dyDescent="0.15">
      <c r="A62">
        <f>battleParameter.xml!A66</f>
        <v>61</v>
      </c>
      <c r="B62">
        <f>battleParameter.xml!B66</f>
        <v>11340</v>
      </c>
      <c r="C62">
        <f>battleParameter.xml!C66</f>
        <v>3100</v>
      </c>
      <c r="D62">
        <f>battleParameter.xml!D66</f>
        <v>3100</v>
      </c>
      <c r="E62">
        <f>battleParameter.xml!E66</f>
        <v>11340</v>
      </c>
      <c r="F62">
        <f>battleParameter.xml!F66</f>
        <v>22680</v>
      </c>
      <c r="G62">
        <f>battleParameter.xml!G66</f>
        <v>11340</v>
      </c>
      <c r="H62">
        <f>battleParameter.xml!H66</f>
        <v>2835</v>
      </c>
      <c r="I62">
        <f>battleParameter.xml!I66</f>
        <v>100</v>
      </c>
      <c r="J62">
        <f>battleParameter.xml!J66</f>
        <v>100</v>
      </c>
      <c r="K62">
        <f>battleParameter.xml!K66</f>
        <v>100</v>
      </c>
    </row>
    <row r="63" spans="1:11" x14ac:dyDescent="0.15">
      <c r="A63">
        <f>battleParameter.xml!A67</f>
        <v>62</v>
      </c>
      <c r="B63">
        <f>battleParameter.xml!B67</f>
        <v>11711</v>
      </c>
      <c r="C63">
        <f>battleParameter.xml!C67</f>
        <v>3150</v>
      </c>
      <c r="D63">
        <f>battleParameter.xml!D67</f>
        <v>3150</v>
      </c>
      <c r="E63">
        <f>battleParameter.xml!E67</f>
        <v>11711</v>
      </c>
      <c r="F63">
        <f>battleParameter.xml!F67</f>
        <v>23422</v>
      </c>
      <c r="G63">
        <f>battleParameter.xml!G67</f>
        <v>11711</v>
      </c>
      <c r="H63">
        <f>battleParameter.xml!H67</f>
        <v>2927</v>
      </c>
      <c r="I63">
        <f>battleParameter.xml!I67</f>
        <v>100</v>
      </c>
      <c r="J63">
        <f>battleParameter.xml!J67</f>
        <v>100</v>
      </c>
      <c r="K63">
        <f>battleParameter.xml!K67</f>
        <v>100</v>
      </c>
    </row>
    <row r="64" spans="1:11" x14ac:dyDescent="0.15">
      <c r="A64">
        <f>battleParameter.xml!A68</f>
        <v>63</v>
      </c>
      <c r="B64">
        <f>battleParameter.xml!B68</f>
        <v>12088</v>
      </c>
      <c r="C64">
        <f>battleParameter.xml!C68</f>
        <v>3200</v>
      </c>
      <c r="D64">
        <f>battleParameter.xml!D68</f>
        <v>3200</v>
      </c>
      <c r="E64">
        <f>battleParameter.xml!E68</f>
        <v>12088</v>
      </c>
      <c r="F64">
        <f>battleParameter.xml!F68</f>
        <v>24176</v>
      </c>
      <c r="G64">
        <f>battleParameter.xml!G68</f>
        <v>12088</v>
      </c>
      <c r="H64">
        <f>battleParameter.xml!H68</f>
        <v>3022</v>
      </c>
      <c r="I64">
        <f>battleParameter.xml!I68</f>
        <v>100</v>
      </c>
      <c r="J64">
        <f>battleParameter.xml!J68</f>
        <v>100</v>
      </c>
      <c r="K64">
        <f>battleParameter.xml!K68</f>
        <v>100</v>
      </c>
    </row>
    <row r="65" spans="1:11" x14ac:dyDescent="0.15">
      <c r="A65">
        <f>battleParameter.xml!A69</f>
        <v>64</v>
      </c>
      <c r="B65">
        <f>battleParameter.xml!B69</f>
        <v>12471</v>
      </c>
      <c r="C65">
        <f>battleParameter.xml!C69</f>
        <v>3250</v>
      </c>
      <c r="D65">
        <f>battleParameter.xml!D69</f>
        <v>3250</v>
      </c>
      <c r="E65">
        <f>battleParameter.xml!E69</f>
        <v>12471</v>
      </c>
      <c r="F65">
        <f>battleParameter.xml!F69</f>
        <v>24942</v>
      </c>
      <c r="G65">
        <f>battleParameter.xml!G69</f>
        <v>12471</v>
      </c>
      <c r="H65">
        <f>battleParameter.xml!H69</f>
        <v>3117</v>
      </c>
      <c r="I65">
        <f>battleParameter.xml!I69</f>
        <v>100</v>
      </c>
      <c r="J65">
        <f>battleParameter.xml!J69</f>
        <v>100</v>
      </c>
      <c r="K65">
        <f>battleParameter.xml!K69</f>
        <v>100</v>
      </c>
    </row>
    <row r="66" spans="1:11" x14ac:dyDescent="0.15">
      <c r="A66">
        <f>battleParameter.xml!A70</f>
        <v>65</v>
      </c>
      <c r="B66">
        <f>battleParameter.xml!B70</f>
        <v>12860</v>
      </c>
      <c r="C66">
        <f>battleParameter.xml!C70</f>
        <v>3300</v>
      </c>
      <c r="D66">
        <f>battleParameter.xml!D70</f>
        <v>3300</v>
      </c>
      <c r="E66">
        <f>battleParameter.xml!E70</f>
        <v>12860</v>
      </c>
      <c r="F66">
        <f>battleParameter.xml!F70</f>
        <v>25720</v>
      </c>
      <c r="G66">
        <f>battleParameter.xml!G70</f>
        <v>12860</v>
      </c>
      <c r="H66">
        <f>battleParameter.xml!H70</f>
        <v>3215</v>
      </c>
      <c r="I66">
        <f>battleParameter.xml!I70</f>
        <v>100</v>
      </c>
      <c r="J66">
        <f>battleParameter.xml!J70</f>
        <v>100</v>
      </c>
      <c r="K66">
        <f>battleParameter.xml!K70</f>
        <v>100</v>
      </c>
    </row>
    <row r="67" spans="1:11" x14ac:dyDescent="0.15">
      <c r="A67">
        <f>battleParameter.xml!A71</f>
        <v>66</v>
      </c>
      <c r="B67">
        <f>battleParameter.xml!B71</f>
        <v>13255</v>
      </c>
      <c r="C67">
        <f>battleParameter.xml!C71</f>
        <v>3350</v>
      </c>
      <c r="D67">
        <f>battleParameter.xml!D71</f>
        <v>3350</v>
      </c>
      <c r="E67">
        <f>battleParameter.xml!E71</f>
        <v>13255</v>
      </c>
      <c r="F67">
        <f>battleParameter.xml!F71</f>
        <v>26510</v>
      </c>
      <c r="G67">
        <f>battleParameter.xml!G71</f>
        <v>13255</v>
      </c>
      <c r="H67">
        <f>battleParameter.xml!H71</f>
        <v>3313</v>
      </c>
      <c r="I67">
        <f>battleParameter.xml!I71</f>
        <v>100</v>
      </c>
      <c r="J67">
        <f>battleParameter.xml!J71</f>
        <v>100</v>
      </c>
      <c r="K67">
        <f>battleParameter.xml!K71</f>
        <v>100</v>
      </c>
    </row>
    <row r="68" spans="1:11" x14ac:dyDescent="0.15">
      <c r="A68">
        <f>battleParameter.xml!A72</f>
        <v>67</v>
      </c>
      <c r="B68">
        <f>battleParameter.xml!B72</f>
        <v>13656</v>
      </c>
      <c r="C68">
        <f>battleParameter.xml!C72</f>
        <v>3400</v>
      </c>
      <c r="D68">
        <f>battleParameter.xml!D72</f>
        <v>3400</v>
      </c>
      <c r="E68">
        <f>battleParameter.xml!E72</f>
        <v>13656</v>
      </c>
      <c r="F68">
        <f>battleParameter.xml!F72</f>
        <v>27312</v>
      </c>
      <c r="G68">
        <f>battleParameter.xml!G72</f>
        <v>13656</v>
      </c>
      <c r="H68">
        <f>battleParameter.xml!H72</f>
        <v>3414</v>
      </c>
      <c r="I68">
        <f>battleParameter.xml!I72</f>
        <v>100</v>
      </c>
      <c r="J68">
        <f>battleParameter.xml!J72</f>
        <v>100</v>
      </c>
      <c r="K68">
        <f>battleParameter.xml!K72</f>
        <v>100</v>
      </c>
    </row>
    <row r="69" spans="1:11" x14ac:dyDescent="0.15">
      <c r="A69">
        <f>battleParameter.xml!A73</f>
        <v>68</v>
      </c>
      <c r="B69">
        <f>battleParameter.xml!B73</f>
        <v>14063</v>
      </c>
      <c r="C69">
        <f>battleParameter.xml!C73</f>
        <v>3450</v>
      </c>
      <c r="D69">
        <f>battleParameter.xml!D73</f>
        <v>3450</v>
      </c>
      <c r="E69">
        <f>battleParameter.xml!E73</f>
        <v>14063</v>
      </c>
      <c r="F69">
        <f>battleParameter.xml!F73</f>
        <v>28126</v>
      </c>
      <c r="G69">
        <f>battleParameter.xml!G73</f>
        <v>14063</v>
      </c>
      <c r="H69">
        <f>battleParameter.xml!H73</f>
        <v>3515</v>
      </c>
      <c r="I69">
        <f>battleParameter.xml!I73</f>
        <v>100</v>
      </c>
      <c r="J69">
        <f>battleParameter.xml!J73</f>
        <v>100</v>
      </c>
      <c r="K69">
        <f>battleParameter.xml!K73</f>
        <v>100</v>
      </c>
    </row>
    <row r="70" spans="1:11" x14ac:dyDescent="0.15">
      <c r="A70">
        <f>battleParameter.xml!A74</f>
        <v>69</v>
      </c>
      <c r="B70">
        <f>battleParameter.xml!B74</f>
        <v>14476</v>
      </c>
      <c r="C70">
        <f>battleParameter.xml!C74</f>
        <v>3500</v>
      </c>
      <c r="D70">
        <f>battleParameter.xml!D74</f>
        <v>3500</v>
      </c>
      <c r="E70">
        <f>battleParameter.xml!E74</f>
        <v>14476</v>
      </c>
      <c r="F70">
        <f>battleParameter.xml!F74</f>
        <v>28952</v>
      </c>
      <c r="G70">
        <f>battleParameter.xml!G74</f>
        <v>14476</v>
      </c>
      <c r="H70">
        <f>battleParameter.xml!H74</f>
        <v>3619</v>
      </c>
      <c r="I70">
        <f>battleParameter.xml!I74</f>
        <v>100</v>
      </c>
      <c r="J70">
        <f>battleParameter.xml!J74</f>
        <v>100</v>
      </c>
      <c r="K70">
        <f>battleParameter.xml!K74</f>
        <v>100</v>
      </c>
    </row>
    <row r="71" spans="1:11" x14ac:dyDescent="0.15">
      <c r="A71">
        <f>battleParameter.xml!A75</f>
        <v>70</v>
      </c>
      <c r="B71">
        <f>battleParameter.xml!B75</f>
        <v>14895</v>
      </c>
      <c r="C71">
        <f>battleParameter.xml!C75</f>
        <v>3550</v>
      </c>
      <c r="D71">
        <f>battleParameter.xml!D75</f>
        <v>3550</v>
      </c>
      <c r="E71">
        <f>battleParameter.xml!E75</f>
        <v>14895</v>
      </c>
      <c r="F71">
        <f>battleParameter.xml!F75</f>
        <v>29790</v>
      </c>
      <c r="G71">
        <f>battleParameter.xml!G75</f>
        <v>14895</v>
      </c>
      <c r="H71">
        <f>battleParameter.xml!H75</f>
        <v>3723</v>
      </c>
      <c r="I71">
        <f>battleParameter.xml!I75</f>
        <v>100</v>
      </c>
      <c r="J71">
        <f>battleParameter.xml!J75</f>
        <v>100</v>
      </c>
      <c r="K71">
        <f>battleParameter.xml!K75</f>
        <v>100</v>
      </c>
    </row>
    <row r="72" spans="1:11" x14ac:dyDescent="0.15">
      <c r="A72">
        <f>battleParameter.xml!A76</f>
        <v>71</v>
      </c>
      <c r="B72">
        <f>battleParameter.xml!B76</f>
        <v>15320</v>
      </c>
      <c r="C72">
        <f>battleParameter.xml!C76</f>
        <v>3610</v>
      </c>
      <c r="D72">
        <f>battleParameter.xml!D76</f>
        <v>3610</v>
      </c>
      <c r="E72">
        <f>battleParameter.xml!E76</f>
        <v>15320</v>
      </c>
      <c r="F72">
        <f>battleParameter.xml!F76</f>
        <v>30640</v>
      </c>
      <c r="G72">
        <f>battleParameter.xml!G76</f>
        <v>15320</v>
      </c>
      <c r="H72">
        <f>battleParameter.xml!H76</f>
        <v>3830</v>
      </c>
      <c r="I72">
        <f>battleParameter.xml!I76</f>
        <v>100</v>
      </c>
      <c r="J72">
        <f>battleParameter.xml!J76</f>
        <v>100</v>
      </c>
      <c r="K72">
        <f>battleParameter.xml!K76</f>
        <v>100</v>
      </c>
    </row>
    <row r="73" spans="1:11" x14ac:dyDescent="0.15">
      <c r="A73">
        <f>battleParameter.xml!A77</f>
        <v>72</v>
      </c>
      <c r="B73">
        <f>battleParameter.xml!B77</f>
        <v>15751</v>
      </c>
      <c r="C73">
        <f>battleParameter.xml!C77</f>
        <v>3680</v>
      </c>
      <c r="D73">
        <f>battleParameter.xml!D77</f>
        <v>3680</v>
      </c>
      <c r="E73">
        <f>battleParameter.xml!E77</f>
        <v>15751</v>
      </c>
      <c r="F73">
        <f>battleParameter.xml!F77</f>
        <v>31502</v>
      </c>
      <c r="G73">
        <f>battleParameter.xml!G77</f>
        <v>15751</v>
      </c>
      <c r="H73">
        <f>battleParameter.xml!H77</f>
        <v>3937</v>
      </c>
      <c r="I73">
        <f>battleParameter.xml!I77</f>
        <v>100</v>
      </c>
      <c r="J73">
        <f>battleParameter.xml!J77</f>
        <v>100</v>
      </c>
      <c r="K73">
        <f>battleParameter.xml!K77</f>
        <v>100</v>
      </c>
    </row>
    <row r="74" spans="1:11" x14ac:dyDescent="0.15">
      <c r="A74">
        <f>battleParameter.xml!A78</f>
        <v>73</v>
      </c>
      <c r="B74">
        <f>battleParameter.xml!B78</f>
        <v>16188</v>
      </c>
      <c r="C74">
        <f>battleParameter.xml!C78</f>
        <v>3760</v>
      </c>
      <c r="D74">
        <f>battleParameter.xml!D78</f>
        <v>3760</v>
      </c>
      <c r="E74">
        <f>battleParameter.xml!E78</f>
        <v>16188</v>
      </c>
      <c r="F74">
        <f>battleParameter.xml!F78</f>
        <v>32376</v>
      </c>
      <c r="G74">
        <f>battleParameter.xml!G78</f>
        <v>16188</v>
      </c>
      <c r="H74">
        <f>battleParameter.xml!H78</f>
        <v>4047</v>
      </c>
      <c r="I74">
        <f>battleParameter.xml!I78</f>
        <v>100</v>
      </c>
      <c r="J74">
        <f>battleParameter.xml!J78</f>
        <v>100</v>
      </c>
      <c r="K74">
        <f>battleParameter.xml!K78</f>
        <v>100</v>
      </c>
    </row>
    <row r="75" spans="1:11" x14ac:dyDescent="0.15">
      <c r="A75">
        <f>battleParameter.xml!A79</f>
        <v>74</v>
      </c>
      <c r="B75">
        <f>battleParameter.xml!B79</f>
        <v>16631</v>
      </c>
      <c r="C75">
        <f>battleParameter.xml!C79</f>
        <v>3850</v>
      </c>
      <c r="D75">
        <f>battleParameter.xml!D79</f>
        <v>3850</v>
      </c>
      <c r="E75">
        <f>battleParameter.xml!E79</f>
        <v>16631</v>
      </c>
      <c r="F75">
        <f>battleParameter.xml!F79</f>
        <v>33262</v>
      </c>
      <c r="G75">
        <f>battleParameter.xml!G79</f>
        <v>16631</v>
      </c>
      <c r="H75">
        <f>battleParameter.xml!H79</f>
        <v>4157</v>
      </c>
      <c r="I75">
        <f>battleParameter.xml!I79</f>
        <v>100</v>
      </c>
      <c r="J75">
        <f>battleParameter.xml!J79</f>
        <v>100</v>
      </c>
      <c r="K75">
        <f>battleParameter.xml!K79</f>
        <v>100</v>
      </c>
    </row>
    <row r="76" spans="1:11" x14ac:dyDescent="0.15">
      <c r="A76">
        <f>battleParameter.xml!A80</f>
        <v>75</v>
      </c>
      <c r="B76">
        <f>battleParameter.xml!B80</f>
        <v>17080</v>
      </c>
      <c r="C76">
        <f>battleParameter.xml!C80</f>
        <v>3950</v>
      </c>
      <c r="D76">
        <f>battleParameter.xml!D80</f>
        <v>3950</v>
      </c>
      <c r="E76">
        <f>battleParameter.xml!E80</f>
        <v>17080</v>
      </c>
      <c r="F76">
        <f>battleParameter.xml!F80</f>
        <v>34160</v>
      </c>
      <c r="G76">
        <f>battleParameter.xml!G80</f>
        <v>17080</v>
      </c>
      <c r="H76">
        <f>battleParameter.xml!H80</f>
        <v>4270</v>
      </c>
      <c r="I76">
        <f>battleParameter.xml!I80</f>
        <v>100</v>
      </c>
      <c r="J76">
        <f>battleParameter.xml!J80</f>
        <v>100</v>
      </c>
      <c r="K76">
        <f>battleParameter.xml!K80</f>
        <v>100</v>
      </c>
    </row>
    <row r="77" spans="1:11" x14ac:dyDescent="0.15">
      <c r="A77">
        <f>battleParameter.xml!A81</f>
        <v>76</v>
      </c>
      <c r="B77">
        <f>battleParameter.xml!B81</f>
        <v>17535</v>
      </c>
      <c r="C77">
        <f>battleParameter.xml!C81</f>
        <v>4060</v>
      </c>
      <c r="D77">
        <f>battleParameter.xml!D81</f>
        <v>4060</v>
      </c>
      <c r="E77">
        <f>battleParameter.xml!E81</f>
        <v>17535</v>
      </c>
      <c r="F77">
        <f>battleParameter.xml!F81</f>
        <v>35070</v>
      </c>
      <c r="G77">
        <f>battleParameter.xml!G81</f>
        <v>17535</v>
      </c>
      <c r="H77">
        <f>battleParameter.xml!H81</f>
        <v>4383</v>
      </c>
      <c r="I77">
        <f>battleParameter.xml!I81</f>
        <v>100</v>
      </c>
      <c r="J77">
        <f>battleParameter.xml!J81</f>
        <v>100</v>
      </c>
      <c r="K77">
        <f>battleParameter.xml!K81</f>
        <v>100</v>
      </c>
    </row>
    <row r="78" spans="1:11" x14ac:dyDescent="0.15">
      <c r="A78">
        <f>battleParameter.xml!A82</f>
        <v>77</v>
      </c>
      <c r="B78">
        <f>battleParameter.xml!B82</f>
        <v>17996</v>
      </c>
      <c r="C78">
        <f>battleParameter.xml!C82</f>
        <v>4180</v>
      </c>
      <c r="D78">
        <f>battleParameter.xml!D82</f>
        <v>4180</v>
      </c>
      <c r="E78">
        <f>battleParameter.xml!E82</f>
        <v>17996</v>
      </c>
      <c r="F78">
        <f>battleParameter.xml!F82</f>
        <v>35992</v>
      </c>
      <c r="G78">
        <f>battleParameter.xml!G82</f>
        <v>17996</v>
      </c>
      <c r="H78">
        <f>battleParameter.xml!H82</f>
        <v>4499</v>
      </c>
      <c r="I78">
        <f>battleParameter.xml!I82</f>
        <v>100</v>
      </c>
      <c r="J78">
        <f>battleParameter.xml!J82</f>
        <v>100</v>
      </c>
      <c r="K78">
        <f>battleParameter.xml!K82</f>
        <v>100</v>
      </c>
    </row>
    <row r="79" spans="1:11" x14ac:dyDescent="0.15">
      <c r="A79">
        <f>battleParameter.xml!A83</f>
        <v>78</v>
      </c>
      <c r="B79">
        <f>battleParameter.xml!B83</f>
        <v>18463</v>
      </c>
      <c r="C79">
        <f>battleParameter.xml!C83</f>
        <v>4310</v>
      </c>
      <c r="D79">
        <f>battleParameter.xml!D83</f>
        <v>4310</v>
      </c>
      <c r="E79">
        <f>battleParameter.xml!E83</f>
        <v>18463</v>
      </c>
      <c r="F79">
        <f>battleParameter.xml!F83</f>
        <v>36926</v>
      </c>
      <c r="G79">
        <f>battleParameter.xml!G83</f>
        <v>18463</v>
      </c>
      <c r="H79">
        <f>battleParameter.xml!H83</f>
        <v>4615</v>
      </c>
      <c r="I79">
        <f>battleParameter.xml!I83</f>
        <v>100</v>
      </c>
      <c r="J79">
        <f>battleParameter.xml!J83</f>
        <v>100</v>
      </c>
      <c r="K79">
        <f>battleParameter.xml!K83</f>
        <v>100</v>
      </c>
    </row>
    <row r="80" spans="1:11" x14ac:dyDescent="0.15">
      <c r="A80">
        <f>battleParameter.xml!A84</f>
        <v>79</v>
      </c>
      <c r="B80">
        <f>battleParameter.xml!B84</f>
        <v>18936</v>
      </c>
      <c r="C80">
        <f>battleParameter.xml!C84</f>
        <v>4450</v>
      </c>
      <c r="D80">
        <f>battleParameter.xml!D84</f>
        <v>4450</v>
      </c>
      <c r="E80">
        <f>battleParameter.xml!E84</f>
        <v>18936</v>
      </c>
      <c r="F80">
        <f>battleParameter.xml!F84</f>
        <v>37872</v>
      </c>
      <c r="G80">
        <f>battleParameter.xml!G84</f>
        <v>18936</v>
      </c>
      <c r="H80">
        <f>battleParameter.xml!H84</f>
        <v>4734</v>
      </c>
      <c r="I80">
        <f>battleParameter.xml!I84</f>
        <v>100</v>
      </c>
      <c r="J80">
        <f>battleParameter.xml!J84</f>
        <v>100</v>
      </c>
      <c r="K80">
        <f>battleParameter.xml!K84</f>
        <v>100</v>
      </c>
    </row>
    <row r="81" spans="1:11" x14ac:dyDescent="0.15">
      <c r="A81">
        <f>battleParameter.xml!A85</f>
        <v>80</v>
      </c>
      <c r="B81">
        <f>battleParameter.xml!B85</f>
        <v>19415</v>
      </c>
      <c r="C81">
        <f>battleParameter.xml!C85</f>
        <v>4600</v>
      </c>
      <c r="D81">
        <f>battleParameter.xml!D85</f>
        <v>4600</v>
      </c>
      <c r="E81">
        <f>battleParameter.xml!E85</f>
        <v>19415</v>
      </c>
      <c r="F81">
        <f>battleParameter.xml!F85</f>
        <v>38830</v>
      </c>
      <c r="G81">
        <f>battleParameter.xml!G85</f>
        <v>19415</v>
      </c>
      <c r="H81">
        <f>battleParameter.xml!H85</f>
        <v>4853</v>
      </c>
      <c r="I81">
        <f>battleParameter.xml!I85</f>
        <v>100</v>
      </c>
      <c r="J81">
        <f>battleParameter.xml!J85</f>
        <v>100</v>
      </c>
      <c r="K81">
        <f>battleParameter.xml!K85</f>
        <v>100</v>
      </c>
    </row>
    <row r="82" spans="1:11" x14ac:dyDescent="0.15">
      <c r="A82">
        <f>battleParameter.xml!A86</f>
        <v>81</v>
      </c>
      <c r="B82">
        <f>battleParameter.xml!B86</f>
        <v>19900</v>
      </c>
      <c r="C82">
        <f>battleParameter.xml!C86</f>
        <v>4760</v>
      </c>
      <c r="D82">
        <f>battleParameter.xml!D86</f>
        <v>4760</v>
      </c>
      <c r="E82">
        <f>battleParameter.xml!E86</f>
        <v>19900</v>
      </c>
      <c r="F82">
        <f>battleParameter.xml!F86</f>
        <v>39800</v>
      </c>
      <c r="G82">
        <f>battleParameter.xml!G86</f>
        <v>19900</v>
      </c>
      <c r="H82">
        <f>battleParameter.xml!H86</f>
        <v>4975</v>
      </c>
      <c r="I82">
        <f>battleParameter.xml!I86</f>
        <v>100</v>
      </c>
      <c r="J82">
        <f>battleParameter.xml!J86</f>
        <v>100</v>
      </c>
      <c r="K82">
        <f>battleParameter.xml!K86</f>
        <v>100</v>
      </c>
    </row>
    <row r="83" spans="1:11" x14ac:dyDescent="0.15">
      <c r="A83">
        <f>battleParameter.xml!A87</f>
        <v>82</v>
      </c>
      <c r="B83">
        <f>battleParameter.xml!B87</f>
        <v>20391</v>
      </c>
      <c r="C83">
        <f>battleParameter.xml!C87</f>
        <v>4930</v>
      </c>
      <c r="D83">
        <f>battleParameter.xml!D87</f>
        <v>4930</v>
      </c>
      <c r="E83">
        <f>battleParameter.xml!E87</f>
        <v>20391</v>
      </c>
      <c r="F83">
        <f>battleParameter.xml!F87</f>
        <v>40782</v>
      </c>
      <c r="G83">
        <f>battleParameter.xml!G87</f>
        <v>20391</v>
      </c>
      <c r="H83">
        <f>battleParameter.xml!H87</f>
        <v>5097</v>
      </c>
      <c r="I83">
        <f>battleParameter.xml!I87</f>
        <v>100</v>
      </c>
      <c r="J83">
        <f>battleParameter.xml!J87</f>
        <v>100</v>
      </c>
      <c r="K83">
        <f>battleParameter.xml!K87</f>
        <v>100</v>
      </c>
    </row>
    <row r="84" spans="1:11" x14ac:dyDescent="0.15">
      <c r="A84">
        <f>battleParameter.xml!A88</f>
        <v>83</v>
      </c>
      <c r="B84">
        <f>battleParameter.xml!B88</f>
        <v>20888</v>
      </c>
      <c r="C84">
        <f>battleParameter.xml!C88</f>
        <v>5110</v>
      </c>
      <c r="D84">
        <f>battleParameter.xml!D88</f>
        <v>5110</v>
      </c>
      <c r="E84">
        <f>battleParameter.xml!E88</f>
        <v>20888</v>
      </c>
      <c r="F84">
        <f>battleParameter.xml!F88</f>
        <v>41776</v>
      </c>
      <c r="G84">
        <f>battleParameter.xml!G88</f>
        <v>20888</v>
      </c>
      <c r="H84">
        <f>battleParameter.xml!H88</f>
        <v>5222</v>
      </c>
      <c r="I84">
        <f>battleParameter.xml!I88</f>
        <v>100</v>
      </c>
      <c r="J84">
        <f>battleParameter.xml!J88</f>
        <v>100</v>
      </c>
      <c r="K84">
        <f>battleParameter.xml!K88</f>
        <v>100</v>
      </c>
    </row>
    <row r="85" spans="1:11" x14ac:dyDescent="0.15">
      <c r="A85">
        <f>battleParameter.xml!A89</f>
        <v>84</v>
      </c>
      <c r="B85">
        <f>battleParameter.xml!B89</f>
        <v>21391</v>
      </c>
      <c r="C85">
        <f>battleParameter.xml!C89</f>
        <v>5300</v>
      </c>
      <c r="D85">
        <f>battleParameter.xml!D89</f>
        <v>5300</v>
      </c>
      <c r="E85">
        <f>battleParameter.xml!E89</f>
        <v>21391</v>
      </c>
      <c r="F85">
        <f>battleParameter.xml!F89</f>
        <v>42782</v>
      </c>
      <c r="G85">
        <f>battleParameter.xml!G89</f>
        <v>21391</v>
      </c>
      <c r="H85">
        <f>battleParameter.xml!H89</f>
        <v>5347</v>
      </c>
      <c r="I85">
        <f>battleParameter.xml!I89</f>
        <v>100</v>
      </c>
      <c r="J85">
        <f>battleParameter.xml!J89</f>
        <v>100</v>
      </c>
      <c r="K85">
        <f>battleParameter.xml!K89</f>
        <v>100</v>
      </c>
    </row>
    <row r="86" spans="1:11" x14ac:dyDescent="0.15">
      <c r="A86">
        <f>battleParameter.xml!A90</f>
        <v>85</v>
      </c>
      <c r="B86">
        <f>battleParameter.xml!B90</f>
        <v>21900</v>
      </c>
      <c r="C86">
        <f>battleParameter.xml!C90</f>
        <v>5500</v>
      </c>
      <c r="D86">
        <f>battleParameter.xml!D90</f>
        <v>5500</v>
      </c>
      <c r="E86">
        <f>battleParameter.xml!E90</f>
        <v>21900</v>
      </c>
      <c r="F86">
        <f>battleParameter.xml!F90</f>
        <v>43800</v>
      </c>
      <c r="G86">
        <f>battleParameter.xml!G90</f>
        <v>21900</v>
      </c>
      <c r="H86">
        <f>battleParameter.xml!H90</f>
        <v>5475</v>
      </c>
      <c r="I86">
        <f>battleParameter.xml!I90</f>
        <v>100</v>
      </c>
      <c r="J86">
        <f>battleParameter.xml!J90</f>
        <v>100</v>
      </c>
      <c r="K86">
        <f>battleParameter.xml!K90</f>
        <v>100</v>
      </c>
    </row>
    <row r="87" spans="1:11" x14ac:dyDescent="0.15">
      <c r="A87">
        <f>battleParameter.xml!A91</f>
        <v>86</v>
      </c>
      <c r="B87">
        <f>battleParameter.xml!B91</f>
        <v>22415</v>
      </c>
      <c r="C87">
        <f>battleParameter.xml!C91</f>
        <v>5710</v>
      </c>
      <c r="D87">
        <f>battleParameter.xml!D91</f>
        <v>5710</v>
      </c>
      <c r="E87">
        <f>battleParameter.xml!E91</f>
        <v>22415</v>
      </c>
      <c r="F87">
        <f>battleParameter.xml!F91</f>
        <v>44830</v>
      </c>
      <c r="G87">
        <f>battleParameter.xml!G91</f>
        <v>22415</v>
      </c>
      <c r="H87">
        <f>battleParameter.xml!H91</f>
        <v>5603</v>
      </c>
      <c r="I87">
        <f>battleParameter.xml!I91</f>
        <v>100</v>
      </c>
      <c r="J87">
        <f>battleParameter.xml!J91</f>
        <v>100</v>
      </c>
      <c r="K87">
        <f>battleParameter.xml!K91</f>
        <v>100</v>
      </c>
    </row>
    <row r="88" spans="1:11" x14ac:dyDescent="0.15">
      <c r="A88">
        <f>battleParameter.xml!A92</f>
        <v>87</v>
      </c>
      <c r="B88">
        <f>battleParameter.xml!B92</f>
        <v>22936</v>
      </c>
      <c r="C88">
        <f>battleParameter.xml!C92</f>
        <v>5930</v>
      </c>
      <c r="D88">
        <f>battleParameter.xml!D92</f>
        <v>5930</v>
      </c>
      <c r="E88">
        <f>battleParameter.xml!E92</f>
        <v>22936</v>
      </c>
      <c r="F88">
        <f>battleParameter.xml!F92</f>
        <v>45872</v>
      </c>
      <c r="G88">
        <f>battleParameter.xml!G92</f>
        <v>22936</v>
      </c>
      <c r="H88">
        <f>battleParameter.xml!H92</f>
        <v>5734</v>
      </c>
      <c r="I88">
        <f>battleParameter.xml!I92</f>
        <v>100</v>
      </c>
      <c r="J88">
        <f>battleParameter.xml!J92</f>
        <v>100</v>
      </c>
      <c r="K88">
        <f>battleParameter.xml!K92</f>
        <v>100</v>
      </c>
    </row>
    <row r="89" spans="1:11" x14ac:dyDescent="0.15">
      <c r="A89">
        <f>battleParameter.xml!A93</f>
        <v>88</v>
      </c>
      <c r="B89">
        <f>battleParameter.xml!B93</f>
        <v>23463</v>
      </c>
      <c r="C89">
        <f>battleParameter.xml!C93</f>
        <v>6160</v>
      </c>
      <c r="D89">
        <f>battleParameter.xml!D93</f>
        <v>6160</v>
      </c>
      <c r="E89">
        <f>battleParameter.xml!E93</f>
        <v>23463</v>
      </c>
      <c r="F89">
        <f>battleParameter.xml!F93</f>
        <v>46926</v>
      </c>
      <c r="G89">
        <f>battleParameter.xml!G93</f>
        <v>23463</v>
      </c>
      <c r="H89">
        <f>battleParameter.xml!H93</f>
        <v>5865</v>
      </c>
      <c r="I89">
        <f>battleParameter.xml!I93</f>
        <v>100</v>
      </c>
      <c r="J89">
        <f>battleParameter.xml!J93</f>
        <v>100</v>
      </c>
      <c r="K89">
        <f>battleParameter.xml!K93</f>
        <v>100</v>
      </c>
    </row>
    <row r="90" spans="1:11" x14ac:dyDescent="0.15">
      <c r="A90">
        <f>battleParameter.xml!A94</f>
        <v>89</v>
      </c>
      <c r="B90">
        <f>battleParameter.xml!B94</f>
        <v>23996</v>
      </c>
      <c r="C90">
        <f>battleParameter.xml!C94</f>
        <v>6400</v>
      </c>
      <c r="D90">
        <f>battleParameter.xml!D94</f>
        <v>6400</v>
      </c>
      <c r="E90">
        <f>battleParameter.xml!E94</f>
        <v>23996</v>
      </c>
      <c r="F90">
        <f>battleParameter.xml!F94</f>
        <v>47992</v>
      </c>
      <c r="G90">
        <f>battleParameter.xml!G94</f>
        <v>23996</v>
      </c>
      <c r="H90">
        <f>battleParameter.xml!H94</f>
        <v>5999</v>
      </c>
      <c r="I90">
        <f>battleParameter.xml!I94</f>
        <v>100</v>
      </c>
      <c r="J90">
        <f>battleParameter.xml!J94</f>
        <v>100</v>
      </c>
      <c r="K90">
        <f>battleParameter.xml!K94</f>
        <v>100</v>
      </c>
    </row>
    <row r="91" spans="1:11" x14ac:dyDescent="0.15">
      <c r="A91">
        <f>battleParameter.xml!A95</f>
        <v>90</v>
      </c>
      <c r="B91">
        <f>battleParameter.xml!B95</f>
        <v>24535</v>
      </c>
      <c r="C91">
        <f>battleParameter.xml!C95</f>
        <v>6650</v>
      </c>
      <c r="D91">
        <f>battleParameter.xml!D95</f>
        <v>6650</v>
      </c>
      <c r="E91">
        <f>battleParameter.xml!E95</f>
        <v>24535</v>
      </c>
      <c r="F91">
        <f>battleParameter.xml!F95</f>
        <v>49070</v>
      </c>
      <c r="G91">
        <f>battleParameter.xml!G95</f>
        <v>24535</v>
      </c>
      <c r="H91">
        <f>battleParameter.xml!H95</f>
        <v>6133</v>
      </c>
      <c r="I91">
        <f>battleParameter.xml!I95</f>
        <v>100</v>
      </c>
      <c r="J91">
        <f>battleParameter.xml!J95</f>
        <v>100</v>
      </c>
      <c r="K91">
        <f>battleParameter.xml!K95</f>
        <v>100</v>
      </c>
    </row>
    <row r="92" spans="1:11" x14ac:dyDescent="0.15">
      <c r="A92">
        <f>battleParameter.xml!A96</f>
        <v>91</v>
      </c>
      <c r="B92">
        <f>battleParameter.xml!B96</f>
        <v>25080</v>
      </c>
      <c r="C92">
        <f>battleParameter.xml!C96</f>
        <v>6910</v>
      </c>
      <c r="D92">
        <f>battleParameter.xml!D96</f>
        <v>6910</v>
      </c>
      <c r="E92">
        <f>battleParameter.xml!E96</f>
        <v>25080</v>
      </c>
      <c r="F92">
        <f>battleParameter.xml!F96</f>
        <v>50160</v>
      </c>
      <c r="G92">
        <f>battleParameter.xml!G96</f>
        <v>25080</v>
      </c>
      <c r="H92">
        <f>battleParameter.xml!H96</f>
        <v>6270</v>
      </c>
      <c r="I92">
        <f>battleParameter.xml!I96</f>
        <v>100</v>
      </c>
      <c r="J92">
        <f>battleParameter.xml!J96</f>
        <v>100</v>
      </c>
      <c r="K92">
        <f>battleParameter.xml!K96</f>
        <v>100</v>
      </c>
    </row>
    <row r="93" spans="1:11" x14ac:dyDescent="0.15">
      <c r="A93">
        <f>battleParameter.xml!A97</f>
        <v>92</v>
      </c>
      <c r="B93">
        <f>battleParameter.xml!B97</f>
        <v>25631</v>
      </c>
      <c r="C93">
        <f>battleParameter.xml!C97</f>
        <v>7180</v>
      </c>
      <c r="D93">
        <f>battleParameter.xml!D97</f>
        <v>7180</v>
      </c>
      <c r="E93">
        <f>battleParameter.xml!E97</f>
        <v>25631</v>
      </c>
      <c r="F93">
        <f>battleParameter.xml!F97</f>
        <v>51262</v>
      </c>
      <c r="G93">
        <f>battleParameter.xml!G97</f>
        <v>25631</v>
      </c>
      <c r="H93">
        <f>battleParameter.xml!H97</f>
        <v>6407</v>
      </c>
      <c r="I93">
        <f>battleParameter.xml!I97</f>
        <v>100</v>
      </c>
      <c r="J93">
        <f>battleParameter.xml!J97</f>
        <v>100</v>
      </c>
      <c r="K93">
        <f>battleParameter.xml!K97</f>
        <v>100</v>
      </c>
    </row>
    <row r="94" spans="1:11" x14ac:dyDescent="0.15">
      <c r="A94">
        <f>battleParameter.xml!A98</f>
        <v>93</v>
      </c>
      <c r="B94">
        <f>battleParameter.xml!B98</f>
        <v>26188</v>
      </c>
      <c r="C94">
        <f>battleParameter.xml!C98</f>
        <v>7460</v>
      </c>
      <c r="D94">
        <f>battleParameter.xml!D98</f>
        <v>7460</v>
      </c>
      <c r="E94">
        <f>battleParameter.xml!E98</f>
        <v>26188</v>
      </c>
      <c r="F94">
        <f>battleParameter.xml!F98</f>
        <v>52376</v>
      </c>
      <c r="G94">
        <f>battleParameter.xml!G98</f>
        <v>26188</v>
      </c>
      <c r="H94">
        <f>battleParameter.xml!H98</f>
        <v>6547</v>
      </c>
      <c r="I94">
        <f>battleParameter.xml!I98</f>
        <v>100</v>
      </c>
      <c r="J94">
        <f>battleParameter.xml!J98</f>
        <v>100</v>
      </c>
      <c r="K94">
        <f>battleParameter.xml!K98</f>
        <v>100</v>
      </c>
    </row>
    <row r="95" spans="1:11" x14ac:dyDescent="0.15">
      <c r="A95">
        <f>battleParameter.xml!A99</f>
        <v>94</v>
      </c>
      <c r="B95">
        <f>battleParameter.xml!B99</f>
        <v>26751</v>
      </c>
      <c r="C95">
        <f>battleParameter.xml!C99</f>
        <v>7750</v>
      </c>
      <c r="D95">
        <f>battleParameter.xml!D99</f>
        <v>7750</v>
      </c>
      <c r="E95">
        <f>battleParameter.xml!E99</f>
        <v>26751</v>
      </c>
      <c r="F95">
        <f>battleParameter.xml!F99</f>
        <v>53502</v>
      </c>
      <c r="G95">
        <f>battleParameter.xml!G99</f>
        <v>26751</v>
      </c>
      <c r="H95">
        <f>battleParameter.xml!H99</f>
        <v>6687</v>
      </c>
      <c r="I95">
        <f>battleParameter.xml!I99</f>
        <v>100</v>
      </c>
      <c r="J95">
        <f>battleParameter.xml!J99</f>
        <v>100</v>
      </c>
      <c r="K95">
        <f>battleParameter.xml!K99</f>
        <v>100</v>
      </c>
    </row>
    <row r="96" spans="1:11" x14ac:dyDescent="0.15">
      <c r="A96">
        <f>battleParameter.xml!A100</f>
        <v>95</v>
      </c>
      <c r="B96">
        <f>battleParameter.xml!B100</f>
        <v>27320</v>
      </c>
      <c r="C96">
        <f>battleParameter.xml!C100</f>
        <v>8050</v>
      </c>
      <c r="D96">
        <f>battleParameter.xml!D100</f>
        <v>8050</v>
      </c>
      <c r="E96">
        <f>battleParameter.xml!E100</f>
        <v>27320</v>
      </c>
      <c r="F96">
        <f>battleParameter.xml!F100</f>
        <v>54640</v>
      </c>
      <c r="G96">
        <f>battleParameter.xml!G100</f>
        <v>27320</v>
      </c>
      <c r="H96">
        <f>battleParameter.xml!H100</f>
        <v>6830</v>
      </c>
      <c r="I96">
        <f>battleParameter.xml!I100</f>
        <v>100</v>
      </c>
      <c r="J96">
        <f>battleParameter.xml!J100</f>
        <v>100</v>
      </c>
      <c r="K96">
        <f>battleParameter.xml!K100</f>
        <v>100</v>
      </c>
    </row>
    <row r="97" spans="1:11" x14ac:dyDescent="0.15">
      <c r="A97">
        <f>battleParameter.xml!A101</f>
        <v>96</v>
      </c>
      <c r="B97">
        <f>battleParameter.xml!B101</f>
        <v>27895</v>
      </c>
      <c r="C97">
        <f>battleParameter.xml!C101</f>
        <v>8360</v>
      </c>
      <c r="D97">
        <f>battleParameter.xml!D101</f>
        <v>8360</v>
      </c>
      <c r="E97">
        <f>battleParameter.xml!E101</f>
        <v>27895</v>
      </c>
      <c r="F97">
        <f>battleParameter.xml!F101</f>
        <v>55790</v>
      </c>
      <c r="G97">
        <f>battleParameter.xml!G101</f>
        <v>27895</v>
      </c>
      <c r="H97">
        <f>battleParameter.xml!H101</f>
        <v>6973</v>
      </c>
      <c r="I97">
        <f>battleParameter.xml!I101</f>
        <v>100</v>
      </c>
      <c r="J97">
        <f>battleParameter.xml!J101</f>
        <v>100</v>
      </c>
      <c r="K97">
        <f>battleParameter.xml!K101</f>
        <v>100</v>
      </c>
    </row>
    <row r="98" spans="1:11" x14ac:dyDescent="0.15">
      <c r="A98">
        <f>battleParameter.xml!A102</f>
        <v>97</v>
      </c>
      <c r="B98">
        <f>battleParameter.xml!B102</f>
        <v>28476</v>
      </c>
      <c r="C98">
        <f>battleParameter.xml!C102</f>
        <v>8680</v>
      </c>
      <c r="D98">
        <f>battleParameter.xml!D102</f>
        <v>8680</v>
      </c>
      <c r="E98">
        <f>battleParameter.xml!E102</f>
        <v>28476</v>
      </c>
      <c r="F98">
        <f>battleParameter.xml!F102</f>
        <v>56952</v>
      </c>
      <c r="G98">
        <f>battleParameter.xml!G102</f>
        <v>28476</v>
      </c>
      <c r="H98">
        <f>battleParameter.xml!H102</f>
        <v>7119</v>
      </c>
      <c r="I98">
        <f>battleParameter.xml!I102</f>
        <v>100</v>
      </c>
      <c r="J98">
        <f>battleParameter.xml!J102</f>
        <v>100</v>
      </c>
      <c r="K98">
        <f>battleParameter.xml!K102</f>
        <v>100</v>
      </c>
    </row>
    <row r="99" spans="1:11" x14ac:dyDescent="0.15">
      <c r="A99">
        <f>battleParameter.xml!A103</f>
        <v>98</v>
      </c>
      <c r="B99">
        <f>battleParameter.xml!B103</f>
        <v>29063</v>
      </c>
      <c r="C99">
        <f>battleParameter.xml!C103</f>
        <v>9010</v>
      </c>
      <c r="D99">
        <f>battleParameter.xml!D103</f>
        <v>9010</v>
      </c>
      <c r="E99">
        <f>battleParameter.xml!E103</f>
        <v>29063</v>
      </c>
      <c r="F99">
        <f>battleParameter.xml!F103</f>
        <v>58126</v>
      </c>
      <c r="G99">
        <f>battleParameter.xml!G103</f>
        <v>29063</v>
      </c>
      <c r="H99">
        <f>battleParameter.xml!H103</f>
        <v>7265</v>
      </c>
      <c r="I99">
        <f>battleParameter.xml!I103</f>
        <v>100</v>
      </c>
      <c r="J99">
        <f>battleParameter.xml!J103</f>
        <v>100</v>
      </c>
      <c r="K99">
        <f>battleParameter.xml!K103</f>
        <v>100</v>
      </c>
    </row>
    <row r="100" spans="1:11" x14ac:dyDescent="0.15">
      <c r="A100">
        <f>battleParameter.xml!A104</f>
        <v>99</v>
      </c>
      <c r="B100">
        <f>battleParameter.xml!B104</f>
        <v>29656</v>
      </c>
      <c r="C100">
        <f>battleParameter.xml!C104</f>
        <v>9350</v>
      </c>
      <c r="D100">
        <f>battleParameter.xml!D104</f>
        <v>9350</v>
      </c>
      <c r="E100">
        <f>battleParameter.xml!E104</f>
        <v>29656</v>
      </c>
      <c r="F100">
        <f>battleParameter.xml!F104</f>
        <v>59312</v>
      </c>
      <c r="G100">
        <f>battleParameter.xml!G104</f>
        <v>29656</v>
      </c>
      <c r="H100">
        <f>battleParameter.xml!H104</f>
        <v>7414</v>
      </c>
      <c r="I100">
        <f>battleParameter.xml!I104</f>
        <v>100</v>
      </c>
      <c r="J100">
        <f>battleParameter.xml!J104</f>
        <v>100</v>
      </c>
      <c r="K100">
        <f>battleParameter.xml!K104</f>
        <v>100</v>
      </c>
    </row>
    <row r="101" spans="1:11" x14ac:dyDescent="0.15">
      <c r="A101">
        <f>battleParameter.xml!A105</f>
        <v>100</v>
      </c>
      <c r="B101">
        <f>battleParameter.xml!B105</f>
        <v>30255</v>
      </c>
      <c r="C101">
        <f>battleParameter.xml!C105</f>
        <v>9700</v>
      </c>
      <c r="D101">
        <f>battleParameter.xml!D105</f>
        <v>9700</v>
      </c>
      <c r="E101">
        <f>battleParameter.xml!E105</f>
        <v>30255</v>
      </c>
      <c r="F101">
        <f>battleParameter.xml!F105</f>
        <v>60510</v>
      </c>
      <c r="G101">
        <f>battleParameter.xml!G105</f>
        <v>30255</v>
      </c>
      <c r="H101">
        <f>battleParameter.xml!H105</f>
        <v>7563</v>
      </c>
      <c r="I101">
        <f>battleParameter.xml!I105</f>
        <v>100</v>
      </c>
      <c r="J101">
        <f>battleParameter.xml!J105</f>
        <v>100</v>
      </c>
      <c r="K101">
        <f>battleParameter.xml!K105</f>
        <v>100</v>
      </c>
    </row>
    <row r="102" spans="1:11" x14ac:dyDescent="0.15">
      <c r="A102">
        <f>battleParameter.xml!A106</f>
        <v>101</v>
      </c>
      <c r="B102">
        <f>battleParameter.xml!B106</f>
        <v>30860</v>
      </c>
      <c r="C102">
        <f>battleParameter.xml!C106</f>
        <v>10060</v>
      </c>
      <c r="D102">
        <f>battleParameter.xml!D106</f>
        <v>10060</v>
      </c>
      <c r="E102">
        <f>battleParameter.xml!E106</f>
        <v>30860</v>
      </c>
      <c r="F102">
        <f>battleParameter.xml!F106</f>
        <v>61720</v>
      </c>
      <c r="G102">
        <f>battleParameter.xml!G106</f>
        <v>30860</v>
      </c>
      <c r="H102">
        <f>battleParameter.xml!H106</f>
        <v>7715</v>
      </c>
      <c r="I102">
        <f>battleParameter.xml!I106</f>
        <v>100</v>
      </c>
      <c r="J102">
        <f>battleParameter.xml!J106</f>
        <v>100</v>
      </c>
      <c r="K102">
        <f>battleParameter.xml!K106</f>
        <v>100</v>
      </c>
    </row>
    <row r="103" spans="1:11" x14ac:dyDescent="0.15">
      <c r="A103">
        <f>battleParameter.xml!A107</f>
        <v>102</v>
      </c>
      <c r="B103">
        <f>battleParameter.xml!B107</f>
        <v>31471</v>
      </c>
      <c r="C103">
        <f>battleParameter.xml!C107</f>
        <v>10400</v>
      </c>
      <c r="D103">
        <f>battleParameter.xml!D107</f>
        <v>10400</v>
      </c>
      <c r="E103">
        <f>battleParameter.xml!E107</f>
        <v>31471</v>
      </c>
      <c r="F103">
        <f>battleParameter.xml!F107</f>
        <v>62942</v>
      </c>
      <c r="G103">
        <f>battleParameter.xml!G107</f>
        <v>31471</v>
      </c>
      <c r="H103">
        <f>battleParameter.xml!H107</f>
        <v>7867</v>
      </c>
      <c r="I103">
        <f>battleParameter.xml!I107</f>
        <v>100</v>
      </c>
      <c r="J103">
        <f>battleParameter.xml!J107</f>
        <v>100</v>
      </c>
      <c r="K103">
        <f>battleParameter.xml!K107</f>
        <v>100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topLeftCell="E1" workbookViewId="0">
      <selection activeCell="R30" sqref="R30"/>
    </sheetView>
  </sheetViews>
  <sheetFormatPr defaultRowHeight="13.5" x14ac:dyDescent="0.15"/>
  <cols>
    <col min="2" max="2" width="11.25" customWidth="1"/>
    <col min="3" max="3" width="10.75" customWidth="1"/>
    <col min="4" max="4" width="9.875" customWidth="1"/>
    <col min="5" max="5" width="13" customWidth="1"/>
    <col min="6" max="6" width="12.375" customWidth="1"/>
    <col min="7" max="7" width="10.375" customWidth="1"/>
    <col min="9" max="9" width="16.375" customWidth="1"/>
  </cols>
  <sheetData>
    <row r="1" spans="1:18" x14ac:dyDescent="0.15">
      <c r="A1" t="s">
        <v>20</v>
      </c>
      <c r="B1" t="s">
        <v>18</v>
      </c>
      <c r="C1" t="s">
        <v>19</v>
      </c>
      <c r="D1" t="s">
        <v>21</v>
      </c>
      <c r="E1" t="s">
        <v>17</v>
      </c>
      <c r="F1" t="s">
        <v>25</v>
      </c>
      <c r="G1" t="s">
        <v>22</v>
      </c>
      <c r="H1" t="s">
        <v>23</v>
      </c>
      <c r="I1" t="s">
        <v>26</v>
      </c>
      <c r="J1" t="s">
        <v>24</v>
      </c>
    </row>
    <row r="2" spans="1:18" x14ac:dyDescent="0.15">
      <c r="A2">
        <v>71</v>
      </c>
      <c r="B2">
        <v>0.4</v>
      </c>
      <c r="C2">
        <v>2.1</v>
      </c>
      <c r="D2">
        <f>B2*battleParameter.xml!D76/(1-B2)</f>
        <v>2406.666666666667</v>
      </c>
      <c r="E2">
        <f t="shared" ref="E2:E31" si="0">C2*D2</f>
        <v>5054.0000000000009</v>
      </c>
      <c r="F2">
        <f>E2/(E2+battleParameter.xml!D76)</f>
        <v>0.58333333333333348</v>
      </c>
      <c r="G2">
        <f>battleParameter.xml!E76*0.6</f>
        <v>9192</v>
      </c>
      <c r="H2">
        <f>battleParameter.xml!E76*0.1+E2</f>
        <v>6586.0000000000009</v>
      </c>
      <c r="I2">
        <f>(1-(H2)/(H2+battleParameter.xml!D76))/(1-(G2+E2)/(G2+E2+battleParameter.xml!D76))</f>
        <v>1.7512750098077665</v>
      </c>
      <c r="J2">
        <f>(G2+E2)/(E2+G2+battleParameter.xml!D76)</f>
        <v>0.79782706093189959</v>
      </c>
      <c r="Q2">
        <v>71</v>
      </c>
      <c r="R2">
        <v>3610</v>
      </c>
    </row>
    <row r="3" spans="1:18" x14ac:dyDescent="0.15">
      <c r="A3">
        <v>72</v>
      </c>
      <c r="B3">
        <v>0.4</v>
      </c>
      <c r="C3">
        <v>2.12</v>
      </c>
      <c r="D3">
        <f>B3*battleParameter.xml!D77/(1-B3)</f>
        <v>2453.3333333333335</v>
      </c>
      <c r="E3">
        <f t="shared" si="0"/>
        <v>5201.0666666666675</v>
      </c>
      <c r="F3">
        <f>E3/(E3+battleParameter.xml!D77)</f>
        <v>0.58563535911602216</v>
      </c>
      <c r="G3">
        <f>battleParameter.xml!E77*0.6</f>
        <v>9450.6</v>
      </c>
      <c r="H3">
        <f>battleParameter.xml!E77*0.1+E3</f>
        <v>6776.1666666666679</v>
      </c>
      <c r="I3">
        <f>(1-(H3)/(H3+battleParameter.xml!D77))/(1-(G3+E3)/(G3+E3+battleParameter.xml!D77))</f>
        <v>1.75319189632912</v>
      </c>
      <c r="J3">
        <f>(G3+E3)/(E3+G3+battleParameter.xml!D77)</f>
        <v>0.79925447767978908</v>
      </c>
      <c r="Q3">
        <v>72</v>
      </c>
      <c r="R3">
        <v>3680</v>
      </c>
    </row>
    <row r="4" spans="1:18" x14ac:dyDescent="0.15">
      <c r="A4">
        <v>73</v>
      </c>
      <c r="B4">
        <v>0.4</v>
      </c>
      <c r="C4">
        <v>2.14</v>
      </c>
      <c r="D4">
        <f>B4*battleParameter.xml!D78/(1-B4)</f>
        <v>2506.666666666667</v>
      </c>
      <c r="E4">
        <f t="shared" si="0"/>
        <v>5364.2666666666673</v>
      </c>
      <c r="F4">
        <f>E4/(E4+battleParameter.xml!D78)</f>
        <v>0.58791208791208804</v>
      </c>
      <c r="G4">
        <f>battleParameter.xml!E78*0.6</f>
        <v>9712.7999999999993</v>
      </c>
      <c r="H4">
        <f>battleParameter.xml!E78*0.1+E4</f>
        <v>6983.0666666666675</v>
      </c>
      <c r="I4">
        <f>(1-(H4)/(H4+battleParameter.xml!D78))/(1-(G4+E4)/(G4+E4+battleParameter.xml!D78))</f>
        <v>1.7534161567770845</v>
      </c>
      <c r="J4">
        <f>(G4+E4)/(E4+G4+battleParameter.xml!D78)</f>
        <v>0.80039355030507231</v>
      </c>
      <c r="Q4">
        <v>73</v>
      </c>
      <c r="R4">
        <v>3760</v>
      </c>
    </row>
    <row r="5" spans="1:18" x14ac:dyDescent="0.15">
      <c r="A5">
        <v>74</v>
      </c>
      <c r="B5">
        <v>0.4</v>
      </c>
      <c r="C5">
        <v>2.16</v>
      </c>
      <c r="D5">
        <f>B5*battleParameter.xml!D79/(1-B5)</f>
        <v>2566.666666666667</v>
      </c>
      <c r="E5">
        <f t="shared" si="0"/>
        <v>5544.0000000000009</v>
      </c>
      <c r="F5">
        <f>E5/(E5+battleParameter.xml!D79)</f>
        <v>0.59016393442622961</v>
      </c>
      <c r="G5">
        <f>battleParameter.xml!E79*0.6</f>
        <v>9978.6</v>
      </c>
      <c r="H5">
        <f>battleParameter.xml!E79*0.1+E5</f>
        <v>7207.1000000000013</v>
      </c>
      <c r="I5">
        <f>(1-(H5)/(H5+battleParameter.xml!D79))/(1-(G5+E5)/(G5+E5+battleParameter.xml!D79))</f>
        <v>1.7520507185428369</v>
      </c>
      <c r="J5">
        <f>(G5+E5)/(E5+G5+battleParameter.xml!D79)</f>
        <v>0.8012657051712212</v>
      </c>
      <c r="Q5">
        <v>74</v>
      </c>
      <c r="R5">
        <v>3850</v>
      </c>
    </row>
    <row r="6" spans="1:18" x14ac:dyDescent="0.15">
      <c r="A6">
        <v>75</v>
      </c>
      <c r="B6">
        <v>0.4</v>
      </c>
      <c r="C6">
        <v>2.1800000000000002</v>
      </c>
      <c r="D6">
        <f>B6*battleParameter.xml!D80/(1-B6)</f>
        <v>2633.3333333333335</v>
      </c>
      <c r="E6">
        <f t="shared" si="0"/>
        <v>5740.666666666667</v>
      </c>
      <c r="F6">
        <f>E6/(E6+battleParameter.xml!D80)</f>
        <v>0.59239130434782605</v>
      </c>
      <c r="G6">
        <f>battleParameter.xml!E80*0.6</f>
        <v>10248</v>
      </c>
      <c r="H6">
        <f>battleParameter.xml!E80*0.1+E6</f>
        <v>7448.666666666667</v>
      </c>
      <c r="I6">
        <f>(1-(H6)/(H6+battleParameter.xml!D80))/(1-(G6+E6)/(G6+E6+battleParameter.xml!D80))</f>
        <v>1.749210433968885</v>
      </c>
      <c r="J6">
        <f>(G6+E6)/(E6+G6+battleParameter.xml!D80)</f>
        <v>0.80189247024207566</v>
      </c>
      <c r="Q6">
        <v>75</v>
      </c>
      <c r="R6">
        <v>3950</v>
      </c>
    </row>
    <row r="7" spans="1:18" x14ac:dyDescent="0.15">
      <c r="A7">
        <v>76</v>
      </c>
      <c r="B7">
        <v>0.4</v>
      </c>
      <c r="C7">
        <v>2.2000000000000002</v>
      </c>
      <c r="D7">
        <f>B7*battleParameter.xml!D81/(1-B7)</f>
        <v>2706.666666666667</v>
      </c>
      <c r="E7">
        <f t="shared" si="0"/>
        <v>5954.6666666666679</v>
      </c>
      <c r="F7">
        <f>E7/(E7+battleParameter.xml!D81)</f>
        <v>0.59459459459459463</v>
      </c>
      <c r="G7">
        <f>battleParameter.xml!E81*0.6</f>
        <v>10521</v>
      </c>
      <c r="H7">
        <f>battleParameter.xml!E81*0.1+E7</f>
        <v>7708.1666666666679</v>
      </c>
      <c r="I7">
        <f>(1-(H7)/(H7+battleParameter.xml!D81))/(1-(G7+E7)/(G7+E7+battleParameter.xml!D81))</f>
        <v>1.7450183404381883</v>
      </c>
      <c r="J7">
        <f>(G7+E7)/(E7+G7+battleParameter.xml!D81)</f>
        <v>0.80229519372798552</v>
      </c>
      <c r="Q7">
        <v>76</v>
      </c>
      <c r="R7">
        <v>4060</v>
      </c>
    </row>
    <row r="8" spans="1:18" x14ac:dyDescent="0.15">
      <c r="A8">
        <v>77</v>
      </c>
      <c r="B8">
        <v>0.4</v>
      </c>
      <c r="C8">
        <v>2.2200000000000002</v>
      </c>
      <c r="D8">
        <f>B8*battleParameter.xml!D82/(1-B8)</f>
        <v>2786.666666666667</v>
      </c>
      <c r="E8">
        <f t="shared" si="0"/>
        <v>6186.4000000000015</v>
      </c>
      <c r="F8">
        <f>E8/(E8+battleParameter.xml!D82)</f>
        <v>0.59677419354838712</v>
      </c>
      <c r="G8">
        <f>battleParameter.xml!E82*0.6</f>
        <v>10797.6</v>
      </c>
      <c r="H8">
        <f>battleParameter.xml!E82*0.1+E8</f>
        <v>7986.0000000000018</v>
      </c>
      <c r="I8">
        <f>(1-(H8)/(H8+battleParameter.xml!D82))/(1-(G8+E8)/(G8+E8+battleParameter.xml!D82))</f>
        <v>1.7396021699819171</v>
      </c>
      <c r="J8">
        <f>(G8+E8)/(E8+G8+battleParameter.xml!D82)</f>
        <v>0.80249480249480254</v>
      </c>
      <c r="Q8">
        <v>77</v>
      </c>
      <c r="R8">
        <v>4180</v>
      </c>
    </row>
    <row r="9" spans="1:18" x14ac:dyDescent="0.15">
      <c r="A9">
        <v>78</v>
      </c>
      <c r="B9">
        <v>0.4</v>
      </c>
      <c r="C9">
        <v>2.2400000000000002</v>
      </c>
      <c r="D9">
        <f>B9*battleParameter.xml!D83/(1-B9)</f>
        <v>2873.3333333333335</v>
      </c>
      <c r="E9">
        <f t="shared" si="0"/>
        <v>6436.2666666666673</v>
      </c>
      <c r="F9">
        <f>E9/(E9+battleParameter.xml!D83)</f>
        <v>0.59893048128342252</v>
      </c>
      <c r="G9">
        <f>battleParameter.xml!E83*0.6</f>
        <v>11077.8</v>
      </c>
      <c r="H9">
        <f>battleParameter.xml!E83*0.1+E9</f>
        <v>8282.5666666666675</v>
      </c>
      <c r="I9">
        <f>(1-(H9)/(H9+battleParameter.xml!D83))/(1-(G9+E9)/(G9+E9+battleParameter.xml!D83))</f>
        <v>1.7330912151877953</v>
      </c>
      <c r="J9">
        <f>(G9+E9)/(E9+G9+battleParameter.xml!D83)</f>
        <v>0.80251160034335178</v>
      </c>
      <c r="Q9">
        <v>78</v>
      </c>
      <c r="R9">
        <v>4310</v>
      </c>
    </row>
    <row r="10" spans="1:18" x14ac:dyDescent="0.15">
      <c r="A10">
        <v>79</v>
      </c>
      <c r="B10">
        <v>0.4</v>
      </c>
      <c r="C10">
        <v>2.2599999999999998</v>
      </c>
      <c r="D10">
        <f>B10*battleParameter.xml!D84/(1-B10)</f>
        <v>2966.666666666667</v>
      </c>
      <c r="E10">
        <f t="shared" si="0"/>
        <v>6704.666666666667</v>
      </c>
      <c r="F10">
        <f>E10/(E10+battleParameter.xml!D84)</f>
        <v>0.60106382978723405</v>
      </c>
      <c r="G10">
        <f>battleParameter.xml!E84*0.6</f>
        <v>11361.6</v>
      </c>
      <c r="H10">
        <f>battleParameter.xml!E84*0.1+E10</f>
        <v>8598.2666666666664</v>
      </c>
      <c r="I10">
        <f>(1-(H10)/(H10+battleParameter.xml!D84))/(1-(G10+E10)/(G10+E10+battleParameter.xml!D84))</f>
        <v>1.7256136191780262</v>
      </c>
      <c r="J10">
        <f>(G10+E10)/(E10+G10+battleParameter.xml!D84)</f>
        <v>0.80236510493154578</v>
      </c>
      <c r="Q10">
        <v>79</v>
      </c>
      <c r="R10">
        <v>4450</v>
      </c>
    </row>
    <row r="11" spans="1:18" x14ac:dyDescent="0.15">
      <c r="A11">
        <v>80</v>
      </c>
      <c r="B11">
        <v>0.4</v>
      </c>
      <c r="C11">
        <v>2.2799999999999998</v>
      </c>
      <c r="D11">
        <f>B11*battleParameter.xml!D85/(1-B11)</f>
        <v>3066.666666666667</v>
      </c>
      <c r="E11">
        <f t="shared" si="0"/>
        <v>6992</v>
      </c>
      <c r="F11">
        <f>E11/(E11+battleParameter.xml!D85)</f>
        <v>0.60317460317460314</v>
      </c>
      <c r="G11">
        <f>battleParameter.xml!E85*0.6</f>
        <v>11649</v>
      </c>
      <c r="H11">
        <f>battleParameter.xml!E85*0.1+E11</f>
        <v>8933.5</v>
      </c>
      <c r="I11">
        <f>(1-(H11)/(H11+battleParameter.xml!D85))/(1-(G11+E11)/(G11+E11+battleParameter.xml!D85))</f>
        <v>1.7172941219935716</v>
      </c>
      <c r="J11">
        <f>(G11+E11)/(E11+G11+battleParameter.xml!D85)</f>
        <v>0.8020739210877329</v>
      </c>
      <c r="Q11">
        <v>80</v>
      </c>
      <c r="R11">
        <v>4600</v>
      </c>
    </row>
    <row r="12" spans="1:18" x14ac:dyDescent="0.15">
      <c r="A12">
        <v>81</v>
      </c>
      <c r="B12">
        <v>0.4</v>
      </c>
      <c r="C12">
        <v>2.2999999999999998</v>
      </c>
      <c r="D12">
        <f>B12*battleParameter.xml!D86/(1-B12)</f>
        <v>3173.3333333333335</v>
      </c>
      <c r="E12">
        <f t="shared" si="0"/>
        <v>7298.6666666666661</v>
      </c>
      <c r="F12">
        <f>E12/(E12+battleParameter.xml!D86)</f>
        <v>0.60526315789473684</v>
      </c>
      <c r="G12">
        <f>battleParameter.xml!E86*0.6</f>
        <v>11940</v>
      </c>
      <c r="H12">
        <f>battleParameter.xml!E86*0.1+E12</f>
        <v>9288.6666666666661</v>
      </c>
      <c r="I12">
        <f>(1-(H12)/(H12+battleParameter.xml!D86))/(1-(G12+E12)/(G12+E12+battleParameter.xml!D86))</f>
        <v>1.7082522659327097</v>
      </c>
      <c r="J12">
        <f>(G12+E12)/(E12+G12+battleParameter.xml!D86)</f>
        <v>0.80165564753597418</v>
      </c>
      <c r="Q12">
        <v>81</v>
      </c>
      <c r="R12">
        <v>4760</v>
      </c>
    </row>
    <row r="13" spans="1:18" x14ac:dyDescent="0.15">
      <c r="A13">
        <v>82</v>
      </c>
      <c r="B13">
        <v>0.4</v>
      </c>
      <c r="C13">
        <v>2.3199999999999998</v>
      </c>
      <c r="D13">
        <f>B13*battleParameter.xml!D87/(1-B13)</f>
        <v>3286.666666666667</v>
      </c>
      <c r="E13">
        <f t="shared" si="0"/>
        <v>7625.0666666666666</v>
      </c>
      <c r="F13">
        <f>E13/(E13+battleParameter.xml!D87)</f>
        <v>0.60732984293193726</v>
      </c>
      <c r="G13">
        <f>battleParameter.xml!E87*0.6</f>
        <v>12234.6</v>
      </c>
      <c r="H13">
        <f>battleParameter.xml!E87*0.1+E13</f>
        <v>9664.1666666666661</v>
      </c>
      <c r="I13">
        <f>(1-(H13)/(H13+battleParameter.xml!D87))/(1-(G13+E13)/(G13+E13+battleParameter.xml!D87))</f>
        <v>1.6986010392280018</v>
      </c>
      <c r="J13">
        <f>(G13+E13)/(E13+G13+battleParameter.xml!D87)</f>
        <v>0.80112681359168469</v>
      </c>
      <c r="Q13">
        <v>82</v>
      </c>
      <c r="R13">
        <v>4930</v>
      </c>
    </row>
    <row r="14" spans="1:18" x14ac:dyDescent="0.15">
      <c r="A14">
        <v>83</v>
      </c>
      <c r="B14">
        <v>0.4</v>
      </c>
      <c r="C14">
        <v>2.34</v>
      </c>
      <c r="D14">
        <f>B14*battleParameter.xml!D88/(1-B14)</f>
        <v>3406.666666666667</v>
      </c>
      <c r="E14">
        <f t="shared" si="0"/>
        <v>7971.6</v>
      </c>
      <c r="F14">
        <f>E14/(E14+battleParameter.xml!D88)</f>
        <v>0.609375</v>
      </c>
      <c r="G14">
        <f>battleParameter.xml!E88*0.6</f>
        <v>12532.8</v>
      </c>
      <c r="H14">
        <f>battleParameter.xml!E88*0.1+E14</f>
        <v>10060.400000000001</v>
      </c>
      <c r="I14">
        <f>(1-(H14)/(H14+battleParameter.xml!D88))/(1-(G14+E14)/(G14+E14+battleParameter.xml!D88))</f>
        <v>1.6884459210040603</v>
      </c>
      <c r="J14">
        <f>(G14+E14)/(E14+G14+battleParameter.xml!D88)</f>
        <v>0.80050284215128986</v>
      </c>
      <c r="Q14">
        <v>83</v>
      </c>
      <c r="R14">
        <v>5110</v>
      </c>
    </row>
    <row r="15" spans="1:18" x14ac:dyDescent="0.15">
      <c r="A15">
        <v>84</v>
      </c>
      <c r="B15">
        <v>0.4</v>
      </c>
      <c r="C15">
        <v>2.36</v>
      </c>
      <c r="D15">
        <f>B15*battleParameter.xml!D89/(1-B15)</f>
        <v>3533.3333333333335</v>
      </c>
      <c r="E15">
        <f t="shared" si="0"/>
        <v>8338.6666666666661</v>
      </c>
      <c r="F15">
        <f>E15/(E15+battleParameter.xml!D89)</f>
        <v>0.6113989637305699</v>
      </c>
      <c r="G15">
        <f>battleParameter.xml!E89*0.6</f>
        <v>12834.6</v>
      </c>
      <c r="H15">
        <f>battleParameter.xml!E89*0.1+E15</f>
        <v>10477.766666666666</v>
      </c>
      <c r="I15">
        <f>(1-(H15)/(H15+battleParameter.xml!D89))/(1-(G15+E15)/(G15+E15+battleParameter.xml!D89))</f>
        <v>1.6778842802001979</v>
      </c>
      <c r="J15">
        <f>(G15+E15)/(E15+G15+battleParameter.xml!D89)</f>
        <v>0.7997980352506554</v>
      </c>
      <c r="Q15">
        <v>84</v>
      </c>
      <c r="R15">
        <v>5300</v>
      </c>
    </row>
    <row r="16" spans="1:18" x14ac:dyDescent="0.15">
      <c r="A16">
        <v>85</v>
      </c>
      <c r="B16">
        <v>0.4</v>
      </c>
      <c r="C16">
        <v>2.38</v>
      </c>
      <c r="D16">
        <f>B16*battleParameter.xml!D90/(1-B16)</f>
        <v>3666.666666666667</v>
      </c>
      <c r="E16">
        <f t="shared" si="0"/>
        <v>8726.6666666666679</v>
      </c>
      <c r="F16">
        <f>E16/(E16+battleParameter.xml!D90)</f>
        <v>0.61340206185567014</v>
      </c>
      <c r="G16">
        <f>battleParameter.xml!E90*0.6</f>
        <v>13140</v>
      </c>
      <c r="H16">
        <f>battleParameter.xml!E90*0.1+E16</f>
        <v>10916.666666666668</v>
      </c>
      <c r="I16">
        <f>(1-(H16)/(H16+battleParameter.xml!D90))/(1-(G16+E16)/(G16+E16+battleParameter.xml!D90))</f>
        <v>1.667005076142132</v>
      </c>
      <c r="J16">
        <f>(G16+E16)/(E16+G16+battleParameter.xml!D90)</f>
        <v>0.79902557856272838</v>
      </c>
      <c r="Q16">
        <v>85</v>
      </c>
      <c r="R16">
        <v>5500</v>
      </c>
    </row>
    <row r="17" spans="1:18" x14ac:dyDescent="0.15">
      <c r="A17">
        <v>86</v>
      </c>
      <c r="B17">
        <v>0.4</v>
      </c>
      <c r="C17">
        <v>2.4</v>
      </c>
      <c r="D17">
        <f>B17*battleParameter.xml!D91/(1-B17)</f>
        <v>3806.666666666667</v>
      </c>
      <c r="E17">
        <f t="shared" si="0"/>
        <v>9136</v>
      </c>
      <c r="F17">
        <f>E17/(E17+battleParameter.xml!D91)</f>
        <v>0.61538461538461542</v>
      </c>
      <c r="G17">
        <f>battleParameter.xml!E91*0.6</f>
        <v>13449</v>
      </c>
      <c r="H17">
        <f>battleParameter.xml!E91*0.1+E17</f>
        <v>11377.5</v>
      </c>
      <c r="I17">
        <f>(1-(H17)/(H17+battleParameter.xml!D91))/(1-(G17+E17)/(G17+E17+battleParameter.xml!D91))</f>
        <v>1.6558888076079004</v>
      </c>
      <c r="J17">
        <f>(G17+E17)/(E17+G17+battleParameter.xml!D91)</f>
        <v>0.79819756140660891</v>
      </c>
      <c r="Q17">
        <v>86</v>
      </c>
      <c r="R17">
        <v>5710</v>
      </c>
    </row>
    <row r="18" spans="1:18" x14ac:dyDescent="0.15">
      <c r="A18">
        <v>87</v>
      </c>
      <c r="B18">
        <v>0.4</v>
      </c>
      <c r="C18">
        <v>2.42</v>
      </c>
      <c r="D18">
        <f>B18*battleParameter.xml!D92/(1-B18)</f>
        <v>3953.3333333333335</v>
      </c>
      <c r="E18">
        <f t="shared" si="0"/>
        <v>9567.0666666666675</v>
      </c>
      <c r="F18">
        <f>E18/(E18+battleParameter.xml!D92)</f>
        <v>0.61734693877551028</v>
      </c>
      <c r="G18">
        <f>battleParameter.xml!E92*0.6</f>
        <v>13761.6</v>
      </c>
      <c r="H18">
        <f>battleParameter.xml!E92*0.1+E18</f>
        <v>11860.666666666668</v>
      </c>
      <c r="I18">
        <f>(1-(H18)/(H18+battleParameter.xml!D92))/(1-(G18+E18)/(G18+E18+battleParameter.xml!D92))</f>
        <v>1.6446076594469008</v>
      </c>
      <c r="J18">
        <f>(G18+E18)/(E18+G18+battleParameter.xml!D92)</f>
        <v>0.79732500911410864</v>
      </c>
      <c r="Q18">
        <v>87</v>
      </c>
      <c r="R18">
        <v>5930</v>
      </c>
    </row>
    <row r="19" spans="1:18" x14ac:dyDescent="0.15">
      <c r="A19">
        <v>88</v>
      </c>
      <c r="B19">
        <v>0.4</v>
      </c>
      <c r="C19">
        <v>2.44</v>
      </c>
      <c r="D19">
        <f>B19*battleParameter.xml!D93/(1-B19)</f>
        <v>4106.666666666667</v>
      </c>
      <c r="E19">
        <f t="shared" si="0"/>
        <v>10020.266666666666</v>
      </c>
      <c r="F19">
        <f>E19/(E19+battleParameter.xml!D93)</f>
        <v>0.61928934010152281</v>
      </c>
      <c r="G19">
        <f>battleParameter.xml!E93*0.6</f>
        <v>14077.8</v>
      </c>
      <c r="H19">
        <f>battleParameter.xml!E93*0.1+E19</f>
        <v>12366.566666666666</v>
      </c>
      <c r="I19">
        <f>(1-(H19)/(H19+battleParameter.xml!D93))/(1-(G19+E19)/(G19+E19+battleParameter.xml!D93))</f>
        <v>1.6332258000672908</v>
      </c>
      <c r="J19">
        <f>(G19+E19)/(E19+G19+battleParameter.xml!D93)</f>
        <v>0.79641792491699182</v>
      </c>
      <c r="Q19">
        <v>88</v>
      </c>
      <c r="R19">
        <v>6160</v>
      </c>
    </row>
    <row r="20" spans="1:18" x14ac:dyDescent="0.15">
      <c r="A20">
        <v>89</v>
      </c>
      <c r="B20">
        <v>0.4</v>
      </c>
      <c r="C20">
        <v>2.46</v>
      </c>
      <c r="D20">
        <f>B20*battleParameter.xml!D94/(1-B20)</f>
        <v>4266.666666666667</v>
      </c>
      <c r="E20">
        <f t="shared" si="0"/>
        <v>10496</v>
      </c>
      <c r="F20">
        <f>E20/(E20+battleParameter.xml!D94)</f>
        <v>0.62121212121212122</v>
      </c>
      <c r="G20">
        <f>battleParameter.xml!E94*0.6</f>
        <v>14397.6</v>
      </c>
      <c r="H20">
        <f>battleParameter.xml!E94*0.1+E20</f>
        <v>12895.6</v>
      </c>
      <c r="I20">
        <f>(1-(H20)/(H20+battleParameter.xml!D94))/(1-(G20+E20)/(G20+E20+battleParameter.xml!D94))</f>
        <v>1.6217997885528308</v>
      </c>
      <c r="J20">
        <f>(G20+E20)/(E20+G20+battleParameter.xml!D94)</f>
        <v>0.79548533885522921</v>
      </c>
      <c r="Q20">
        <v>89</v>
      </c>
      <c r="R20">
        <v>6400</v>
      </c>
    </row>
    <row r="21" spans="1:18" x14ac:dyDescent="0.15">
      <c r="A21">
        <v>90</v>
      </c>
      <c r="B21">
        <v>0.4</v>
      </c>
      <c r="C21">
        <v>2.48</v>
      </c>
      <c r="D21">
        <f>B21*battleParameter.xml!D95/(1-B21)</f>
        <v>4433.3333333333339</v>
      </c>
      <c r="E21">
        <f t="shared" si="0"/>
        <v>10994.666666666668</v>
      </c>
      <c r="F21">
        <f>E21/(E21+battleParameter.xml!D95)</f>
        <v>0.62311557788944727</v>
      </c>
      <c r="G21">
        <f>battleParameter.xml!E95*0.6</f>
        <v>14721</v>
      </c>
      <c r="H21">
        <f>battleParameter.xml!E95*0.1+E21</f>
        <v>13448.166666666668</v>
      </c>
      <c r="I21">
        <f>(1-(H21)/(H21+battleParameter.xml!D95))/(1-(G21+E21)/(G21+E21+battleParameter.xml!D95))</f>
        <v>1.6103790561328148</v>
      </c>
      <c r="J21">
        <f>(G21+E21)/(E21+G21+battleParameter.xml!D95)</f>
        <v>0.79453536154567084</v>
      </c>
      <c r="Q21">
        <v>90</v>
      </c>
      <c r="R21">
        <v>6650</v>
      </c>
    </row>
    <row r="22" spans="1:18" x14ac:dyDescent="0.15">
      <c r="A22">
        <v>91</v>
      </c>
      <c r="B22">
        <v>0.4</v>
      </c>
      <c r="C22">
        <v>2.5</v>
      </c>
      <c r="D22">
        <f>B22*battleParameter.xml!D96/(1-B22)</f>
        <v>4606.666666666667</v>
      </c>
      <c r="E22">
        <f t="shared" si="0"/>
        <v>11516.666666666668</v>
      </c>
      <c r="F22">
        <f>E22/(E22+battleParameter.xml!D96)</f>
        <v>0.625</v>
      </c>
      <c r="G22">
        <f>battleParameter.xml!E96*0.6</f>
        <v>15048</v>
      </c>
      <c r="H22">
        <f>battleParameter.xml!E96*0.1+E22</f>
        <v>14024.666666666668</v>
      </c>
      <c r="I22">
        <f>(1-(H22)/(H22+battleParameter.xml!D96))/(1-(G22+E22)/(G22+E22+battleParameter.xml!D96))</f>
        <v>1.5990064327112918</v>
      </c>
      <c r="J22">
        <f>(G22+E22)/(E22+G22+battleParameter.xml!D96)</f>
        <v>0.79357524097825216</v>
      </c>
      <c r="Q22">
        <v>91</v>
      </c>
      <c r="R22">
        <v>6910</v>
      </c>
    </row>
    <row r="23" spans="1:18" x14ac:dyDescent="0.15">
      <c r="A23">
        <v>92</v>
      </c>
      <c r="B23">
        <v>0.4</v>
      </c>
      <c r="C23">
        <v>2.52</v>
      </c>
      <c r="D23">
        <f>B23*battleParameter.xml!D97/(1-B23)</f>
        <v>4786.666666666667</v>
      </c>
      <c r="E23">
        <f t="shared" si="0"/>
        <v>12062.400000000001</v>
      </c>
      <c r="F23">
        <f>E23/(E23+battleParameter.xml!D97)</f>
        <v>0.62686567164179108</v>
      </c>
      <c r="G23">
        <f>battleParameter.xml!E97*0.6</f>
        <v>15378.599999999999</v>
      </c>
      <c r="H23">
        <f>battleParameter.xml!E97*0.1+E23</f>
        <v>14625.500000000002</v>
      </c>
      <c r="I23">
        <f>(1-(H23)/(H23+battleParameter.xml!D97))/(1-(G23+E23)/(G23+E23+battleParameter.xml!D97))</f>
        <v>1.5877186948247</v>
      </c>
      <c r="J23">
        <f>(G23+E23)/(E23+G23+battleParameter.xml!D97)</f>
        <v>0.79261142081395686</v>
      </c>
      <c r="Q23">
        <v>92</v>
      </c>
      <c r="R23">
        <v>7180</v>
      </c>
    </row>
    <row r="24" spans="1:18" x14ac:dyDescent="0.15">
      <c r="A24">
        <v>93</v>
      </c>
      <c r="B24">
        <v>0.4</v>
      </c>
      <c r="C24">
        <v>2.54</v>
      </c>
      <c r="D24">
        <f>B24*battleParameter.xml!D98/(1-B24)</f>
        <v>4973.3333333333339</v>
      </c>
      <c r="E24">
        <f t="shared" si="0"/>
        <v>12632.266666666668</v>
      </c>
      <c r="F24">
        <f>E24/(E24+battleParameter.xml!D98)</f>
        <v>0.62871287128712872</v>
      </c>
      <c r="G24">
        <f>battleParameter.xml!E98*0.6</f>
        <v>15712.8</v>
      </c>
      <c r="H24">
        <f>battleParameter.xml!E98*0.1+E24</f>
        <v>15251.066666666669</v>
      </c>
      <c r="I24">
        <f>(1-(H24)/(H24+battleParameter.xml!D98))/(1-(G24+E24)/(G24+E24+battleParameter.xml!D98))</f>
        <v>1.5765471165305602</v>
      </c>
      <c r="J24">
        <f>(G24+E24)/(E24+G24+battleParameter.xml!D98)</f>
        <v>0.79164959893944242</v>
      </c>
      <c r="Q24">
        <v>93</v>
      </c>
      <c r="R24">
        <v>7460</v>
      </c>
    </row>
    <row r="25" spans="1:18" x14ac:dyDescent="0.15">
      <c r="A25">
        <v>94</v>
      </c>
      <c r="B25">
        <v>0.4</v>
      </c>
      <c r="C25">
        <v>2.56</v>
      </c>
      <c r="D25">
        <f>B25*battleParameter.xml!D99/(1-B25)</f>
        <v>5166.666666666667</v>
      </c>
      <c r="E25">
        <f t="shared" si="0"/>
        <v>13226.666666666668</v>
      </c>
      <c r="F25">
        <f>E25/(E25+battleParameter.xml!D99)</f>
        <v>0.63054187192118227</v>
      </c>
      <c r="G25">
        <f>battleParameter.xml!E99*0.6</f>
        <v>16050.599999999999</v>
      </c>
      <c r="H25">
        <f>battleParameter.xml!E99*0.1+E25</f>
        <v>15901.766666666668</v>
      </c>
      <c r="I25">
        <f>(1-(H25)/(H25+battleParameter.xml!D99))/(1-(G25+E25)/(G25+E25+battleParameter.xml!D99))</f>
        <v>1.5655180092255272</v>
      </c>
      <c r="J25">
        <f>(G25+E25)/(E25+G25+battleParameter.xml!D99)</f>
        <v>0.7906947852843581</v>
      </c>
      <c r="Q25">
        <v>94</v>
      </c>
      <c r="R25">
        <v>7750</v>
      </c>
    </row>
    <row r="26" spans="1:18" x14ac:dyDescent="0.15">
      <c r="A26">
        <v>95</v>
      </c>
      <c r="B26">
        <v>0.4</v>
      </c>
      <c r="C26">
        <v>2.58</v>
      </c>
      <c r="D26">
        <f>B26*battleParameter.xml!D100/(1-B26)</f>
        <v>5366.666666666667</v>
      </c>
      <c r="E26">
        <f t="shared" si="0"/>
        <v>13846.000000000002</v>
      </c>
      <c r="F26">
        <f>E26/(E26+battleParameter.xml!D100)</f>
        <v>0.63235294117647067</v>
      </c>
      <c r="G26">
        <f>battleParameter.xml!E100*0.6</f>
        <v>16392</v>
      </c>
      <c r="H26">
        <f>battleParameter.xml!E100*0.1+E26</f>
        <v>16578</v>
      </c>
      <c r="I26">
        <f>(1-(H26)/(H26+battleParameter.xml!D100))/(1-(G26+E26)/(G26+E26+battleParameter.xml!D100))</f>
        <v>1.5546532402143907</v>
      </c>
      <c r="J26">
        <f>(G26+E26)/(E26+G26+battleParameter.xml!D100)</f>
        <v>0.789751358127873</v>
      </c>
      <c r="Q26">
        <v>95</v>
      </c>
      <c r="R26">
        <v>8050</v>
      </c>
    </row>
    <row r="27" spans="1:18" x14ac:dyDescent="0.15">
      <c r="A27">
        <v>96</v>
      </c>
      <c r="B27">
        <v>0.4</v>
      </c>
      <c r="C27">
        <v>2.6</v>
      </c>
      <c r="D27">
        <f>B27*battleParameter.xml!D101/(1-B27)</f>
        <v>5573.3333333333339</v>
      </c>
      <c r="E27">
        <f t="shared" si="0"/>
        <v>14490.666666666668</v>
      </c>
      <c r="F27">
        <f>E27/(E27+battleParameter.xml!D101)</f>
        <v>0.63414634146341464</v>
      </c>
      <c r="G27">
        <f>battleParameter.xml!E101*0.6</f>
        <v>16737</v>
      </c>
      <c r="H27">
        <f>battleParameter.xml!E101*0.1+E27</f>
        <v>17280.166666666668</v>
      </c>
      <c r="I27">
        <f>(1-(H27)/(H27+battleParameter.xml!D101))/(1-(G27+E27)/(G27+E27+battleParameter.xml!D101))</f>
        <v>1.5439707230192208</v>
      </c>
      <c r="J27">
        <f>(G27+E27)/(E27+G27+battleParameter.xml!D101)</f>
        <v>0.78882311831125851</v>
      </c>
      <c r="Q27">
        <v>96</v>
      </c>
      <c r="R27">
        <v>8360</v>
      </c>
    </row>
    <row r="28" spans="1:18" x14ac:dyDescent="0.15">
      <c r="A28">
        <v>97</v>
      </c>
      <c r="B28">
        <v>0.4</v>
      </c>
      <c r="C28">
        <v>2.62</v>
      </c>
      <c r="D28">
        <f>B28*battleParameter.xml!D102/(1-B28)</f>
        <v>5786.666666666667</v>
      </c>
      <c r="E28">
        <f t="shared" si="0"/>
        <v>15161.066666666668</v>
      </c>
      <c r="F28">
        <f>E28/(E28+battleParameter.xml!D102)</f>
        <v>0.63592233009708743</v>
      </c>
      <c r="G28">
        <f>battleParameter.xml!E102*0.6</f>
        <v>17085.599999999999</v>
      </c>
      <c r="H28">
        <f>battleParameter.xml!E102*0.1+E28</f>
        <v>18008.666666666668</v>
      </c>
      <c r="I28">
        <f>(1-(H28)/(H28+battleParameter.xml!D102))/(1-(G28+E28)/(G28+E28+battleParameter.xml!D102))</f>
        <v>1.5334848749781425</v>
      </c>
      <c r="J28">
        <f>(G28+E28)/(E28+G28+battleParameter.xml!D102)</f>
        <v>0.78791334093500565</v>
      </c>
      <c r="Q28">
        <v>97</v>
      </c>
      <c r="R28">
        <v>8680</v>
      </c>
    </row>
    <row r="29" spans="1:18" x14ac:dyDescent="0.15">
      <c r="A29">
        <v>98</v>
      </c>
      <c r="B29">
        <v>0.4</v>
      </c>
      <c r="C29">
        <v>2.64</v>
      </c>
      <c r="D29">
        <f>B29*battleParameter.xml!D103/(1-B29)</f>
        <v>6006.666666666667</v>
      </c>
      <c r="E29">
        <f t="shared" si="0"/>
        <v>15857.600000000002</v>
      </c>
      <c r="F29">
        <f>E29/(E29+battleParameter.xml!D103)</f>
        <v>0.63768115942028991</v>
      </c>
      <c r="G29">
        <f>battleParameter.xml!E103*0.6</f>
        <v>17437.8</v>
      </c>
      <c r="H29">
        <f>battleParameter.xml!E103*0.1+E29</f>
        <v>18763.900000000001</v>
      </c>
      <c r="I29">
        <f>(1-(H29)/(H29+battleParameter.xml!D103))/(1-(G29+E29)/(G29+E29+battleParameter.xml!D103))</f>
        <v>1.5232070397027426</v>
      </c>
      <c r="J29">
        <f>(G29+E29)/(E29+G29+battleParameter.xml!D103)</f>
        <v>0.78702482425411413</v>
      </c>
      <c r="Q29">
        <v>98</v>
      </c>
      <c r="R29">
        <v>9010</v>
      </c>
    </row>
    <row r="30" spans="1:18" x14ac:dyDescent="0.15">
      <c r="A30">
        <v>99</v>
      </c>
      <c r="B30">
        <v>0.4</v>
      </c>
      <c r="C30">
        <v>2.66</v>
      </c>
      <c r="D30">
        <f>B30*battleParameter.xml!D104/(1-B30)</f>
        <v>6233.3333333333339</v>
      </c>
      <c r="E30">
        <f t="shared" si="0"/>
        <v>16580.666666666668</v>
      </c>
      <c r="F30">
        <f>E30/(E30+battleParameter.xml!D104)</f>
        <v>0.63942307692307698</v>
      </c>
      <c r="G30">
        <f>battleParameter.xml!E104*0.6</f>
        <v>17793.599999999999</v>
      </c>
      <c r="H30">
        <f>battleParameter.xml!E104*0.1+E30</f>
        <v>19546.26666666667</v>
      </c>
      <c r="I30">
        <f>(1-(H30)/(H30+battleParameter.xml!D104))/(1-(G30+E30)/(G30+E30+battleParameter.xml!D104))</f>
        <v>1.5131458735153787</v>
      </c>
      <c r="J30">
        <f>(G30+E30)/(E30+G30+battleParameter.xml!D104)</f>
        <v>0.78615993559640407</v>
      </c>
      <c r="Q30">
        <v>99</v>
      </c>
      <c r="R30">
        <v>9350</v>
      </c>
    </row>
    <row r="31" spans="1:18" x14ac:dyDescent="0.15">
      <c r="A31">
        <v>100</v>
      </c>
      <c r="B31">
        <v>0.4</v>
      </c>
      <c r="C31">
        <v>2.68</v>
      </c>
      <c r="D31">
        <f>B31*battleParameter.xml!D105/(1-B31)</f>
        <v>6466.666666666667</v>
      </c>
      <c r="E31">
        <f t="shared" si="0"/>
        <v>17330.666666666668</v>
      </c>
      <c r="F31">
        <f>E31/(E31+battleParameter.xml!D105)</f>
        <v>0.64114832535885169</v>
      </c>
      <c r="G31">
        <f>battleParameter.xml!E105*0.6</f>
        <v>18153</v>
      </c>
      <c r="H31">
        <f>battleParameter.xml!E105*0.1+E31</f>
        <v>20356.166666666668</v>
      </c>
      <c r="I31">
        <f>(1-(H31)/(H31+battleParameter.xml!D105))/(1-(G31+E31)/(G31+E31+battleParameter.xml!D105))</f>
        <v>1.5033076961466587</v>
      </c>
      <c r="J31">
        <f>(G31+E31)/(E31+G31+battleParameter.xml!D105)</f>
        <v>0.78532065421870734</v>
      </c>
      <c r="Q31">
        <v>100</v>
      </c>
      <c r="R31">
        <v>9700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battleParameter.xml</vt:lpstr>
      <vt:lpstr>battleParameter.txt</vt:lpstr>
      <vt:lpstr>抗性占比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2014-11-23T09:07:08Z</dcterms:modified>
</cp:coreProperties>
</file>