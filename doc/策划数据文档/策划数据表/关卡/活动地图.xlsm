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Activity.xml" sheetId="1" r:id="rId1"/>
    <sheet name="map-客户端" sheetId="2" r:id="rId2"/>
    <sheet name="Sheet3" sheetId="3" r:id="rId3"/>
    <sheet name="掉落权重" sheetId="4" r:id="rId4"/>
  </sheets>
  <functionGroups/>
  <externalReferences>
    <externalReference r:id="rId5"/>
  </externalReferences>
  <calcPr calcId="124519"/>
</workbook>
</file>

<file path=xl/calcChain.xml><?xml version="1.0" encoding="utf-8"?>
<calcChain xmlns="http://schemas.openxmlformats.org/spreadsheetml/2006/main">
  <c r="L3" i="4"/>
  <c r="M3"/>
  <c r="N3"/>
  <c r="O3"/>
  <c r="P3"/>
  <c r="L4"/>
  <c r="M4"/>
  <c r="N4"/>
  <c r="O4"/>
  <c r="P4"/>
  <c r="L5"/>
  <c r="M5"/>
  <c r="N5"/>
  <c r="O5"/>
  <c r="P5"/>
  <c r="L6"/>
  <c r="M6"/>
  <c r="N6"/>
  <c r="O6"/>
  <c r="P6"/>
  <c r="L7"/>
  <c r="M7"/>
  <c r="N7"/>
  <c r="O7"/>
  <c r="P7"/>
  <c r="L8"/>
  <c r="M8"/>
  <c r="N8"/>
  <c r="O8"/>
  <c r="P8"/>
  <c r="L9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L19"/>
  <c r="M19"/>
  <c r="N19"/>
  <c r="O19"/>
  <c r="P19"/>
  <c r="L20"/>
  <c r="M20"/>
  <c r="N20"/>
  <c r="O20"/>
  <c r="P20"/>
  <c r="L21"/>
  <c r="M21"/>
  <c r="N21"/>
  <c r="O21"/>
  <c r="P21"/>
  <c r="L22"/>
  <c r="M22"/>
  <c r="N22"/>
  <c r="O22"/>
  <c r="P22"/>
  <c r="L23"/>
  <c r="M23"/>
  <c r="N23"/>
  <c r="O23"/>
  <c r="P23"/>
  <c r="L24"/>
  <c r="M24"/>
  <c r="N24"/>
  <c r="O24"/>
  <c r="P24"/>
  <c r="L25"/>
  <c r="M25"/>
  <c r="N25"/>
  <c r="O25"/>
  <c r="P25"/>
  <c r="L26"/>
  <c r="M26"/>
  <c r="N26"/>
  <c r="O26"/>
  <c r="P26"/>
  <c r="L27"/>
  <c r="M27"/>
  <c r="N27"/>
  <c r="O27"/>
  <c r="P27"/>
  <c r="L28"/>
  <c r="M28"/>
  <c r="N28"/>
  <c r="O28"/>
  <c r="P28"/>
  <c r="L29"/>
  <c r="M29"/>
  <c r="N29"/>
  <c r="O29"/>
  <c r="P29"/>
  <c r="L30"/>
  <c r="M30"/>
  <c r="N30"/>
  <c r="O30"/>
  <c r="P30"/>
  <c r="L31"/>
  <c r="M31"/>
  <c r="N31"/>
  <c r="O31"/>
  <c r="P31"/>
  <c r="L32"/>
  <c r="M32"/>
  <c r="N32"/>
  <c r="O32"/>
  <c r="P32"/>
  <c r="L33"/>
  <c r="M33"/>
  <c r="N33"/>
  <c r="O33"/>
  <c r="P33"/>
  <c r="L34"/>
  <c r="M34"/>
  <c r="N34"/>
  <c r="O34"/>
  <c r="P34"/>
  <c r="L35"/>
  <c r="M35"/>
  <c r="N35"/>
  <c r="O35"/>
  <c r="P35"/>
  <c r="L36"/>
  <c r="M36"/>
  <c r="N36"/>
  <c r="O36"/>
  <c r="P36"/>
  <c r="M2"/>
  <c r="N2"/>
  <c r="O2"/>
  <c r="P2"/>
  <c r="L2"/>
  <c r="G3"/>
  <c r="H3"/>
  <c r="I3"/>
  <c r="J3"/>
  <c r="K3"/>
  <c r="G4"/>
  <c r="H4"/>
  <c r="I4"/>
  <c r="J4"/>
  <c r="K4"/>
  <c r="G5"/>
  <c r="H5"/>
  <c r="I5"/>
  <c r="J5"/>
  <c r="K5"/>
  <c r="G6"/>
  <c r="H6"/>
  <c r="I6"/>
  <c r="J6"/>
  <c r="K6"/>
  <c r="G7"/>
  <c r="H7"/>
  <c r="I7"/>
  <c r="J7"/>
  <c r="K7"/>
  <c r="G8"/>
  <c r="H8"/>
  <c r="I8"/>
  <c r="J8"/>
  <c r="K8"/>
  <c r="G9"/>
  <c r="H9"/>
  <c r="I9"/>
  <c r="J9"/>
  <c r="K9"/>
  <c r="G10"/>
  <c r="H10"/>
  <c r="I10"/>
  <c r="J10"/>
  <c r="K10"/>
  <c r="G11"/>
  <c r="H11"/>
  <c r="I11"/>
  <c r="J11"/>
  <c r="K11"/>
  <c r="G12"/>
  <c r="H12"/>
  <c r="I12"/>
  <c r="J12"/>
  <c r="K12"/>
  <c r="G13"/>
  <c r="H13"/>
  <c r="I13"/>
  <c r="J13"/>
  <c r="K13"/>
  <c r="G14"/>
  <c r="H14"/>
  <c r="I14"/>
  <c r="J14"/>
  <c r="K14"/>
  <c r="G15"/>
  <c r="H15"/>
  <c r="I15"/>
  <c r="J15"/>
  <c r="K15"/>
  <c r="G16"/>
  <c r="H16"/>
  <c r="I16"/>
  <c r="J16"/>
  <c r="K16"/>
  <c r="G17"/>
  <c r="H17"/>
  <c r="I17"/>
  <c r="J17"/>
  <c r="K17"/>
  <c r="G18"/>
  <c r="H18"/>
  <c r="I18"/>
  <c r="J18"/>
  <c r="K18"/>
  <c r="G19"/>
  <c r="H19"/>
  <c r="I19"/>
  <c r="J19"/>
  <c r="K19"/>
  <c r="G20"/>
  <c r="H20"/>
  <c r="I20"/>
  <c r="J20"/>
  <c r="K20"/>
  <c r="G21"/>
  <c r="H21"/>
  <c r="I21"/>
  <c r="J21"/>
  <c r="K21"/>
  <c r="G22"/>
  <c r="H22"/>
  <c r="I22"/>
  <c r="J22"/>
  <c r="K22"/>
  <c r="G23"/>
  <c r="H23"/>
  <c r="I23"/>
  <c r="J23"/>
  <c r="K23"/>
  <c r="G24"/>
  <c r="H24"/>
  <c r="I24"/>
  <c r="J24"/>
  <c r="K24"/>
  <c r="G25"/>
  <c r="H25"/>
  <c r="I25"/>
  <c r="J25"/>
  <c r="K25"/>
  <c r="G26"/>
  <c r="H26"/>
  <c r="I26"/>
  <c r="J26"/>
  <c r="K26"/>
  <c r="G27"/>
  <c r="H27"/>
  <c r="I27"/>
  <c r="J27"/>
  <c r="K27"/>
  <c r="G28"/>
  <c r="H28"/>
  <c r="I28"/>
  <c r="J28"/>
  <c r="K28"/>
  <c r="G29"/>
  <c r="H29"/>
  <c r="I29"/>
  <c r="J29"/>
  <c r="K29"/>
  <c r="G30"/>
  <c r="H30"/>
  <c r="I30"/>
  <c r="J30"/>
  <c r="K30"/>
  <c r="G31"/>
  <c r="H31"/>
  <c r="I31"/>
  <c r="J31"/>
  <c r="K31"/>
  <c r="G32"/>
  <c r="H32"/>
  <c r="I32"/>
  <c r="J32"/>
  <c r="K32"/>
  <c r="G33"/>
  <c r="H33"/>
  <c r="I33"/>
  <c r="J33"/>
  <c r="K33"/>
  <c r="G34"/>
  <c r="H34"/>
  <c r="I34"/>
  <c r="J34"/>
  <c r="K34"/>
  <c r="G35"/>
  <c r="H35"/>
  <c r="I35"/>
  <c r="J35"/>
  <c r="K35"/>
  <c r="G36"/>
  <c r="H36"/>
  <c r="I36"/>
  <c r="J36"/>
  <c r="K36"/>
  <c r="H2"/>
  <c r="I2"/>
  <c r="J2"/>
  <c r="K2"/>
  <c r="G2"/>
  <c r="F3" i="2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2"/>
  <c r="B117" i="4" l="1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16"/>
  <c r="H123"/>
  <c r="H135"/>
  <c r="H136"/>
  <c r="H137"/>
  <c r="H138"/>
  <c r="H139"/>
  <c r="H140"/>
  <c r="H141"/>
  <c r="H142"/>
  <c r="H143"/>
  <c r="H144"/>
  <c r="H145"/>
  <c r="H146"/>
  <c r="H147"/>
  <c r="H148"/>
  <c r="H149"/>
  <c r="H150"/>
  <c r="H116"/>
  <c r="I133"/>
  <c r="H133" s="1"/>
  <c r="I134"/>
  <c r="H134" s="1"/>
  <c r="I135"/>
  <c r="I136"/>
  <c r="I137"/>
  <c r="I138"/>
  <c r="I139"/>
  <c r="I140"/>
  <c r="I141"/>
  <c r="I142"/>
  <c r="I143"/>
  <c r="I144"/>
  <c r="I145"/>
  <c r="I146"/>
  <c r="I147"/>
  <c r="I148"/>
  <c r="I149"/>
  <c r="I150"/>
  <c r="I117"/>
  <c r="H117" s="1"/>
  <c r="I118"/>
  <c r="H118" s="1"/>
  <c r="I119"/>
  <c r="H119" s="1"/>
  <c r="I120"/>
  <c r="H120" s="1"/>
  <c r="I121"/>
  <c r="H121" s="1"/>
  <c r="I122"/>
  <c r="H122" s="1"/>
  <c r="I123"/>
  <c r="I124"/>
  <c r="H124" s="1"/>
  <c r="I125"/>
  <c r="H125" s="1"/>
  <c r="I126"/>
  <c r="H126" s="1"/>
  <c r="I127"/>
  <c r="H127" s="1"/>
  <c r="I128"/>
  <c r="H128" s="1"/>
  <c r="I129"/>
  <c r="H129" s="1"/>
  <c r="I130"/>
  <c r="H130" s="1"/>
  <c r="I131"/>
  <c r="H131" s="1"/>
  <c r="I132"/>
  <c r="H132" s="1"/>
  <c r="I116"/>
  <c r="B22" l="1"/>
  <c r="S9"/>
  <c r="AA9"/>
  <c r="S13"/>
  <c r="AA13"/>
  <c r="S17"/>
  <c r="AA17"/>
  <c r="S21"/>
  <c r="AA21"/>
  <c r="S25"/>
  <c r="AA25"/>
  <c r="S29"/>
  <c r="S33"/>
  <c r="B6"/>
  <c r="B7"/>
  <c r="B8"/>
  <c r="AA8" s="1"/>
  <c r="B9"/>
  <c r="Y9" s="1"/>
  <c r="B10"/>
  <c r="W10" s="1"/>
  <c r="B11"/>
  <c r="Y11" s="1"/>
  <c r="B12"/>
  <c r="W12" s="1"/>
  <c r="B13"/>
  <c r="Y13" s="1"/>
  <c r="B14"/>
  <c r="W14" s="1"/>
  <c r="B15"/>
  <c r="Y15" s="1"/>
  <c r="B16"/>
  <c r="W16" s="1"/>
  <c r="B17"/>
  <c r="Y17" s="1"/>
  <c r="B18"/>
  <c r="W18" s="1"/>
  <c r="B19"/>
  <c r="Y19" s="1"/>
  <c r="B20"/>
  <c r="W20" s="1"/>
  <c r="B21"/>
  <c r="Y21" s="1"/>
  <c r="W22"/>
  <c r="B23"/>
  <c r="Y23" s="1"/>
  <c r="W24"/>
  <c r="B25"/>
  <c r="Y25" s="1"/>
  <c r="W26"/>
  <c r="Y27"/>
  <c r="B28"/>
  <c r="W28" s="1"/>
  <c r="Y29"/>
  <c r="W30"/>
  <c r="Y31"/>
  <c r="W32"/>
  <c r="Y33"/>
  <c r="W34"/>
  <c r="Y35"/>
  <c r="W36"/>
  <c r="B5"/>
  <c r="AA33" l="1"/>
  <c r="AA29"/>
  <c r="A41"/>
  <c r="E80" s="1"/>
  <c r="A42"/>
  <c r="E81" s="1"/>
  <c r="A40"/>
  <c r="E79" s="1"/>
  <c r="T34"/>
  <c r="T30"/>
  <c r="T26"/>
  <c r="T22"/>
  <c r="T18"/>
  <c r="T14"/>
  <c r="T10"/>
  <c r="Y34"/>
  <c r="Y30"/>
  <c r="Y26"/>
  <c r="Y22"/>
  <c r="Y18"/>
  <c r="Y14"/>
  <c r="Y10"/>
  <c r="W8"/>
  <c r="T32"/>
  <c r="T24"/>
  <c r="V13"/>
  <c r="T12"/>
  <c r="V9"/>
  <c r="X8"/>
  <c r="X34"/>
  <c r="Z33"/>
  <c r="R33"/>
  <c r="X30"/>
  <c r="Z29"/>
  <c r="R29"/>
  <c r="X26"/>
  <c r="Z25"/>
  <c r="R25"/>
  <c r="X22"/>
  <c r="Z21"/>
  <c r="R21"/>
  <c r="X18"/>
  <c r="Z17"/>
  <c r="R17"/>
  <c r="X14"/>
  <c r="Z13"/>
  <c r="R13"/>
  <c r="X10"/>
  <c r="Z9"/>
  <c r="R9"/>
  <c r="V8"/>
  <c r="T36"/>
  <c r="V33"/>
  <c r="V29"/>
  <c r="T28"/>
  <c r="V25"/>
  <c r="V21"/>
  <c r="T20"/>
  <c r="V17"/>
  <c r="T16"/>
  <c r="X36"/>
  <c r="U34"/>
  <c r="W33"/>
  <c r="X32"/>
  <c r="U30"/>
  <c r="W29"/>
  <c r="X28"/>
  <c r="U26"/>
  <c r="W25"/>
  <c r="X24"/>
  <c r="U22"/>
  <c r="W21"/>
  <c r="X20"/>
  <c r="U18"/>
  <c r="W17"/>
  <c r="X16"/>
  <c r="U14"/>
  <c r="W13"/>
  <c r="X12"/>
  <c r="U10"/>
  <c r="W9"/>
  <c r="Z31"/>
  <c r="V31"/>
  <c r="R31"/>
  <c r="Z27"/>
  <c r="V27"/>
  <c r="R27"/>
  <c r="V19"/>
  <c r="R19"/>
  <c r="V15"/>
  <c r="R15"/>
  <c r="Z11"/>
  <c r="V11"/>
  <c r="R11"/>
  <c r="R8"/>
  <c r="Y8"/>
  <c r="U36"/>
  <c r="AA35"/>
  <c r="W35"/>
  <c r="S35"/>
  <c r="Y32"/>
  <c r="AA31"/>
  <c r="W31"/>
  <c r="S31"/>
  <c r="Y28"/>
  <c r="U24"/>
  <c r="U20"/>
  <c r="Y16"/>
  <c r="AA15"/>
  <c r="Y12"/>
  <c r="U12"/>
  <c r="W11"/>
  <c r="S11"/>
  <c r="T8"/>
  <c r="Z8"/>
  <c r="Z36"/>
  <c r="V36"/>
  <c r="R36"/>
  <c r="X35"/>
  <c r="T35"/>
  <c r="Z34"/>
  <c r="V34"/>
  <c r="R34"/>
  <c r="X33"/>
  <c r="T33"/>
  <c r="Z32"/>
  <c r="V32"/>
  <c r="R32"/>
  <c r="X31"/>
  <c r="T31"/>
  <c r="Z30"/>
  <c r="V30"/>
  <c r="R30"/>
  <c r="X29"/>
  <c r="T29"/>
  <c r="Z28"/>
  <c r="V28"/>
  <c r="R28"/>
  <c r="X27"/>
  <c r="T27"/>
  <c r="Z26"/>
  <c r="V26"/>
  <c r="R26"/>
  <c r="X25"/>
  <c r="T25"/>
  <c r="Z24"/>
  <c r="V24"/>
  <c r="R24"/>
  <c r="X23"/>
  <c r="T23"/>
  <c r="Z22"/>
  <c r="V22"/>
  <c r="R22"/>
  <c r="X21"/>
  <c r="T21"/>
  <c r="Z20"/>
  <c r="V20"/>
  <c r="R20"/>
  <c r="X19"/>
  <c r="T19"/>
  <c r="Z18"/>
  <c r="V18"/>
  <c r="R18"/>
  <c r="X17"/>
  <c r="T17"/>
  <c r="Z16"/>
  <c r="V16"/>
  <c r="R16"/>
  <c r="X15"/>
  <c r="T15"/>
  <c r="Z14"/>
  <c r="V14"/>
  <c r="R14"/>
  <c r="X13"/>
  <c r="T13"/>
  <c r="Z12"/>
  <c r="V12"/>
  <c r="R12"/>
  <c r="X11"/>
  <c r="T11"/>
  <c r="Z10"/>
  <c r="V10"/>
  <c r="R10"/>
  <c r="X9"/>
  <c r="T9"/>
  <c r="Z35"/>
  <c r="V35"/>
  <c r="R35"/>
  <c r="Z23"/>
  <c r="V23"/>
  <c r="R23"/>
  <c r="Z19"/>
  <c r="Z15"/>
  <c r="S8"/>
  <c r="Y36"/>
  <c r="U32"/>
  <c r="U28"/>
  <c r="AA27"/>
  <c r="W27"/>
  <c r="S27"/>
  <c r="Y24"/>
  <c r="AA23"/>
  <c r="W23"/>
  <c r="S23"/>
  <c r="Y20"/>
  <c r="AA19"/>
  <c r="W19"/>
  <c r="S19"/>
  <c r="U16"/>
  <c r="W15"/>
  <c r="S15"/>
  <c r="AA11"/>
  <c r="U8"/>
  <c r="AA36"/>
  <c r="S36"/>
  <c r="U35"/>
  <c r="AA34"/>
  <c r="S34"/>
  <c r="U33"/>
  <c r="AA32"/>
  <c r="S32"/>
  <c r="U31"/>
  <c r="AA30"/>
  <c r="S30"/>
  <c r="U29"/>
  <c r="AA28"/>
  <c r="S28"/>
  <c r="U27"/>
  <c r="AA26"/>
  <c r="S26"/>
  <c r="U25"/>
  <c r="AA24"/>
  <c r="S24"/>
  <c r="U23"/>
  <c r="AA22"/>
  <c r="S22"/>
  <c r="U21"/>
  <c r="AA20"/>
  <c r="S20"/>
  <c r="U19"/>
  <c r="AA18"/>
  <c r="S18"/>
  <c r="U17"/>
  <c r="AA16"/>
  <c r="S16"/>
  <c r="U15"/>
  <c r="AA14"/>
  <c r="S14"/>
  <c r="U13"/>
  <c r="AA12"/>
  <c r="S12"/>
  <c r="U11"/>
  <c r="AA10"/>
  <c r="S10"/>
  <c r="U9"/>
  <c r="A43" l="1"/>
  <c r="E82" s="1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A55" i="4" l="1"/>
  <c r="E94" s="1"/>
  <c r="A54"/>
  <c r="E93" s="1"/>
  <c r="A57"/>
  <c r="E96" s="1"/>
  <c r="A56"/>
  <c r="E95" s="1"/>
  <c r="A48"/>
  <c r="E87" s="1"/>
  <c r="A47"/>
  <c r="E86" s="1"/>
  <c r="A51"/>
  <c r="E90" s="1"/>
  <c r="A46"/>
  <c r="E85" s="1"/>
  <c r="A49"/>
  <c r="E88" s="1"/>
  <c r="A59"/>
  <c r="E98" s="1"/>
  <c r="A52"/>
  <c r="E91" s="1"/>
  <c r="A53"/>
  <c r="E92" s="1"/>
  <c r="A50"/>
  <c r="E89" s="1"/>
  <c r="A58"/>
  <c r="E97" s="1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E13" i="2"/>
  <c r="C7" i="1" l="1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6"/>
  <c r="A3" i="2"/>
  <c r="B3"/>
  <c r="C3"/>
  <c r="D3"/>
  <c r="E3"/>
  <c r="A4"/>
  <c r="B4"/>
  <c r="C4"/>
  <c r="D4"/>
  <c r="E4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G73" l="1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E2" i="2" l="1"/>
  <c r="D2"/>
  <c r="C2"/>
  <c r="A2"/>
  <c r="A44" i="4" l="1"/>
  <c r="E83" s="1"/>
  <c r="A45" l="1"/>
  <c r="E84" s="1"/>
  <c r="A74" l="1"/>
  <c r="E113" s="1"/>
  <c r="A62" l="1"/>
  <c r="E101" s="1"/>
  <c r="A66"/>
  <c r="E105" s="1"/>
  <c r="A71"/>
  <c r="E110" s="1"/>
  <c r="A63"/>
  <c r="E102" s="1"/>
  <c r="A69"/>
  <c r="E108" s="1"/>
  <c r="A61"/>
  <c r="E100" s="1"/>
  <c r="A68"/>
  <c r="E107" s="1"/>
  <c r="A67" l="1"/>
  <c r="E106" s="1"/>
  <c r="A73"/>
  <c r="E112" s="1"/>
  <c r="A65"/>
  <c r="E104" s="1"/>
  <c r="A60"/>
  <c r="E99" s="1"/>
  <c r="A70"/>
  <c r="E109" s="1"/>
  <c r="A64"/>
  <c r="E103" s="1"/>
  <c r="A72"/>
  <c r="E111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<sst xmlns="http://schemas.openxmlformats.org/spreadsheetml/2006/main" count="906" uniqueCount="770">
  <si>
    <t>id</t>
  </si>
  <si>
    <t>名字(name)</t>
  </si>
  <si>
    <t>bossId</t>
  </si>
  <si>
    <t>怪物列表(monsterIds)</t>
  </si>
  <si>
    <t>个数权重(weight)</t>
  </si>
  <si>
    <t>BOSS掉落（bossDropGroup）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</si>
  <si>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</si>
  <si>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</si>
  <si>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</si>
  <si>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</si>
  <si>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</si>
  <si>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</si>
  <si>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</si>
  <si>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诺莫瑞根</t>
  </si>
  <si>
    <t>剃刀沼泽</t>
  </si>
  <si>
    <t>剃刀高地</t>
  </si>
  <si>
    <t>血色修道院</t>
  </si>
  <si>
    <t>奥达曼</t>
  </si>
  <si>
    <t>玛拉顿</t>
  </si>
  <si>
    <t>祖尔法拉克</t>
  </si>
  <si>
    <t>沉没的神庙</t>
  </si>
  <si>
    <t>黑石深渊</t>
  </si>
  <si>
    <t>斯坦索姆</t>
  </si>
  <si>
    <t>黑石塔</t>
  </si>
  <si>
    <t>厄运之槌</t>
  </si>
  <si>
    <t>通灵学院</t>
  </si>
  <si>
    <t>地狱火城墙</t>
  </si>
  <si>
    <t>鲜血熔炉</t>
  </si>
  <si>
    <t>奴隶围栏</t>
  </si>
  <si>
    <t>幽暗沼泽</t>
  </si>
  <si>
    <t>法力陵墓</t>
  </si>
  <si>
    <t>奥金尼地穴</t>
  </si>
  <si>
    <t>旧希尔布拉德丘陵</t>
  </si>
  <si>
    <t>塞泰克大厅</t>
  </si>
  <si>
    <t>蒸汽地窖</t>
  </si>
  <si>
    <t>暗影迷宫</t>
  </si>
  <si>
    <t>能源舰</t>
  </si>
  <si>
    <t>破碎大厅</t>
  </si>
  <si>
    <t>黑色沼泽</t>
  </si>
  <si>
    <t>禁魔监狱</t>
  </si>
  <si>
    <t>生态船</t>
  </si>
  <si>
    <t>id</t>
    <phoneticPr fontId="3" type="noConversion"/>
  </si>
  <si>
    <t>name</t>
    <phoneticPr fontId="3" type="noConversion"/>
  </si>
  <si>
    <t>bossId</t>
    <phoneticPr fontId="3" type="noConversion"/>
  </si>
  <si>
    <t>monsterIds</t>
    <phoneticPr fontId="3" type="noConversion"/>
  </si>
  <si>
    <t>地图图片路径</t>
    <phoneticPr fontId="3" type="noConversion"/>
  </si>
  <si>
    <t>怪物等级区间</t>
    <phoneticPr fontId="3" type="noConversion"/>
  </si>
  <si>
    <t>data</t>
    <phoneticPr fontId="3" type="noConversion"/>
  </si>
  <si>
    <t>装备掉率</t>
    <phoneticPr fontId="3" type="noConversion"/>
  </si>
  <si>
    <t>countWeight</t>
    <phoneticPr fontId="3" type="noConversion"/>
  </si>
  <si>
    <t>dropItems</t>
    <phoneticPr fontId="3" type="noConversion"/>
  </si>
  <si>
    <t>bossDropItems</t>
    <phoneticPr fontId="3" type="noConversion"/>
  </si>
  <si>
    <t>掉落组(dropGroup)</t>
    <phoneticPr fontId="3" type="noConversion"/>
  </si>
  <si>
    <t>No</t>
    <phoneticPr fontId="3" type="noConversion"/>
  </si>
  <si>
    <t>可以挂机最高等级</t>
    <phoneticPr fontId="3" type="noConversion"/>
  </si>
  <si>
    <t>maxBattleLevel</t>
    <phoneticPr fontId="3" type="noConversion"/>
  </si>
  <si>
    <t>装备掉率</t>
    <phoneticPr fontId="3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</si>
  <si>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</si>
  <si>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</si>
  <si>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</si>
  <si>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</si>
  <si>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</si>
  <si>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</si>
  <si>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</si>
  <si>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</si>
  <si>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</si>
  <si>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</si>
  <si>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</si>
  <si>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</si>
  <si>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</si>
  <si>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</si>
  <si>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</si>
  <si>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</si>
  <si>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</si>
  <si>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</si>
  <si>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</si>
  <si>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</si>
  <si>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</si>
  <si>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</si>
  <si>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</si>
  <si>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</si>
  <si>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</si>
  <si>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</si>
  <si>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3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</si>
  <si>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</si>
  <si>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</si>
  <si>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</si>
  <si>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</si>
  <si>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</si>
  <si>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</si>
  <si>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</si>
  <si>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</si>
  <si>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</si>
  <si>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</si>
  <si>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</si>
  <si>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</si>
  <si>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</si>
  <si>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</si>
  <si>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</si>
  <si>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</si>
  <si>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</si>
  <si>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</si>
  <si>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</si>
  <si>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</si>
  <si>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</si>
  <si>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</si>
  <si>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</si>
  <si>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</si>
  <si>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</si>
  <si>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</si>
  <si>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</si>
  <si>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</si>
  <si>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</si>
  <si>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</si>
  <si>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</si>
  <si>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</si>
  <si>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</si>
  <si>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</si>
  <si>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30000_60001_1_10000,7000001_0_1_10000</t>
    <phoneticPr fontId="3" type="noConversion"/>
  </si>
  <si>
    <t>30000_60001_2_10000,7000001_0_1_10000</t>
    <phoneticPr fontId="3" type="noConversion"/>
  </si>
  <si>
    <t>30000_60001_3_10000,7000001_0_1_10000</t>
    <phoneticPr fontId="3" type="noConversion"/>
  </si>
  <si>
    <t>30000_60001_4_10000,7000002_0_1_10000</t>
    <phoneticPr fontId="3" type="noConversion"/>
  </si>
  <si>
    <t>30000_60001_5_10000,7000002_0_1_10000</t>
    <phoneticPr fontId="3" type="noConversion"/>
  </si>
  <si>
    <t>30000_60001_6_10000,7000002_0_1_10000</t>
    <phoneticPr fontId="3" type="noConversion"/>
  </si>
  <si>
    <t>30000_60001_7_10000,7000003_0_1_10000</t>
    <phoneticPr fontId="3" type="noConversion"/>
  </si>
  <si>
    <t>30000_60001_8_10000,7000003_0_1_10000</t>
    <phoneticPr fontId="3" type="noConversion"/>
  </si>
  <si>
    <t>30000_60001_9_10000,7000004_0_1_10000</t>
    <phoneticPr fontId="3" type="noConversion"/>
  </si>
  <si>
    <t>30000_60001_10_10000,7000004_0_1_10000</t>
    <phoneticPr fontId="3" type="noConversion"/>
  </si>
  <si>
    <t>30000_60001_11_10000,7000004_0_1_10000</t>
    <phoneticPr fontId="3" type="noConversion"/>
  </si>
  <si>
    <t>30000_60001_12_10000,7000005_0_1_10000</t>
    <phoneticPr fontId="3" type="noConversion"/>
  </si>
  <si>
    <t>30000_60001_13_10000,7000005_0_1_10000</t>
    <phoneticPr fontId="3" type="noConversion"/>
  </si>
  <si>
    <t>30000_60001_14_10000,7000006_0_1_10000</t>
    <phoneticPr fontId="3" type="noConversion"/>
  </si>
  <si>
    <t>30000_60001_15_10000,7000006_0_1_10000</t>
    <phoneticPr fontId="3" type="noConversion"/>
  </si>
  <si>
    <t>30000_60001_16_10000,7000006_0_1_10000</t>
    <phoneticPr fontId="3" type="noConversion"/>
  </si>
  <si>
    <t>30000_60001_17_10000,7000007_0_1_10000</t>
    <phoneticPr fontId="3" type="noConversion"/>
  </si>
  <si>
    <t>30000_60001_18_10000,7000007_0_1_10000</t>
    <phoneticPr fontId="3" type="noConversion"/>
  </si>
  <si>
    <t>30000_60001_19_10000,7000008_0_1_10000</t>
    <phoneticPr fontId="3" type="noConversion"/>
  </si>
  <si>
    <t>30000_60001_20_10000,7000008_0_1_10000</t>
    <phoneticPr fontId="3" type="noConversion"/>
  </si>
  <si>
    <t>30000_60001_21_10000,7000008_0_1_10000</t>
    <phoneticPr fontId="3" type="noConversion"/>
  </si>
  <si>
    <t>30000_60001_22_10000,7000009_0_1_10000</t>
    <phoneticPr fontId="3" type="noConversion"/>
  </si>
  <si>
    <t>30000_60001_23_10000,7000009_0_1_10000</t>
    <phoneticPr fontId="3" type="noConversion"/>
  </si>
  <si>
    <t>30000_60001_24_10000,7000010_0_1_10000</t>
    <phoneticPr fontId="3" type="noConversion"/>
  </si>
  <si>
    <t>30000_60001_25_10000,7000010_0_1_10000</t>
    <phoneticPr fontId="3" type="noConversion"/>
  </si>
  <si>
    <t>30000_60001_26_10000,7000010_0_1_10000</t>
    <phoneticPr fontId="3" type="noConversion"/>
  </si>
  <si>
    <t>30000_60001_27_10000,7000011_0_1_10000</t>
    <phoneticPr fontId="3" type="noConversion"/>
  </si>
  <si>
    <t>30000_60001_28_10000,7000011_0_1_10000</t>
    <phoneticPr fontId="3" type="noConversion"/>
  </si>
  <si>
    <t>57-60</t>
    <phoneticPr fontId="3" type="noConversion"/>
  </si>
  <si>
    <t>55_58</t>
    <phoneticPr fontId="3" type="noConversion"/>
  </si>
  <si>
    <t>30000_60001_29_10000,7000012_0_1_10000</t>
    <phoneticPr fontId="3" type="noConversion"/>
  </si>
  <si>
    <t>30000_60001_30_10000,7000012_0_1_10000</t>
    <phoneticPr fontId="3" type="noConversion"/>
  </si>
  <si>
    <t>30000_60001_31_10000,7000012_0_1_10000</t>
    <phoneticPr fontId="3" type="noConversion"/>
  </si>
  <si>
    <t>30000_60001_32_10000,7000013_0_1_10000</t>
    <phoneticPr fontId="3" type="noConversion"/>
  </si>
  <si>
    <t>30000_60001_33_10000,7000013_0_1_10000</t>
    <phoneticPr fontId="3" type="noConversion"/>
  </si>
  <si>
    <t>30000_60001_35_10000,7000014_0_1_10000</t>
    <phoneticPr fontId="3" type="noConversion"/>
  </si>
  <si>
    <t>No</t>
    <phoneticPr fontId="3" type="noConversion"/>
  </si>
  <si>
    <t>dropRate</t>
    <phoneticPr fontId="3" type="noConversion"/>
  </si>
  <si>
    <t>4000105_0_1_200</t>
  </si>
  <si>
    <t>4000205_0_1_130</t>
    <phoneticPr fontId="3" type="noConversion"/>
  </si>
  <si>
    <t>4000215_0_1_163</t>
    <phoneticPr fontId="3" type="noConversion"/>
  </si>
  <si>
    <t>4000310_0_1_57</t>
    <phoneticPr fontId="3" type="noConversion"/>
  </si>
  <si>
    <t>4000315_0_1_74</t>
    <phoneticPr fontId="3" type="noConversion"/>
  </si>
  <si>
    <t>4000115_0_1_198</t>
    <phoneticPr fontId="3" type="noConversion"/>
  </si>
  <si>
    <t>4000315_0_1_82</t>
    <phoneticPr fontId="3" type="noConversion"/>
  </si>
  <si>
    <t>4000215_0_1_179</t>
    <phoneticPr fontId="3" type="noConversion"/>
  </si>
  <si>
    <t>装备</t>
    <phoneticPr fontId="3" type="noConversion"/>
  </si>
  <si>
    <t>4000505_0_1_0</t>
    <phoneticPr fontId="3" type="noConversion"/>
  </si>
  <si>
    <t>4000510_0_1_0</t>
    <phoneticPr fontId="3" type="noConversion"/>
  </si>
  <si>
    <t>4000110_0_1_120</t>
    <phoneticPr fontId="3" type="noConversion"/>
  </si>
  <si>
    <t>4000210_0_1_126</t>
    <phoneticPr fontId="3" type="noConversion"/>
  </si>
  <si>
    <t>4000305_0_1_64</t>
    <phoneticPr fontId="3" type="noConversion"/>
  </si>
  <si>
    <t>4000310_0_1_64</t>
    <phoneticPr fontId="3" type="noConversion"/>
  </si>
  <si>
    <t>4000405_0_1_0</t>
    <phoneticPr fontId="3" type="noConversion"/>
  </si>
  <si>
    <t>4000410_0_1_0</t>
    <phoneticPr fontId="3" type="noConversion"/>
  </si>
  <si>
    <t>4000405_0_1_0</t>
    <phoneticPr fontId="3" type="noConversion"/>
  </si>
  <si>
    <t>4000410_0_1_0</t>
    <phoneticPr fontId="3" type="noConversion"/>
  </si>
  <si>
    <t>4000105_0_1_175</t>
    <phoneticPr fontId="3" type="noConversion"/>
  </si>
  <si>
    <t>4000110_0_1_174</t>
    <phoneticPr fontId="3" type="noConversion"/>
  </si>
  <si>
    <t>4000205_0_1_140</t>
    <phoneticPr fontId="3" type="noConversion"/>
  </si>
  <si>
    <t>4000210_0_1_139</t>
    <phoneticPr fontId="3" type="noConversion"/>
  </si>
  <si>
    <t>4000305_0_1_70</t>
    <phoneticPr fontId="3" type="noConversion"/>
  </si>
  <si>
    <t>4000310_0_1_69</t>
    <phoneticPr fontId="3" type="noConversion"/>
  </si>
  <si>
    <t>4000415_0_1_0</t>
    <phoneticPr fontId="3" type="noConversion"/>
  </si>
  <si>
    <t>4000110_0_1_192</t>
    <phoneticPr fontId="3" type="noConversion"/>
  </si>
  <si>
    <t>4000210_0_1_125</t>
    <phoneticPr fontId="3" type="noConversion"/>
  </si>
  <si>
    <t>4000515_0_1_0</t>
    <phoneticPr fontId="3" type="noConversion"/>
  </si>
  <si>
    <t>4000115_0_1_185</t>
    <phoneticPr fontId="3" type="noConversion"/>
  </si>
  <si>
    <t>4000110_0_1_188</t>
    <phoneticPr fontId="3" type="noConversion"/>
  </si>
  <si>
    <t>4000210_0_1_138</t>
    <phoneticPr fontId="3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</si>
  <si>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</si>
  <si>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</si>
  <si>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</si>
  <si>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</si>
  <si>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</si>
  <si>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</si>
  <si>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</si>
  <si>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</si>
  <si>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</si>
  <si>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</si>
  <si>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</si>
  <si>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</si>
  <si>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</si>
  <si>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</si>
  <si>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</si>
  <si>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</si>
  <si>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</si>
  <si>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</si>
  <si>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</si>
  <si>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</si>
  <si>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</si>
  <si>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</si>
  <si>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</si>
  <si>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</si>
  <si>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</si>
  <si>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</si>
  <si>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</si>
  <si>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</si>
  <si>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</si>
  <si>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</si>
  <si>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</si>
  <si>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</si>
  <si>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</si>
  <si>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</si>
  <si>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</si>
  <si>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</si>
  <si>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</si>
  <si>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</si>
  <si>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</si>
  <si>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</si>
  <si>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</si>
  <si>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</si>
  <si>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</si>
  <si>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</si>
  <si>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</si>
  <si>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</si>
  <si>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</si>
  <si>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</si>
  <si>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</si>
  <si>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</si>
  <si>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</si>
  <si>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</si>
  <si>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</si>
  <si>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</si>
  <si>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</si>
  <si>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</si>
  <si>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</si>
  <si>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</si>
  <si>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</si>
  <si>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</si>
  <si>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</si>
  <si>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</si>
  <si>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</si>
  <si>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</si>
  <si>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</si>
  <si>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</si>
  <si>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</si>
  <si>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</si>
  <si>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</si>
  <si>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</si>
  <si>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</si>
  <si>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</si>
  <si>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</si>
  <si>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</si>
  <si>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</si>
  <si>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</si>
  <si>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</si>
  <si>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</si>
  <si>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</si>
  <si>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</si>
  <si>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</si>
  <si>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</si>
  <si>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</si>
  <si>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</si>
  <si>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</si>
  <si>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</si>
  <si>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</si>
  <si>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</si>
  <si>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</si>
  <si>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</si>
  <si>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</si>
  <si>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</si>
  <si>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</si>
  <si>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3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</si>
  <si>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</si>
  <si>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</si>
  <si>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</si>
  <si>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</si>
  <si>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</si>
  <si>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</si>
  <si>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3" type="noConversion"/>
  </si>
  <si>
    <t>1-3</t>
    <phoneticPr fontId="3" type="noConversion"/>
  </si>
  <si>
    <t>2-4</t>
    <phoneticPr fontId="3" type="noConversion"/>
  </si>
  <si>
    <t>3-6</t>
    <phoneticPr fontId="3" type="noConversion"/>
  </si>
  <si>
    <t>5-8</t>
    <phoneticPr fontId="3" type="noConversion"/>
  </si>
  <si>
    <t>7-10</t>
    <phoneticPr fontId="3" type="noConversion"/>
  </si>
  <si>
    <t>9-12</t>
    <phoneticPr fontId="3" type="noConversion"/>
  </si>
  <si>
    <t>11-14</t>
    <phoneticPr fontId="3" type="noConversion"/>
  </si>
  <si>
    <t>关卡第一次掉落</t>
    <phoneticPr fontId="3" type="noConversion"/>
  </si>
  <si>
    <t>关卡第二次掉落</t>
    <phoneticPr fontId="3" type="noConversion"/>
  </si>
  <si>
    <t>firstDropItems</t>
    <phoneticPr fontId="3" type="noConversion"/>
  </si>
  <si>
    <t>secondDropItems</t>
    <phoneticPr fontId="3" type="noConversion"/>
  </si>
  <si>
    <t>40000_30011050_1_10000,40000_30012050_1_10000,40000_30013050_1_10000</t>
    <phoneticPr fontId="3" type="noConversion"/>
  </si>
  <si>
    <t>40000_30011060_1_10000,40000_30012060_1_10000,40000_30013060_1_10000</t>
    <phoneticPr fontId="3" type="noConversion"/>
  </si>
  <si>
    <t>40000_30010040_1_10000,40000_30010040_1_10000,40000_30010040_1_10000</t>
    <phoneticPr fontId="3" type="noConversion"/>
  </si>
  <si>
    <t>名字</t>
    <phoneticPr fontId="3" type="noConversion"/>
  </si>
  <si>
    <t>开启地图ID</t>
    <phoneticPr fontId="3" type="noConversion"/>
  </si>
  <si>
    <t>nextMapId</t>
    <phoneticPr fontId="3" type="noConversion"/>
  </si>
  <si>
    <t>5_1,6_1,7_1</t>
    <phoneticPr fontId="3" type="noConversion"/>
  </si>
  <si>
    <t>8_1,9_1,10_1,11_1</t>
    <phoneticPr fontId="3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</si>
  <si>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</si>
  <si>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</si>
  <si>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</si>
  <si>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</si>
  <si>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</si>
  <si>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</si>
  <si>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</si>
  <si>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</si>
  <si>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</si>
  <si>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</si>
  <si>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</si>
  <si>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</si>
  <si>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</si>
  <si>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</si>
  <si>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</si>
  <si>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</si>
  <si>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</si>
  <si>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</si>
  <si>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</si>
  <si>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</si>
  <si>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</si>
  <si>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</si>
  <si>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</si>
  <si>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</si>
  <si>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</si>
  <si>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</si>
  <si>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</si>
  <si>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</si>
  <si>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</si>
  <si>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</si>
  <si>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</si>
  <si>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3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</si>
  <si>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</si>
  <si>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</si>
  <si>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</si>
  <si>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</si>
  <si>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</si>
  <si>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</si>
  <si>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</si>
  <si>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</si>
  <si>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</si>
  <si>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</si>
  <si>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</si>
  <si>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</si>
  <si>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</si>
  <si>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</si>
  <si>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</si>
  <si>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</si>
  <si>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</si>
  <si>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</si>
  <si>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</si>
  <si>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</si>
  <si>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</si>
  <si>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</si>
  <si>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</si>
  <si>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</si>
  <si>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</si>
  <si>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</si>
  <si>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</si>
  <si>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</si>
  <si>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</si>
  <si>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</si>
  <si>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</si>
  <si>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</si>
  <si>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</si>
  <si>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</si>
  <si>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</si>
  <si>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</si>
  <si>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</si>
  <si>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</si>
  <si>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</si>
  <si>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</si>
  <si>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</si>
  <si>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</si>
  <si>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</si>
  <si>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</si>
  <si>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</si>
  <si>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</si>
  <si>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</si>
  <si>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</si>
  <si>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</si>
  <si>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</si>
  <si>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</si>
  <si>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</si>
  <si>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</si>
  <si>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</si>
  <si>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</si>
  <si>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</si>
  <si>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</si>
  <si>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</si>
  <si>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</si>
  <si>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</si>
  <si>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</si>
  <si>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</si>
  <si>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</si>
  <si>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</si>
  <si>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</si>
  <si>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</si>
  <si>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</si>
  <si>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</si>
  <si>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</si>
  <si>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</si>
  <si>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</si>
  <si>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</si>
  <si>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</si>
  <si>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</si>
  <si>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</si>
  <si>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</si>
  <si>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</si>
  <si>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</si>
  <si>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</si>
  <si>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</si>
  <si>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</si>
  <si>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</si>
  <si>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</si>
  <si>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</si>
  <si>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</si>
  <si>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</si>
  <si>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</si>
  <si>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</si>
  <si>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</si>
  <si>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</si>
  <si>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</si>
  <si>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</si>
  <si>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</si>
  <si>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</si>
  <si>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</si>
  <si>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</si>
  <si>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</si>
  <si>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</si>
  <si>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</si>
  <si>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</si>
  <si>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</si>
  <si>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</si>
  <si>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</si>
  <si>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</si>
  <si>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</si>
  <si>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</si>
  <si>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</si>
  <si>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</si>
  <si>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</si>
  <si>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</si>
  <si>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</si>
  <si>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</si>
  <si>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</si>
  <si>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</si>
  <si>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</si>
  <si>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</si>
  <si>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</si>
  <si>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</si>
  <si>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</si>
  <si>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</si>
  <si>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</si>
  <si>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</si>
  <si>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</si>
  <si>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</si>
  <si>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</si>
  <si>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</si>
  <si>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</si>
  <si>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</si>
  <si>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</si>
  <si>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</si>
  <si>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</si>
  <si>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</si>
  <si>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</si>
  <si>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</si>
  <si>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</si>
  <si>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</si>
  <si>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</si>
  <si>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</si>
  <si>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</si>
  <si>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</si>
  <si>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</si>
  <si>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</si>
  <si>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</si>
  <si>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</si>
  <si>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</si>
  <si>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</si>
  <si>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</si>
  <si>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</si>
  <si>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</si>
  <si>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</si>
  <si>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</si>
  <si>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</si>
  <si>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</si>
  <si>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</si>
  <si>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</si>
  <si>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</si>
  <si>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</si>
  <si>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</si>
  <si>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</si>
  <si>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</si>
  <si>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</si>
  <si>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</si>
  <si>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</si>
  <si>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</si>
  <si>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</si>
  <si>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</si>
  <si>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</si>
  <si>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</si>
  <si>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</si>
  <si>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</si>
  <si>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</si>
  <si>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</si>
  <si>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</si>
  <si>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</si>
  <si>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</si>
  <si>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</si>
  <si>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</si>
  <si>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</si>
  <si>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</si>
  <si>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</si>
  <si>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</si>
  <si>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</si>
  <si>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</si>
  <si>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</si>
  <si>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</si>
  <si>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</si>
  <si>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</si>
  <si>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</si>
  <si>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</si>
  <si>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</si>
  <si>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</si>
  <si>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</si>
  <si>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</si>
  <si>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</si>
  <si>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</si>
  <si>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</si>
  <si>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</si>
  <si>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</si>
  <si>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</si>
  <si>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</si>
  <si>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</si>
  <si>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</si>
  <si>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</si>
  <si>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</si>
  <si>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</si>
  <si>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</si>
  <si>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</si>
  <si>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</si>
  <si>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</si>
  <si>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</si>
  <si>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</si>
  <si>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</si>
  <si>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</si>
  <si>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</si>
  <si>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</si>
  <si>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</si>
  <si>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</si>
  <si>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</si>
  <si>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</si>
  <si>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</si>
  <si>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</si>
  <si>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</si>
  <si>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</si>
  <si>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</si>
  <si>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</si>
  <si>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</si>
  <si>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</si>
  <si>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</si>
  <si>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</si>
  <si>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3" type="noConversion"/>
  </si>
  <si>
    <t>2_5000,3_0</t>
    <phoneticPr fontId="3" type="noConversion"/>
  </si>
  <si>
    <t>2_8000,3_2000</t>
    <phoneticPr fontId="3" type="noConversion"/>
  </si>
  <si>
    <t>2_7500,3_2500</t>
    <phoneticPr fontId="3" type="noConversion"/>
  </si>
  <si>
    <t>2_7000,3_3000</t>
    <phoneticPr fontId="3" type="noConversion"/>
  </si>
  <si>
    <t>2_6500,3_3500</t>
    <phoneticPr fontId="3" type="noConversion"/>
  </si>
  <si>
    <t>2_6000,3_4000</t>
    <phoneticPr fontId="3" type="noConversion"/>
  </si>
  <si>
    <t>2_5500,3_4500</t>
    <phoneticPr fontId="3" type="noConversion"/>
  </si>
  <si>
    <t>1_0,2_5000,3_5000</t>
    <phoneticPr fontId="3" type="noConversion"/>
  </si>
  <si>
    <t>1_0,2_4000,3_6000</t>
    <phoneticPr fontId="3" type="noConversion"/>
  </si>
  <si>
    <t>1_0,2_3000,3_7000</t>
    <phoneticPr fontId="3" type="noConversion"/>
  </si>
  <si>
    <t>1_0,2_2500,3_7500</t>
    <phoneticPr fontId="3" type="noConversion"/>
  </si>
  <si>
    <t>1_0,2_2000,3_8000</t>
    <phoneticPr fontId="3" type="noConversion"/>
  </si>
  <si>
    <t>1_7000,2_3000,3_0</t>
    <phoneticPr fontId="3" type="noConversion"/>
  </si>
  <si>
    <t>经验</t>
    <phoneticPr fontId="3" type="noConversion"/>
  </si>
  <si>
    <t>时间</t>
    <phoneticPr fontId="3" type="noConversion"/>
  </si>
  <si>
    <t>coinDrop</t>
    <phoneticPr fontId="3" type="noConversion"/>
  </si>
  <si>
    <t>装备等级</t>
    <phoneticPr fontId="3" type="noConversion"/>
  </si>
  <si>
    <t>概率</t>
    <phoneticPr fontId="3" type="noConversion"/>
  </si>
  <si>
    <t>4000110</t>
  </si>
  <si>
    <t>4000210</t>
  </si>
  <si>
    <t>4000310</t>
  </si>
  <si>
    <t>4000410</t>
  </si>
  <si>
    <t>4000510</t>
  </si>
  <si>
    <t>铜宝箱</t>
    <phoneticPr fontId="3" type="noConversion"/>
  </si>
  <si>
    <t>30000_40003_1_220,30000_40002_1_94,30000_40001_1_47</t>
    <phoneticPr fontId="3" type="noConversion"/>
  </si>
  <si>
    <t>30000_40003_1_0</t>
  </si>
  <si>
    <t>30000_40003_1_0</t>
    <phoneticPr fontId="3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</si>
  <si>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</si>
  <si>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</si>
  <si>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</si>
  <si>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</si>
  <si>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</si>
  <si>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</si>
  <si>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</si>
  <si>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</si>
  <si>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</si>
  <si>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</si>
  <si>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</si>
  <si>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</si>
  <si>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</si>
  <si>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</si>
  <si>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</si>
  <si>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3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</si>
  <si>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</si>
  <si>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</si>
  <si>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</si>
  <si>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</si>
  <si>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</si>
  <si>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</si>
  <si>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</si>
  <si>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</si>
  <si>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</si>
  <si>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</si>
  <si>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30000_40002_1_235</t>
  </si>
  <si>
    <t>30000_40002_1_265</t>
  </si>
  <si>
    <t>30000_40002_1_295</t>
  </si>
  <si>
    <t>30000_40002_1_310</t>
  </si>
  <si>
    <t>30000_40002_1_245</t>
  </si>
  <si>
    <t>30000_40002_1_255</t>
  </si>
  <si>
    <t>30000_40002_1_275</t>
  </si>
  <si>
    <t>30000_40002_1_285</t>
  </si>
  <si>
    <t>30000_40001_1_0</t>
    <phoneticPr fontId="3" type="noConversion"/>
  </si>
  <si>
    <t>银宝箱</t>
    <phoneticPr fontId="3" type="noConversion"/>
  </si>
  <si>
    <t>金宝箱</t>
    <phoneticPr fontId="3" type="noConversion"/>
  </si>
  <si>
    <t>30000_40001_1_300</t>
  </si>
  <si>
    <t>30000_40001_1_300</t>
    <phoneticPr fontId="3" type="noConversion"/>
  </si>
  <si>
    <t>30000_40001_1_310</t>
  </si>
  <si>
    <t>30000_40001_1_310</t>
    <phoneticPr fontId="3" type="noConversion"/>
  </si>
  <si>
    <t>30000_40001_1_320</t>
  </si>
  <si>
    <t>30000_40001_1_330</t>
  </si>
  <si>
    <t>30000_40001_1_340</t>
  </si>
  <si>
    <t>30000_40001_1_350</t>
  </si>
  <si>
    <t>30000_40001_1_340</t>
    <phoneticPr fontId="3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</si>
  <si>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</si>
  <si>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</si>
  <si>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</si>
  <si>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</si>
  <si>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</si>
  <si>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</si>
  <si>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</si>
  <si>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</si>
  <si>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</si>
  <si>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</si>
  <si>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</si>
  <si>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</si>
  <si>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</si>
  <si>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</si>
  <si>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</si>
  <si>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</si>
  <si>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</si>
  <si>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</si>
  <si>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30000_40001_1_110</t>
  </si>
  <si>
    <t>30000_40001_1_100</t>
  </si>
  <si>
    <t>30000_40001_1_90</t>
  </si>
  <si>
    <t>30000_40002_1_200</t>
    <phoneticPr fontId="3" type="noConversion"/>
  </si>
  <si>
    <t>30000_40002_1_210</t>
    <phoneticPr fontId="3" type="noConversion"/>
  </si>
  <si>
    <t>30000_40002_1_240</t>
  </si>
  <si>
    <t>30000_40003_1_100</t>
    <phoneticPr fontId="3" type="noConversion"/>
  </si>
  <si>
    <t>30000_40003_1_105</t>
    <phoneticPr fontId="3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</si>
  <si>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</si>
  <si>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</si>
  <si>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</si>
  <si>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</si>
  <si>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</si>
  <si>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</si>
  <si>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</si>
  <si>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</si>
  <si>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</si>
  <si>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</si>
  <si>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</si>
  <si>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</si>
  <si>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</si>
  <si>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3" type="noConversion"/>
  </si>
  <si>
    <t>1_1,2_1,3_1</t>
    <phoneticPr fontId="3" type="noConversion"/>
  </si>
  <si>
    <t>40000_30010090_1_10000,40000_30010090_1_10000,40000_30010090_1_10000</t>
    <phoneticPr fontId="3" type="noConversion"/>
  </si>
  <si>
    <t>40000_30051050_1_10000,40000_30052050_1_10000,40000_30053050_1_10000</t>
    <phoneticPr fontId="3" type="noConversion"/>
  </si>
  <si>
    <t>1_10000,2_0,3_0</t>
    <phoneticPr fontId="3" type="noConversion"/>
  </si>
  <si>
    <t>30000_60001_34_10000,7000013_0_1_10000</t>
    <phoneticPr fontId="3" type="noConversion"/>
  </si>
  <si>
    <t>中秋节</t>
    <phoneticPr fontId="3" type="noConversion"/>
  </si>
  <si>
    <t>原始BOSS掉落</t>
    <phoneticPr fontId="3" type="noConversion"/>
  </si>
  <si>
    <t>快乐字样</t>
    <phoneticPr fontId="3" type="noConversion"/>
  </si>
  <si>
    <t>加快快乐BOSS掉落</t>
    <phoneticPr fontId="3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</si>
  <si>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</si>
  <si>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</si>
  <si>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</si>
  <si>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</si>
  <si>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</si>
  <si>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</si>
  <si>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</si>
  <si>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</si>
  <si>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</si>
  <si>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</si>
  <si>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</si>
  <si>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</si>
  <si>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</si>
  <si>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</si>
  <si>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</si>
  <si>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</si>
  <si>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</si>
  <si>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</si>
  <si>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30000_60001_19_10000,7000008_0_1_10000</t>
  </si>
  <si>
    <t>30000_60001_20_10000,7000008_0_1_10000</t>
  </si>
  <si>
    <t>30000_60001_21_10000,7000008_0_1_10000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</si>
  <si>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</si>
  <si>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</si>
  <si>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</si>
  <si>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</si>
  <si>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</si>
  <si>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</si>
  <si>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</si>
  <si>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</si>
  <si>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</si>
  <si>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30000_60001_31_10000,7000012_0_1_10000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</si>
  <si>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</si>
  <si>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</si>
  <si>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</si>
  <si>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</si>
  <si>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expRatio</t>
    <phoneticPr fontId="3" type="noConversion"/>
  </si>
  <si>
    <t>coinRatio</t>
    <phoneticPr fontId="3" type="noConversion"/>
  </si>
  <si>
    <t>equipRatio</t>
    <phoneticPr fontId="3" type="noConversion"/>
  </si>
  <si>
    <t>金币掉落</t>
    <phoneticPr fontId="3" type="noConversion"/>
  </si>
  <si>
    <t>经验掉落</t>
    <phoneticPr fontId="3" type="noConversion"/>
  </si>
  <si>
    <t>金币掉率</t>
    <phoneticPr fontId="3" type="noConversion"/>
  </si>
  <si>
    <t>经验掉率</t>
    <phoneticPr fontId="3" type="noConversion"/>
  </si>
  <si>
    <t>装备掉率</t>
    <phoneticPr fontId="3" type="noConversion"/>
  </si>
  <si>
    <t>4000101_0_1_800,4000201_0_1_720,4000301_0_1_320,4000401_0_1_0,4000501_0_1_0,4000105_0_1_0,4000205_0_1_0,4000305_0_1_0,4000405_0_1_0,4000505_0_1_0,30000_40001_1_0,30000_40002_1_0,30000_40003_1_0</t>
  </si>
  <si>
    <t>4000101_0_1_399,4000201_0_1_358,4000301_0_1_163,4000401_0_1_0,4000501_0_1_0,4000105_0_1_399,4000205_0_1_358,4000305_0_1_163,4000405_0_1_0,4000505_0_1_0,30000_40001_1_0,30000_40002_1_0,30000_40003_1_0</t>
  </si>
  <si>
    <t>4000101_0_1_159,4000201_0_1_142,4000301_0_1_66,4000401_0_1_0,4000501_0_1_0,4000105_0_1_636,4000205_0_1_569,4000305_0_1_265,4000405_0_1_0,4000505_0_1_0,30000_40001_1_0,30000_40002_1_0,30000_40003_1_0</t>
  </si>
  <si>
    <t>4000105_0_1_794,4000205_0_1_708,4000305_0_1_338,4000405_0_1_0,4000505_0_1_0,4000110_0_1_0,4000210_0_1_0,4000310_0_1_0,4000410_0_1_0,4000510_0_1_0,30000_40001_1_300,30000_40002_1_200,30000_40003_1_100</t>
  </si>
  <si>
    <t>4000105_0_1_582,4000205_0_1_518,4000305_0_1_253,4000405_0_1_0,4000505_0_1_0,4000110_0_1_388,4000210_0_1_345,4000310_0_1_168,4000410_0_1_0,4000510_0_1_0,30000_40001_1_310,30000_40002_1_200,30000_40003_1_105</t>
  </si>
  <si>
    <t>4000105_0_1_193,4000205_0_1_171,4000305_0_1_86,4000405_0_1_0,4000505_0_1_0,4000110_0_1_772,4000210_0_1_686,4000310_0_1_344,4000410_0_1_0,4000510_0_1_0,30000_40001_1_320,30000_40002_1_200,30000_40003_1_110</t>
  </si>
  <si>
    <t>4000110_0_1_769,4000210_0_1_683,4000310_0_1_350,4000410_0_1_0,4000510_0_1_0,4000115_0_1_192,4000215_0_1_170,4000315_0_1_87,4000415_0_1_0,4000515_0_1_0,30000_40001_1_330,30000_40002_1_200,30000_40003_1_115</t>
  </si>
  <si>
    <t>4000110_0_1_395,4000210_0_1_348,4000310_0_1_184,4000410_0_1_0,4000510_0_1_0,4000115_0_1_592,4000215_0_1_523,4000315_0_1_276,4000415_0_1_0,4000515_0_1_0,30000_40001_1_340,30000_40002_1_200,30000_40003_1_120</t>
  </si>
  <si>
    <t>4000115_0_1_1002,4000215_0_1_882,4000315_0_1_476,4000415_0_1_24,4000515_0_1_0,4000120_0_1_0,4000220_0_1_0,4000320_0_1_0,4000420_0_1_0,4000520_0_1_0,30000_40001_1_350,30000_40002_1_200,30000_40003_1_125</t>
  </si>
  <si>
    <t>4000115_0_1_608,4000215_0_1_534,4000315_0_1_296,4000415_0_1_30,4000515_0_1_0,4000120_0_1_405,4000220_0_1_356,4000320_0_1_197,4000420_0_1_20,4000520_0_1_0,30000_40001_1_340,30000_40002_1_210,30000_40003_1_130</t>
  </si>
  <si>
    <t>4000115_0_1_198,4000215_0_1_173,4000315_0_1_99,4000415_0_1_14,4000515_0_1_0,4000120_0_1_795,4000220_0_1_694,4000320_0_1_396,4000420_0_1_59,4000520_0_1_0,30000_40001_1_330,30000_40002_1_220,30000_40003_1_135</t>
  </si>
  <si>
    <t>4000120_0_1_803,4000220_0_1_699,4000320_0_1_411,4000420_0_1_81,4000520_0_1_0,4000125_0_1_200,4000225_0_1_174,4000325_0_1_102,4000425_0_1_20,4000525_0_1_0,30000_40001_1_320,30000_40002_1_230,30000_40003_1_140</t>
  </si>
  <si>
    <t>4000120_0_1_512,4000220_0_1_445,4000320_0_1_270,4000420_0_1_67,4000520_0_1_0,4000125_0_1_769,4000225_0_1_668,4000325_0_1_405,4000425_0_1_100,4000525_0_1_0,30000_40001_1_310,30000_40002_1_240,30000_40003_1_145</t>
  </si>
  <si>
    <t>4000125_0_1_1260,4000225_0_1_1090,4000325_0_1_682,4000425_0_1_188,4000525_0_1_0,4000130_0_1_0,4000230_0_1_0,4000330_0_1_0,4000430_0_1_0,4000530_0_1_0,30000_40001_1_300,30000_40002_1_250,30000_40003_1_150</t>
  </si>
  <si>
    <t>4000125_0_1_742,4000225_0_1_639,4000325_0_1_412,4000425_0_1_123,4000525_0_1_0,4000130_0_1_495,4000230_0_1_426,4000330_0_1_275,4000430_0_1_82,4000530_0_1_0,30000_40001_1_290,30000_40002_1_260,30000_40003_1_155</t>
  </si>
  <si>
    <t>4000125_0_1_266,4000225_0_1_228,4000325_0_1_152,4000425_0_1_49,4000525_0_1_0,4000130_0_1_1064,4000230_0_1_912,4000330_0_1_608,4000430_0_1_198,4000530_0_1_0,30000_40001_1_280,30000_40002_1_270,30000_40003_1_160</t>
  </si>
  <si>
    <t>4000130_0_1_1067,4000230_0_1_910,4000330_0_1_627,4000430_0_1_219,4000530_0_1_0,4000135_0_1_266,4000235_0_1_227,4000335_0_1_156,4000435_0_1_54,4000535_0_1_0,30000_40001_1_270,30000_40002_1_280,30000_40003_1_165</t>
  </si>
  <si>
    <t>4000130_0_1_528,4000230_0_1_448,4000330_0_1_320,4000430_0_1_120,4000530_0_1_16,4000135_0_1_792,4000235_0_1_672,4000335_0_1_480,4000435_0_1_180,4000535_0_1_24,30000_40001_1_260,30000_40002_1_290,30000_40003_1_170</t>
  </si>
  <si>
    <t>4000135_0_1_1312,4000235_0_1_1108,4000335_0_1_820,4000435_0_1_328,4000535_0_1_62,4000140_0_1_0,4000240_0_1_0,4000340_0_1_0,4000440_0_1_0,4000540_0_1_0,30000_40001_1_250,30000_40002_1_300,30000_40003_1_175</t>
  </si>
  <si>
    <t>4000135_0_1_782,4000235_0_1_656,4000335_0_1_505,4000435_0_1_214,4000535_0_1_50,4000140_0_1_521,4000240_0_1_437,4000340_0_1_336,4000440_0_1_143,4000540_0_1_33,30000_40001_1_240,30000_40002_1_310,30000_40003_1_180</t>
  </si>
  <si>
    <t>4000135_0_1_478,4000235_0_1_398,4000335_0_1_318,4000435_0_1_143,4000535_0_1_39,4000140_0_1_813,4000240_0_1_679,4000340_0_1_543,4000440_0_1_244,4000540_0_1_68,30000_40001_1_230,30000_40002_1_305,30000_40003_1_185</t>
  </si>
  <si>
    <t>4000140_0_1_759,4000240_0_1_631,4000340_0_1_514,4000440_0_1_244,4000540_0_1_76,4000143_0_1_528,4000243_0_1_438,4000343_0_1_357,4000443_0_1_169,4000543_0_1_53,30000_40001_1_220,30000_40002_1_300,30000_40003_1_190</t>
  </si>
  <si>
    <t>4000143_0_1_879,4000243_0_1_727,4000343_0_1_590,4000443_0_1_302,4000543_0_1_105,4000145_0_1_432,4000245_0_1_358,4000345_0_1_291,4000445_0_1_149,4000545_0_1_52,30000_40001_1_210,30000_40002_1_295,30000_40003_1_195</t>
  </si>
  <si>
    <t>4000145_0_1_676,4000245_0_1_557,4000345_0_1_450,4000445_0_1_237,4000545_0_1_83,4000145_0_1_676,4000245_0_1_557,4000345_0_1_450,4000445_0_1_237,4000545_0_1_83,30000_40001_1_200,30000_40002_1_290,30000_40003_1_200</t>
  </si>
  <si>
    <t>4000145_0_1_973,4000245_0_1_799,4000345_0_1_643,4000445_0_1_347,4000545_0_1_120,4000147_0_1_378,4000247_0_1_310,4000347_0_1_250,4000447_0_1_134,4000547_0_1_47,30000_40001_1_190,30000_40002_1_285,30000_40003_1_205</t>
  </si>
  <si>
    <t>4000147_0_1_1000,4000247_0_1_818,4000347_0_1_654,4000447_0_1_364,4000547_0_1_127,4000150_0_1_351,4000250_0_1_287,4000350_0_1_229,4000450_0_1_127,4000550_0_1_44,30000_40001_1_180,30000_40002_1_280,30000_40003_1_210</t>
  </si>
  <si>
    <t>4000150_0_1_1039,4000250_0_1_847,4000350_0_1_673,4000450_0_1_385,4000550_0_1_135,4000153_0_1_346,4000253_0_1_282,4000353_0_1_224,4000453_0_1_128,4000553_0_1_45,30000_40001_1_170,30000_40002_1_275,30000_40003_1_215</t>
  </si>
  <si>
    <t>4000153_0_1_859,4000253_0_1_696,4000353_0_1_551,4000453_0_1_324,4000553_0_1_114,4000153_0_1_526,4000253_0_1_427,4000353_0_1_338,4000453_0_1_199,4000553_0_1_69,30000_40001_1_160,30000_40002_1_270,30000_40003_1_220</t>
  </si>
  <si>
    <t>4000153_0_1_1081,4000253_0_1_873,4000353_0_1_686,4000453_0_1_416,4000553_0_1_145,4000155_0_1_304,4000255_0_1_246,4000355_0_1_193,4000455_0_1_117,4000555_0_1_40,30000_40001_1_150,30000_40002_1_265,30000_40003_1_225</t>
  </si>
  <si>
    <t>4000155_0_1_1110,4000255_0_1_892,4000355_0_1_696,4000455_0_1_435,4000555_0_1_152,4000157_0_1_277,4000257_0_1_223,4000357_0_1_174,4000457_0_1_108,4000557_0_1_38,30000_40001_1_140,30000_40002_1_260,30000_40003_1_230</t>
  </si>
  <si>
    <t>4000157_0_1_1124,4000257_0_1_899,4000357_0_1_696,4000457_0_1_450,4000557_0_1_157,4000157_0_1_263,4000257_0_1_210,4000357_0_1_163,4000457_0_1_105,4000557_0_1_36,30000_40001_1_130,30000_40002_1_255,30000_40003_1_235</t>
  </si>
  <si>
    <t>4000157_0_1_1152,4000257_0_1_916,4000357_0_1_705,4000457_0_1_469,4000557_0_1_164,4000160_0_1_235,4000260_0_1_187,4000360_0_1_144,4000460_0_1_96,4000560_0_1_33,30000_40001_1_120,30000_40002_1_250,30000_40003_1_240</t>
  </si>
  <si>
    <t>4000160_0_1_1165,4000260_0_1_924,4000360_0_1_703,4000460_0_1_485,4000560_0_1_169,4000163_0_1_222,4000263_0_1_176,4000363_0_1_134,4000463_0_1_92,4000563_0_1_32,30000_40001_1_110,30000_40002_1_245,30000_40003_1_245</t>
  </si>
  <si>
    <t>4000163_0_1_1179,4000263_0_1_929,4000363_0_1_703,4000463_0_1_501,4000563_0_1_175,4000163_0_1_208,4000263_0_1_164,4000363_0_1_124,4000463_0_1_88,4000563_0_1_30,30000_40001_1_100,30000_40002_1_240,30000_40003_1_250</t>
  </si>
  <si>
    <t>4000163_0_1_1320,4000263_0_1_1033,4000363_0_1_775,4000463_0_1_573,4000563_0_1_201,4000165_0_1_69,4000265_0_1_54,4000365_0_1_40,4000465_0_1_30,4000565_0_1_10,30000_40001_1_90,30000_40002_1_235,30000_40003_1_255</t>
  </si>
</sst>
</file>

<file path=xl/styles.xml><?xml version="1.0" encoding="utf-8"?>
<styleSheet xmlns="http://schemas.openxmlformats.org/spreadsheetml/2006/main">
  <fonts count="12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5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11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8" fillId="2" borderId="1" applyNumberFormat="0" applyAlignment="0" applyProtection="0">
      <alignment vertical="center"/>
    </xf>
    <xf numFmtId="0" fontId="10" fillId="2" borderId="2" applyNumberFormat="0" applyAlignment="0" applyProtection="0">
      <alignment vertical="center"/>
    </xf>
    <xf numFmtId="0" fontId="2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2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1" fillId="0" borderId="0" xfId="14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5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20">
          <cell r="A20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</sheetData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0"/>
  <sheetViews>
    <sheetView tabSelected="1" topLeftCell="K31" workbookViewId="0">
      <selection activeCell="T42" sqref="T42"/>
    </sheetView>
  </sheetViews>
  <sheetFormatPr defaultRowHeight="13.5"/>
  <cols>
    <col min="1" max="1" width="3.5" customWidth="1"/>
    <col min="2" max="3" width="11.375" customWidth="1"/>
    <col min="5" max="5" width="22.25" customWidth="1"/>
    <col min="6" max="6" width="17.75" customWidth="1"/>
    <col min="7" max="7" width="255.625" bestFit="1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20">
      <c r="A1" t="s">
        <v>47</v>
      </c>
    </row>
    <row r="2" spans="1:20" s="1" customFormat="1">
      <c r="B2" s="1" t="s">
        <v>53</v>
      </c>
      <c r="L2" s="1" t="s">
        <v>154</v>
      </c>
      <c r="M2" s="1" t="s">
        <v>154</v>
      </c>
    </row>
    <row r="3" spans="1:20">
      <c r="A3" t="s">
        <v>0</v>
      </c>
      <c r="B3" t="s">
        <v>1</v>
      </c>
      <c r="C3" t="s">
        <v>304</v>
      </c>
      <c r="D3" t="s">
        <v>2</v>
      </c>
      <c r="E3" t="s">
        <v>3</v>
      </c>
      <c r="F3" t="s">
        <v>4</v>
      </c>
      <c r="G3" t="s">
        <v>52</v>
      </c>
      <c r="H3" t="s">
        <v>5</v>
      </c>
      <c r="I3" t="s">
        <v>296</v>
      </c>
      <c r="J3" t="s">
        <v>297</v>
      </c>
      <c r="K3" t="s">
        <v>54</v>
      </c>
      <c r="L3" t="s">
        <v>45</v>
      </c>
      <c r="M3" t="s">
        <v>46</v>
      </c>
      <c r="N3" t="s">
        <v>48</v>
      </c>
      <c r="O3" s="2" t="s">
        <v>281</v>
      </c>
      <c r="P3" t="s">
        <v>730</v>
      </c>
      <c r="Q3" t="s">
        <v>731</v>
      </c>
      <c r="R3" t="s">
        <v>732</v>
      </c>
      <c r="S3" t="s">
        <v>733</v>
      </c>
      <c r="T3" t="s">
        <v>734</v>
      </c>
    </row>
    <row r="4" spans="1:20">
      <c r="A4" t="s">
        <v>41</v>
      </c>
      <c r="B4" t="s">
        <v>42</v>
      </c>
      <c r="C4" t="s">
        <v>305</v>
      </c>
      <c r="D4" t="s">
        <v>43</v>
      </c>
      <c r="E4" t="s">
        <v>44</v>
      </c>
      <c r="F4" t="s">
        <v>49</v>
      </c>
      <c r="G4" t="s">
        <v>50</v>
      </c>
      <c r="H4" t="s">
        <v>51</v>
      </c>
      <c r="I4" t="s">
        <v>298</v>
      </c>
      <c r="J4" t="s">
        <v>299</v>
      </c>
      <c r="K4" t="s">
        <v>55</v>
      </c>
      <c r="N4" t="s">
        <v>155</v>
      </c>
      <c r="O4" s="5" t="s">
        <v>288</v>
      </c>
      <c r="P4" t="s">
        <v>585</v>
      </c>
      <c r="Q4" t="s">
        <v>569</v>
      </c>
      <c r="R4" t="s">
        <v>728</v>
      </c>
      <c r="S4" t="s">
        <v>727</v>
      </c>
      <c r="T4" t="s">
        <v>729</v>
      </c>
    </row>
    <row r="6" spans="1:20">
      <c r="A6">
        <v>1</v>
      </c>
      <c r="B6" t="s">
        <v>6</v>
      </c>
      <c r="C6">
        <f>A7</f>
        <v>2</v>
      </c>
      <c r="D6">
        <v>1001</v>
      </c>
      <c r="E6" t="s">
        <v>683</v>
      </c>
      <c r="F6" t="s">
        <v>282</v>
      </c>
      <c r="G6" t="s">
        <v>735</v>
      </c>
      <c r="H6" t="s">
        <v>692</v>
      </c>
      <c r="I6" t="s">
        <v>300</v>
      </c>
      <c r="J6" t="s">
        <v>302</v>
      </c>
      <c r="K6">
        <v>70</v>
      </c>
      <c r="L6" t="s">
        <v>83</v>
      </c>
      <c r="M6" s="6" t="s">
        <v>289</v>
      </c>
      <c r="N6">
        <v>1840</v>
      </c>
      <c r="O6">
        <v>120</v>
      </c>
      <c r="P6">
        <v>10</v>
      </c>
      <c r="Q6">
        <v>10</v>
      </c>
      <c r="R6">
        <v>2</v>
      </c>
      <c r="S6">
        <v>1</v>
      </c>
      <c r="T6">
        <v>2</v>
      </c>
    </row>
    <row r="7" spans="1:20">
      <c r="A7">
        <v>2</v>
      </c>
      <c r="B7" t="s">
        <v>7</v>
      </c>
      <c r="C7">
        <f t="shared" ref="C7:C39" si="0">A8</f>
        <v>3</v>
      </c>
      <c r="D7">
        <v>1002</v>
      </c>
      <c r="E7" t="s">
        <v>306</v>
      </c>
      <c r="F7" t="s">
        <v>282</v>
      </c>
      <c r="G7" t="s">
        <v>736</v>
      </c>
      <c r="H7" t="s">
        <v>693</v>
      </c>
      <c r="I7" t="s">
        <v>301</v>
      </c>
      <c r="J7" t="s">
        <v>684</v>
      </c>
      <c r="K7">
        <v>70</v>
      </c>
      <c r="L7" t="s">
        <v>84</v>
      </c>
      <c r="M7" s="6" t="s">
        <v>290</v>
      </c>
      <c r="N7">
        <v>1840</v>
      </c>
      <c r="O7">
        <v>120</v>
      </c>
      <c r="P7">
        <v>12</v>
      </c>
      <c r="Q7">
        <v>12</v>
      </c>
      <c r="R7">
        <v>2</v>
      </c>
      <c r="S7">
        <v>1</v>
      </c>
      <c r="T7">
        <v>2</v>
      </c>
    </row>
    <row r="8" spans="1:20">
      <c r="A8">
        <v>3</v>
      </c>
      <c r="B8" t="s">
        <v>8</v>
      </c>
      <c r="C8">
        <f t="shared" si="0"/>
        <v>4</v>
      </c>
      <c r="D8">
        <v>1003</v>
      </c>
      <c r="E8" t="s">
        <v>307</v>
      </c>
      <c r="F8" t="s">
        <v>282</v>
      </c>
      <c r="G8" t="s">
        <v>737</v>
      </c>
      <c r="H8" t="s">
        <v>694</v>
      </c>
      <c r="I8">
        <v>0</v>
      </c>
      <c r="J8" t="s">
        <v>685</v>
      </c>
      <c r="K8">
        <v>70</v>
      </c>
      <c r="L8" t="s">
        <v>85</v>
      </c>
      <c r="M8" s="6" t="s">
        <v>291</v>
      </c>
      <c r="N8">
        <v>1840</v>
      </c>
      <c r="O8">
        <v>120</v>
      </c>
      <c r="P8">
        <v>14</v>
      </c>
      <c r="Q8">
        <v>14</v>
      </c>
      <c r="R8">
        <v>2</v>
      </c>
      <c r="S8">
        <v>1</v>
      </c>
      <c r="T8">
        <v>2</v>
      </c>
    </row>
    <row r="9" spans="1:20">
      <c r="A9">
        <v>4</v>
      </c>
      <c r="B9" t="s">
        <v>9</v>
      </c>
      <c r="C9">
        <f t="shared" si="0"/>
        <v>5</v>
      </c>
      <c r="D9">
        <v>1004</v>
      </c>
      <c r="E9" t="s">
        <v>339</v>
      </c>
      <c r="F9" t="s">
        <v>282</v>
      </c>
      <c r="G9" t="s">
        <v>738</v>
      </c>
      <c r="H9" t="s">
        <v>695</v>
      </c>
      <c r="I9">
        <v>0</v>
      </c>
      <c r="J9">
        <v>0</v>
      </c>
      <c r="K9">
        <v>70</v>
      </c>
      <c r="L9" t="s">
        <v>86</v>
      </c>
      <c r="M9" s="6" t="s">
        <v>292</v>
      </c>
      <c r="N9">
        <v>1840</v>
      </c>
      <c r="O9">
        <v>120</v>
      </c>
      <c r="P9">
        <v>18</v>
      </c>
      <c r="Q9">
        <v>18</v>
      </c>
      <c r="R9">
        <v>2</v>
      </c>
      <c r="S9">
        <v>1</v>
      </c>
      <c r="T9">
        <v>2</v>
      </c>
    </row>
    <row r="10" spans="1:20">
      <c r="A10">
        <v>5</v>
      </c>
      <c r="B10" t="s">
        <v>10</v>
      </c>
      <c r="C10">
        <f t="shared" si="0"/>
        <v>6</v>
      </c>
      <c r="D10">
        <v>1005</v>
      </c>
      <c r="E10" s="9" t="s">
        <v>308</v>
      </c>
      <c r="F10" t="s">
        <v>582</v>
      </c>
      <c r="G10" t="s">
        <v>739</v>
      </c>
      <c r="H10" t="s">
        <v>696</v>
      </c>
      <c r="I10">
        <v>0</v>
      </c>
      <c r="J10">
        <v>0</v>
      </c>
      <c r="K10">
        <v>70</v>
      </c>
      <c r="L10" t="s">
        <v>87</v>
      </c>
      <c r="M10" s="6" t="s">
        <v>293</v>
      </c>
      <c r="N10">
        <v>2254</v>
      </c>
      <c r="O10">
        <v>102</v>
      </c>
      <c r="P10">
        <v>22</v>
      </c>
      <c r="Q10">
        <v>22</v>
      </c>
      <c r="R10">
        <v>2</v>
      </c>
      <c r="S10">
        <v>1</v>
      </c>
      <c r="T10">
        <v>2</v>
      </c>
    </row>
    <row r="11" spans="1:20">
      <c r="A11">
        <v>6</v>
      </c>
      <c r="B11" t="s">
        <v>11</v>
      </c>
      <c r="C11">
        <f t="shared" si="0"/>
        <v>7</v>
      </c>
      <c r="D11">
        <v>1006</v>
      </c>
      <c r="E11" s="9" t="s">
        <v>309</v>
      </c>
      <c r="F11" t="s">
        <v>582</v>
      </c>
      <c r="G11" t="s">
        <v>740</v>
      </c>
      <c r="H11" t="s">
        <v>697</v>
      </c>
      <c r="I11">
        <v>0</v>
      </c>
      <c r="J11">
        <v>0</v>
      </c>
      <c r="K11">
        <v>70</v>
      </c>
      <c r="L11" t="s">
        <v>88</v>
      </c>
      <c r="M11" s="6" t="s">
        <v>294</v>
      </c>
      <c r="N11">
        <v>2254</v>
      </c>
      <c r="O11">
        <v>102</v>
      </c>
      <c r="P11">
        <v>26</v>
      </c>
      <c r="Q11">
        <v>26</v>
      </c>
      <c r="R11">
        <v>2</v>
      </c>
      <c r="S11">
        <v>1</v>
      </c>
      <c r="T11">
        <v>2</v>
      </c>
    </row>
    <row r="12" spans="1:20">
      <c r="A12">
        <v>7</v>
      </c>
      <c r="B12" t="s">
        <v>12</v>
      </c>
      <c r="C12">
        <f t="shared" si="0"/>
        <v>8</v>
      </c>
      <c r="D12">
        <v>1007</v>
      </c>
      <c r="E12" s="9" t="s">
        <v>310</v>
      </c>
      <c r="F12" t="s">
        <v>582</v>
      </c>
      <c r="G12" t="s">
        <v>741</v>
      </c>
      <c r="H12" t="s">
        <v>698</v>
      </c>
      <c r="I12">
        <v>0</v>
      </c>
      <c r="J12">
        <v>0</v>
      </c>
      <c r="K12">
        <v>70</v>
      </c>
      <c r="L12" t="s">
        <v>89</v>
      </c>
      <c r="M12" s="6" t="s">
        <v>295</v>
      </c>
      <c r="N12">
        <v>2254</v>
      </c>
      <c r="O12">
        <v>102</v>
      </c>
      <c r="P12">
        <v>46</v>
      </c>
      <c r="Q12">
        <v>46</v>
      </c>
      <c r="R12">
        <v>2</v>
      </c>
      <c r="S12">
        <v>1</v>
      </c>
      <c r="T12">
        <v>2</v>
      </c>
    </row>
    <row r="13" spans="1:20">
      <c r="A13">
        <v>8</v>
      </c>
      <c r="B13" t="s">
        <v>14</v>
      </c>
      <c r="C13">
        <f t="shared" si="0"/>
        <v>9</v>
      </c>
      <c r="D13">
        <v>1008</v>
      </c>
      <c r="E13" s="9" t="s">
        <v>311</v>
      </c>
      <c r="F13" t="s">
        <v>283</v>
      </c>
      <c r="G13" t="s">
        <v>742</v>
      </c>
      <c r="H13" t="s">
        <v>699</v>
      </c>
      <c r="I13">
        <v>0</v>
      </c>
      <c r="J13">
        <v>0</v>
      </c>
      <c r="K13">
        <v>70</v>
      </c>
      <c r="L13" t="s">
        <v>90</v>
      </c>
      <c r="M13" s="6" t="s">
        <v>57</v>
      </c>
      <c r="N13">
        <v>2320</v>
      </c>
      <c r="O13">
        <v>100</v>
      </c>
      <c r="P13">
        <v>59</v>
      </c>
      <c r="Q13">
        <v>59</v>
      </c>
      <c r="R13">
        <v>2</v>
      </c>
      <c r="S13">
        <v>1</v>
      </c>
      <c r="T13">
        <v>2</v>
      </c>
    </row>
    <row r="14" spans="1:20">
      <c r="A14">
        <v>9</v>
      </c>
      <c r="B14" t="s">
        <v>13</v>
      </c>
      <c r="C14">
        <f t="shared" si="0"/>
        <v>10</v>
      </c>
      <c r="D14">
        <v>1009</v>
      </c>
      <c r="E14" s="9" t="s">
        <v>312</v>
      </c>
      <c r="F14" t="s">
        <v>284</v>
      </c>
      <c r="G14" t="s">
        <v>743</v>
      </c>
      <c r="H14" t="s">
        <v>700</v>
      </c>
      <c r="I14">
        <v>0</v>
      </c>
      <c r="J14">
        <v>0</v>
      </c>
      <c r="K14">
        <v>70</v>
      </c>
      <c r="L14" t="s">
        <v>91</v>
      </c>
      <c r="M14" s="6" t="s">
        <v>58</v>
      </c>
      <c r="N14">
        <v>2384</v>
      </c>
      <c r="O14">
        <v>97</v>
      </c>
      <c r="P14">
        <v>72</v>
      </c>
      <c r="Q14">
        <v>72</v>
      </c>
      <c r="R14">
        <v>2</v>
      </c>
      <c r="S14">
        <v>1</v>
      </c>
      <c r="T14">
        <v>2</v>
      </c>
    </row>
    <row r="15" spans="1:20" s="3" customFormat="1">
      <c r="A15" s="3">
        <v>10</v>
      </c>
      <c r="B15" s="3" t="s">
        <v>16</v>
      </c>
      <c r="C15">
        <f t="shared" si="0"/>
        <v>11</v>
      </c>
      <c r="D15">
        <v>1010</v>
      </c>
      <c r="E15" s="9" t="s">
        <v>313</v>
      </c>
      <c r="F15" s="3" t="s">
        <v>285</v>
      </c>
      <c r="G15" t="s">
        <v>744</v>
      </c>
      <c r="H15" s="3" t="s">
        <v>701</v>
      </c>
      <c r="I15">
        <v>0</v>
      </c>
      <c r="J15">
        <v>0</v>
      </c>
      <c r="K15" s="3">
        <v>70</v>
      </c>
      <c r="L15" s="3" t="s">
        <v>92</v>
      </c>
      <c r="M15" s="7" t="s">
        <v>59</v>
      </c>
      <c r="N15" s="3">
        <v>2448</v>
      </c>
      <c r="O15" s="3">
        <v>95</v>
      </c>
      <c r="P15">
        <v>87</v>
      </c>
      <c r="Q15">
        <v>87</v>
      </c>
      <c r="R15">
        <v>2</v>
      </c>
      <c r="S15">
        <v>1</v>
      </c>
      <c r="T15">
        <v>2</v>
      </c>
    </row>
    <row r="16" spans="1:20">
      <c r="A16">
        <v>11</v>
      </c>
      <c r="B16" t="s">
        <v>15</v>
      </c>
      <c r="C16">
        <f t="shared" si="0"/>
        <v>12</v>
      </c>
      <c r="D16">
        <v>1011</v>
      </c>
      <c r="E16" s="9" t="s">
        <v>314</v>
      </c>
      <c r="F16" t="s">
        <v>285</v>
      </c>
      <c r="G16" t="s">
        <v>745</v>
      </c>
      <c r="H16" t="s">
        <v>702</v>
      </c>
      <c r="I16">
        <v>0</v>
      </c>
      <c r="J16">
        <v>0</v>
      </c>
      <c r="K16">
        <v>70</v>
      </c>
      <c r="L16" t="s">
        <v>93</v>
      </c>
      <c r="M16" s="6" t="s">
        <v>60</v>
      </c>
      <c r="N16">
        <v>2434</v>
      </c>
      <c r="O16">
        <v>95</v>
      </c>
      <c r="P16">
        <v>98</v>
      </c>
      <c r="Q16">
        <v>98</v>
      </c>
      <c r="R16">
        <v>2</v>
      </c>
      <c r="S16">
        <v>1</v>
      </c>
      <c r="T16">
        <v>2</v>
      </c>
    </row>
    <row r="17" spans="1:20">
      <c r="A17">
        <v>12</v>
      </c>
      <c r="B17" t="s">
        <v>17</v>
      </c>
      <c r="C17">
        <f t="shared" si="0"/>
        <v>13</v>
      </c>
      <c r="D17">
        <v>1012</v>
      </c>
      <c r="E17" s="9" t="s">
        <v>315</v>
      </c>
      <c r="F17" t="s">
        <v>286</v>
      </c>
      <c r="G17" t="s">
        <v>746</v>
      </c>
      <c r="H17" t="s">
        <v>703</v>
      </c>
      <c r="I17">
        <v>0</v>
      </c>
      <c r="J17">
        <v>0</v>
      </c>
      <c r="K17">
        <v>70</v>
      </c>
      <c r="L17" t="s">
        <v>94</v>
      </c>
      <c r="M17" s="6" t="s">
        <v>61</v>
      </c>
      <c r="N17">
        <v>2496</v>
      </c>
      <c r="O17">
        <v>93</v>
      </c>
      <c r="P17">
        <v>120</v>
      </c>
      <c r="Q17">
        <v>120</v>
      </c>
      <c r="R17">
        <v>2</v>
      </c>
      <c r="S17">
        <v>1</v>
      </c>
      <c r="T17">
        <v>2</v>
      </c>
    </row>
    <row r="18" spans="1:20">
      <c r="A18">
        <v>13</v>
      </c>
      <c r="B18" t="s">
        <v>19</v>
      </c>
      <c r="C18">
        <f t="shared" si="0"/>
        <v>14</v>
      </c>
      <c r="D18">
        <v>1013</v>
      </c>
      <c r="E18" s="9" t="s">
        <v>316</v>
      </c>
      <c r="F18" t="s">
        <v>570</v>
      </c>
      <c r="G18" t="s">
        <v>747</v>
      </c>
      <c r="H18" t="s">
        <v>704</v>
      </c>
      <c r="I18">
        <v>0</v>
      </c>
      <c r="J18">
        <v>0</v>
      </c>
      <c r="K18">
        <v>70</v>
      </c>
      <c r="L18" t="s">
        <v>95</v>
      </c>
      <c r="M18" s="6" t="s">
        <v>62</v>
      </c>
      <c r="N18">
        <v>3240</v>
      </c>
      <c r="O18">
        <v>76</v>
      </c>
      <c r="P18">
        <v>184</v>
      </c>
      <c r="Q18">
        <v>184</v>
      </c>
      <c r="R18">
        <v>2</v>
      </c>
      <c r="S18">
        <v>1</v>
      </c>
      <c r="T18">
        <v>2</v>
      </c>
    </row>
    <row r="19" spans="1:20">
      <c r="A19">
        <v>14</v>
      </c>
      <c r="B19" t="s">
        <v>18</v>
      </c>
      <c r="C19">
        <f t="shared" si="0"/>
        <v>15</v>
      </c>
      <c r="D19">
        <v>1014</v>
      </c>
      <c r="E19" s="9" t="s">
        <v>317</v>
      </c>
      <c r="F19" t="s">
        <v>570</v>
      </c>
      <c r="G19" t="s">
        <v>748</v>
      </c>
      <c r="H19" t="s">
        <v>705</v>
      </c>
      <c r="I19">
        <v>0</v>
      </c>
      <c r="J19">
        <v>0</v>
      </c>
      <c r="K19">
        <v>70</v>
      </c>
      <c r="L19" t="s">
        <v>96</v>
      </c>
      <c r="M19" s="6" t="s">
        <v>63</v>
      </c>
      <c r="N19">
        <v>3220</v>
      </c>
      <c r="O19">
        <v>76</v>
      </c>
      <c r="P19">
        <v>208</v>
      </c>
      <c r="Q19">
        <v>208</v>
      </c>
      <c r="R19">
        <v>2</v>
      </c>
      <c r="S19">
        <v>1</v>
      </c>
      <c r="T19">
        <v>2</v>
      </c>
    </row>
    <row r="20" spans="1:20">
      <c r="A20">
        <v>15</v>
      </c>
      <c r="B20" t="s">
        <v>20</v>
      </c>
      <c r="C20">
        <f t="shared" si="0"/>
        <v>16</v>
      </c>
      <c r="D20">
        <v>1015</v>
      </c>
      <c r="E20" s="9" t="s">
        <v>318</v>
      </c>
      <c r="F20" t="s">
        <v>570</v>
      </c>
      <c r="G20" t="s">
        <v>749</v>
      </c>
      <c r="H20" t="s">
        <v>706</v>
      </c>
      <c r="I20">
        <v>0</v>
      </c>
      <c r="J20">
        <v>0</v>
      </c>
      <c r="K20">
        <v>70</v>
      </c>
      <c r="L20" t="s">
        <v>97</v>
      </c>
      <c r="M20" s="6" t="s">
        <v>64</v>
      </c>
      <c r="N20">
        <v>3200</v>
      </c>
      <c r="O20">
        <v>76</v>
      </c>
      <c r="P20">
        <v>232</v>
      </c>
      <c r="Q20">
        <v>232</v>
      </c>
      <c r="R20">
        <v>2</v>
      </c>
      <c r="S20">
        <v>1</v>
      </c>
      <c r="T20">
        <v>2</v>
      </c>
    </row>
    <row r="21" spans="1:20">
      <c r="A21">
        <v>16</v>
      </c>
      <c r="B21" t="s">
        <v>24</v>
      </c>
      <c r="C21">
        <f t="shared" si="0"/>
        <v>17</v>
      </c>
      <c r="D21">
        <v>1016</v>
      </c>
      <c r="E21" s="9" t="s">
        <v>319</v>
      </c>
      <c r="F21" t="s">
        <v>571</v>
      </c>
      <c r="G21" t="s">
        <v>750</v>
      </c>
      <c r="H21" t="s">
        <v>707</v>
      </c>
      <c r="I21">
        <v>0</v>
      </c>
      <c r="J21">
        <v>0</v>
      </c>
      <c r="K21">
        <v>70</v>
      </c>
      <c r="L21" t="s">
        <v>98</v>
      </c>
      <c r="M21" s="6" t="s">
        <v>65</v>
      </c>
      <c r="N21">
        <v>3478</v>
      </c>
      <c r="O21">
        <v>73</v>
      </c>
      <c r="P21">
        <v>281</v>
      </c>
      <c r="Q21">
        <v>281</v>
      </c>
      <c r="R21">
        <v>2</v>
      </c>
      <c r="S21">
        <v>1</v>
      </c>
      <c r="T21">
        <v>2</v>
      </c>
    </row>
    <row r="22" spans="1:20">
      <c r="A22">
        <v>17</v>
      </c>
      <c r="B22" t="s">
        <v>21</v>
      </c>
      <c r="C22">
        <f t="shared" si="0"/>
        <v>18</v>
      </c>
      <c r="D22">
        <v>1017</v>
      </c>
      <c r="E22" s="9" t="s">
        <v>320</v>
      </c>
      <c r="F22" t="s">
        <v>572</v>
      </c>
      <c r="G22" t="s">
        <v>751</v>
      </c>
      <c r="H22" t="s">
        <v>708</v>
      </c>
      <c r="I22">
        <v>0</v>
      </c>
      <c r="J22">
        <v>0</v>
      </c>
      <c r="K22">
        <v>70</v>
      </c>
      <c r="L22" t="s">
        <v>99</v>
      </c>
      <c r="M22" s="6" t="s">
        <v>66</v>
      </c>
      <c r="N22">
        <v>3530</v>
      </c>
      <c r="O22">
        <v>72</v>
      </c>
      <c r="P22">
        <v>315</v>
      </c>
      <c r="Q22">
        <v>315</v>
      </c>
      <c r="R22">
        <v>2</v>
      </c>
      <c r="S22">
        <v>1</v>
      </c>
      <c r="T22">
        <v>2</v>
      </c>
    </row>
    <row r="23" spans="1:20">
      <c r="A23">
        <v>18</v>
      </c>
      <c r="B23" t="s">
        <v>22</v>
      </c>
      <c r="C23">
        <f t="shared" si="0"/>
        <v>19</v>
      </c>
      <c r="D23">
        <v>1018</v>
      </c>
      <c r="E23" s="9" t="s">
        <v>321</v>
      </c>
      <c r="F23" t="s">
        <v>573</v>
      </c>
      <c r="G23" t="s">
        <v>752</v>
      </c>
      <c r="H23" t="s">
        <v>709</v>
      </c>
      <c r="I23">
        <v>0</v>
      </c>
      <c r="J23">
        <v>0</v>
      </c>
      <c r="K23">
        <v>70</v>
      </c>
      <c r="L23" t="s">
        <v>100</v>
      </c>
      <c r="M23" s="6" t="s">
        <v>67</v>
      </c>
      <c r="N23">
        <v>3582</v>
      </c>
      <c r="O23">
        <v>72</v>
      </c>
      <c r="P23">
        <v>349</v>
      </c>
      <c r="Q23">
        <v>349</v>
      </c>
      <c r="R23">
        <v>2</v>
      </c>
      <c r="S23">
        <v>1</v>
      </c>
      <c r="T23">
        <v>2</v>
      </c>
    </row>
    <row r="24" spans="1:20" s="4" customFormat="1">
      <c r="A24" s="4">
        <v>19</v>
      </c>
      <c r="B24" t="s">
        <v>25</v>
      </c>
      <c r="C24">
        <f t="shared" si="0"/>
        <v>20</v>
      </c>
      <c r="D24">
        <v>1019</v>
      </c>
      <c r="E24" s="9" t="s">
        <v>322</v>
      </c>
      <c r="F24" s="4" t="s">
        <v>574</v>
      </c>
      <c r="G24" t="s">
        <v>753</v>
      </c>
      <c r="H24" s="4" t="s">
        <v>710</v>
      </c>
      <c r="I24">
        <v>0</v>
      </c>
      <c r="J24">
        <v>0</v>
      </c>
      <c r="K24" s="4">
        <v>70</v>
      </c>
      <c r="L24" s="4" t="s">
        <v>101</v>
      </c>
      <c r="M24" s="8" t="s">
        <v>68</v>
      </c>
      <c r="N24" s="4">
        <v>3632</v>
      </c>
      <c r="O24" s="4">
        <v>71</v>
      </c>
      <c r="P24">
        <v>385</v>
      </c>
      <c r="Q24">
        <v>385</v>
      </c>
      <c r="R24">
        <v>2</v>
      </c>
      <c r="S24">
        <v>1</v>
      </c>
      <c r="T24">
        <v>2</v>
      </c>
    </row>
    <row r="25" spans="1:20">
      <c r="A25">
        <v>20</v>
      </c>
      <c r="B25" s="4" t="s">
        <v>23</v>
      </c>
      <c r="C25">
        <f t="shared" si="0"/>
        <v>21</v>
      </c>
      <c r="D25">
        <v>1020</v>
      </c>
      <c r="E25" s="9" t="s">
        <v>323</v>
      </c>
      <c r="F25" t="s">
        <v>575</v>
      </c>
      <c r="G25" t="s">
        <v>754</v>
      </c>
      <c r="H25" t="s">
        <v>711</v>
      </c>
      <c r="I25">
        <v>0</v>
      </c>
      <c r="J25">
        <v>0</v>
      </c>
      <c r="K25">
        <v>70</v>
      </c>
      <c r="L25" t="s">
        <v>102</v>
      </c>
      <c r="M25" s="6" t="s">
        <v>69</v>
      </c>
      <c r="N25">
        <v>3680</v>
      </c>
      <c r="O25">
        <v>70</v>
      </c>
      <c r="P25">
        <v>422</v>
      </c>
      <c r="Q25">
        <v>422</v>
      </c>
      <c r="R25">
        <v>2</v>
      </c>
      <c r="S25">
        <v>1</v>
      </c>
      <c r="T25">
        <v>2</v>
      </c>
    </row>
    <row r="26" spans="1:20">
      <c r="A26">
        <v>21</v>
      </c>
      <c r="B26" t="s">
        <v>26</v>
      </c>
      <c r="C26">
        <f t="shared" si="0"/>
        <v>22</v>
      </c>
      <c r="D26">
        <v>1021</v>
      </c>
      <c r="E26" s="9" t="s">
        <v>324</v>
      </c>
      <c r="F26" t="s">
        <v>576</v>
      </c>
      <c r="G26" t="s">
        <v>755</v>
      </c>
      <c r="H26" t="s">
        <v>712</v>
      </c>
      <c r="I26">
        <v>0</v>
      </c>
      <c r="J26">
        <v>0</v>
      </c>
      <c r="K26">
        <v>70</v>
      </c>
      <c r="L26" t="s">
        <v>103</v>
      </c>
      <c r="M26" s="6" t="s">
        <v>70</v>
      </c>
      <c r="N26">
        <v>3728</v>
      </c>
      <c r="O26">
        <v>69</v>
      </c>
      <c r="P26">
        <v>460</v>
      </c>
      <c r="Q26">
        <v>460</v>
      </c>
      <c r="R26">
        <v>2</v>
      </c>
      <c r="S26">
        <v>1</v>
      </c>
      <c r="T26">
        <v>2</v>
      </c>
    </row>
    <row r="27" spans="1:20">
      <c r="A27">
        <v>22</v>
      </c>
      <c r="B27" t="s">
        <v>27</v>
      </c>
      <c r="C27">
        <f t="shared" si="0"/>
        <v>23</v>
      </c>
      <c r="D27">
        <v>1022</v>
      </c>
      <c r="E27" s="9" t="s">
        <v>325</v>
      </c>
      <c r="F27" t="s">
        <v>577</v>
      </c>
      <c r="G27" t="s">
        <v>756</v>
      </c>
      <c r="H27" t="s">
        <v>713</v>
      </c>
      <c r="I27">
        <v>0</v>
      </c>
      <c r="J27">
        <v>0</v>
      </c>
      <c r="K27">
        <v>70</v>
      </c>
      <c r="L27" t="s">
        <v>104</v>
      </c>
      <c r="M27" s="6" t="s">
        <v>71</v>
      </c>
      <c r="N27">
        <v>3776</v>
      </c>
      <c r="O27">
        <v>69</v>
      </c>
      <c r="P27">
        <v>510</v>
      </c>
      <c r="Q27">
        <v>510</v>
      </c>
      <c r="R27">
        <v>2</v>
      </c>
      <c r="S27">
        <v>1</v>
      </c>
      <c r="T27">
        <v>2</v>
      </c>
    </row>
    <row r="28" spans="1:20">
      <c r="A28">
        <v>23</v>
      </c>
      <c r="B28" t="s">
        <v>28</v>
      </c>
      <c r="C28">
        <f t="shared" si="0"/>
        <v>24</v>
      </c>
      <c r="D28">
        <v>1023</v>
      </c>
      <c r="E28" s="9" t="s">
        <v>326</v>
      </c>
      <c r="F28" t="s">
        <v>578</v>
      </c>
      <c r="G28" t="s">
        <v>757</v>
      </c>
      <c r="H28" t="s">
        <v>714</v>
      </c>
      <c r="I28">
        <v>0</v>
      </c>
      <c r="J28">
        <v>0</v>
      </c>
      <c r="K28">
        <v>70</v>
      </c>
      <c r="L28" t="s">
        <v>105</v>
      </c>
      <c r="M28" s="6" t="s">
        <v>72</v>
      </c>
      <c r="N28">
        <v>3892</v>
      </c>
      <c r="O28">
        <v>67</v>
      </c>
      <c r="P28">
        <v>572</v>
      </c>
      <c r="Q28">
        <v>572</v>
      </c>
      <c r="R28">
        <v>2</v>
      </c>
      <c r="S28">
        <v>1</v>
      </c>
      <c r="T28">
        <v>2</v>
      </c>
    </row>
    <row r="29" spans="1:20">
      <c r="A29">
        <v>24</v>
      </c>
      <c r="B29" t="s">
        <v>29</v>
      </c>
      <c r="C29">
        <f t="shared" si="0"/>
        <v>25</v>
      </c>
      <c r="D29">
        <v>1024</v>
      </c>
      <c r="E29" s="9" t="s">
        <v>327</v>
      </c>
      <c r="F29" t="s">
        <v>579</v>
      </c>
      <c r="G29" t="s">
        <v>758</v>
      </c>
      <c r="H29" t="s">
        <v>715</v>
      </c>
      <c r="I29">
        <v>0</v>
      </c>
      <c r="J29">
        <v>0</v>
      </c>
      <c r="K29">
        <v>70</v>
      </c>
      <c r="L29" t="s">
        <v>106</v>
      </c>
      <c r="M29" s="6" t="s">
        <v>73</v>
      </c>
      <c r="N29">
        <v>4008</v>
      </c>
      <c r="O29">
        <v>66</v>
      </c>
      <c r="P29">
        <v>637</v>
      </c>
      <c r="Q29">
        <v>637</v>
      </c>
      <c r="R29">
        <v>2</v>
      </c>
      <c r="S29">
        <v>1</v>
      </c>
      <c r="T29">
        <v>2</v>
      </c>
    </row>
    <row r="30" spans="1:20">
      <c r="A30">
        <v>25</v>
      </c>
      <c r="B30" t="s">
        <v>30</v>
      </c>
      <c r="C30">
        <f t="shared" si="0"/>
        <v>26</v>
      </c>
      <c r="D30">
        <v>1025</v>
      </c>
      <c r="E30" s="9" t="s">
        <v>328</v>
      </c>
      <c r="F30" t="s">
        <v>580</v>
      </c>
      <c r="G30" t="s">
        <v>759</v>
      </c>
      <c r="H30" t="s">
        <v>716</v>
      </c>
      <c r="I30">
        <v>0</v>
      </c>
      <c r="J30">
        <v>0</v>
      </c>
      <c r="K30">
        <v>70</v>
      </c>
      <c r="L30" t="s">
        <v>107</v>
      </c>
      <c r="M30" s="6" t="s">
        <v>74</v>
      </c>
      <c r="N30">
        <v>4008</v>
      </c>
      <c r="O30">
        <v>66</v>
      </c>
      <c r="P30">
        <v>693</v>
      </c>
      <c r="Q30">
        <v>693</v>
      </c>
      <c r="R30">
        <v>2</v>
      </c>
      <c r="S30">
        <v>1</v>
      </c>
      <c r="T30">
        <v>2</v>
      </c>
    </row>
    <row r="31" spans="1:20">
      <c r="A31">
        <v>26</v>
      </c>
      <c r="B31" t="s">
        <v>31</v>
      </c>
      <c r="C31">
        <f t="shared" si="0"/>
        <v>27</v>
      </c>
      <c r="D31">
        <v>1026</v>
      </c>
      <c r="E31" s="9" t="s">
        <v>329</v>
      </c>
      <c r="F31" t="s">
        <v>581</v>
      </c>
      <c r="G31" t="s">
        <v>760</v>
      </c>
      <c r="H31" t="s">
        <v>717</v>
      </c>
      <c r="I31">
        <v>0</v>
      </c>
      <c r="J31">
        <v>0</v>
      </c>
      <c r="K31">
        <v>70</v>
      </c>
      <c r="L31" t="s">
        <v>108</v>
      </c>
      <c r="M31" s="6" t="s">
        <v>75</v>
      </c>
      <c r="N31">
        <v>4008</v>
      </c>
      <c r="O31">
        <v>65</v>
      </c>
      <c r="P31">
        <v>750</v>
      </c>
      <c r="Q31">
        <v>750</v>
      </c>
      <c r="R31">
        <v>2</v>
      </c>
      <c r="S31">
        <v>1</v>
      </c>
      <c r="T31">
        <v>2</v>
      </c>
    </row>
    <row r="32" spans="1:20">
      <c r="A32">
        <v>27</v>
      </c>
      <c r="B32" t="s">
        <v>32</v>
      </c>
      <c r="C32">
        <f t="shared" si="0"/>
        <v>28</v>
      </c>
      <c r="D32">
        <v>1027</v>
      </c>
      <c r="E32" s="9" t="s">
        <v>330</v>
      </c>
      <c r="F32" t="s">
        <v>287</v>
      </c>
      <c r="G32" t="s">
        <v>761</v>
      </c>
      <c r="H32" t="s">
        <v>718</v>
      </c>
      <c r="I32">
        <v>0</v>
      </c>
      <c r="J32">
        <v>0</v>
      </c>
      <c r="K32">
        <v>70</v>
      </c>
      <c r="L32" t="s">
        <v>109</v>
      </c>
      <c r="M32" s="6" t="s">
        <v>76</v>
      </c>
      <c r="N32">
        <v>4108</v>
      </c>
      <c r="O32">
        <v>63</v>
      </c>
      <c r="P32">
        <v>852</v>
      </c>
      <c r="Q32">
        <v>852</v>
      </c>
      <c r="R32">
        <v>2</v>
      </c>
      <c r="S32">
        <v>1</v>
      </c>
      <c r="T32">
        <v>2</v>
      </c>
    </row>
    <row r="33" spans="1:20">
      <c r="A33">
        <v>28</v>
      </c>
      <c r="B33" t="s">
        <v>33</v>
      </c>
      <c r="C33">
        <f t="shared" si="0"/>
        <v>29</v>
      </c>
      <c r="D33">
        <v>1028</v>
      </c>
      <c r="E33" s="9" t="s">
        <v>331</v>
      </c>
      <c r="F33" t="s">
        <v>287</v>
      </c>
      <c r="G33" t="s">
        <v>762</v>
      </c>
      <c r="H33" t="s">
        <v>719</v>
      </c>
      <c r="I33">
        <v>0</v>
      </c>
      <c r="J33">
        <v>0</v>
      </c>
      <c r="K33">
        <v>70</v>
      </c>
      <c r="L33" t="s">
        <v>110</v>
      </c>
      <c r="M33" s="6" t="s">
        <v>77</v>
      </c>
      <c r="N33">
        <v>4108</v>
      </c>
      <c r="O33">
        <v>63</v>
      </c>
      <c r="P33">
        <v>900</v>
      </c>
      <c r="Q33">
        <v>900</v>
      </c>
      <c r="R33">
        <v>2</v>
      </c>
      <c r="S33">
        <v>1</v>
      </c>
      <c r="T33">
        <v>2</v>
      </c>
    </row>
    <row r="34" spans="1:20">
      <c r="A34">
        <v>29</v>
      </c>
      <c r="B34" t="s">
        <v>35</v>
      </c>
      <c r="C34">
        <f t="shared" si="0"/>
        <v>30</v>
      </c>
      <c r="D34">
        <v>1029</v>
      </c>
      <c r="E34" s="9" t="s">
        <v>332</v>
      </c>
      <c r="F34" t="s">
        <v>287</v>
      </c>
      <c r="G34" t="s">
        <v>763</v>
      </c>
      <c r="H34" t="s">
        <v>720</v>
      </c>
      <c r="I34">
        <v>0</v>
      </c>
      <c r="J34">
        <v>0</v>
      </c>
      <c r="K34">
        <v>70</v>
      </c>
      <c r="L34" t="s">
        <v>111</v>
      </c>
      <c r="M34" s="6" t="s">
        <v>147</v>
      </c>
      <c r="N34">
        <v>4108</v>
      </c>
      <c r="O34">
        <v>63</v>
      </c>
      <c r="P34">
        <v>948</v>
      </c>
      <c r="Q34">
        <v>948</v>
      </c>
      <c r="R34">
        <v>2</v>
      </c>
      <c r="S34">
        <v>1</v>
      </c>
      <c r="T34">
        <v>2</v>
      </c>
    </row>
    <row r="35" spans="1:20">
      <c r="A35">
        <v>30</v>
      </c>
      <c r="B35" t="s">
        <v>34</v>
      </c>
      <c r="C35">
        <f t="shared" si="0"/>
        <v>31</v>
      </c>
      <c r="D35">
        <v>1030</v>
      </c>
      <c r="E35" s="9" t="s">
        <v>333</v>
      </c>
      <c r="F35" t="s">
        <v>287</v>
      </c>
      <c r="G35" t="s">
        <v>764</v>
      </c>
      <c r="H35" t="s">
        <v>721</v>
      </c>
      <c r="I35">
        <v>0</v>
      </c>
      <c r="J35">
        <v>0</v>
      </c>
      <c r="K35">
        <v>70</v>
      </c>
      <c r="L35" t="s">
        <v>112</v>
      </c>
      <c r="M35" s="6" t="s">
        <v>146</v>
      </c>
      <c r="N35">
        <v>4108</v>
      </c>
      <c r="O35">
        <v>63</v>
      </c>
      <c r="P35">
        <v>996</v>
      </c>
      <c r="Q35">
        <v>996</v>
      </c>
      <c r="R35">
        <v>2</v>
      </c>
      <c r="S35">
        <v>1</v>
      </c>
      <c r="T35">
        <v>2</v>
      </c>
    </row>
    <row r="36" spans="1:20">
      <c r="A36">
        <v>31</v>
      </c>
      <c r="B36" t="s">
        <v>36</v>
      </c>
      <c r="C36">
        <f t="shared" si="0"/>
        <v>32</v>
      </c>
      <c r="D36">
        <v>1031</v>
      </c>
      <c r="E36" s="9" t="s">
        <v>334</v>
      </c>
      <c r="F36" t="s">
        <v>287</v>
      </c>
      <c r="G36" t="s">
        <v>765</v>
      </c>
      <c r="H36" t="s">
        <v>722</v>
      </c>
      <c r="I36">
        <v>0</v>
      </c>
      <c r="J36">
        <v>0</v>
      </c>
      <c r="K36">
        <v>70</v>
      </c>
      <c r="L36" t="s">
        <v>113</v>
      </c>
      <c r="M36" s="6" t="s">
        <v>78</v>
      </c>
      <c r="N36">
        <v>4108</v>
      </c>
      <c r="O36">
        <v>63</v>
      </c>
      <c r="P36">
        <v>1044</v>
      </c>
      <c r="Q36">
        <v>1044</v>
      </c>
      <c r="R36">
        <v>2</v>
      </c>
      <c r="S36">
        <v>1</v>
      </c>
      <c r="T36">
        <v>2</v>
      </c>
    </row>
    <row r="37" spans="1:20">
      <c r="A37">
        <v>32</v>
      </c>
      <c r="B37" t="s">
        <v>40</v>
      </c>
      <c r="C37">
        <f t="shared" si="0"/>
        <v>33</v>
      </c>
      <c r="D37">
        <v>1032</v>
      </c>
      <c r="E37" s="9" t="s">
        <v>335</v>
      </c>
      <c r="F37" t="s">
        <v>287</v>
      </c>
      <c r="G37" t="s">
        <v>766</v>
      </c>
      <c r="H37" t="s">
        <v>723</v>
      </c>
      <c r="I37">
        <v>0</v>
      </c>
      <c r="J37">
        <v>0</v>
      </c>
      <c r="K37">
        <v>70</v>
      </c>
      <c r="L37" t="s">
        <v>114</v>
      </c>
      <c r="M37" s="6" t="s">
        <v>79</v>
      </c>
      <c r="N37">
        <v>4108</v>
      </c>
      <c r="O37">
        <v>63</v>
      </c>
      <c r="P37">
        <v>1104</v>
      </c>
      <c r="Q37">
        <v>1104</v>
      </c>
      <c r="R37">
        <v>2</v>
      </c>
      <c r="S37">
        <v>1</v>
      </c>
      <c r="T37">
        <v>2</v>
      </c>
    </row>
    <row r="38" spans="1:20">
      <c r="A38">
        <v>33</v>
      </c>
      <c r="B38" t="s">
        <v>39</v>
      </c>
      <c r="C38">
        <f t="shared" si="0"/>
        <v>34</v>
      </c>
      <c r="D38">
        <v>1033</v>
      </c>
      <c r="E38" s="9" t="s">
        <v>336</v>
      </c>
      <c r="F38" t="s">
        <v>287</v>
      </c>
      <c r="G38" t="s">
        <v>767</v>
      </c>
      <c r="H38" t="s">
        <v>724</v>
      </c>
      <c r="I38">
        <v>0</v>
      </c>
      <c r="J38">
        <v>0</v>
      </c>
      <c r="K38">
        <v>70</v>
      </c>
      <c r="L38" t="s">
        <v>115</v>
      </c>
      <c r="M38" s="6" t="s">
        <v>80</v>
      </c>
      <c r="N38">
        <v>4108</v>
      </c>
      <c r="O38">
        <v>63</v>
      </c>
      <c r="P38">
        <v>1164</v>
      </c>
      <c r="Q38">
        <v>1164</v>
      </c>
      <c r="R38">
        <v>2</v>
      </c>
      <c r="S38">
        <v>1</v>
      </c>
      <c r="T38">
        <v>2</v>
      </c>
    </row>
    <row r="39" spans="1:20">
      <c r="A39">
        <v>34</v>
      </c>
      <c r="B39" t="s">
        <v>37</v>
      </c>
      <c r="C39">
        <f t="shared" si="0"/>
        <v>35</v>
      </c>
      <c r="D39">
        <v>1034</v>
      </c>
      <c r="E39" s="9" t="s">
        <v>337</v>
      </c>
      <c r="F39" t="s">
        <v>287</v>
      </c>
      <c r="G39" t="s">
        <v>768</v>
      </c>
      <c r="H39" t="s">
        <v>725</v>
      </c>
      <c r="I39">
        <v>0</v>
      </c>
      <c r="J39">
        <v>0</v>
      </c>
      <c r="K39">
        <v>70</v>
      </c>
      <c r="L39" t="s">
        <v>116</v>
      </c>
      <c r="M39" s="6" t="s">
        <v>81</v>
      </c>
      <c r="N39">
        <v>4108</v>
      </c>
      <c r="O39">
        <v>63</v>
      </c>
      <c r="P39">
        <v>1224</v>
      </c>
      <c r="Q39">
        <v>1224</v>
      </c>
      <c r="R39">
        <v>2</v>
      </c>
      <c r="S39">
        <v>1</v>
      </c>
      <c r="T39">
        <v>2</v>
      </c>
    </row>
    <row r="40" spans="1:20">
      <c r="A40">
        <v>35</v>
      </c>
      <c r="B40" t="s">
        <v>38</v>
      </c>
      <c r="C40">
        <v>0</v>
      </c>
      <c r="D40">
        <v>1035</v>
      </c>
      <c r="E40" s="9" t="s">
        <v>338</v>
      </c>
      <c r="F40" t="s">
        <v>287</v>
      </c>
      <c r="G40" t="s">
        <v>769</v>
      </c>
      <c r="H40" t="s">
        <v>726</v>
      </c>
      <c r="I40">
        <v>0</v>
      </c>
      <c r="J40">
        <v>0</v>
      </c>
      <c r="K40">
        <v>70</v>
      </c>
      <c r="L40" t="s">
        <v>117</v>
      </c>
      <c r="M40" s="6" t="s">
        <v>82</v>
      </c>
      <c r="N40">
        <v>4108</v>
      </c>
      <c r="O40">
        <v>63</v>
      </c>
      <c r="P40">
        <v>1284</v>
      </c>
      <c r="Q40">
        <v>1284</v>
      </c>
      <c r="R40">
        <v>2</v>
      </c>
      <c r="S40">
        <v>1</v>
      </c>
      <c r="T40">
        <v>2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36"/>
  <sheetViews>
    <sheetView topLeftCell="A13" workbookViewId="0">
      <selection activeCell="J23" sqref="J23"/>
    </sheetView>
  </sheetViews>
  <sheetFormatPr defaultColWidth="9" defaultRowHeight="13.5"/>
  <cols>
    <col min="4" max="4" width="11.625" customWidth="1"/>
    <col min="5" max="5" width="14" customWidth="1"/>
  </cols>
  <sheetData>
    <row r="1" spans="1:6">
      <c r="A1" t="s">
        <v>0</v>
      </c>
      <c r="B1" t="s">
        <v>303</v>
      </c>
      <c r="C1" t="s">
        <v>2</v>
      </c>
      <c r="D1" t="s">
        <v>45</v>
      </c>
      <c r="E1" t="s">
        <v>46</v>
      </c>
      <c r="F1" t="s">
        <v>56</v>
      </c>
    </row>
    <row r="2" spans="1:6">
      <c r="A2">
        <f>mapActivity.xml!A6</f>
        <v>1</v>
      </c>
      <c r="B2" t="str">
        <f>mapActivity.xml!B6</f>
        <v>新手试炼</v>
      </c>
      <c r="C2">
        <f>mapActivity.xml!D6</f>
        <v>1001</v>
      </c>
      <c r="D2" t="str">
        <f>mapActivity.xml!L6</f>
        <v>map/map_001.png</v>
      </c>
      <c r="E2" t="str">
        <f>mapActivity.xml!M6</f>
        <v>1-3</v>
      </c>
      <c r="F2">
        <f>mapActivity.xml!N6</f>
        <v>1840</v>
      </c>
    </row>
    <row r="3" spans="1:6">
      <c r="A3">
        <f>mapActivity.xml!A7</f>
        <v>2</v>
      </c>
      <c r="B3" t="str">
        <f>mapActivity.xml!B7</f>
        <v>怒焰裂谷</v>
      </c>
      <c r="C3">
        <f>mapActivity.xml!D7</f>
        <v>1002</v>
      </c>
      <c r="D3" t="str">
        <f>mapActivity.xml!L7</f>
        <v>map/map_002.png</v>
      </c>
      <c r="E3" t="str">
        <f>mapActivity.xml!M7</f>
        <v>2-4</v>
      </c>
      <c r="F3">
        <f>mapActivity.xml!N7</f>
        <v>1840</v>
      </c>
    </row>
    <row r="4" spans="1:6">
      <c r="A4">
        <f>mapActivity.xml!A8</f>
        <v>3</v>
      </c>
      <c r="B4" t="str">
        <f>mapActivity.xml!B8</f>
        <v>死亡矿井</v>
      </c>
      <c r="C4">
        <f>mapActivity.xml!D8</f>
        <v>1003</v>
      </c>
      <c r="D4" t="str">
        <f>mapActivity.xml!L8</f>
        <v>map/map_003.png</v>
      </c>
      <c r="E4" t="str">
        <f>mapActivity.xml!M8</f>
        <v>3-6</v>
      </c>
      <c r="F4">
        <f>mapActivity.xml!N8</f>
        <v>1840</v>
      </c>
    </row>
    <row r="5" spans="1:6">
      <c r="A5">
        <f>mapActivity.xml!A9</f>
        <v>4</v>
      </c>
      <c r="B5" t="str">
        <f>mapActivity.xml!B9</f>
        <v>哀嚎洞穴</v>
      </c>
      <c r="C5">
        <f>mapActivity.xml!D9</f>
        <v>1004</v>
      </c>
      <c r="D5" t="str">
        <f>mapActivity.xml!L9</f>
        <v>map/map_004.png</v>
      </c>
      <c r="E5" t="str">
        <f>mapActivity.xml!M9</f>
        <v>5-8</v>
      </c>
      <c r="F5">
        <f>mapActivity.xml!N9</f>
        <v>1840</v>
      </c>
    </row>
    <row r="6" spans="1:6">
      <c r="A6">
        <f>mapActivity.xml!A10</f>
        <v>5</v>
      </c>
      <c r="B6" t="str">
        <f>mapActivity.xml!B10</f>
        <v>影牙城堡</v>
      </c>
      <c r="C6">
        <f>mapActivity.xml!D10</f>
        <v>1005</v>
      </c>
      <c r="D6" t="str">
        <f>mapActivity.xml!L10</f>
        <v>map/map_005.png</v>
      </c>
      <c r="E6" t="str">
        <f>mapActivity.xml!M10</f>
        <v>7-10</v>
      </c>
      <c r="F6">
        <f>mapActivity.xml!N10</f>
        <v>2254</v>
      </c>
    </row>
    <row r="7" spans="1:6">
      <c r="A7">
        <f>mapActivity.xml!A11</f>
        <v>6</v>
      </c>
      <c r="B7" t="str">
        <f>mapActivity.xml!B11</f>
        <v>黑暗深渊</v>
      </c>
      <c r="C7">
        <f>mapActivity.xml!D11</f>
        <v>1006</v>
      </c>
      <c r="D7" t="str">
        <f>mapActivity.xml!L11</f>
        <v>map/map_006.png</v>
      </c>
      <c r="E7" t="str">
        <f>mapActivity.xml!M11</f>
        <v>9-12</v>
      </c>
      <c r="F7">
        <f>mapActivity.xml!N11</f>
        <v>2254</v>
      </c>
    </row>
    <row r="8" spans="1:6">
      <c r="A8">
        <f>mapActivity.xml!A12</f>
        <v>7</v>
      </c>
      <c r="B8" t="str">
        <f>mapActivity.xml!B12</f>
        <v>暴风城监狱</v>
      </c>
      <c r="C8">
        <f>mapActivity.xml!D12</f>
        <v>1007</v>
      </c>
      <c r="D8" t="str">
        <f>mapActivity.xml!L12</f>
        <v>map/map_007.png</v>
      </c>
      <c r="E8" t="str">
        <f>mapActivity.xml!M12</f>
        <v>11-14</v>
      </c>
      <c r="F8">
        <f>mapActivity.xml!N12</f>
        <v>2254</v>
      </c>
    </row>
    <row r="9" spans="1:6">
      <c r="A9">
        <f>mapActivity.xml!A13</f>
        <v>8</v>
      </c>
      <c r="B9" t="str">
        <f>mapActivity.xml!B13</f>
        <v>剃刀沼泽</v>
      </c>
      <c r="C9">
        <f>mapActivity.xml!D13</f>
        <v>1008</v>
      </c>
      <c r="D9" t="str">
        <f>mapActivity.xml!L13</f>
        <v>map/map_008.png</v>
      </c>
      <c r="E9" t="str">
        <f>mapActivity.xml!M13</f>
        <v>13-16</v>
      </c>
      <c r="F9">
        <f>mapActivity.xml!N13</f>
        <v>2320</v>
      </c>
    </row>
    <row r="10" spans="1:6">
      <c r="A10">
        <f>mapActivity.xml!A14</f>
        <v>9</v>
      </c>
      <c r="B10" t="str">
        <f>mapActivity.xml!B14</f>
        <v>诺莫瑞根</v>
      </c>
      <c r="C10">
        <f>mapActivity.xml!D14</f>
        <v>1009</v>
      </c>
      <c r="D10" t="str">
        <f>mapActivity.xml!L14</f>
        <v>map/map_009.png</v>
      </c>
      <c r="E10" t="str">
        <f>mapActivity.xml!M14</f>
        <v>15-18</v>
      </c>
      <c r="F10">
        <f>mapActivity.xml!N14</f>
        <v>2384</v>
      </c>
    </row>
    <row r="11" spans="1:6">
      <c r="A11">
        <f>mapActivity.xml!A15</f>
        <v>10</v>
      </c>
      <c r="B11" t="str">
        <f>mapActivity.xml!B15</f>
        <v>血色修道院</v>
      </c>
      <c r="C11">
        <f>mapActivity.xml!D15</f>
        <v>1010</v>
      </c>
      <c r="D11" t="str">
        <f>mapActivity.xml!L15</f>
        <v>map/map_010.png</v>
      </c>
      <c r="E11" t="str">
        <f>mapActivity.xml!M15</f>
        <v>17-20</v>
      </c>
      <c r="F11">
        <f>mapActivity.xml!N15</f>
        <v>2448</v>
      </c>
    </row>
    <row r="12" spans="1:6">
      <c r="A12">
        <f>mapActivity.xml!A16</f>
        <v>11</v>
      </c>
      <c r="B12" t="str">
        <f>mapActivity.xml!B16</f>
        <v>剃刀高地</v>
      </c>
      <c r="C12">
        <f>mapActivity.xml!D16</f>
        <v>1011</v>
      </c>
      <c r="D12" t="str">
        <f>mapActivity.xml!L16</f>
        <v>map/map_011.png</v>
      </c>
      <c r="E12" t="str">
        <f>mapActivity.xml!M16</f>
        <v>19-22</v>
      </c>
      <c r="F12">
        <f>mapActivity.xml!N16</f>
        <v>2434</v>
      </c>
    </row>
    <row r="13" spans="1:6">
      <c r="A13">
        <f>mapActivity.xml!A17</f>
        <v>12</v>
      </c>
      <c r="B13" t="str">
        <f>mapActivity.xml!B17</f>
        <v>奥达曼</v>
      </c>
      <c r="C13">
        <f>mapActivity.xml!D17</f>
        <v>1012</v>
      </c>
      <c r="D13" t="str">
        <f>mapActivity.xml!L17</f>
        <v>map/map_012.png</v>
      </c>
      <c r="E13" s="6" t="str">
        <f>mapActivity.xml!M17</f>
        <v>21-24</v>
      </c>
      <c r="F13">
        <f>mapActivity.xml!N17</f>
        <v>2496</v>
      </c>
    </row>
    <row r="14" spans="1:6">
      <c r="A14">
        <f>mapActivity.xml!A18</f>
        <v>13</v>
      </c>
      <c r="B14" t="str">
        <f>mapActivity.xml!B18</f>
        <v>祖尔法拉克</v>
      </c>
      <c r="C14">
        <f>mapActivity.xml!D18</f>
        <v>1013</v>
      </c>
      <c r="D14" t="str">
        <f>mapActivity.xml!L18</f>
        <v>map/map_013.png</v>
      </c>
      <c r="E14" t="str">
        <f>mapActivity.xml!M18</f>
        <v>23-26</v>
      </c>
      <c r="F14">
        <f>mapActivity.xml!N18</f>
        <v>3240</v>
      </c>
    </row>
    <row r="15" spans="1:6">
      <c r="A15">
        <f>mapActivity.xml!A19</f>
        <v>14</v>
      </c>
      <c r="B15" t="str">
        <f>mapActivity.xml!B19</f>
        <v>玛拉顿</v>
      </c>
      <c r="C15">
        <f>mapActivity.xml!D19</f>
        <v>1014</v>
      </c>
      <c r="D15" t="str">
        <f>mapActivity.xml!L19</f>
        <v>map/map_014.png</v>
      </c>
      <c r="E15" t="str">
        <f>mapActivity.xml!M19</f>
        <v>25-28</v>
      </c>
      <c r="F15">
        <f>mapActivity.xml!N19</f>
        <v>3220</v>
      </c>
    </row>
    <row r="16" spans="1:6">
      <c r="A16">
        <f>mapActivity.xml!A20</f>
        <v>15</v>
      </c>
      <c r="B16" t="str">
        <f>mapActivity.xml!B20</f>
        <v>沉没的神庙</v>
      </c>
      <c r="C16">
        <f>mapActivity.xml!D20</f>
        <v>1015</v>
      </c>
      <c r="D16" t="str">
        <f>mapActivity.xml!L20</f>
        <v>map/map_015.png</v>
      </c>
      <c r="E16" t="str">
        <f>mapActivity.xml!M20</f>
        <v>27-30</v>
      </c>
      <c r="F16">
        <f>mapActivity.xml!N20</f>
        <v>3200</v>
      </c>
    </row>
    <row r="17" spans="1:6">
      <c r="A17">
        <f>mapActivity.xml!A21</f>
        <v>16</v>
      </c>
      <c r="B17" t="str">
        <f>mapActivity.xml!B21</f>
        <v>厄运之槌</v>
      </c>
      <c r="C17">
        <f>mapActivity.xml!D21</f>
        <v>1016</v>
      </c>
      <c r="D17" t="str">
        <f>mapActivity.xml!L21</f>
        <v>map/map_016.png</v>
      </c>
      <c r="E17" t="str">
        <f>mapActivity.xml!M21</f>
        <v>29-32</v>
      </c>
      <c r="F17">
        <f>mapActivity.xml!N21</f>
        <v>3478</v>
      </c>
    </row>
    <row r="18" spans="1:6">
      <c r="A18">
        <f>mapActivity.xml!A22</f>
        <v>17</v>
      </c>
      <c r="B18" t="str">
        <f>mapActivity.xml!B22</f>
        <v>黑石深渊</v>
      </c>
      <c r="C18">
        <f>mapActivity.xml!D22</f>
        <v>1017</v>
      </c>
      <c r="D18" t="str">
        <f>mapActivity.xml!L22</f>
        <v>map/map_017.png</v>
      </c>
      <c r="E18" t="str">
        <f>mapActivity.xml!M22</f>
        <v>31-34</v>
      </c>
      <c r="F18">
        <f>mapActivity.xml!N22</f>
        <v>3530</v>
      </c>
    </row>
    <row r="19" spans="1:6">
      <c r="A19">
        <f>mapActivity.xml!A23</f>
        <v>18</v>
      </c>
      <c r="B19" t="str">
        <f>mapActivity.xml!B23</f>
        <v>斯坦索姆</v>
      </c>
      <c r="C19">
        <f>mapActivity.xml!D23</f>
        <v>1018</v>
      </c>
      <c r="D19" t="str">
        <f>mapActivity.xml!L23</f>
        <v>map/map_018.png</v>
      </c>
      <c r="E19" t="str">
        <f>mapActivity.xml!M23</f>
        <v>33-36</v>
      </c>
      <c r="F19">
        <f>mapActivity.xml!N23</f>
        <v>3582</v>
      </c>
    </row>
    <row r="20" spans="1:6">
      <c r="A20">
        <f>mapActivity.xml!A24</f>
        <v>19</v>
      </c>
      <c r="B20" t="str">
        <f>mapActivity.xml!B24</f>
        <v>通灵学院</v>
      </c>
      <c r="C20">
        <f>mapActivity.xml!D24</f>
        <v>1019</v>
      </c>
      <c r="D20" t="str">
        <f>mapActivity.xml!L24</f>
        <v>map/map_019.png</v>
      </c>
      <c r="E20" t="str">
        <f>mapActivity.xml!M24</f>
        <v>35-38</v>
      </c>
      <c r="F20">
        <f>mapActivity.xml!N24</f>
        <v>3632</v>
      </c>
    </row>
    <row r="21" spans="1:6">
      <c r="A21">
        <f>mapActivity.xml!A25</f>
        <v>20</v>
      </c>
      <c r="B21" t="str">
        <f>mapActivity.xml!B25</f>
        <v>黑石塔</v>
      </c>
      <c r="C21">
        <f>mapActivity.xml!D25</f>
        <v>1020</v>
      </c>
      <c r="D21" t="str">
        <f>mapActivity.xml!L25</f>
        <v>map/map_020.png</v>
      </c>
      <c r="E21" t="str">
        <f>mapActivity.xml!M25</f>
        <v>37-40</v>
      </c>
      <c r="F21">
        <f>mapActivity.xml!N25</f>
        <v>3680</v>
      </c>
    </row>
    <row r="22" spans="1:6">
      <c r="A22">
        <f>mapActivity.xml!A26</f>
        <v>21</v>
      </c>
      <c r="B22" t="str">
        <f>mapActivity.xml!B26</f>
        <v>地狱火城墙</v>
      </c>
      <c r="C22">
        <f>mapActivity.xml!D26</f>
        <v>1021</v>
      </c>
      <c r="D22" t="str">
        <f>mapActivity.xml!L26</f>
        <v>map/map_021.png</v>
      </c>
      <c r="E22" t="str">
        <f>mapActivity.xml!M26</f>
        <v>39-42</v>
      </c>
      <c r="F22">
        <f>mapActivity.xml!N26</f>
        <v>3728</v>
      </c>
    </row>
    <row r="23" spans="1:6">
      <c r="A23">
        <f>mapActivity.xml!A27</f>
        <v>22</v>
      </c>
      <c r="B23" t="str">
        <f>mapActivity.xml!B27</f>
        <v>鲜血熔炉</v>
      </c>
      <c r="C23">
        <f>mapActivity.xml!D27</f>
        <v>1022</v>
      </c>
      <c r="D23" t="str">
        <f>mapActivity.xml!L27</f>
        <v>map/map_022.png</v>
      </c>
      <c r="E23" t="str">
        <f>mapActivity.xml!M27</f>
        <v>41-44</v>
      </c>
      <c r="F23">
        <f>mapActivity.xml!N27</f>
        <v>3776</v>
      </c>
    </row>
    <row r="24" spans="1:6">
      <c r="A24">
        <f>mapActivity.xml!A28</f>
        <v>23</v>
      </c>
      <c r="B24" t="str">
        <f>mapActivity.xml!B28</f>
        <v>奴隶围栏</v>
      </c>
      <c r="C24">
        <f>mapActivity.xml!D28</f>
        <v>1023</v>
      </c>
      <c r="D24" t="str">
        <f>mapActivity.xml!L28</f>
        <v>map/map_023.png</v>
      </c>
      <c r="E24" t="str">
        <f>mapActivity.xml!M28</f>
        <v>43-46</v>
      </c>
      <c r="F24">
        <f>mapActivity.xml!N28</f>
        <v>3892</v>
      </c>
    </row>
    <row r="25" spans="1:6">
      <c r="A25">
        <f>mapActivity.xml!A29</f>
        <v>24</v>
      </c>
      <c r="B25" t="str">
        <f>mapActivity.xml!B29</f>
        <v>幽暗沼泽</v>
      </c>
      <c r="C25">
        <f>mapActivity.xml!D29</f>
        <v>1024</v>
      </c>
      <c r="D25" t="str">
        <f>mapActivity.xml!L29</f>
        <v>map/map_024.png</v>
      </c>
      <c r="E25" t="str">
        <f>mapActivity.xml!M29</f>
        <v>45-48</v>
      </c>
      <c r="F25">
        <f>mapActivity.xml!N29</f>
        <v>4008</v>
      </c>
    </row>
    <row r="26" spans="1:6">
      <c r="A26">
        <f>mapActivity.xml!A30</f>
        <v>25</v>
      </c>
      <c r="B26" t="str">
        <f>mapActivity.xml!B30</f>
        <v>法力陵墓</v>
      </c>
      <c r="C26">
        <f>mapActivity.xml!D30</f>
        <v>1025</v>
      </c>
      <c r="D26" t="str">
        <f>mapActivity.xml!L30</f>
        <v>map/map_025.png</v>
      </c>
      <c r="E26" t="str">
        <f>mapActivity.xml!M30</f>
        <v>47-50</v>
      </c>
      <c r="F26">
        <f>mapActivity.xml!N30</f>
        <v>4008</v>
      </c>
    </row>
    <row r="27" spans="1:6">
      <c r="A27">
        <f>mapActivity.xml!A31</f>
        <v>26</v>
      </c>
      <c r="B27" t="str">
        <f>mapActivity.xml!B31</f>
        <v>奥金尼地穴</v>
      </c>
      <c r="C27">
        <f>mapActivity.xml!D31</f>
        <v>1026</v>
      </c>
      <c r="D27" t="str">
        <f>mapActivity.xml!L31</f>
        <v>map/map_026.png</v>
      </c>
      <c r="E27" t="str">
        <f>mapActivity.xml!M31</f>
        <v>49-52</v>
      </c>
      <c r="F27">
        <f>mapActivity.xml!N31</f>
        <v>4008</v>
      </c>
    </row>
    <row r="28" spans="1:6">
      <c r="A28">
        <f>mapActivity.xml!A32</f>
        <v>27</v>
      </c>
      <c r="B28" t="str">
        <f>mapActivity.xml!B32</f>
        <v>旧希尔布拉德丘陵</v>
      </c>
      <c r="C28">
        <f>mapActivity.xml!D32</f>
        <v>1027</v>
      </c>
      <c r="D28" t="str">
        <f>mapActivity.xml!L32</f>
        <v>map/map_027.png</v>
      </c>
      <c r="E28" t="str">
        <f>mapActivity.xml!M32</f>
        <v>51-54</v>
      </c>
      <c r="F28">
        <f>mapActivity.xml!N32</f>
        <v>4108</v>
      </c>
    </row>
    <row r="29" spans="1:6">
      <c r="A29">
        <f>mapActivity.xml!A33</f>
        <v>28</v>
      </c>
      <c r="B29" t="str">
        <f>mapActivity.xml!B33</f>
        <v>塞泰克大厅</v>
      </c>
      <c r="C29">
        <f>mapActivity.xml!D33</f>
        <v>1028</v>
      </c>
      <c r="D29" t="str">
        <f>mapActivity.xml!L33</f>
        <v>map/map_028.png</v>
      </c>
      <c r="E29" t="str">
        <f>mapActivity.xml!M33</f>
        <v>53-56</v>
      </c>
      <c r="F29">
        <f>mapActivity.xml!N33</f>
        <v>4108</v>
      </c>
    </row>
    <row r="30" spans="1:6">
      <c r="A30">
        <f>mapActivity.xml!A34</f>
        <v>29</v>
      </c>
      <c r="B30" t="str">
        <f>mapActivity.xml!B34</f>
        <v>暗影迷宫</v>
      </c>
      <c r="C30">
        <f>mapActivity.xml!D34</f>
        <v>1029</v>
      </c>
      <c r="D30" t="str">
        <f>mapActivity.xml!L34</f>
        <v>map/map_029.png</v>
      </c>
      <c r="E30" t="str">
        <f>mapActivity.xml!M34</f>
        <v>55_58</v>
      </c>
      <c r="F30">
        <f>mapActivity.xml!N34</f>
        <v>4108</v>
      </c>
    </row>
    <row r="31" spans="1:6">
      <c r="A31">
        <f>mapActivity.xml!A35</f>
        <v>30</v>
      </c>
      <c r="B31" t="str">
        <f>mapActivity.xml!B35</f>
        <v>蒸汽地窖</v>
      </c>
      <c r="C31">
        <f>mapActivity.xml!D35</f>
        <v>1030</v>
      </c>
      <c r="D31" t="str">
        <f>mapActivity.xml!L35</f>
        <v>map/map_030.png</v>
      </c>
      <c r="E31" t="str">
        <f>mapActivity.xml!M35</f>
        <v>57-60</v>
      </c>
      <c r="F31">
        <f>mapActivity.xml!N35</f>
        <v>4108</v>
      </c>
    </row>
    <row r="32" spans="1:6">
      <c r="A32">
        <f>mapActivity.xml!A36</f>
        <v>31</v>
      </c>
      <c r="B32" t="str">
        <f>mapActivity.xml!B36</f>
        <v>能源舰</v>
      </c>
      <c r="C32">
        <f>mapActivity.xml!D36</f>
        <v>1031</v>
      </c>
      <c r="D32" t="str">
        <f>mapActivity.xml!L36</f>
        <v>map/map_031.png</v>
      </c>
      <c r="E32" t="str">
        <f>mapActivity.xml!M36</f>
        <v>59-62</v>
      </c>
      <c r="F32">
        <f>mapActivity.xml!N36</f>
        <v>4108</v>
      </c>
    </row>
    <row r="33" spans="1:6">
      <c r="A33">
        <f>mapActivity.xml!A37</f>
        <v>32</v>
      </c>
      <c r="B33" t="str">
        <f>mapActivity.xml!B37</f>
        <v>生态船</v>
      </c>
      <c r="C33">
        <f>mapActivity.xml!D37</f>
        <v>1032</v>
      </c>
      <c r="D33" t="str">
        <f>mapActivity.xml!L37</f>
        <v>map/map_032.png</v>
      </c>
      <c r="E33" t="str">
        <f>mapActivity.xml!M37</f>
        <v>61-64</v>
      </c>
      <c r="F33">
        <f>mapActivity.xml!N37</f>
        <v>4108</v>
      </c>
    </row>
    <row r="34" spans="1:6">
      <c r="A34">
        <f>mapActivity.xml!A38</f>
        <v>33</v>
      </c>
      <c r="B34" t="str">
        <f>mapActivity.xml!B38</f>
        <v>禁魔监狱</v>
      </c>
      <c r="C34">
        <f>mapActivity.xml!D38</f>
        <v>1033</v>
      </c>
      <c r="D34" t="str">
        <f>mapActivity.xml!L38</f>
        <v>map/map_033.png</v>
      </c>
      <c r="E34" t="str">
        <f>mapActivity.xml!M38</f>
        <v>63-66</v>
      </c>
      <c r="F34">
        <f>mapActivity.xml!N38</f>
        <v>4108</v>
      </c>
    </row>
    <row r="35" spans="1:6">
      <c r="A35">
        <f>mapActivity.xml!A39</f>
        <v>34</v>
      </c>
      <c r="B35" t="str">
        <f>mapActivity.xml!B39</f>
        <v>破碎大厅</v>
      </c>
      <c r="C35">
        <f>mapActivity.xml!D39</f>
        <v>1034</v>
      </c>
      <c r="D35" t="str">
        <f>mapActivity.xml!L39</f>
        <v>map/map_034.png</v>
      </c>
      <c r="E35" t="str">
        <f>mapActivity.xml!M39</f>
        <v>65-68</v>
      </c>
      <c r="F35">
        <f>mapActivity.xml!N39</f>
        <v>4108</v>
      </c>
    </row>
    <row r="36" spans="1:6">
      <c r="A36">
        <f>mapActivity.xml!A40</f>
        <v>35</v>
      </c>
      <c r="B36" t="str">
        <f>mapActivity.xml!B40</f>
        <v>黑色沼泽</v>
      </c>
      <c r="C36">
        <f>mapActivity.xml!D40</f>
        <v>1035</v>
      </c>
      <c r="D36" t="str">
        <f>mapActivity.xml!L40</f>
        <v>map/map_035.png</v>
      </c>
      <c r="E36" t="str">
        <f>mapActivity.xml!M40</f>
        <v>67-70</v>
      </c>
      <c r="F36">
        <f>mapActivity.xml!N40</f>
        <v>4108</v>
      </c>
    </row>
  </sheetData>
  <phoneticPr fontId="3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N116"/>
  <sheetViews>
    <sheetView topLeftCell="D79" workbookViewId="0">
      <selection activeCell="H98" sqref="H98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1" t="s">
        <v>164</v>
      </c>
      <c r="B2" s="11"/>
      <c r="C2" s="11"/>
      <c r="D2" s="11"/>
      <c r="E2" s="11"/>
      <c r="F2" s="11"/>
      <c r="G2" s="11"/>
      <c r="H2" s="11"/>
      <c r="I2" s="11"/>
      <c r="J2" s="11"/>
    </row>
    <row r="3" spans="1:14">
      <c r="A3" t="s">
        <v>156</v>
      </c>
      <c r="B3" t="s">
        <v>167</v>
      </c>
      <c r="C3" t="s">
        <v>157</v>
      </c>
      <c r="D3" t="s">
        <v>168</v>
      </c>
      <c r="E3" t="s">
        <v>169</v>
      </c>
      <c r="F3" t="s">
        <v>170</v>
      </c>
      <c r="G3" t="s">
        <v>171</v>
      </c>
      <c r="H3" t="s">
        <v>172</v>
      </c>
      <c r="I3" t="s">
        <v>165</v>
      </c>
      <c r="J3" t="s">
        <v>166</v>
      </c>
      <c r="K3" t="s">
        <v>188</v>
      </c>
      <c r="L3" t="s">
        <v>189</v>
      </c>
      <c r="M3" t="s">
        <v>190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175</v>
      </c>
      <c r="B4" t="s">
        <v>176</v>
      </c>
      <c r="C4" t="s">
        <v>177</v>
      </c>
      <c r="D4" t="s">
        <v>178</v>
      </c>
      <c r="E4" t="s">
        <v>179</v>
      </c>
      <c r="F4" t="s">
        <v>180</v>
      </c>
      <c r="G4" t="s">
        <v>173</v>
      </c>
      <c r="H4" t="s">
        <v>174</v>
      </c>
      <c r="I4" t="s">
        <v>165</v>
      </c>
      <c r="J4" t="s">
        <v>166</v>
      </c>
      <c r="K4" t="s">
        <v>191</v>
      </c>
      <c r="L4" t="s">
        <v>192</v>
      </c>
      <c r="M4" t="s">
        <v>193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182</v>
      </c>
      <c r="B5" t="s">
        <v>185</v>
      </c>
      <c r="C5" t="s">
        <v>183</v>
      </c>
      <c r="D5" t="s">
        <v>158</v>
      </c>
      <c r="E5" t="s">
        <v>159</v>
      </c>
      <c r="F5" t="s">
        <v>160</v>
      </c>
      <c r="G5" t="s">
        <v>174</v>
      </c>
      <c r="H5" t="s">
        <v>181</v>
      </c>
      <c r="I5" t="s">
        <v>166</v>
      </c>
      <c r="J5" t="s">
        <v>184</v>
      </c>
      <c r="K5" t="s">
        <v>194</v>
      </c>
      <c r="L5" t="s">
        <v>195</v>
      </c>
      <c r="M5" t="s">
        <v>196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186</v>
      </c>
      <c r="B6" t="s">
        <v>161</v>
      </c>
      <c r="C6" t="s">
        <v>187</v>
      </c>
      <c r="D6" t="s">
        <v>163</v>
      </c>
      <c r="E6" t="s">
        <v>159</v>
      </c>
      <c r="F6" t="s">
        <v>162</v>
      </c>
      <c r="G6" t="s">
        <v>174</v>
      </c>
      <c r="H6" t="s">
        <v>181</v>
      </c>
      <c r="I6" t="s">
        <v>166</v>
      </c>
      <c r="J6" t="s">
        <v>184</v>
      </c>
      <c r="K6" t="s">
        <v>197</v>
      </c>
      <c r="L6" t="s">
        <v>198</v>
      </c>
      <c r="M6" t="s">
        <v>199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340</v>
      </c>
      <c r="B7" t="s">
        <v>341</v>
      </c>
      <c r="C7" t="s">
        <v>342</v>
      </c>
      <c r="D7" t="s">
        <v>343</v>
      </c>
      <c r="E7" t="s">
        <v>344</v>
      </c>
      <c r="F7" t="s">
        <v>345</v>
      </c>
      <c r="G7" t="s">
        <v>346</v>
      </c>
      <c r="H7" t="s">
        <v>347</v>
      </c>
      <c r="I7" t="s">
        <v>348</v>
      </c>
      <c r="J7" t="s">
        <v>349</v>
      </c>
      <c r="K7" t="s">
        <v>200</v>
      </c>
      <c r="L7" t="s">
        <v>201</v>
      </c>
      <c r="M7" t="s">
        <v>202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350</v>
      </c>
      <c r="B8" t="s">
        <v>351</v>
      </c>
      <c r="C8" t="s">
        <v>352</v>
      </c>
      <c r="D8" t="s">
        <v>353</v>
      </c>
      <c r="E8" t="s">
        <v>344</v>
      </c>
      <c r="F8" t="s">
        <v>354</v>
      </c>
      <c r="G8" t="s">
        <v>355</v>
      </c>
      <c r="H8" t="s">
        <v>356</v>
      </c>
      <c r="I8" t="s">
        <v>348</v>
      </c>
      <c r="J8" t="s">
        <v>349</v>
      </c>
      <c r="K8" t="s">
        <v>203</v>
      </c>
      <c r="L8" t="s">
        <v>204</v>
      </c>
      <c r="M8" t="s">
        <v>205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357</v>
      </c>
      <c r="B9" t="s">
        <v>358</v>
      </c>
      <c r="C9" t="s">
        <v>352</v>
      </c>
      <c r="D9" t="s">
        <v>359</v>
      </c>
      <c r="E9" t="s">
        <v>344</v>
      </c>
      <c r="F9" t="s">
        <v>360</v>
      </c>
      <c r="G9" t="s">
        <v>355</v>
      </c>
      <c r="H9" t="s">
        <v>361</v>
      </c>
      <c r="I9" t="s">
        <v>348</v>
      </c>
      <c r="J9" t="s">
        <v>349</v>
      </c>
      <c r="K9" t="s">
        <v>206</v>
      </c>
      <c r="L9" t="s">
        <v>207</v>
      </c>
      <c r="M9" t="s">
        <v>208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362</v>
      </c>
      <c r="B10" t="s">
        <v>363</v>
      </c>
      <c r="C10" t="s">
        <v>364</v>
      </c>
      <c r="D10" t="s">
        <v>365</v>
      </c>
      <c r="E10" t="s">
        <v>366</v>
      </c>
      <c r="F10" t="s">
        <v>367</v>
      </c>
      <c r="G10" t="s">
        <v>356</v>
      </c>
      <c r="H10" t="s">
        <v>368</v>
      </c>
      <c r="I10" t="s">
        <v>349</v>
      </c>
      <c r="J10" t="s">
        <v>369</v>
      </c>
      <c r="K10" t="s">
        <v>209</v>
      </c>
      <c r="L10" t="s">
        <v>210</v>
      </c>
      <c r="M10" t="s">
        <v>211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370</v>
      </c>
      <c r="B11" t="s">
        <v>371</v>
      </c>
      <c r="C11" t="s">
        <v>372</v>
      </c>
      <c r="D11" t="s">
        <v>373</v>
      </c>
      <c r="E11" t="s">
        <v>366</v>
      </c>
      <c r="F11" t="s">
        <v>374</v>
      </c>
      <c r="G11" t="s">
        <v>356</v>
      </c>
      <c r="H11" t="s">
        <v>375</v>
      </c>
      <c r="I11" t="s">
        <v>349</v>
      </c>
      <c r="J11" t="s">
        <v>369</v>
      </c>
      <c r="K11" t="s">
        <v>212</v>
      </c>
      <c r="L11" t="s">
        <v>213</v>
      </c>
      <c r="M11" t="s">
        <v>214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376</v>
      </c>
      <c r="B12" t="s">
        <v>377</v>
      </c>
      <c r="C12" t="s">
        <v>378</v>
      </c>
      <c r="D12" t="s">
        <v>379</v>
      </c>
      <c r="E12" t="s">
        <v>380</v>
      </c>
      <c r="F12" t="s">
        <v>381</v>
      </c>
      <c r="G12" t="s">
        <v>382</v>
      </c>
      <c r="H12" t="s">
        <v>383</v>
      </c>
      <c r="I12" t="s">
        <v>369</v>
      </c>
      <c r="J12" t="s">
        <v>384</v>
      </c>
      <c r="K12" t="s">
        <v>215</v>
      </c>
      <c r="L12" t="s">
        <v>216</v>
      </c>
      <c r="M12" t="s">
        <v>217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385</v>
      </c>
      <c r="B13" t="s">
        <v>386</v>
      </c>
      <c r="C13" t="s">
        <v>387</v>
      </c>
      <c r="D13" t="s">
        <v>388</v>
      </c>
      <c r="E13" t="s">
        <v>389</v>
      </c>
      <c r="F13" t="s">
        <v>390</v>
      </c>
      <c r="G13" t="s">
        <v>375</v>
      </c>
      <c r="H13" t="s">
        <v>391</v>
      </c>
      <c r="I13" t="s">
        <v>369</v>
      </c>
      <c r="J13" t="s">
        <v>384</v>
      </c>
      <c r="K13" t="s">
        <v>218</v>
      </c>
      <c r="L13" t="s">
        <v>219</v>
      </c>
      <c r="M13" t="s">
        <v>220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392</v>
      </c>
      <c r="B14" t="s">
        <v>393</v>
      </c>
      <c r="C14" t="s">
        <v>394</v>
      </c>
      <c r="D14" t="s">
        <v>395</v>
      </c>
      <c r="E14" t="s">
        <v>396</v>
      </c>
      <c r="F14" t="s">
        <v>397</v>
      </c>
      <c r="G14" t="s">
        <v>398</v>
      </c>
      <c r="H14" t="s">
        <v>399</v>
      </c>
      <c r="I14" t="s">
        <v>369</v>
      </c>
      <c r="J14" t="s">
        <v>384</v>
      </c>
      <c r="K14" t="s">
        <v>221</v>
      </c>
      <c r="L14" t="s">
        <v>222</v>
      </c>
      <c r="M14" t="s">
        <v>223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400</v>
      </c>
      <c r="B15" t="s">
        <v>401</v>
      </c>
      <c r="C15" t="s">
        <v>402</v>
      </c>
      <c r="D15" t="s">
        <v>403</v>
      </c>
      <c r="E15" t="s">
        <v>404</v>
      </c>
      <c r="F15" t="s">
        <v>405</v>
      </c>
      <c r="G15" t="s">
        <v>406</v>
      </c>
      <c r="H15" t="s">
        <v>407</v>
      </c>
      <c r="I15" t="s">
        <v>384</v>
      </c>
      <c r="J15" t="s">
        <v>408</v>
      </c>
      <c r="K15" t="s">
        <v>224</v>
      </c>
      <c r="L15" t="s">
        <v>225</v>
      </c>
      <c r="M15" t="s">
        <v>226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409</v>
      </c>
      <c r="B16" t="s">
        <v>410</v>
      </c>
      <c r="C16" t="s">
        <v>411</v>
      </c>
      <c r="D16" t="s">
        <v>412</v>
      </c>
      <c r="E16" t="s">
        <v>413</v>
      </c>
      <c r="F16" t="s">
        <v>414</v>
      </c>
      <c r="G16" t="s">
        <v>415</v>
      </c>
      <c r="H16" t="s">
        <v>416</v>
      </c>
      <c r="I16" t="s">
        <v>384</v>
      </c>
      <c r="J16" t="s">
        <v>408</v>
      </c>
      <c r="K16" t="s">
        <v>227</v>
      </c>
      <c r="L16" t="s">
        <v>228</v>
      </c>
      <c r="M16" t="s">
        <v>229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417</v>
      </c>
      <c r="B17" t="s">
        <v>418</v>
      </c>
      <c r="C17" t="s">
        <v>419</v>
      </c>
      <c r="D17" t="s">
        <v>420</v>
      </c>
      <c r="E17" t="s">
        <v>421</v>
      </c>
      <c r="F17" t="s">
        <v>422</v>
      </c>
      <c r="G17" t="s">
        <v>423</v>
      </c>
      <c r="H17" t="s">
        <v>424</v>
      </c>
      <c r="I17" t="s">
        <v>425</v>
      </c>
      <c r="J17" t="s">
        <v>426</v>
      </c>
      <c r="K17" t="s">
        <v>230</v>
      </c>
      <c r="L17" t="s">
        <v>231</v>
      </c>
      <c r="M17" t="s">
        <v>232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427</v>
      </c>
      <c r="B18" t="s">
        <v>428</v>
      </c>
      <c r="C18" t="s">
        <v>429</v>
      </c>
      <c r="D18" t="s">
        <v>430</v>
      </c>
      <c r="E18" t="s">
        <v>431</v>
      </c>
      <c r="F18" t="s">
        <v>432</v>
      </c>
      <c r="G18" t="s">
        <v>433</v>
      </c>
      <c r="H18" t="s">
        <v>434</v>
      </c>
      <c r="I18" t="s">
        <v>425</v>
      </c>
      <c r="J18" t="s">
        <v>435</v>
      </c>
      <c r="K18" t="s">
        <v>233</v>
      </c>
      <c r="L18" t="s">
        <v>234</v>
      </c>
      <c r="M18" t="s">
        <v>235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436</v>
      </c>
      <c r="B19" t="s">
        <v>437</v>
      </c>
      <c r="C19" t="s">
        <v>438</v>
      </c>
      <c r="D19" t="s">
        <v>439</v>
      </c>
      <c r="E19" t="s">
        <v>440</v>
      </c>
      <c r="F19" t="s">
        <v>441</v>
      </c>
      <c r="G19" t="s">
        <v>442</v>
      </c>
      <c r="H19" t="s">
        <v>443</v>
      </c>
      <c r="I19" t="s">
        <v>444</v>
      </c>
      <c r="J19" t="s">
        <v>435</v>
      </c>
      <c r="K19" t="s">
        <v>236</v>
      </c>
      <c r="L19" t="s">
        <v>237</v>
      </c>
      <c r="M19" t="s">
        <v>238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445</v>
      </c>
      <c r="B20" t="s">
        <v>446</v>
      </c>
      <c r="C20" t="s">
        <v>447</v>
      </c>
      <c r="D20" t="s">
        <v>448</v>
      </c>
      <c r="E20" t="s">
        <v>449</v>
      </c>
      <c r="F20" t="s">
        <v>450</v>
      </c>
      <c r="G20" t="s">
        <v>451</v>
      </c>
      <c r="H20" t="s">
        <v>452</v>
      </c>
      <c r="I20" t="s">
        <v>453</v>
      </c>
      <c r="J20" t="s">
        <v>454</v>
      </c>
      <c r="K20" t="s">
        <v>239</v>
      </c>
      <c r="L20" t="s">
        <v>240</v>
      </c>
      <c r="M20" t="s">
        <v>241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455</v>
      </c>
      <c r="B21" t="s">
        <v>456</v>
      </c>
      <c r="C21" t="s">
        <v>457</v>
      </c>
      <c r="D21" t="s">
        <v>458</v>
      </c>
      <c r="E21" t="s">
        <v>459</v>
      </c>
      <c r="F21" t="s">
        <v>460</v>
      </c>
      <c r="G21" t="s">
        <v>461</v>
      </c>
      <c r="H21" t="s">
        <v>462</v>
      </c>
      <c r="I21" t="s">
        <v>453</v>
      </c>
      <c r="J21" t="s">
        <v>454</v>
      </c>
      <c r="K21" t="s">
        <v>242</v>
      </c>
      <c r="L21" t="s">
        <v>243</v>
      </c>
      <c r="M21" t="s">
        <v>244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463</v>
      </c>
      <c r="B22" t="s">
        <v>464</v>
      </c>
      <c r="C22" t="s">
        <v>465</v>
      </c>
      <c r="D22" t="s">
        <v>466</v>
      </c>
      <c r="E22" t="s">
        <v>467</v>
      </c>
      <c r="F22" t="s">
        <v>468</v>
      </c>
      <c r="G22" t="s">
        <v>469</v>
      </c>
      <c r="H22" t="s">
        <v>470</v>
      </c>
      <c r="I22" t="s">
        <v>471</v>
      </c>
      <c r="J22" t="s">
        <v>472</v>
      </c>
      <c r="K22" t="s">
        <v>245</v>
      </c>
      <c r="L22" t="s">
        <v>246</v>
      </c>
      <c r="M22" t="s">
        <v>247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473</v>
      </c>
      <c r="B23" t="s">
        <v>474</v>
      </c>
      <c r="C23" t="s">
        <v>475</v>
      </c>
      <c r="D23" t="s">
        <v>476</v>
      </c>
      <c r="E23" t="s">
        <v>477</v>
      </c>
      <c r="F23" t="s">
        <v>478</v>
      </c>
      <c r="G23" t="s">
        <v>479</v>
      </c>
      <c r="H23" t="s">
        <v>480</v>
      </c>
      <c r="I23" t="s">
        <v>471</v>
      </c>
      <c r="J23" t="s">
        <v>472</v>
      </c>
      <c r="K23" t="s">
        <v>248</v>
      </c>
      <c r="L23" t="s">
        <v>249</v>
      </c>
      <c r="M23" t="s">
        <v>250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481</v>
      </c>
      <c r="B24" t="s">
        <v>482</v>
      </c>
      <c r="C24" t="s">
        <v>483</v>
      </c>
      <c r="D24" t="s">
        <v>484</v>
      </c>
      <c r="E24" t="s">
        <v>485</v>
      </c>
      <c r="F24" t="s">
        <v>486</v>
      </c>
      <c r="G24" t="s">
        <v>487</v>
      </c>
      <c r="H24" t="s">
        <v>488</v>
      </c>
      <c r="I24" t="s">
        <v>471</v>
      </c>
      <c r="J24" t="s">
        <v>489</v>
      </c>
      <c r="K24" t="s">
        <v>251</v>
      </c>
      <c r="L24" t="s">
        <v>252</v>
      </c>
      <c r="M24" t="s">
        <v>253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490</v>
      </c>
      <c r="B25" t="s">
        <v>491</v>
      </c>
      <c r="C25" t="s">
        <v>492</v>
      </c>
      <c r="D25" t="s">
        <v>493</v>
      </c>
      <c r="E25" t="s">
        <v>494</v>
      </c>
      <c r="F25" t="s">
        <v>495</v>
      </c>
      <c r="G25" t="s">
        <v>496</v>
      </c>
      <c r="H25" t="s">
        <v>497</v>
      </c>
      <c r="I25" t="s">
        <v>498</v>
      </c>
      <c r="J25" t="s">
        <v>499</v>
      </c>
      <c r="K25" t="s">
        <v>254</v>
      </c>
      <c r="L25" t="s">
        <v>255</v>
      </c>
      <c r="M25" t="s">
        <v>256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500</v>
      </c>
      <c r="B26" t="s">
        <v>501</v>
      </c>
      <c r="C26" t="s">
        <v>502</v>
      </c>
      <c r="D26" t="s">
        <v>503</v>
      </c>
      <c r="E26" t="s">
        <v>504</v>
      </c>
      <c r="F26" t="s">
        <v>505</v>
      </c>
      <c r="G26" t="s">
        <v>506</v>
      </c>
      <c r="H26" t="s">
        <v>507</v>
      </c>
      <c r="I26" t="s">
        <v>498</v>
      </c>
      <c r="J26" t="s">
        <v>508</v>
      </c>
      <c r="K26" t="s">
        <v>257</v>
      </c>
      <c r="L26" t="s">
        <v>258</v>
      </c>
      <c r="M26" t="s">
        <v>259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509</v>
      </c>
      <c r="B27" t="s">
        <v>510</v>
      </c>
      <c r="C27" t="s">
        <v>511</v>
      </c>
      <c r="D27" t="s">
        <v>512</v>
      </c>
      <c r="E27" t="s">
        <v>513</v>
      </c>
      <c r="F27" t="s">
        <v>514</v>
      </c>
      <c r="G27" t="s">
        <v>515</v>
      </c>
      <c r="H27" t="s">
        <v>516</v>
      </c>
      <c r="I27" t="s">
        <v>508</v>
      </c>
      <c r="J27" t="s">
        <v>517</v>
      </c>
      <c r="K27" t="s">
        <v>260</v>
      </c>
      <c r="L27" t="s">
        <v>261</v>
      </c>
      <c r="M27" t="s">
        <v>262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518</v>
      </c>
      <c r="B28" t="s">
        <v>519</v>
      </c>
      <c r="C28" t="s">
        <v>520</v>
      </c>
      <c r="D28" t="s">
        <v>521</v>
      </c>
      <c r="E28" t="s">
        <v>522</v>
      </c>
      <c r="F28" t="s">
        <v>523</v>
      </c>
      <c r="G28" t="s">
        <v>524</v>
      </c>
      <c r="H28" t="s">
        <v>525</v>
      </c>
      <c r="I28" t="s">
        <v>508</v>
      </c>
      <c r="J28" t="s">
        <v>517</v>
      </c>
      <c r="K28" t="s">
        <v>263</v>
      </c>
      <c r="L28" t="s">
        <v>264</v>
      </c>
      <c r="M28" t="s">
        <v>265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526</v>
      </c>
      <c r="B29" t="s">
        <v>527</v>
      </c>
      <c r="C29" t="s">
        <v>528</v>
      </c>
      <c r="D29" t="s">
        <v>529</v>
      </c>
      <c r="E29" t="s">
        <v>530</v>
      </c>
      <c r="F29" t="s">
        <v>531</v>
      </c>
      <c r="G29" t="s">
        <v>532</v>
      </c>
      <c r="H29" t="s">
        <v>533</v>
      </c>
      <c r="I29" t="s">
        <v>534</v>
      </c>
      <c r="J29" t="s">
        <v>517</v>
      </c>
      <c r="K29" t="s">
        <v>266</v>
      </c>
      <c r="L29" t="s">
        <v>267</v>
      </c>
      <c r="M29" t="s">
        <v>268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535</v>
      </c>
      <c r="B30" t="s">
        <v>536</v>
      </c>
      <c r="C30" t="s">
        <v>537</v>
      </c>
      <c r="D30" t="s">
        <v>538</v>
      </c>
      <c r="E30" t="s">
        <v>539</v>
      </c>
      <c r="F30" t="s">
        <v>540</v>
      </c>
      <c r="G30" t="s">
        <v>541</v>
      </c>
      <c r="H30" t="s">
        <v>542</v>
      </c>
      <c r="I30" t="s">
        <v>517</v>
      </c>
      <c r="J30" t="s">
        <v>543</v>
      </c>
      <c r="K30" t="s">
        <v>269</v>
      </c>
      <c r="L30" t="s">
        <v>270</v>
      </c>
      <c r="M30" t="s">
        <v>271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544</v>
      </c>
      <c r="B31" t="s">
        <v>545</v>
      </c>
      <c r="C31" t="s">
        <v>546</v>
      </c>
      <c r="D31" t="s">
        <v>547</v>
      </c>
      <c r="E31" t="s">
        <v>548</v>
      </c>
      <c r="F31" t="s">
        <v>549</v>
      </c>
      <c r="G31" t="s">
        <v>550</v>
      </c>
      <c r="H31" t="s">
        <v>551</v>
      </c>
      <c r="I31" t="s">
        <v>517</v>
      </c>
      <c r="J31" t="s">
        <v>543</v>
      </c>
      <c r="K31" t="s">
        <v>272</v>
      </c>
      <c r="L31" t="s">
        <v>273</v>
      </c>
      <c r="M31" t="s">
        <v>274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552</v>
      </c>
      <c r="B32" t="s">
        <v>553</v>
      </c>
      <c r="C32" t="s">
        <v>554</v>
      </c>
      <c r="D32" t="s">
        <v>555</v>
      </c>
      <c r="E32" t="s">
        <v>556</v>
      </c>
      <c r="F32" t="s">
        <v>557</v>
      </c>
      <c r="G32" t="s">
        <v>558</v>
      </c>
      <c r="H32" t="s">
        <v>559</v>
      </c>
      <c r="I32" t="s">
        <v>543</v>
      </c>
      <c r="J32" t="s">
        <v>560</v>
      </c>
      <c r="K32" t="s">
        <v>275</v>
      </c>
      <c r="L32" t="s">
        <v>276</v>
      </c>
      <c r="M32" t="s">
        <v>277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561</v>
      </c>
      <c r="B33" t="s">
        <v>562</v>
      </c>
      <c r="C33" t="s">
        <v>563</v>
      </c>
      <c r="D33" t="s">
        <v>564</v>
      </c>
      <c r="E33" t="s">
        <v>565</v>
      </c>
      <c r="F33" t="s">
        <v>566</v>
      </c>
      <c r="G33" t="s">
        <v>567</v>
      </c>
      <c r="H33" t="s">
        <v>568</v>
      </c>
      <c r="I33" t="s">
        <v>543</v>
      </c>
      <c r="J33" t="s">
        <v>560</v>
      </c>
      <c r="K33" t="s">
        <v>278</v>
      </c>
      <c r="L33" t="s">
        <v>279</v>
      </c>
      <c r="M33" t="s">
        <v>280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282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282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282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282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282</v>
      </c>
      <c r="K86">
        <v>1</v>
      </c>
      <c r="L86">
        <f t="shared" si="8"/>
        <v>0.08</v>
      </c>
      <c r="M86">
        <v>0.08</v>
      </c>
    </row>
    <row r="87" spans="1:13">
      <c r="A87" t="s">
        <v>686</v>
      </c>
      <c r="H87" t="s">
        <v>584</v>
      </c>
      <c r="J87" t="s">
        <v>583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582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283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284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285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285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286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570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570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570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571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572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573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574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575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576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577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578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579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580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581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287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287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287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287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287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287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287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287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287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</sheetData>
  <mergeCells count="1">
    <mergeCell ref="A2:J2"/>
  </mergeCells>
  <phoneticPr fontId="3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AA150"/>
  <sheetViews>
    <sheetView topLeftCell="I28" workbookViewId="0">
      <selection activeCell="M36" sqref="M36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20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586</v>
      </c>
      <c r="C1" t="s">
        <v>587</v>
      </c>
      <c r="D1" t="s">
        <v>586</v>
      </c>
      <c r="E1" t="s">
        <v>587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R2&amp;"_0_1_"&amp;ROUNDDOWN([1]关卡!M8*$C2*2,0)</f>
        <v>4000101_0_1_800</v>
      </c>
      <c r="H2" t="str">
        <f>S2&amp;"_0_1_"&amp;ROUNDDOWN([1]关卡!N8*$C2*2,0)</f>
        <v>4000201_0_1_720</v>
      </c>
      <c r="I2" t="str">
        <f>T2&amp;"_0_1_"&amp;ROUNDDOWN([1]关卡!O8*$C2*2,0)</f>
        <v>4000301_0_1_320</v>
      </c>
      <c r="J2" t="str">
        <f>U2&amp;"_0_1_"&amp;ROUNDDOWN([1]关卡!P8*$C2*2,0)</f>
        <v>4000401_0_1_0</v>
      </c>
      <c r="K2" t="str">
        <f>V2&amp;"_0_1_"&amp;ROUNDDOWN([1]关卡!Q8*$C2*2,0)</f>
        <v>4000501_0_1_0</v>
      </c>
      <c r="L2" t="str">
        <f>W2&amp;"_0_1_"&amp;ROUNDDOWN([1]关卡!M8*$E2*2,0)</f>
        <v>4000105_0_1_0</v>
      </c>
      <c r="M2" t="str">
        <f>X2&amp;"_0_1_"&amp;ROUNDDOWN([1]关卡!N8*$E2*2,0)</f>
        <v>4000205_0_1_0</v>
      </c>
      <c r="N2" t="str">
        <f>Y2&amp;"_0_1_"&amp;ROUNDDOWN([1]关卡!O8*$E2*2,0)</f>
        <v>4000305_0_1_0</v>
      </c>
      <c r="O2" t="str">
        <f>Z2&amp;"_0_1_"&amp;ROUNDDOWN([1]关卡!P8*$E2*2,0)</f>
        <v>4000405_0_1_0</v>
      </c>
      <c r="P2" t="str">
        <f>AA2&amp;"_0_1_"&amp;ROUNDDOWN([1]关卡!Q8*$E2*2,0)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R3&amp;"_0_1_"&amp;ROUNDDOWN([1]关卡!M9*$C3*2,0)</f>
        <v>4000101_0_1_399</v>
      </c>
      <c r="H3" t="str">
        <f>S3&amp;"_0_1_"&amp;ROUNDDOWN([1]关卡!N9*$C3*2,0)</f>
        <v>4000201_0_1_358</v>
      </c>
      <c r="I3" t="str">
        <f>T3&amp;"_0_1_"&amp;ROUNDDOWN([1]关卡!O9*$C3*2,0)</f>
        <v>4000301_0_1_163</v>
      </c>
      <c r="J3" t="str">
        <f>U3&amp;"_0_1_"&amp;ROUNDDOWN([1]关卡!P9*$C3*2,0)</f>
        <v>4000401_0_1_0</v>
      </c>
      <c r="K3" t="str">
        <f>V3&amp;"_0_1_"&amp;ROUNDDOWN([1]关卡!Q9*$C3*2,0)</f>
        <v>4000501_0_1_0</v>
      </c>
      <c r="L3" t="str">
        <f>W3&amp;"_0_1_"&amp;ROUNDDOWN([1]关卡!M9*$E3*2,0)</f>
        <v>4000105_0_1_399</v>
      </c>
      <c r="M3" t="str">
        <f>X3&amp;"_0_1_"&amp;ROUNDDOWN([1]关卡!N9*$E3*2,0)</f>
        <v>4000205_0_1_358</v>
      </c>
      <c r="N3" t="str">
        <f>Y3&amp;"_0_1_"&amp;ROUNDDOWN([1]关卡!O9*$E3*2,0)</f>
        <v>4000305_0_1_163</v>
      </c>
      <c r="O3" t="str">
        <f>Z3&amp;"_0_1_"&amp;ROUNDDOWN([1]关卡!P9*$E3*2,0)</f>
        <v>4000405_0_1_0</v>
      </c>
      <c r="P3" t="str">
        <f>AA3&amp;"_0_1_"&amp;ROUNDDOWN([1]关卡!Q9*$E3*2,0)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R4&amp;"_0_1_"&amp;ROUNDDOWN([1]关卡!M10*$C4*2,0)</f>
        <v>4000101_0_1_159</v>
      </c>
      <c r="H4" t="str">
        <f>S4&amp;"_0_1_"&amp;ROUNDDOWN([1]关卡!N10*$C4*2,0)</f>
        <v>4000201_0_1_142</v>
      </c>
      <c r="I4" t="str">
        <f>T4&amp;"_0_1_"&amp;ROUNDDOWN([1]关卡!O10*$C4*2,0)</f>
        <v>4000301_0_1_66</v>
      </c>
      <c r="J4" t="str">
        <f>U4&amp;"_0_1_"&amp;ROUNDDOWN([1]关卡!P10*$C4*2,0)</f>
        <v>4000401_0_1_0</v>
      </c>
      <c r="K4" t="str">
        <f>V4&amp;"_0_1_"&amp;ROUNDDOWN([1]关卡!Q10*$C4*2,0)</f>
        <v>4000501_0_1_0</v>
      </c>
      <c r="L4" t="str">
        <f>W4&amp;"_0_1_"&amp;ROUNDDOWN([1]关卡!M10*$E4*2,0)</f>
        <v>4000105_0_1_636</v>
      </c>
      <c r="M4" t="str">
        <f>X4&amp;"_0_1_"&amp;ROUNDDOWN([1]关卡!N10*$E4*2,0)</f>
        <v>4000205_0_1_569</v>
      </c>
      <c r="N4" t="str">
        <f>Y4&amp;"_0_1_"&amp;ROUNDDOWN([1]关卡!O10*$E4*2,0)</f>
        <v>4000305_0_1_265</v>
      </c>
      <c r="O4" t="str">
        <f>Z4&amp;"_0_1_"&amp;ROUNDDOWN([1]关卡!P10*$E4*2,0)</f>
        <v>4000405_0_1_0</v>
      </c>
      <c r="P4" t="str">
        <f>AA4&amp;"_0_1_"&amp;ROUNDDOWN([1]关卡!Q10*$E4*2,0)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v>1</v>
      </c>
      <c r="D5">
        <v>10</v>
      </c>
      <c r="E5">
        <v>0</v>
      </c>
      <c r="G5" t="str">
        <f>R5&amp;"_0_1_"&amp;ROUNDDOWN([1]关卡!M11*$C5*2,0)</f>
        <v>4000105_0_1_794</v>
      </c>
      <c r="H5" t="str">
        <f>S5&amp;"_0_1_"&amp;ROUNDDOWN([1]关卡!N11*$C5*2,0)</f>
        <v>4000205_0_1_708</v>
      </c>
      <c r="I5" t="str">
        <f>T5&amp;"_0_1_"&amp;ROUNDDOWN([1]关卡!O11*$C5*2,0)</f>
        <v>4000305_0_1_338</v>
      </c>
      <c r="J5" t="str">
        <f>U5&amp;"_0_1_"&amp;ROUNDDOWN([1]关卡!P11*$C5*2,0)</f>
        <v>4000405_0_1_0</v>
      </c>
      <c r="K5" t="str">
        <f>V5&amp;"_0_1_"&amp;ROUNDDOWN([1]关卡!Q11*$C5*2,0)</f>
        <v>4000505_0_1_0</v>
      </c>
      <c r="L5" t="str">
        <f>W5&amp;"_0_1_"&amp;ROUNDDOWN([1]关卡!M11*$E5*2,0)</f>
        <v>4000110_0_1_0</v>
      </c>
      <c r="M5" t="str">
        <f>X5&amp;"_0_1_"&amp;ROUNDDOWN([1]关卡!N11*$E5*2,0)</f>
        <v>4000210_0_1_0</v>
      </c>
      <c r="N5" t="str">
        <f>Y5&amp;"_0_1_"&amp;ROUNDDOWN([1]关卡!O11*$E5*2,0)</f>
        <v>4000310_0_1_0</v>
      </c>
      <c r="O5" t="str">
        <f>Z5&amp;"_0_1_"&amp;ROUNDDOWN([1]关卡!P11*$E5*2,0)</f>
        <v>4000410_0_1_0</v>
      </c>
      <c r="P5" t="str">
        <f>AA5&amp;"_0_1_"&amp;ROUNDDOWN([1]关卡!Q11*$E5*2,0)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588</v>
      </c>
      <c r="X5" t="s">
        <v>589</v>
      </c>
      <c r="Y5" t="s">
        <v>590</v>
      </c>
      <c r="Z5" t="s">
        <v>591</v>
      </c>
      <c r="AA5" t="s">
        <v>592</v>
      </c>
    </row>
    <row r="6" spans="1:27">
      <c r="A6" s="10">
        <v>7</v>
      </c>
      <c r="B6">
        <f t="shared" ref="B6:B28" si="0">ROUNDDOWN(A6/5,0)*5</f>
        <v>5</v>
      </c>
      <c r="C6">
        <v>0.6</v>
      </c>
      <c r="D6">
        <v>10</v>
      </c>
      <c r="E6">
        <v>0.4</v>
      </c>
      <c r="G6" t="str">
        <f>R6&amp;"_0_1_"&amp;ROUNDDOWN([1]关卡!M12*$C6*2,0)</f>
        <v>4000105_0_1_582</v>
      </c>
      <c r="H6" t="str">
        <f>S6&amp;"_0_1_"&amp;ROUNDDOWN([1]关卡!N12*$C6*2,0)</f>
        <v>4000205_0_1_518</v>
      </c>
      <c r="I6" t="str">
        <f>T6&amp;"_0_1_"&amp;ROUNDDOWN([1]关卡!O12*$C6*2,0)</f>
        <v>4000305_0_1_253</v>
      </c>
      <c r="J6" t="str">
        <f>U6&amp;"_0_1_"&amp;ROUNDDOWN([1]关卡!P12*$C6*2,0)</f>
        <v>4000405_0_1_0</v>
      </c>
      <c r="K6" t="str">
        <f>V6&amp;"_0_1_"&amp;ROUNDDOWN([1]关卡!Q12*$C6*2,0)</f>
        <v>4000505_0_1_0</v>
      </c>
      <c r="L6" t="str">
        <f>W6&amp;"_0_1_"&amp;ROUNDDOWN([1]关卡!M12*$E6*2,0)</f>
        <v>4000110_0_1_388</v>
      </c>
      <c r="M6" t="str">
        <f>X6&amp;"_0_1_"&amp;ROUNDDOWN([1]关卡!N12*$E6*2,0)</f>
        <v>4000210_0_1_345</v>
      </c>
      <c r="N6" t="str">
        <f>Y6&amp;"_0_1_"&amp;ROUNDDOWN([1]关卡!O12*$E6*2,0)</f>
        <v>4000310_0_1_168</v>
      </c>
      <c r="O6" t="str">
        <f>Z6&amp;"_0_1_"&amp;ROUNDDOWN([1]关卡!P12*$E6*2,0)</f>
        <v>4000410_0_1_0</v>
      </c>
      <c r="P6" t="str">
        <f>AA6&amp;"_0_1_"&amp;ROUNDDOWN([1]关卡!Q12*$E6*2,0)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588</v>
      </c>
      <c r="X6" t="s">
        <v>589</v>
      </c>
      <c r="Y6" t="s">
        <v>590</v>
      </c>
      <c r="Z6" t="s">
        <v>591</v>
      </c>
      <c r="AA6" t="s">
        <v>592</v>
      </c>
    </row>
    <row r="7" spans="1:27">
      <c r="A7" s="10">
        <v>9</v>
      </c>
      <c r="B7">
        <f t="shared" si="0"/>
        <v>5</v>
      </c>
      <c r="C7">
        <v>0.2</v>
      </c>
      <c r="D7">
        <v>10</v>
      </c>
      <c r="E7">
        <v>0.8</v>
      </c>
      <c r="G7" t="str">
        <f>R7&amp;"_0_1_"&amp;ROUNDDOWN([1]关卡!M13*$C7*2,0)</f>
        <v>4000105_0_1_193</v>
      </c>
      <c r="H7" t="str">
        <f>S7&amp;"_0_1_"&amp;ROUNDDOWN([1]关卡!N13*$C7*2,0)</f>
        <v>4000205_0_1_171</v>
      </c>
      <c r="I7" t="str">
        <f>T7&amp;"_0_1_"&amp;ROUNDDOWN([1]关卡!O13*$C7*2,0)</f>
        <v>4000305_0_1_86</v>
      </c>
      <c r="J7" t="str">
        <f>U7&amp;"_0_1_"&amp;ROUNDDOWN([1]关卡!P13*$C7*2,0)</f>
        <v>4000405_0_1_0</v>
      </c>
      <c r="K7" t="str">
        <f>V7&amp;"_0_1_"&amp;ROUNDDOWN([1]关卡!Q13*$C7*2,0)</f>
        <v>4000505_0_1_0</v>
      </c>
      <c r="L7" t="str">
        <f>W7&amp;"_0_1_"&amp;ROUNDDOWN([1]关卡!M13*$E7*2,0)</f>
        <v>4000110_0_1_772</v>
      </c>
      <c r="M7" t="str">
        <f>X7&amp;"_0_1_"&amp;ROUNDDOWN([1]关卡!N13*$E7*2,0)</f>
        <v>4000210_0_1_686</v>
      </c>
      <c r="N7" t="str">
        <f>Y7&amp;"_0_1_"&amp;ROUNDDOWN([1]关卡!O13*$E7*2,0)</f>
        <v>4000310_0_1_344</v>
      </c>
      <c r="O7" t="str">
        <f>Z7&amp;"_0_1_"&amp;ROUNDDOWN([1]关卡!P13*$E7*2,0)</f>
        <v>4000410_0_1_0</v>
      </c>
      <c r="P7" t="str">
        <f>AA7&amp;"_0_1_"&amp;ROUNDDOWN([1]关卡!Q13*$E7*2,0)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588</v>
      </c>
      <c r="X7" t="s">
        <v>589</v>
      </c>
      <c r="Y7" t="s">
        <v>590</v>
      </c>
      <c r="Z7" t="s">
        <v>591</v>
      </c>
      <c r="AA7" t="s">
        <v>592</v>
      </c>
    </row>
    <row r="8" spans="1:27">
      <c r="A8" s="10">
        <v>11</v>
      </c>
      <c r="B8">
        <f t="shared" si="0"/>
        <v>10</v>
      </c>
      <c r="C8">
        <v>0.8</v>
      </c>
      <c r="D8">
        <v>15</v>
      </c>
      <c r="E8">
        <v>0.19999999999999996</v>
      </c>
      <c r="G8" t="str">
        <f>R8&amp;"_0_1_"&amp;ROUNDDOWN([1]关卡!M14*$C8*2,0)</f>
        <v>4000110_0_1_769</v>
      </c>
      <c r="H8" t="str">
        <f>S8&amp;"_0_1_"&amp;ROUNDDOWN([1]关卡!N14*$C8*2,0)</f>
        <v>4000210_0_1_683</v>
      </c>
      <c r="I8" t="str">
        <f>T8&amp;"_0_1_"&amp;ROUNDDOWN([1]关卡!O14*$C8*2,0)</f>
        <v>4000310_0_1_350</v>
      </c>
      <c r="J8" t="str">
        <f>U8&amp;"_0_1_"&amp;ROUNDDOWN([1]关卡!P14*$C8*2,0)</f>
        <v>4000410_0_1_0</v>
      </c>
      <c r="K8" t="str">
        <f>V8&amp;"_0_1_"&amp;ROUNDDOWN([1]关卡!Q14*$C8*2,0)</f>
        <v>4000510_0_1_0</v>
      </c>
      <c r="L8" t="str">
        <f>W8&amp;"_0_1_"&amp;ROUNDDOWN([1]关卡!M14*$E8*2,0)</f>
        <v>4000115_0_1_192</v>
      </c>
      <c r="M8" t="str">
        <f>X8&amp;"_0_1_"&amp;ROUNDDOWN([1]关卡!N14*$E8*2,0)</f>
        <v>4000215_0_1_170</v>
      </c>
      <c r="N8" t="str">
        <f>Y8&amp;"_0_1_"&amp;ROUNDDOWN([1]关卡!O14*$E8*2,0)</f>
        <v>4000315_0_1_87</v>
      </c>
      <c r="O8" t="str">
        <f>Z8&amp;"_0_1_"&amp;ROUNDDOWN([1]关卡!P14*$E8*2,0)</f>
        <v>4000415_0_1_0</v>
      </c>
      <c r="P8" t="str">
        <f>AA8&amp;"_0_1_"&amp;ROUNDDOWN([1]关卡!Q14*$E8*2,0)</f>
        <v>4000515_0_1_0</v>
      </c>
      <c r="R8" t="str">
        <f t="shared" ref="R8:V17" si="1">S$1&amp;$B8</f>
        <v>4000110</v>
      </c>
      <c r="S8" t="str">
        <f t="shared" si="1"/>
        <v>4000210</v>
      </c>
      <c r="T8" t="str">
        <f t="shared" si="1"/>
        <v>4000310</v>
      </c>
      <c r="U8" t="str">
        <f t="shared" si="1"/>
        <v>4000410</v>
      </c>
      <c r="V8" t="str">
        <f t="shared" si="1"/>
        <v>4000510</v>
      </c>
      <c r="W8" t="str">
        <f t="shared" ref="W8:W36" si="2">S$1&amp;$D8</f>
        <v>4000115</v>
      </c>
      <c r="X8" t="str">
        <f t="shared" ref="X8:X36" si="3">T$1&amp;$D8</f>
        <v>4000215</v>
      </c>
      <c r="Y8" t="str">
        <f t="shared" ref="Y8:Y36" si="4">U$1&amp;$D8</f>
        <v>4000315</v>
      </c>
      <c r="Z8" t="str">
        <f t="shared" ref="Z8:Z36" si="5">V$1&amp;$D8</f>
        <v>4000415</v>
      </c>
      <c r="AA8" t="str">
        <f t="shared" ref="AA8:AA36" si="6">W$1&amp;$D8</f>
        <v>4000515</v>
      </c>
    </row>
    <row r="9" spans="1:27">
      <c r="A9" s="10">
        <v>13</v>
      </c>
      <c r="B9">
        <f t="shared" si="0"/>
        <v>10</v>
      </c>
      <c r="C9">
        <v>0.4</v>
      </c>
      <c r="D9">
        <v>15</v>
      </c>
      <c r="E9">
        <v>0.6</v>
      </c>
      <c r="G9" t="str">
        <f>R9&amp;"_0_1_"&amp;ROUNDDOWN([1]关卡!M15*$C9*2,0)</f>
        <v>4000110_0_1_395</v>
      </c>
      <c r="H9" t="str">
        <f>S9&amp;"_0_1_"&amp;ROUNDDOWN([1]关卡!N15*$C9*2,0)</f>
        <v>4000210_0_1_348</v>
      </c>
      <c r="I9" t="str">
        <f>T9&amp;"_0_1_"&amp;ROUNDDOWN([1]关卡!O15*$C9*2,0)</f>
        <v>4000310_0_1_184</v>
      </c>
      <c r="J9" t="str">
        <f>U9&amp;"_0_1_"&amp;ROUNDDOWN([1]关卡!P15*$C9*2,0)</f>
        <v>4000410_0_1_0</v>
      </c>
      <c r="K9" t="str">
        <f>V9&amp;"_0_1_"&amp;ROUNDDOWN([1]关卡!Q15*$C9*2,0)</f>
        <v>4000510_0_1_0</v>
      </c>
      <c r="L9" t="str">
        <f>W9&amp;"_0_1_"&amp;ROUNDDOWN([1]关卡!M15*$E9*2,0)</f>
        <v>4000115_0_1_592</v>
      </c>
      <c r="M9" t="str">
        <f>X9&amp;"_0_1_"&amp;ROUNDDOWN([1]关卡!N15*$E9*2,0)</f>
        <v>4000215_0_1_523</v>
      </c>
      <c r="N9" t="str">
        <f>Y9&amp;"_0_1_"&amp;ROUNDDOWN([1]关卡!O15*$E9*2,0)</f>
        <v>4000315_0_1_276</v>
      </c>
      <c r="O9" t="str">
        <f>Z9&amp;"_0_1_"&amp;ROUNDDOWN([1]关卡!P15*$E9*2,0)</f>
        <v>4000415_0_1_0</v>
      </c>
      <c r="P9" t="str">
        <f>AA9&amp;"_0_1_"&amp;ROUNDDOWN([1]关卡!Q15*$E9*2,0)</f>
        <v>4000515_0_1_0</v>
      </c>
      <c r="R9" t="str">
        <f t="shared" si="1"/>
        <v>4000110</v>
      </c>
      <c r="S9" t="str">
        <f t="shared" si="1"/>
        <v>4000210</v>
      </c>
      <c r="T9" t="str">
        <f t="shared" si="1"/>
        <v>4000310</v>
      </c>
      <c r="U9" t="str">
        <f t="shared" si="1"/>
        <v>4000410</v>
      </c>
      <c r="V9" t="str">
        <f t="shared" si="1"/>
        <v>4000510</v>
      </c>
      <c r="W9" t="str">
        <f t="shared" si="2"/>
        <v>4000115</v>
      </c>
      <c r="X9" t="str">
        <f t="shared" si="3"/>
        <v>4000215</v>
      </c>
      <c r="Y9" t="str">
        <f t="shared" si="4"/>
        <v>4000315</v>
      </c>
      <c r="Z9" t="str">
        <f t="shared" si="5"/>
        <v>4000415</v>
      </c>
      <c r="AA9" t="str">
        <f t="shared" si="6"/>
        <v>4000515</v>
      </c>
    </row>
    <row r="10" spans="1:27">
      <c r="A10" s="10">
        <v>15</v>
      </c>
      <c r="B10">
        <f t="shared" si="0"/>
        <v>15</v>
      </c>
      <c r="C10">
        <v>1</v>
      </c>
      <c r="D10">
        <v>20</v>
      </c>
      <c r="E10">
        <v>0</v>
      </c>
      <c r="G10" t="str">
        <f>R10&amp;"_0_1_"&amp;ROUNDDOWN([1]关卡!M16*$C10*2,0)</f>
        <v>4000115_0_1_1002</v>
      </c>
      <c r="H10" t="str">
        <f>S10&amp;"_0_1_"&amp;ROUNDDOWN([1]关卡!N16*$C10*2,0)</f>
        <v>4000215_0_1_882</v>
      </c>
      <c r="I10" t="str">
        <f>T10&amp;"_0_1_"&amp;ROUNDDOWN([1]关卡!O16*$C10*2,0)</f>
        <v>4000315_0_1_476</v>
      </c>
      <c r="J10" t="str">
        <f>U10&amp;"_0_1_"&amp;ROUNDDOWN([1]关卡!P16*$C10*2,0)</f>
        <v>4000415_0_1_24</v>
      </c>
      <c r="K10" t="str">
        <f>V10&amp;"_0_1_"&amp;ROUNDDOWN([1]关卡!Q16*$C10*2,0)</f>
        <v>4000515_0_1_0</v>
      </c>
      <c r="L10" t="str">
        <f>W10&amp;"_0_1_"&amp;ROUNDDOWN([1]关卡!M16*$E10*2,0)</f>
        <v>4000120_0_1_0</v>
      </c>
      <c r="M10" t="str">
        <f>X10&amp;"_0_1_"&amp;ROUNDDOWN([1]关卡!N16*$E10*2,0)</f>
        <v>4000220_0_1_0</v>
      </c>
      <c r="N10" t="str">
        <f>Y10&amp;"_0_1_"&amp;ROUNDDOWN([1]关卡!O16*$E10*2,0)</f>
        <v>4000320_0_1_0</v>
      </c>
      <c r="O10" t="str">
        <f>Z10&amp;"_0_1_"&amp;ROUNDDOWN([1]关卡!P16*$E10*2,0)</f>
        <v>4000420_0_1_0</v>
      </c>
      <c r="P10" t="str">
        <f>AA10&amp;"_0_1_"&amp;ROUNDDOWN([1]关卡!Q16*$E10*2,0)</f>
        <v>4000520_0_1_0</v>
      </c>
      <c r="R10" t="str">
        <f t="shared" si="1"/>
        <v>4000115</v>
      </c>
      <c r="S10" t="str">
        <f t="shared" si="1"/>
        <v>4000215</v>
      </c>
      <c r="T10" t="str">
        <f t="shared" si="1"/>
        <v>4000315</v>
      </c>
      <c r="U10" t="str">
        <f t="shared" si="1"/>
        <v>4000415</v>
      </c>
      <c r="V10" t="str">
        <f t="shared" si="1"/>
        <v>4000515</v>
      </c>
      <c r="W10" t="str">
        <f t="shared" si="2"/>
        <v>4000120</v>
      </c>
      <c r="X10" t="str">
        <f t="shared" si="3"/>
        <v>4000220</v>
      </c>
      <c r="Y10" t="str">
        <f t="shared" si="4"/>
        <v>4000320</v>
      </c>
      <c r="Z10" t="str">
        <f t="shared" si="5"/>
        <v>4000420</v>
      </c>
      <c r="AA10" t="str">
        <f t="shared" si="6"/>
        <v>4000520</v>
      </c>
    </row>
    <row r="11" spans="1:27">
      <c r="A11" s="10">
        <v>17</v>
      </c>
      <c r="B11">
        <f t="shared" si="0"/>
        <v>15</v>
      </c>
      <c r="C11">
        <v>0.6</v>
      </c>
      <c r="D11">
        <v>20</v>
      </c>
      <c r="E11">
        <v>0.4</v>
      </c>
      <c r="G11" t="str">
        <f>R11&amp;"_0_1_"&amp;ROUNDDOWN([1]关卡!M17*$C11*2,0)</f>
        <v>4000115_0_1_608</v>
      </c>
      <c r="H11" t="str">
        <f>S11&amp;"_0_1_"&amp;ROUNDDOWN([1]关卡!N17*$C11*2,0)</f>
        <v>4000215_0_1_534</v>
      </c>
      <c r="I11" t="str">
        <f>T11&amp;"_0_1_"&amp;ROUNDDOWN([1]关卡!O17*$C11*2,0)</f>
        <v>4000315_0_1_296</v>
      </c>
      <c r="J11" t="str">
        <f>U11&amp;"_0_1_"&amp;ROUNDDOWN([1]关卡!P17*$C11*2,0)</f>
        <v>4000415_0_1_30</v>
      </c>
      <c r="K11" t="str">
        <f>V11&amp;"_0_1_"&amp;ROUNDDOWN([1]关卡!Q17*$C11*2,0)</f>
        <v>4000515_0_1_0</v>
      </c>
      <c r="L11" t="str">
        <f>W11&amp;"_0_1_"&amp;ROUNDDOWN([1]关卡!M17*$E11*2,0)</f>
        <v>4000120_0_1_405</v>
      </c>
      <c r="M11" t="str">
        <f>X11&amp;"_0_1_"&amp;ROUNDDOWN([1]关卡!N17*$E11*2,0)</f>
        <v>4000220_0_1_356</v>
      </c>
      <c r="N11" t="str">
        <f>Y11&amp;"_0_1_"&amp;ROUNDDOWN([1]关卡!O17*$E11*2,0)</f>
        <v>4000320_0_1_197</v>
      </c>
      <c r="O11" t="str">
        <f>Z11&amp;"_0_1_"&amp;ROUNDDOWN([1]关卡!P17*$E11*2,0)</f>
        <v>4000420_0_1_20</v>
      </c>
      <c r="P11" t="str">
        <f>AA11&amp;"_0_1_"&amp;ROUNDDOWN([1]关卡!Q17*$E11*2,0)</f>
        <v>4000520_0_1_0</v>
      </c>
      <c r="R11" t="str">
        <f t="shared" si="1"/>
        <v>4000115</v>
      </c>
      <c r="S11" t="str">
        <f t="shared" si="1"/>
        <v>4000215</v>
      </c>
      <c r="T11" t="str">
        <f t="shared" si="1"/>
        <v>4000315</v>
      </c>
      <c r="U11" t="str">
        <f t="shared" si="1"/>
        <v>4000415</v>
      </c>
      <c r="V11" t="str">
        <f t="shared" si="1"/>
        <v>4000515</v>
      </c>
      <c r="W11" t="str">
        <f t="shared" si="2"/>
        <v>4000120</v>
      </c>
      <c r="X11" t="str">
        <f t="shared" si="3"/>
        <v>4000220</v>
      </c>
      <c r="Y11" t="str">
        <f t="shared" si="4"/>
        <v>4000320</v>
      </c>
      <c r="Z11" t="str">
        <f t="shared" si="5"/>
        <v>4000420</v>
      </c>
      <c r="AA11" t="str">
        <f t="shared" si="6"/>
        <v>4000520</v>
      </c>
    </row>
    <row r="12" spans="1:27">
      <c r="A12" s="10">
        <v>19</v>
      </c>
      <c r="B12">
        <f t="shared" si="0"/>
        <v>15</v>
      </c>
      <c r="C12">
        <v>0.2</v>
      </c>
      <c r="D12">
        <v>20</v>
      </c>
      <c r="E12">
        <v>0.8</v>
      </c>
      <c r="G12" t="str">
        <f>R12&amp;"_0_1_"&amp;ROUNDDOWN([1]关卡!M18*$C12*2,0)</f>
        <v>4000115_0_1_198</v>
      </c>
      <c r="H12" t="str">
        <f>S12&amp;"_0_1_"&amp;ROUNDDOWN([1]关卡!N18*$C12*2,0)</f>
        <v>4000215_0_1_173</v>
      </c>
      <c r="I12" t="str">
        <f>T12&amp;"_0_1_"&amp;ROUNDDOWN([1]关卡!O18*$C12*2,0)</f>
        <v>4000315_0_1_99</v>
      </c>
      <c r="J12" t="str">
        <f>U12&amp;"_0_1_"&amp;ROUNDDOWN([1]关卡!P18*$C12*2,0)</f>
        <v>4000415_0_1_14</v>
      </c>
      <c r="K12" t="str">
        <f>V12&amp;"_0_1_"&amp;ROUNDDOWN([1]关卡!Q18*$C12*2,0)</f>
        <v>4000515_0_1_0</v>
      </c>
      <c r="L12" t="str">
        <f>W12&amp;"_0_1_"&amp;ROUNDDOWN([1]关卡!M18*$E12*2,0)</f>
        <v>4000120_0_1_795</v>
      </c>
      <c r="M12" t="str">
        <f>X12&amp;"_0_1_"&amp;ROUNDDOWN([1]关卡!N18*$E12*2,0)</f>
        <v>4000220_0_1_694</v>
      </c>
      <c r="N12" t="str">
        <f>Y12&amp;"_0_1_"&amp;ROUNDDOWN([1]关卡!O18*$E12*2,0)</f>
        <v>4000320_0_1_396</v>
      </c>
      <c r="O12" t="str">
        <f>Z12&amp;"_0_1_"&amp;ROUNDDOWN([1]关卡!P18*$E12*2,0)</f>
        <v>4000420_0_1_59</v>
      </c>
      <c r="P12" t="str">
        <f>AA12&amp;"_0_1_"&amp;ROUNDDOWN([1]关卡!Q18*$E12*2,0)</f>
        <v>4000520_0_1_0</v>
      </c>
      <c r="R12" t="str">
        <f t="shared" si="1"/>
        <v>4000115</v>
      </c>
      <c r="S12" t="str">
        <f t="shared" si="1"/>
        <v>4000215</v>
      </c>
      <c r="T12" t="str">
        <f t="shared" si="1"/>
        <v>4000315</v>
      </c>
      <c r="U12" t="str">
        <f t="shared" si="1"/>
        <v>4000415</v>
      </c>
      <c r="V12" t="str">
        <f t="shared" si="1"/>
        <v>4000515</v>
      </c>
      <c r="W12" t="str">
        <f t="shared" si="2"/>
        <v>4000120</v>
      </c>
      <c r="X12" t="str">
        <f t="shared" si="3"/>
        <v>4000220</v>
      </c>
      <c r="Y12" t="str">
        <f t="shared" si="4"/>
        <v>4000320</v>
      </c>
      <c r="Z12" t="str">
        <f t="shared" si="5"/>
        <v>4000420</v>
      </c>
      <c r="AA12" t="str">
        <f t="shared" si="6"/>
        <v>4000520</v>
      </c>
    </row>
    <row r="13" spans="1:27">
      <c r="A13" s="10">
        <v>21</v>
      </c>
      <c r="B13">
        <f t="shared" si="0"/>
        <v>20</v>
      </c>
      <c r="C13">
        <v>0.8</v>
      </c>
      <c r="D13">
        <v>25</v>
      </c>
      <c r="E13">
        <v>0.19999999999999996</v>
      </c>
      <c r="G13" t="str">
        <f>R13&amp;"_0_1_"&amp;ROUNDDOWN([1]关卡!M19*$C13*2,0)</f>
        <v>4000120_0_1_803</v>
      </c>
      <c r="H13" t="str">
        <f>S13&amp;"_0_1_"&amp;ROUNDDOWN([1]关卡!N19*$C13*2,0)</f>
        <v>4000220_0_1_699</v>
      </c>
      <c r="I13" t="str">
        <f>T13&amp;"_0_1_"&amp;ROUNDDOWN([1]关卡!O19*$C13*2,0)</f>
        <v>4000320_0_1_411</v>
      </c>
      <c r="J13" t="str">
        <f>U13&amp;"_0_1_"&amp;ROUNDDOWN([1]关卡!P19*$C13*2,0)</f>
        <v>4000420_0_1_81</v>
      </c>
      <c r="K13" t="str">
        <f>V13&amp;"_0_1_"&amp;ROUNDDOWN([1]关卡!Q19*$C13*2,0)</f>
        <v>4000520_0_1_0</v>
      </c>
      <c r="L13" t="str">
        <f>W13&amp;"_0_1_"&amp;ROUNDDOWN([1]关卡!M19*$E13*2,0)</f>
        <v>4000125_0_1_200</v>
      </c>
      <c r="M13" t="str">
        <f>X13&amp;"_0_1_"&amp;ROUNDDOWN([1]关卡!N19*$E13*2,0)</f>
        <v>4000225_0_1_174</v>
      </c>
      <c r="N13" t="str">
        <f>Y13&amp;"_0_1_"&amp;ROUNDDOWN([1]关卡!O19*$E13*2,0)</f>
        <v>4000325_0_1_102</v>
      </c>
      <c r="O13" t="str">
        <f>Z13&amp;"_0_1_"&amp;ROUNDDOWN([1]关卡!P19*$E13*2,0)</f>
        <v>4000425_0_1_20</v>
      </c>
      <c r="P13" t="str">
        <f>AA13&amp;"_0_1_"&amp;ROUNDDOWN([1]关卡!Q19*$E13*2,0)</f>
        <v>4000525_0_1_0</v>
      </c>
      <c r="R13" t="str">
        <f t="shared" si="1"/>
        <v>4000120</v>
      </c>
      <c r="S13" t="str">
        <f t="shared" si="1"/>
        <v>4000220</v>
      </c>
      <c r="T13" t="str">
        <f t="shared" si="1"/>
        <v>4000320</v>
      </c>
      <c r="U13" t="str">
        <f t="shared" si="1"/>
        <v>4000420</v>
      </c>
      <c r="V13" t="str">
        <f t="shared" si="1"/>
        <v>4000520</v>
      </c>
      <c r="W13" t="str">
        <f t="shared" si="2"/>
        <v>4000125</v>
      </c>
      <c r="X13" t="str">
        <f t="shared" si="3"/>
        <v>4000225</v>
      </c>
      <c r="Y13" t="str">
        <f t="shared" si="4"/>
        <v>4000325</v>
      </c>
      <c r="Z13" t="str">
        <f t="shared" si="5"/>
        <v>4000425</v>
      </c>
      <c r="AA13" t="str">
        <f t="shared" si="6"/>
        <v>4000525</v>
      </c>
    </row>
    <row r="14" spans="1:27">
      <c r="A14" s="10">
        <v>23</v>
      </c>
      <c r="B14">
        <f t="shared" si="0"/>
        <v>20</v>
      </c>
      <c r="C14">
        <v>0.4</v>
      </c>
      <c r="D14">
        <v>25</v>
      </c>
      <c r="E14">
        <v>0.6</v>
      </c>
      <c r="G14" t="str">
        <f>R14&amp;"_0_1_"&amp;ROUNDDOWN([1]关卡!M20*$C14*2,0)</f>
        <v>4000120_0_1_512</v>
      </c>
      <c r="H14" t="str">
        <f>S14&amp;"_0_1_"&amp;ROUNDDOWN([1]关卡!N20*$C14*2,0)</f>
        <v>4000220_0_1_445</v>
      </c>
      <c r="I14" t="str">
        <f>T14&amp;"_0_1_"&amp;ROUNDDOWN([1]关卡!O20*$C14*2,0)</f>
        <v>4000320_0_1_270</v>
      </c>
      <c r="J14" t="str">
        <f>U14&amp;"_0_1_"&amp;ROUNDDOWN([1]关卡!P20*$C14*2,0)</f>
        <v>4000420_0_1_67</v>
      </c>
      <c r="K14" t="str">
        <f>V14&amp;"_0_1_"&amp;ROUNDDOWN([1]关卡!Q20*$C14*2,0)</f>
        <v>4000520_0_1_0</v>
      </c>
      <c r="L14" t="str">
        <f>W14&amp;"_0_1_"&amp;ROUNDDOWN([1]关卡!M20*$E14*2,0)</f>
        <v>4000125_0_1_769</v>
      </c>
      <c r="M14" t="str">
        <f>X14&amp;"_0_1_"&amp;ROUNDDOWN([1]关卡!N20*$E14*2,0)</f>
        <v>4000225_0_1_668</v>
      </c>
      <c r="N14" t="str">
        <f>Y14&amp;"_0_1_"&amp;ROUNDDOWN([1]关卡!O20*$E14*2,0)</f>
        <v>4000325_0_1_405</v>
      </c>
      <c r="O14" t="str">
        <f>Z14&amp;"_0_1_"&amp;ROUNDDOWN([1]关卡!P20*$E14*2,0)</f>
        <v>4000425_0_1_100</v>
      </c>
      <c r="P14" t="str">
        <f>AA14&amp;"_0_1_"&amp;ROUNDDOWN([1]关卡!Q20*$E14*2,0)</f>
        <v>4000525_0_1_0</v>
      </c>
      <c r="R14" t="str">
        <f t="shared" si="1"/>
        <v>4000120</v>
      </c>
      <c r="S14" t="str">
        <f t="shared" si="1"/>
        <v>4000220</v>
      </c>
      <c r="T14" t="str">
        <f t="shared" si="1"/>
        <v>4000320</v>
      </c>
      <c r="U14" t="str">
        <f t="shared" si="1"/>
        <v>4000420</v>
      </c>
      <c r="V14" t="str">
        <f t="shared" si="1"/>
        <v>4000520</v>
      </c>
      <c r="W14" t="str">
        <f t="shared" si="2"/>
        <v>4000125</v>
      </c>
      <c r="X14" t="str">
        <f t="shared" si="3"/>
        <v>4000225</v>
      </c>
      <c r="Y14" t="str">
        <f t="shared" si="4"/>
        <v>4000325</v>
      </c>
      <c r="Z14" t="str">
        <f t="shared" si="5"/>
        <v>4000425</v>
      </c>
      <c r="AA14" t="str">
        <f t="shared" si="6"/>
        <v>4000525</v>
      </c>
    </row>
    <row r="15" spans="1:27">
      <c r="A15" s="10">
        <v>25</v>
      </c>
      <c r="B15">
        <f t="shared" si="0"/>
        <v>25</v>
      </c>
      <c r="C15">
        <v>1</v>
      </c>
      <c r="D15">
        <v>30</v>
      </c>
      <c r="E15">
        <v>0</v>
      </c>
      <c r="G15" t="str">
        <f>R15&amp;"_0_1_"&amp;ROUNDDOWN([1]关卡!M21*$C15*2,0)</f>
        <v>4000125_0_1_1260</v>
      </c>
      <c r="H15" t="str">
        <f>S15&amp;"_0_1_"&amp;ROUNDDOWN([1]关卡!N21*$C15*2,0)</f>
        <v>4000225_0_1_1090</v>
      </c>
      <c r="I15" t="str">
        <f>T15&amp;"_0_1_"&amp;ROUNDDOWN([1]关卡!O21*$C15*2,0)</f>
        <v>4000325_0_1_682</v>
      </c>
      <c r="J15" t="str">
        <f>U15&amp;"_0_1_"&amp;ROUNDDOWN([1]关卡!P21*$C15*2,0)</f>
        <v>4000425_0_1_188</v>
      </c>
      <c r="K15" t="str">
        <f>V15&amp;"_0_1_"&amp;ROUNDDOWN([1]关卡!Q21*$C15*2,0)</f>
        <v>4000525_0_1_0</v>
      </c>
      <c r="L15" t="str">
        <f>W15&amp;"_0_1_"&amp;ROUNDDOWN([1]关卡!M21*$E15*2,0)</f>
        <v>4000130_0_1_0</v>
      </c>
      <c r="M15" t="str">
        <f>X15&amp;"_0_1_"&amp;ROUNDDOWN([1]关卡!N21*$E15*2,0)</f>
        <v>4000230_0_1_0</v>
      </c>
      <c r="N15" t="str">
        <f>Y15&amp;"_0_1_"&amp;ROUNDDOWN([1]关卡!O21*$E15*2,0)</f>
        <v>4000330_0_1_0</v>
      </c>
      <c r="O15" t="str">
        <f>Z15&amp;"_0_1_"&amp;ROUNDDOWN([1]关卡!P21*$E15*2,0)</f>
        <v>4000430_0_1_0</v>
      </c>
      <c r="P15" t="str">
        <f>AA15&amp;"_0_1_"&amp;ROUNDDOWN([1]关卡!Q21*$E15*2,0)</f>
        <v>4000530_0_1_0</v>
      </c>
      <c r="R15" t="str">
        <f t="shared" si="1"/>
        <v>4000125</v>
      </c>
      <c r="S15" t="str">
        <f t="shared" si="1"/>
        <v>4000225</v>
      </c>
      <c r="T15" t="str">
        <f t="shared" si="1"/>
        <v>4000325</v>
      </c>
      <c r="U15" t="str">
        <f t="shared" si="1"/>
        <v>4000425</v>
      </c>
      <c r="V15" t="str">
        <f t="shared" si="1"/>
        <v>4000525</v>
      </c>
      <c r="W15" t="str">
        <f t="shared" si="2"/>
        <v>4000130</v>
      </c>
      <c r="X15" t="str">
        <f t="shared" si="3"/>
        <v>4000230</v>
      </c>
      <c r="Y15" t="str">
        <f t="shared" si="4"/>
        <v>4000330</v>
      </c>
      <c r="Z15" t="str">
        <f t="shared" si="5"/>
        <v>4000430</v>
      </c>
      <c r="AA15" t="str">
        <f t="shared" si="6"/>
        <v>4000530</v>
      </c>
    </row>
    <row r="16" spans="1:27">
      <c r="A16" s="10">
        <v>27</v>
      </c>
      <c r="B16">
        <f t="shared" si="0"/>
        <v>25</v>
      </c>
      <c r="C16">
        <v>0.6</v>
      </c>
      <c r="D16">
        <v>30</v>
      </c>
      <c r="E16">
        <v>0.4</v>
      </c>
      <c r="G16" t="str">
        <f>R16&amp;"_0_1_"&amp;ROUNDDOWN([1]关卡!M22*$C16*2,0)</f>
        <v>4000125_0_1_742</v>
      </c>
      <c r="H16" t="str">
        <f>S16&amp;"_0_1_"&amp;ROUNDDOWN([1]关卡!N22*$C16*2,0)</f>
        <v>4000225_0_1_639</v>
      </c>
      <c r="I16" t="str">
        <f>T16&amp;"_0_1_"&amp;ROUNDDOWN([1]关卡!O22*$C16*2,0)</f>
        <v>4000325_0_1_412</v>
      </c>
      <c r="J16" t="str">
        <f>U16&amp;"_0_1_"&amp;ROUNDDOWN([1]关卡!P22*$C16*2,0)</f>
        <v>4000425_0_1_123</v>
      </c>
      <c r="K16" t="str">
        <f>V16&amp;"_0_1_"&amp;ROUNDDOWN([1]关卡!Q22*$C16*2,0)</f>
        <v>4000525_0_1_0</v>
      </c>
      <c r="L16" t="str">
        <f>W16&amp;"_0_1_"&amp;ROUNDDOWN([1]关卡!M22*$E16*2,0)</f>
        <v>4000130_0_1_495</v>
      </c>
      <c r="M16" t="str">
        <f>X16&amp;"_0_1_"&amp;ROUNDDOWN([1]关卡!N22*$E16*2,0)</f>
        <v>4000230_0_1_426</v>
      </c>
      <c r="N16" t="str">
        <f>Y16&amp;"_0_1_"&amp;ROUNDDOWN([1]关卡!O22*$E16*2,0)</f>
        <v>4000330_0_1_275</v>
      </c>
      <c r="O16" t="str">
        <f>Z16&amp;"_0_1_"&amp;ROUNDDOWN([1]关卡!P22*$E16*2,0)</f>
        <v>4000430_0_1_82</v>
      </c>
      <c r="P16" t="str">
        <f>AA16&amp;"_0_1_"&amp;ROUNDDOWN([1]关卡!Q22*$E16*2,0)</f>
        <v>4000530_0_1_0</v>
      </c>
      <c r="R16" t="str">
        <f t="shared" si="1"/>
        <v>4000125</v>
      </c>
      <c r="S16" t="str">
        <f t="shared" si="1"/>
        <v>4000225</v>
      </c>
      <c r="T16" t="str">
        <f t="shared" si="1"/>
        <v>4000325</v>
      </c>
      <c r="U16" t="str">
        <f t="shared" si="1"/>
        <v>4000425</v>
      </c>
      <c r="V16" t="str">
        <f t="shared" si="1"/>
        <v>4000525</v>
      </c>
      <c r="W16" t="str">
        <f t="shared" si="2"/>
        <v>4000130</v>
      </c>
      <c r="X16" t="str">
        <f t="shared" si="3"/>
        <v>4000230</v>
      </c>
      <c r="Y16" t="str">
        <f t="shared" si="4"/>
        <v>4000330</v>
      </c>
      <c r="Z16" t="str">
        <f t="shared" si="5"/>
        <v>4000430</v>
      </c>
      <c r="AA16" t="str">
        <f t="shared" si="6"/>
        <v>4000530</v>
      </c>
    </row>
    <row r="17" spans="1:27">
      <c r="A17" s="10">
        <v>29</v>
      </c>
      <c r="B17">
        <f t="shared" si="0"/>
        <v>25</v>
      </c>
      <c r="C17">
        <v>0.2</v>
      </c>
      <c r="D17">
        <v>30</v>
      </c>
      <c r="E17">
        <v>0.8</v>
      </c>
      <c r="G17" t="str">
        <f>R17&amp;"_0_1_"&amp;ROUNDDOWN([1]关卡!M23*$C17*2,0)</f>
        <v>4000125_0_1_266</v>
      </c>
      <c r="H17" t="str">
        <f>S17&amp;"_0_1_"&amp;ROUNDDOWN([1]关卡!N23*$C17*2,0)</f>
        <v>4000225_0_1_228</v>
      </c>
      <c r="I17" t="str">
        <f>T17&amp;"_0_1_"&amp;ROUNDDOWN([1]关卡!O23*$C17*2,0)</f>
        <v>4000325_0_1_152</v>
      </c>
      <c r="J17" t="str">
        <f>U17&amp;"_0_1_"&amp;ROUNDDOWN([1]关卡!P23*$C17*2,0)</f>
        <v>4000425_0_1_49</v>
      </c>
      <c r="K17" t="str">
        <f>V17&amp;"_0_1_"&amp;ROUNDDOWN([1]关卡!Q23*$C17*2,0)</f>
        <v>4000525_0_1_0</v>
      </c>
      <c r="L17" t="str">
        <f>W17&amp;"_0_1_"&amp;ROUNDDOWN([1]关卡!M23*$E17*2,0)</f>
        <v>4000130_0_1_1064</v>
      </c>
      <c r="M17" t="str">
        <f>X17&amp;"_0_1_"&amp;ROUNDDOWN([1]关卡!N23*$E17*2,0)</f>
        <v>4000230_0_1_912</v>
      </c>
      <c r="N17" t="str">
        <f>Y17&amp;"_0_1_"&amp;ROUNDDOWN([1]关卡!O23*$E17*2,0)</f>
        <v>4000330_0_1_608</v>
      </c>
      <c r="O17" t="str">
        <f>Z17&amp;"_0_1_"&amp;ROUNDDOWN([1]关卡!P23*$E17*2,0)</f>
        <v>4000430_0_1_198</v>
      </c>
      <c r="P17" t="str">
        <f>AA17&amp;"_0_1_"&amp;ROUNDDOWN([1]关卡!Q23*$E17*2,0)</f>
        <v>4000530_0_1_0</v>
      </c>
      <c r="R17" t="str">
        <f t="shared" si="1"/>
        <v>4000125</v>
      </c>
      <c r="S17" t="str">
        <f t="shared" si="1"/>
        <v>4000225</v>
      </c>
      <c r="T17" t="str">
        <f t="shared" si="1"/>
        <v>4000325</v>
      </c>
      <c r="U17" t="str">
        <f t="shared" si="1"/>
        <v>4000425</v>
      </c>
      <c r="V17" t="str">
        <f t="shared" si="1"/>
        <v>4000525</v>
      </c>
      <c r="W17" t="str">
        <f t="shared" si="2"/>
        <v>4000130</v>
      </c>
      <c r="X17" t="str">
        <f t="shared" si="3"/>
        <v>4000230</v>
      </c>
      <c r="Y17" t="str">
        <f t="shared" si="4"/>
        <v>4000330</v>
      </c>
      <c r="Z17" t="str">
        <f t="shared" si="5"/>
        <v>4000430</v>
      </c>
      <c r="AA17" t="str">
        <f t="shared" si="6"/>
        <v>4000530</v>
      </c>
    </row>
    <row r="18" spans="1:27">
      <c r="A18" s="10">
        <v>31</v>
      </c>
      <c r="B18">
        <f t="shared" si="0"/>
        <v>30</v>
      </c>
      <c r="C18">
        <v>0.8</v>
      </c>
      <c r="D18">
        <v>35</v>
      </c>
      <c r="E18">
        <v>0.19999999999999996</v>
      </c>
      <c r="G18" t="str">
        <f>R18&amp;"_0_1_"&amp;ROUNDDOWN([1]关卡!M24*$C18*2,0)</f>
        <v>4000130_0_1_1067</v>
      </c>
      <c r="H18" t="str">
        <f>S18&amp;"_0_1_"&amp;ROUNDDOWN([1]关卡!N24*$C18*2,0)</f>
        <v>4000230_0_1_910</v>
      </c>
      <c r="I18" t="str">
        <f>T18&amp;"_0_1_"&amp;ROUNDDOWN([1]关卡!O24*$C18*2,0)</f>
        <v>4000330_0_1_627</v>
      </c>
      <c r="J18" t="str">
        <f>U18&amp;"_0_1_"&amp;ROUNDDOWN([1]关卡!P24*$C18*2,0)</f>
        <v>4000430_0_1_219</v>
      </c>
      <c r="K18" t="str">
        <f>V18&amp;"_0_1_"&amp;ROUNDDOWN([1]关卡!Q24*$C18*2,0)</f>
        <v>4000530_0_1_0</v>
      </c>
      <c r="L18" t="str">
        <f>W18&amp;"_0_1_"&amp;ROUNDDOWN([1]关卡!M24*$E18*2,0)</f>
        <v>4000135_0_1_266</v>
      </c>
      <c r="M18" t="str">
        <f>X18&amp;"_0_1_"&amp;ROUNDDOWN([1]关卡!N24*$E18*2,0)</f>
        <v>4000235_0_1_227</v>
      </c>
      <c r="N18" t="str">
        <f>Y18&amp;"_0_1_"&amp;ROUNDDOWN([1]关卡!O24*$E18*2,0)</f>
        <v>4000335_0_1_156</v>
      </c>
      <c r="O18" t="str">
        <f>Z18&amp;"_0_1_"&amp;ROUNDDOWN([1]关卡!P24*$E18*2,0)</f>
        <v>4000435_0_1_54</v>
      </c>
      <c r="P18" t="str">
        <f>AA18&amp;"_0_1_"&amp;ROUNDDOWN([1]关卡!Q24*$E18*2,0)</f>
        <v>4000535_0_1_0</v>
      </c>
      <c r="R18" t="str">
        <f t="shared" ref="R18:V27" si="7">S$1&amp;$B18</f>
        <v>4000130</v>
      </c>
      <c r="S18" t="str">
        <f t="shared" si="7"/>
        <v>4000230</v>
      </c>
      <c r="T18" t="str">
        <f t="shared" si="7"/>
        <v>4000330</v>
      </c>
      <c r="U18" t="str">
        <f t="shared" si="7"/>
        <v>4000430</v>
      </c>
      <c r="V18" t="str">
        <f t="shared" si="7"/>
        <v>4000530</v>
      </c>
      <c r="W18" t="str">
        <f t="shared" si="2"/>
        <v>4000135</v>
      </c>
      <c r="X18" t="str">
        <f t="shared" si="3"/>
        <v>4000235</v>
      </c>
      <c r="Y18" t="str">
        <f t="shared" si="4"/>
        <v>4000335</v>
      </c>
      <c r="Z18" t="str">
        <f t="shared" si="5"/>
        <v>4000435</v>
      </c>
      <c r="AA18" t="str">
        <f t="shared" si="6"/>
        <v>4000535</v>
      </c>
    </row>
    <row r="19" spans="1:27">
      <c r="A19" s="10">
        <v>33</v>
      </c>
      <c r="B19">
        <f t="shared" si="0"/>
        <v>30</v>
      </c>
      <c r="C19">
        <v>0.4</v>
      </c>
      <c r="D19">
        <v>35</v>
      </c>
      <c r="E19">
        <v>0.6</v>
      </c>
      <c r="G19" t="str">
        <f>R19&amp;"_0_1_"&amp;ROUNDDOWN([1]关卡!M25*$C19*2,0)</f>
        <v>4000130_0_1_528</v>
      </c>
      <c r="H19" t="str">
        <f>S19&amp;"_0_1_"&amp;ROUNDDOWN([1]关卡!N25*$C19*2,0)</f>
        <v>4000230_0_1_448</v>
      </c>
      <c r="I19" t="str">
        <f>T19&amp;"_0_1_"&amp;ROUNDDOWN([1]关卡!O25*$C19*2,0)</f>
        <v>4000330_0_1_320</v>
      </c>
      <c r="J19" t="str">
        <f>U19&amp;"_0_1_"&amp;ROUNDDOWN([1]关卡!P25*$C19*2,0)</f>
        <v>4000430_0_1_120</v>
      </c>
      <c r="K19" t="str">
        <f>V19&amp;"_0_1_"&amp;ROUNDDOWN([1]关卡!Q25*$C19*2,0)</f>
        <v>4000530_0_1_16</v>
      </c>
      <c r="L19" t="str">
        <f>W19&amp;"_0_1_"&amp;ROUNDDOWN([1]关卡!M25*$E19*2,0)</f>
        <v>4000135_0_1_792</v>
      </c>
      <c r="M19" t="str">
        <f>X19&amp;"_0_1_"&amp;ROUNDDOWN([1]关卡!N25*$E19*2,0)</f>
        <v>4000235_0_1_672</v>
      </c>
      <c r="N19" t="str">
        <f>Y19&amp;"_0_1_"&amp;ROUNDDOWN([1]关卡!O25*$E19*2,0)</f>
        <v>4000335_0_1_480</v>
      </c>
      <c r="O19" t="str">
        <f>Z19&amp;"_0_1_"&amp;ROUNDDOWN([1]关卡!P25*$E19*2,0)</f>
        <v>4000435_0_1_180</v>
      </c>
      <c r="P19" t="str">
        <f>AA19&amp;"_0_1_"&amp;ROUNDDOWN([1]关卡!Q25*$E19*2,0)</f>
        <v>4000535_0_1_24</v>
      </c>
      <c r="R19" t="str">
        <f t="shared" si="7"/>
        <v>4000130</v>
      </c>
      <c r="S19" t="str">
        <f t="shared" si="7"/>
        <v>4000230</v>
      </c>
      <c r="T19" t="str">
        <f t="shared" si="7"/>
        <v>4000330</v>
      </c>
      <c r="U19" t="str">
        <f t="shared" si="7"/>
        <v>4000430</v>
      </c>
      <c r="V19" t="str">
        <f t="shared" si="7"/>
        <v>4000530</v>
      </c>
      <c r="W19" t="str">
        <f t="shared" si="2"/>
        <v>4000135</v>
      </c>
      <c r="X19" t="str">
        <f t="shared" si="3"/>
        <v>4000235</v>
      </c>
      <c r="Y19" t="str">
        <f t="shared" si="4"/>
        <v>4000335</v>
      </c>
      <c r="Z19" t="str">
        <f t="shared" si="5"/>
        <v>4000435</v>
      </c>
      <c r="AA19" t="str">
        <f t="shared" si="6"/>
        <v>4000535</v>
      </c>
    </row>
    <row r="20" spans="1:27">
      <c r="A20" s="10">
        <v>35</v>
      </c>
      <c r="B20">
        <f t="shared" si="0"/>
        <v>35</v>
      </c>
      <c r="C20">
        <v>1</v>
      </c>
      <c r="D20">
        <v>40</v>
      </c>
      <c r="E20">
        <v>0</v>
      </c>
      <c r="G20" t="str">
        <f>R20&amp;"_0_1_"&amp;ROUNDDOWN([1]关卡!M26*$C20*2,0)</f>
        <v>4000135_0_1_1312</v>
      </c>
      <c r="H20" t="str">
        <f>S20&amp;"_0_1_"&amp;ROUNDDOWN([1]关卡!N26*$C20*2,0)</f>
        <v>4000235_0_1_1108</v>
      </c>
      <c r="I20" t="str">
        <f>T20&amp;"_0_1_"&amp;ROUNDDOWN([1]关卡!O26*$C20*2,0)</f>
        <v>4000335_0_1_820</v>
      </c>
      <c r="J20" t="str">
        <f>U20&amp;"_0_1_"&amp;ROUNDDOWN([1]关卡!P26*$C20*2,0)</f>
        <v>4000435_0_1_328</v>
      </c>
      <c r="K20" t="str">
        <f>V20&amp;"_0_1_"&amp;ROUNDDOWN([1]关卡!Q26*$C20*2,0)</f>
        <v>4000535_0_1_62</v>
      </c>
      <c r="L20" t="str">
        <f>W20&amp;"_0_1_"&amp;ROUNDDOWN([1]关卡!M26*$E20*2,0)</f>
        <v>4000140_0_1_0</v>
      </c>
      <c r="M20" t="str">
        <f>X20&amp;"_0_1_"&amp;ROUNDDOWN([1]关卡!N26*$E20*2,0)</f>
        <v>4000240_0_1_0</v>
      </c>
      <c r="N20" t="str">
        <f>Y20&amp;"_0_1_"&amp;ROUNDDOWN([1]关卡!O26*$E20*2,0)</f>
        <v>4000340_0_1_0</v>
      </c>
      <c r="O20" t="str">
        <f>Z20&amp;"_0_1_"&amp;ROUNDDOWN([1]关卡!P26*$E20*2,0)</f>
        <v>4000440_0_1_0</v>
      </c>
      <c r="P20" t="str">
        <f>AA20&amp;"_0_1_"&amp;ROUNDDOWN([1]关卡!Q26*$E20*2,0)</f>
        <v>4000540_0_1_0</v>
      </c>
      <c r="R20" t="str">
        <f t="shared" si="7"/>
        <v>4000135</v>
      </c>
      <c r="S20" t="str">
        <f t="shared" si="7"/>
        <v>4000235</v>
      </c>
      <c r="T20" t="str">
        <f t="shared" si="7"/>
        <v>4000335</v>
      </c>
      <c r="U20" t="str">
        <f t="shared" si="7"/>
        <v>4000435</v>
      </c>
      <c r="V20" t="str">
        <f t="shared" si="7"/>
        <v>4000535</v>
      </c>
      <c r="W20" t="str">
        <f t="shared" si="2"/>
        <v>4000140</v>
      </c>
      <c r="X20" t="str">
        <f t="shared" si="3"/>
        <v>4000240</v>
      </c>
      <c r="Y20" t="str">
        <f t="shared" si="4"/>
        <v>4000340</v>
      </c>
      <c r="Z20" t="str">
        <f t="shared" si="5"/>
        <v>4000440</v>
      </c>
      <c r="AA20" t="str">
        <f t="shared" si="6"/>
        <v>4000540</v>
      </c>
    </row>
    <row r="21" spans="1:27">
      <c r="A21" s="10">
        <v>37</v>
      </c>
      <c r="B21">
        <f t="shared" si="0"/>
        <v>35</v>
      </c>
      <c r="C21">
        <v>0.6</v>
      </c>
      <c r="D21">
        <v>40</v>
      </c>
      <c r="E21">
        <v>0.4</v>
      </c>
      <c r="G21" t="str">
        <f>R21&amp;"_0_1_"&amp;ROUNDDOWN([1]关卡!M27*$C21*2,0)</f>
        <v>4000135_0_1_782</v>
      </c>
      <c r="H21" t="str">
        <f>S21&amp;"_0_1_"&amp;ROUNDDOWN([1]关卡!N27*$C21*2,0)</f>
        <v>4000235_0_1_656</v>
      </c>
      <c r="I21" t="str">
        <f>T21&amp;"_0_1_"&amp;ROUNDDOWN([1]关卡!O27*$C21*2,0)</f>
        <v>4000335_0_1_505</v>
      </c>
      <c r="J21" t="str">
        <f>U21&amp;"_0_1_"&amp;ROUNDDOWN([1]关卡!P27*$C21*2,0)</f>
        <v>4000435_0_1_214</v>
      </c>
      <c r="K21" t="str">
        <f>V21&amp;"_0_1_"&amp;ROUNDDOWN([1]关卡!Q27*$C21*2,0)</f>
        <v>4000535_0_1_50</v>
      </c>
      <c r="L21" t="str">
        <f>W21&amp;"_0_1_"&amp;ROUNDDOWN([1]关卡!M27*$E21*2,0)</f>
        <v>4000140_0_1_521</v>
      </c>
      <c r="M21" t="str">
        <f>X21&amp;"_0_1_"&amp;ROUNDDOWN([1]关卡!N27*$E21*2,0)</f>
        <v>4000240_0_1_437</v>
      </c>
      <c r="N21" t="str">
        <f>Y21&amp;"_0_1_"&amp;ROUNDDOWN([1]关卡!O27*$E21*2,0)</f>
        <v>4000340_0_1_336</v>
      </c>
      <c r="O21" t="str">
        <f>Z21&amp;"_0_1_"&amp;ROUNDDOWN([1]关卡!P27*$E21*2,0)</f>
        <v>4000440_0_1_143</v>
      </c>
      <c r="P21" t="str">
        <f>AA21&amp;"_0_1_"&amp;ROUNDDOWN([1]关卡!Q27*$E21*2,0)</f>
        <v>4000540_0_1_33</v>
      </c>
      <c r="R21" t="str">
        <f t="shared" si="7"/>
        <v>4000135</v>
      </c>
      <c r="S21" t="str">
        <f t="shared" si="7"/>
        <v>4000235</v>
      </c>
      <c r="T21" t="str">
        <f t="shared" si="7"/>
        <v>4000335</v>
      </c>
      <c r="U21" t="str">
        <f t="shared" si="7"/>
        <v>4000435</v>
      </c>
      <c r="V21" t="str">
        <f t="shared" si="7"/>
        <v>4000535</v>
      </c>
      <c r="W21" t="str">
        <f t="shared" si="2"/>
        <v>4000140</v>
      </c>
      <c r="X21" t="str">
        <f t="shared" si="3"/>
        <v>4000240</v>
      </c>
      <c r="Y21" t="str">
        <f t="shared" si="4"/>
        <v>4000340</v>
      </c>
      <c r="Z21" t="str">
        <f t="shared" si="5"/>
        <v>4000440</v>
      </c>
      <c r="AA21" t="str">
        <f t="shared" si="6"/>
        <v>4000540</v>
      </c>
    </row>
    <row r="22" spans="1:27">
      <c r="A22" s="10">
        <v>39</v>
      </c>
      <c r="B22">
        <f t="shared" si="0"/>
        <v>35</v>
      </c>
      <c r="C22">
        <v>0.37</v>
      </c>
      <c r="D22">
        <v>40</v>
      </c>
      <c r="E22">
        <v>0.63</v>
      </c>
      <c r="G22" t="str">
        <f>R22&amp;"_0_1_"&amp;ROUNDDOWN([1]关卡!M28*$C22*2,0)</f>
        <v>4000135_0_1_478</v>
      </c>
      <c r="H22" t="str">
        <f>S22&amp;"_0_1_"&amp;ROUNDDOWN([1]关卡!N28*$C22*2,0)</f>
        <v>4000235_0_1_398</v>
      </c>
      <c r="I22" t="str">
        <f>T22&amp;"_0_1_"&amp;ROUNDDOWN([1]关卡!O28*$C22*2,0)</f>
        <v>4000335_0_1_318</v>
      </c>
      <c r="J22" t="str">
        <f>U22&amp;"_0_1_"&amp;ROUNDDOWN([1]关卡!P28*$C22*2,0)</f>
        <v>4000435_0_1_143</v>
      </c>
      <c r="K22" t="str">
        <f>V22&amp;"_0_1_"&amp;ROUNDDOWN([1]关卡!Q28*$C22*2,0)</f>
        <v>4000535_0_1_39</v>
      </c>
      <c r="L22" t="str">
        <f>W22&amp;"_0_1_"&amp;ROUNDDOWN([1]关卡!M28*$E22*2,0)</f>
        <v>4000140_0_1_813</v>
      </c>
      <c r="M22" t="str">
        <f>X22&amp;"_0_1_"&amp;ROUNDDOWN([1]关卡!N28*$E22*2,0)</f>
        <v>4000240_0_1_679</v>
      </c>
      <c r="N22" t="str">
        <f>Y22&amp;"_0_1_"&amp;ROUNDDOWN([1]关卡!O28*$E22*2,0)</f>
        <v>4000340_0_1_543</v>
      </c>
      <c r="O22" t="str">
        <f>Z22&amp;"_0_1_"&amp;ROUNDDOWN([1]关卡!P28*$E22*2,0)</f>
        <v>4000440_0_1_244</v>
      </c>
      <c r="P22" t="str">
        <f>AA22&amp;"_0_1_"&amp;ROUNDDOWN([1]关卡!Q28*$E22*2,0)</f>
        <v>4000540_0_1_68</v>
      </c>
      <c r="R22" t="str">
        <f t="shared" si="7"/>
        <v>4000135</v>
      </c>
      <c r="S22" t="str">
        <f t="shared" si="7"/>
        <v>4000235</v>
      </c>
      <c r="T22" t="str">
        <f t="shared" si="7"/>
        <v>4000335</v>
      </c>
      <c r="U22" t="str">
        <f t="shared" si="7"/>
        <v>4000435</v>
      </c>
      <c r="V22" t="str">
        <f t="shared" si="7"/>
        <v>4000535</v>
      </c>
      <c r="W22" t="str">
        <f t="shared" si="2"/>
        <v>4000140</v>
      </c>
      <c r="X22" t="str">
        <f t="shared" si="3"/>
        <v>4000240</v>
      </c>
      <c r="Y22" t="str">
        <f t="shared" si="4"/>
        <v>4000340</v>
      </c>
      <c r="Z22" t="str">
        <f t="shared" si="5"/>
        <v>4000440</v>
      </c>
      <c r="AA22" t="str">
        <f t="shared" si="6"/>
        <v>4000540</v>
      </c>
    </row>
    <row r="23" spans="1:27">
      <c r="A23" s="10">
        <v>41</v>
      </c>
      <c r="B23">
        <f t="shared" si="0"/>
        <v>40</v>
      </c>
      <c r="C23">
        <v>0.59</v>
      </c>
      <c r="D23">
        <v>43</v>
      </c>
      <c r="E23">
        <v>0.41000000000000003</v>
      </c>
      <c r="G23" t="str">
        <f>R23&amp;"_0_1_"&amp;ROUNDDOWN([1]关卡!M29*$C23*2,0)</f>
        <v>4000140_0_1_759</v>
      </c>
      <c r="H23" t="str">
        <f>S23&amp;"_0_1_"&amp;ROUNDDOWN([1]关卡!N29*$C23*2,0)</f>
        <v>4000240_0_1_631</v>
      </c>
      <c r="I23" t="str">
        <f>T23&amp;"_0_1_"&amp;ROUNDDOWN([1]关卡!O29*$C23*2,0)</f>
        <v>4000340_0_1_514</v>
      </c>
      <c r="J23" t="str">
        <f>U23&amp;"_0_1_"&amp;ROUNDDOWN([1]关卡!P29*$C23*2,0)</f>
        <v>4000440_0_1_244</v>
      </c>
      <c r="K23" t="str">
        <f>V23&amp;"_0_1_"&amp;ROUNDDOWN([1]关卡!Q29*$C23*2,0)</f>
        <v>4000540_0_1_76</v>
      </c>
      <c r="L23" t="str">
        <f>W23&amp;"_0_1_"&amp;ROUNDDOWN([1]关卡!M29*$E23*2,0)</f>
        <v>4000143_0_1_528</v>
      </c>
      <c r="M23" t="str">
        <f>X23&amp;"_0_1_"&amp;ROUNDDOWN([1]关卡!N29*$E23*2,0)</f>
        <v>4000243_0_1_438</v>
      </c>
      <c r="N23" t="str">
        <f>Y23&amp;"_0_1_"&amp;ROUNDDOWN([1]关卡!O29*$E23*2,0)</f>
        <v>4000343_0_1_357</v>
      </c>
      <c r="O23" t="str">
        <f>Z23&amp;"_0_1_"&amp;ROUNDDOWN([1]关卡!P29*$E23*2,0)</f>
        <v>4000443_0_1_169</v>
      </c>
      <c r="P23" t="str">
        <f>AA23&amp;"_0_1_"&amp;ROUNDDOWN([1]关卡!Q29*$E23*2,0)</f>
        <v>4000543_0_1_53</v>
      </c>
      <c r="R23" t="str">
        <f t="shared" si="7"/>
        <v>4000140</v>
      </c>
      <c r="S23" t="str">
        <f t="shared" si="7"/>
        <v>4000240</v>
      </c>
      <c r="T23" t="str">
        <f t="shared" si="7"/>
        <v>4000340</v>
      </c>
      <c r="U23" t="str">
        <f t="shared" si="7"/>
        <v>4000440</v>
      </c>
      <c r="V23" t="str">
        <f t="shared" si="7"/>
        <v>4000540</v>
      </c>
      <c r="W23" t="str">
        <f t="shared" si="2"/>
        <v>4000143</v>
      </c>
      <c r="X23" t="str">
        <f t="shared" si="3"/>
        <v>4000243</v>
      </c>
      <c r="Y23" t="str">
        <f t="shared" si="4"/>
        <v>4000343</v>
      </c>
      <c r="Z23" t="str">
        <f t="shared" si="5"/>
        <v>4000443</v>
      </c>
      <c r="AA23" t="str">
        <f t="shared" si="6"/>
        <v>4000543</v>
      </c>
    </row>
    <row r="24" spans="1:27">
      <c r="A24" s="10">
        <v>43</v>
      </c>
      <c r="B24">
        <v>43</v>
      </c>
      <c r="C24">
        <v>0.66999999999999993</v>
      </c>
      <c r="D24">
        <v>45</v>
      </c>
      <c r="E24">
        <v>0.33</v>
      </c>
      <c r="G24" t="str">
        <f>R24&amp;"_0_1_"&amp;ROUNDDOWN([1]关卡!M30*$C24*2,0)</f>
        <v>4000143_0_1_879</v>
      </c>
      <c r="H24" t="str">
        <f>S24&amp;"_0_1_"&amp;ROUNDDOWN([1]关卡!N30*$C24*2,0)</f>
        <v>4000243_0_1_730</v>
      </c>
      <c r="I24" t="str">
        <f>T24&amp;"_0_1_"&amp;ROUNDDOWN([1]关卡!O30*$C24*2,0)</f>
        <v>4000343_0_1_596</v>
      </c>
      <c r="J24" t="str">
        <f>U24&amp;"_0_1_"&amp;ROUNDDOWN([1]关卡!P30*$C24*2,0)</f>
        <v>4000443_0_1_297</v>
      </c>
      <c r="K24" t="str">
        <f>V24&amp;"_0_1_"&amp;ROUNDDOWN([1]关卡!Q30*$C24*2,0)</f>
        <v>4000543_0_1_104</v>
      </c>
      <c r="L24" t="str">
        <f>W24&amp;"_0_1_"&amp;ROUNDDOWN([1]关卡!M30*$E24*2,0)</f>
        <v>4000145_0_1_432</v>
      </c>
      <c r="M24" t="str">
        <f>X24&amp;"_0_1_"&amp;ROUNDDOWN([1]关卡!N30*$E24*2,0)</f>
        <v>4000245_0_1_359</v>
      </c>
      <c r="N24" t="str">
        <f>Y24&amp;"_0_1_"&amp;ROUNDDOWN([1]关卡!O30*$E24*2,0)</f>
        <v>4000345_0_1_293</v>
      </c>
      <c r="O24" t="str">
        <f>Z24&amp;"_0_1_"&amp;ROUNDDOWN([1]关卡!P30*$E24*2,0)</f>
        <v>4000445_0_1_146</v>
      </c>
      <c r="P24" t="str">
        <f>AA24&amp;"_0_1_"&amp;ROUNDDOWN([1]关卡!Q30*$E24*2,0)</f>
        <v>4000545_0_1_51</v>
      </c>
      <c r="R24" t="str">
        <f t="shared" si="7"/>
        <v>4000143</v>
      </c>
      <c r="S24" t="str">
        <f t="shared" si="7"/>
        <v>4000243</v>
      </c>
      <c r="T24" t="str">
        <f t="shared" si="7"/>
        <v>4000343</v>
      </c>
      <c r="U24" t="str">
        <f t="shared" si="7"/>
        <v>4000443</v>
      </c>
      <c r="V24" t="str">
        <f t="shared" si="7"/>
        <v>4000543</v>
      </c>
      <c r="W24" t="str">
        <f t="shared" si="2"/>
        <v>4000145</v>
      </c>
      <c r="X24" t="str">
        <f t="shared" si="3"/>
        <v>4000245</v>
      </c>
      <c r="Y24" t="str">
        <f t="shared" si="4"/>
        <v>4000345</v>
      </c>
      <c r="Z24" t="str">
        <f t="shared" si="5"/>
        <v>4000445</v>
      </c>
      <c r="AA24" t="str">
        <f t="shared" si="6"/>
        <v>4000545</v>
      </c>
    </row>
    <row r="25" spans="1:27">
      <c r="A25" s="10">
        <v>45</v>
      </c>
      <c r="B25">
        <f t="shared" si="0"/>
        <v>45</v>
      </c>
      <c r="C25">
        <v>0.5</v>
      </c>
      <c r="D25">
        <v>45</v>
      </c>
      <c r="E25">
        <v>0.5</v>
      </c>
      <c r="G25" t="str">
        <f>R25&amp;"_0_1_"&amp;ROUNDDOWN([1]关卡!M31*$C25*2,0)</f>
        <v>4000145_0_1_675</v>
      </c>
      <c r="H25" t="str">
        <f>S25&amp;"_0_1_"&amp;ROUNDDOWN([1]关卡!N31*$C25*2,0)</f>
        <v>4000245_0_1_561</v>
      </c>
      <c r="I25" t="str">
        <f>T25&amp;"_0_1_"&amp;ROUNDDOWN([1]关卡!O31*$C25*2,0)</f>
        <v>4000345_0_1_458</v>
      </c>
      <c r="J25" t="str">
        <f>U25&amp;"_0_1_"&amp;ROUNDDOWN([1]关卡!P31*$C25*2,0)</f>
        <v>4000445_0_1_229</v>
      </c>
      <c r="K25" t="str">
        <f>V25&amp;"_0_1_"&amp;ROUNDDOWN([1]关卡!Q31*$C25*2,0)</f>
        <v>4000545_0_1_80</v>
      </c>
      <c r="L25" t="str">
        <f>W25&amp;"_0_1_"&amp;ROUNDDOWN([1]关卡!M31*$E25*2,0)</f>
        <v>4000145_0_1_675</v>
      </c>
      <c r="M25" t="str">
        <f>X25&amp;"_0_1_"&amp;ROUNDDOWN([1]关卡!N31*$E25*2,0)</f>
        <v>4000245_0_1_561</v>
      </c>
      <c r="N25" t="str">
        <f>Y25&amp;"_0_1_"&amp;ROUNDDOWN([1]关卡!O31*$E25*2,0)</f>
        <v>4000345_0_1_458</v>
      </c>
      <c r="O25" t="str">
        <f>Z25&amp;"_0_1_"&amp;ROUNDDOWN([1]关卡!P31*$E25*2,0)</f>
        <v>4000445_0_1_229</v>
      </c>
      <c r="P25" t="str">
        <f>AA25&amp;"_0_1_"&amp;ROUNDDOWN([1]关卡!Q31*$E25*2,0)</f>
        <v>4000545_0_1_80</v>
      </c>
      <c r="R25" t="str">
        <f t="shared" si="7"/>
        <v>4000145</v>
      </c>
      <c r="S25" t="str">
        <f t="shared" si="7"/>
        <v>4000245</v>
      </c>
      <c r="T25" t="str">
        <f t="shared" si="7"/>
        <v>4000345</v>
      </c>
      <c r="U25" t="str">
        <f t="shared" si="7"/>
        <v>4000445</v>
      </c>
      <c r="V25" t="str">
        <f t="shared" si="7"/>
        <v>4000545</v>
      </c>
      <c r="W25" t="str">
        <f t="shared" si="2"/>
        <v>4000145</v>
      </c>
      <c r="X25" t="str">
        <f t="shared" si="3"/>
        <v>4000245</v>
      </c>
      <c r="Y25" t="str">
        <f t="shared" si="4"/>
        <v>4000345</v>
      </c>
      <c r="Z25" t="str">
        <f t="shared" si="5"/>
        <v>4000445</v>
      </c>
      <c r="AA25" t="str">
        <f t="shared" si="6"/>
        <v>4000545</v>
      </c>
    </row>
    <row r="26" spans="1:27">
      <c r="A26" s="10">
        <v>47</v>
      </c>
      <c r="B26">
        <v>45</v>
      </c>
      <c r="C26">
        <v>0.72</v>
      </c>
      <c r="D26">
        <v>47</v>
      </c>
      <c r="E26">
        <v>0.28000000000000003</v>
      </c>
      <c r="G26" t="str">
        <f>R26&amp;"_0_1_"&amp;ROUNDDOWN([1]关卡!M32*$C26*2,0)</f>
        <v>4000145_0_1_972</v>
      </c>
      <c r="H26" t="str">
        <f>S26&amp;"_0_1_"&amp;ROUNDDOWN([1]关卡!N32*$C26*2,0)</f>
        <v>4000245_0_1_807</v>
      </c>
      <c r="I26" t="str">
        <f>T26&amp;"_0_1_"&amp;ROUNDDOWN([1]关卡!O32*$C26*2,0)</f>
        <v>4000345_0_1_659</v>
      </c>
      <c r="J26" t="str">
        <f>U26&amp;"_0_1_"&amp;ROUNDDOWN([1]关卡!P32*$C26*2,0)</f>
        <v>4000445_0_1_329</v>
      </c>
      <c r="K26" t="str">
        <f>V26&amp;"_0_1_"&amp;ROUNDDOWN([1]关卡!Q32*$C26*2,0)</f>
        <v>4000545_0_1_115</v>
      </c>
      <c r="L26" t="str">
        <f>W26&amp;"_0_1_"&amp;ROUNDDOWN([1]关卡!M32*$E26*2,0)</f>
        <v>4000147_0_1_378</v>
      </c>
      <c r="M26" t="str">
        <f>X26&amp;"_0_1_"&amp;ROUNDDOWN([1]关卡!N32*$E26*2,0)</f>
        <v>4000247_0_1_314</v>
      </c>
      <c r="N26" t="str">
        <f>Y26&amp;"_0_1_"&amp;ROUNDDOWN([1]关卡!O32*$E26*2,0)</f>
        <v>4000347_0_1_256</v>
      </c>
      <c r="O26" t="str">
        <f>Z26&amp;"_0_1_"&amp;ROUNDDOWN([1]关卡!P32*$E26*2,0)</f>
        <v>4000447_0_1_128</v>
      </c>
      <c r="P26" t="str">
        <f>AA26&amp;"_0_1_"&amp;ROUNDDOWN([1]关卡!Q32*$E26*2,0)</f>
        <v>4000547_0_1_44</v>
      </c>
      <c r="R26" t="str">
        <f t="shared" si="7"/>
        <v>4000145</v>
      </c>
      <c r="S26" t="str">
        <f t="shared" si="7"/>
        <v>4000245</v>
      </c>
      <c r="T26" t="str">
        <f t="shared" si="7"/>
        <v>4000345</v>
      </c>
      <c r="U26" t="str">
        <f t="shared" si="7"/>
        <v>4000445</v>
      </c>
      <c r="V26" t="str">
        <f t="shared" si="7"/>
        <v>4000545</v>
      </c>
      <c r="W26" t="str">
        <f t="shared" si="2"/>
        <v>4000147</v>
      </c>
      <c r="X26" t="str">
        <f t="shared" si="3"/>
        <v>4000247</v>
      </c>
      <c r="Y26" t="str">
        <f t="shared" si="4"/>
        <v>4000347</v>
      </c>
      <c r="Z26" t="str">
        <f t="shared" si="5"/>
        <v>4000447</v>
      </c>
      <c r="AA26" t="str">
        <f t="shared" si="6"/>
        <v>4000547</v>
      </c>
    </row>
    <row r="27" spans="1:27">
      <c r="A27" s="10">
        <v>49</v>
      </c>
      <c r="B27">
        <v>47</v>
      </c>
      <c r="C27">
        <v>0.74</v>
      </c>
      <c r="D27">
        <v>50</v>
      </c>
      <c r="E27">
        <v>0.26</v>
      </c>
      <c r="G27" t="str">
        <f>R27&amp;"_0_1_"&amp;ROUNDDOWN([1]关卡!M33*$C27*2,0)</f>
        <v>4000147_0_1_999</v>
      </c>
      <c r="H27" t="str">
        <f>S27&amp;"_0_1_"&amp;ROUNDDOWN([1]关卡!N33*$C27*2,0)</f>
        <v>4000247_0_1_830</v>
      </c>
      <c r="I27" t="str">
        <f>T27&amp;"_0_1_"&amp;ROUNDDOWN([1]关卡!O33*$C27*2,0)</f>
        <v>4000347_0_1_677</v>
      </c>
      <c r="J27" t="str">
        <f>U27&amp;"_0_1_"&amp;ROUNDDOWN([1]关卡!P33*$C27*2,0)</f>
        <v>4000447_0_1_338</v>
      </c>
      <c r="K27" t="str">
        <f>V27&amp;"_0_1_"&amp;ROUNDDOWN([1]关卡!Q33*$C27*2,0)</f>
        <v>4000547_0_1_118</v>
      </c>
      <c r="L27" t="str">
        <f>W27&amp;"_0_1_"&amp;ROUNDDOWN([1]关卡!M33*$E27*2,0)</f>
        <v>4000150_0_1_351</v>
      </c>
      <c r="M27" t="str">
        <f>X27&amp;"_0_1_"&amp;ROUNDDOWN([1]关卡!N33*$E27*2,0)</f>
        <v>4000250_0_1_291</v>
      </c>
      <c r="N27" t="str">
        <f>Y27&amp;"_0_1_"&amp;ROUNDDOWN([1]关卡!O33*$E27*2,0)</f>
        <v>4000350_0_1_238</v>
      </c>
      <c r="O27" t="str">
        <f>Z27&amp;"_0_1_"&amp;ROUNDDOWN([1]关卡!P33*$E27*2,0)</f>
        <v>4000450_0_1_119</v>
      </c>
      <c r="P27" t="str">
        <f>AA27&amp;"_0_1_"&amp;ROUNDDOWN([1]关卡!Q33*$E27*2,0)</f>
        <v>4000550_0_1_41</v>
      </c>
      <c r="R27" t="str">
        <f t="shared" si="7"/>
        <v>4000147</v>
      </c>
      <c r="S27" t="str">
        <f t="shared" si="7"/>
        <v>4000247</v>
      </c>
      <c r="T27" t="str">
        <f t="shared" si="7"/>
        <v>4000347</v>
      </c>
      <c r="U27" t="str">
        <f t="shared" si="7"/>
        <v>4000447</v>
      </c>
      <c r="V27" t="str">
        <f t="shared" si="7"/>
        <v>4000547</v>
      </c>
      <c r="W27" t="str">
        <f t="shared" si="2"/>
        <v>4000150</v>
      </c>
      <c r="X27" t="str">
        <f t="shared" si="3"/>
        <v>4000250</v>
      </c>
      <c r="Y27" t="str">
        <f t="shared" si="4"/>
        <v>4000350</v>
      </c>
      <c r="Z27" t="str">
        <f t="shared" si="5"/>
        <v>4000450</v>
      </c>
      <c r="AA27" t="str">
        <f t="shared" si="6"/>
        <v>4000550</v>
      </c>
    </row>
    <row r="28" spans="1:27">
      <c r="A28" s="10">
        <v>51</v>
      </c>
      <c r="B28">
        <f t="shared" si="0"/>
        <v>50</v>
      </c>
      <c r="C28">
        <v>0.75</v>
      </c>
      <c r="D28">
        <v>53</v>
      </c>
      <c r="E28">
        <v>0.25</v>
      </c>
      <c r="G28" t="str">
        <f>R28&amp;"_0_1_"&amp;ROUNDDOWN([1]关卡!M34*$C28*2,0)</f>
        <v>4000150_0_1_1038</v>
      </c>
      <c r="H28" t="str">
        <f>S28&amp;"_0_1_"&amp;ROUNDDOWN([1]关卡!N34*$C28*2,0)</f>
        <v>4000250_0_1_862</v>
      </c>
      <c r="I28" t="str">
        <f>T28&amp;"_0_1_"&amp;ROUNDDOWN([1]关卡!O34*$C28*2,0)</f>
        <v>4000350_0_1_703</v>
      </c>
      <c r="J28" t="str">
        <f>U28&amp;"_0_1_"&amp;ROUNDDOWN([1]关卡!P34*$C28*2,0)</f>
        <v>4000450_0_1_352</v>
      </c>
      <c r="K28" t="str">
        <f>V28&amp;"_0_1_"&amp;ROUNDDOWN([1]关卡!Q34*$C28*2,0)</f>
        <v>4000550_0_1_123</v>
      </c>
      <c r="L28" t="str">
        <f>W28&amp;"_0_1_"&amp;ROUNDDOWN([1]关卡!M34*$E28*2,0)</f>
        <v>4000153_0_1_346</v>
      </c>
      <c r="M28" t="str">
        <f>X28&amp;"_0_1_"&amp;ROUNDDOWN([1]关卡!N34*$E28*2,0)</f>
        <v>4000253_0_1_287</v>
      </c>
      <c r="N28" t="str">
        <f>Y28&amp;"_0_1_"&amp;ROUNDDOWN([1]关卡!O34*$E28*2,0)</f>
        <v>4000353_0_1_234</v>
      </c>
      <c r="O28" t="str">
        <f>Z28&amp;"_0_1_"&amp;ROUNDDOWN([1]关卡!P34*$E28*2,0)</f>
        <v>4000453_0_1_117</v>
      </c>
      <c r="P28" t="str">
        <f>AA28&amp;"_0_1_"&amp;ROUNDDOWN([1]关卡!Q34*$E28*2,0)</f>
        <v>4000553_0_1_41</v>
      </c>
      <c r="R28" t="str">
        <f t="shared" ref="R28:V36" si="8">S$1&amp;$B28</f>
        <v>4000150</v>
      </c>
      <c r="S28" t="str">
        <f t="shared" si="8"/>
        <v>4000250</v>
      </c>
      <c r="T28" t="str">
        <f t="shared" si="8"/>
        <v>4000350</v>
      </c>
      <c r="U28" t="str">
        <f t="shared" si="8"/>
        <v>4000450</v>
      </c>
      <c r="V28" t="str">
        <f t="shared" si="8"/>
        <v>4000550</v>
      </c>
      <c r="W28" t="str">
        <f t="shared" si="2"/>
        <v>4000153</v>
      </c>
      <c r="X28" t="str">
        <f t="shared" si="3"/>
        <v>4000253</v>
      </c>
      <c r="Y28" t="str">
        <f t="shared" si="4"/>
        <v>4000353</v>
      </c>
      <c r="Z28" t="str">
        <f t="shared" si="5"/>
        <v>4000453</v>
      </c>
      <c r="AA28" t="str">
        <f t="shared" si="6"/>
        <v>4000553</v>
      </c>
    </row>
    <row r="29" spans="1:27">
      <c r="A29" s="10">
        <v>53</v>
      </c>
      <c r="B29">
        <v>53</v>
      </c>
      <c r="C29">
        <v>0.62</v>
      </c>
      <c r="D29">
        <v>53</v>
      </c>
      <c r="E29">
        <v>0.38</v>
      </c>
      <c r="G29" t="str">
        <f>R29&amp;"_0_1_"&amp;ROUNDDOWN([1]关卡!M35*$C29*2,0)</f>
        <v>4000153_0_1_858</v>
      </c>
      <c r="H29" t="str">
        <f>S29&amp;"_0_1_"&amp;ROUNDDOWN([1]关卡!N35*$C29*2,0)</f>
        <v>4000253_0_1_713</v>
      </c>
      <c r="I29" t="str">
        <f>T29&amp;"_0_1_"&amp;ROUNDDOWN([1]关卡!O35*$C29*2,0)</f>
        <v>4000353_0_1_581</v>
      </c>
      <c r="J29" t="str">
        <f>U29&amp;"_0_1_"&amp;ROUNDDOWN([1]关卡!P35*$C29*2,0)</f>
        <v>4000453_0_1_291</v>
      </c>
      <c r="K29" t="str">
        <f>V29&amp;"_0_1_"&amp;ROUNDDOWN([1]关卡!Q35*$C29*2,0)</f>
        <v>4000553_0_1_101</v>
      </c>
      <c r="L29" t="str">
        <f>W29&amp;"_0_1_"&amp;ROUNDDOWN([1]关卡!M35*$E29*2,0)</f>
        <v>4000153_0_1_525</v>
      </c>
      <c r="M29" t="str">
        <f>X29&amp;"_0_1_"&amp;ROUNDDOWN([1]关卡!N35*$E29*2,0)</f>
        <v>4000253_0_1_437</v>
      </c>
      <c r="N29" t="str">
        <f>Y29&amp;"_0_1_"&amp;ROUNDDOWN([1]关卡!O35*$E29*2,0)</f>
        <v>4000353_0_1_356</v>
      </c>
      <c r="O29" t="str">
        <f>Z29&amp;"_0_1_"&amp;ROUNDDOWN([1]关卡!P35*$E29*2,0)</f>
        <v>4000453_0_1_178</v>
      </c>
      <c r="P29" t="str">
        <f>AA29&amp;"_0_1_"&amp;ROUNDDOWN([1]关卡!Q35*$E29*2,0)</f>
        <v>4000553_0_1_62</v>
      </c>
      <c r="R29" t="str">
        <f t="shared" si="8"/>
        <v>4000153</v>
      </c>
      <c r="S29" t="str">
        <f t="shared" si="8"/>
        <v>4000253</v>
      </c>
      <c r="T29" t="str">
        <f t="shared" si="8"/>
        <v>4000353</v>
      </c>
      <c r="U29" t="str">
        <f t="shared" si="8"/>
        <v>4000453</v>
      </c>
      <c r="V29" t="str">
        <f t="shared" si="8"/>
        <v>4000553</v>
      </c>
      <c r="W29" t="str">
        <f t="shared" si="2"/>
        <v>4000153</v>
      </c>
      <c r="X29" t="str">
        <f t="shared" si="3"/>
        <v>4000253</v>
      </c>
      <c r="Y29" t="str">
        <f t="shared" si="4"/>
        <v>4000353</v>
      </c>
      <c r="Z29" t="str">
        <f t="shared" si="5"/>
        <v>4000453</v>
      </c>
      <c r="AA29" t="str">
        <f t="shared" si="6"/>
        <v>4000553</v>
      </c>
    </row>
    <row r="30" spans="1:27">
      <c r="A30" s="10">
        <v>55</v>
      </c>
      <c r="B30">
        <v>53</v>
      </c>
      <c r="C30">
        <v>0.78</v>
      </c>
      <c r="D30">
        <v>55</v>
      </c>
      <c r="E30">
        <v>0.22</v>
      </c>
      <c r="G30" t="str">
        <f>R30&amp;"_0_1_"&amp;ROUNDDOWN([1]关卡!M36*$C30*2,0)</f>
        <v>4000153_0_1_1079</v>
      </c>
      <c r="H30" t="str">
        <f>S30&amp;"_0_1_"&amp;ROUNDDOWN([1]关卡!N36*$C30*2,0)</f>
        <v>4000253_0_1_897</v>
      </c>
      <c r="I30" t="str">
        <f>T30&amp;"_0_1_"&amp;ROUNDDOWN([1]关卡!O36*$C30*2,0)</f>
        <v>4000353_0_1_731</v>
      </c>
      <c r="J30" t="str">
        <f>U30&amp;"_0_1_"&amp;ROUNDDOWN([1]关卡!P36*$C30*2,0)</f>
        <v>4000453_0_1_366</v>
      </c>
      <c r="K30" t="str">
        <f>V30&amp;"_0_1_"&amp;ROUNDDOWN([1]关卡!Q36*$C30*2,0)</f>
        <v>4000553_0_1_127</v>
      </c>
      <c r="L30" t="str">
        <f>W30&amp;"_0_1_"&amp;ROUNDDOWN([1]关卡!M36*$E30*2,0)</f>
        <v>4000155_0_1_304</v>
      </c>
      <c r="M30" t="str">
        <f>X30&amp;"_0_1_"&amp;ROUNDDOWN([1]关卡!N36*$E30*2,0)</f>
        <v>4000255_0_1_253</v>
      </c>
      <c r="N30" t="str">
        <f>Y30&amp;"_0_1_"&amp;ROUNDDOWN([1]关卡!O36*$E30*2,0)</f>
        <v>4000355_0_1_206</v>
      </c>
      <c r="O30" t="str">
        <f>Z30&amp;"_0_1_"&amp;ROUNDDOWN([1]关卡!P36*$E30*2,0)</f>
        <v>4000455_0_1_103</v>
      </c>
      <c r="P30" t="str">
        <f>AA30&amp;"_0_1_"&amp;ROUNDDOWN([1]关卡!Q36*$E30*2,0)</f>
        <v>4000555_0_1_36</v>
      </c>
      <c r="R30" t="str">
        <f t="shared" si="8"/>
        <v>4000153</v>
      </c>
      <c r="S30" t="str">
        <f t="shared" si="8"/>
        <v>4000253</v>
      </c>
      <c r="T30" t="str">
        <f t="shared" si="8"/>
        <v>4000353</v>
      </c>
      <c r="U30" t="str">
        <f t="shared" si="8"/>
        <v>4000453</v>
      </c>
      <c r="V30" t="str">
        <f t="shared" si="8"/>
        <v>4000553</v>
      </c>
      <c r="W30" t="str">
        <f t="shared" si="2"/>
        <v>4000155</v>
      </c>
      <c r="X30" t="str">
        <f t="shared" si="3"/>
        <v>4000255</v>
      </c>
      <c r="Y30" t="str">
        <f t="shared" si="4"/>
        <v>4000355</v>
      </c>
      <c r="Z30" t="str">
        <f t="shared" si="5"/>
        <v>4000455</v>
      </c>
      <c r="AA30" t="str">
        <f t="shared" si="6"/>
        <v>4000555</v>
      </c>
    </row>
    <row r="31" spans="1:27">
      <c r="A31" s="10">
        <v>57</v>
      </c>
      <c r="B31">
        <v>55</v>
      </c>
      <c r="C31">
        <v>0.8</v>
      </c>
      <c r="D31">
        <v>57</v>
      </c>
      <c r="E31">
        <v>0.2</v>
      </c>
      <c r="G31" t="str">
        <f>R31&amp;"_0_1_"&amp;ROUNDDOWN([1]关卡!M37*$C31*2,0)</f>
        <v>4000155_0_1_1107</v>
      </c>
      <c r="H31" t="str">
        <f>S31&amp;"_0_1_"&amp;ROUNDDOWN([1]关卡!N37*$C31*2,0)</f>
        <v>4000255_0_1_920</v>
      </c>
      <c r="I31" t="str">
        <f>T31&amp;"_0_1_"&amp;ROUNDDOWN([1]关卡!O37*$C31*2,0)</f>
        <v>4000355_0_1_750</v>
      </c>
      <c r="J31" t="str">
        <f>U31&amp;"_0_1_"&amp;ROUNDDOWN([1]关卡!P37*$C31*2,0)</f>
        <v>4000455_0_1_376</v>
      </c>
      <c r="K31" t="str">
        <f>V31&amp;"_0_1_"&amp;ROUNDDOWN([1]关卡!Q37*$C31*2,0)</f>
        <v>4000555_0_1_131</v>
      </c>
      <c r="L31" t="str">
        <f>W31&amp;"_0_1_"&amp;ROUNDDOWN([1]关卡!M37*$E31*2,0)</f>
        <v>4000157_0_1_276</v>
      </c>
      <c r="M31" t="str">
        <f>X31&amp;"_0_1_"&amp;ROUNDDOWN([1]关卡!N37*$E31*2,0)</f>
        <v>4000257_0_1_230</v>
      </c>
      <c r="N31" t="str">
        <f>Y31&amp;"_0_1_"&amp;ROUNDDOWN([1]关卡!O37*$E31*2,0)</f>
        <v>4000357_0_1_187</v>
      </c>
      <c r="O31" t="str">
        <f>Z31&amp;"_0_1_"&amp;ROUNDDOWN([1]关卡!P37*$E31*2,0)</f>
        <v>4000457_0_1_94</v>
      </c>
      <c r="P31" t="str">
        <f>AA31&amp;"_0_1_"&amp;ROUNDDOWN([1]关卡!Q37*$E31*2,0)</f>
        <v>4000557_0_1_32</v>
      </c>
      <c r="R31" t="str">
        <f t="shared" si="8"/>
        <v>4000155</v>
      </c>
      <c r="S31" t="str">
        <f t="shared" si="8"/>
        <v>4000255</v>
      </c>
      <c r="T31" t="str">
        <f t="shared" si="8"/>
        <v>4000355</v>
      </c>
      <c r="U31" t="str">
        <f t="shared" si="8"/>
        <v>4000455</v>
      </c>
      <c r="V31" t="str">
        <f t="shared" si="8"/>
        <v>4000555</v>
      </c>
      <c r="W31" t="str">
        <f t="shared" si="2"/>
        <v>4000157</v>
      </c>
      <c r="X31" t="str">
        <f t="shared" si="3"/>
        <v>4000257</v>
      </c>
      <c r="Y31" t="str">
        <f t="shared" si="4"/>
        <v>4000357</v>
      </c>
      <c r="Z31" t="str">
        <f t="shared" si="5"/>
        <v>4000457</v>
      </c>
      <c r="AA31" t="str">
        <f t="shared" si="6"/>
        <v>4000557</v>
      </c>
    </row>
    <row r="32" spans="1:27">
      <c r="A32" s="10">
        <v>59</v>
      </c>
      <c r="B32">
        <v>57</v>
      </c>
      <c r="C32">
        <v>0.81</v>
      </c>
      <c r="D32">
        <v>57</v>
      </c>
      <c r="E32">
        <v>0.19</v>
      </c>
      <c r="G32" t="str">
        <f>R32&amp;"_0_1_"&amp;ROUNDDOWN([1]关卡!M38*$C32*2,0)</f>
        <v>4000157_0_1_1121</v>
      </c>
      <c r="H32" t="str">
        <f>S32&amp;"_0_1_"&amp;ROUNDDOWN([1]关卡!N38*$C32*2,0)</f>
        <v>4000257_0_1_931</v>
      </c>
      <c r="I32" t="str">
        <f>T32&amp;"_0_1_"&amp;ROUNDDOWN([1]关卡!O38*$C32*2,0)</f>
        <v>4000357_0_1_759</v>
      </c>
      <c r="J32" t="str">
        <f>U32&amp;"_0_1_"&amp;ROUNDDOWN([1]关卡!P38*$C32*2,0)</f>
        <v>4000457_0_1_380</v>
      </c>
      <c r="K32" t="str">
        <f>V32&amp;"_0_1_"&amp;ROUNDDOWN([1]关卡!Q38*$C32*2,0)</f>
        <v>4000557_0_1_132</v>
      </c>
      <c r="L32" t="str">
        <f>W32&amp;"_0_1_"&amp;ROUNDDOWN([1]关卡!M38*$E32*2,0)</f>
        <v>4000157_0_1_262</v>
      </c>
      <c r="M32" t="str">
        <f>X32&amp;"_0_1_"&amp;ROUNDDOWN([1]关卡!N38*$E32*2,0)</f>
        <v>4000257_0_1_218</v>
      </c>
      <c r="N32" t="str">
        <f>Y32&amp;"_0_1_"&amp;ROUNDDOWN([1]关卡!O38*$E32*2,0)</f>
        <v>4000357_0_1_178</v>
      </c>
      <c r="O32" t="str">
        <f>Z32&amp;"_0_1_"&amp;ROUNDDOWN([1]关卡!P38*$E32*2,0)</f>
        <v>4000457_0_1_89</v>
      </c>
      <c r="P32" t="str">
        <f>AA32&amp;"_0_1_"&amp;ROUNDDOWN([1]关卡!Q38*$E32*2,0)</f>
        <v>4000557_0_1_31</v>
      </c>
      <c r="R32" t="str">
        <f t="shared" si="8"/>
        <v>4000157</v>
      </c>
      <c r="S32" t="str">
        <f t="shared" si="8"/>
        <v>4000257</v>
      </c>
      <c r="T32" t="str">
        <f t="shared" si="8"/>
        <v>4000357</v>
      </c>
      <c r="U32" t="str">
        <f t="shared" si="8"/>
        <v>4000457</v>
      </c>
      <c r="V32" t="str">
        <f t="shared" si="8"/>
        <v>4000557</v>
      </c>
      <c r="W32" t="str">
        <f t="shared" si="2"/>
        <v>4000157</v>
      </c>
      <c r="X32" t="str">
        <f t="shared" si="3"/>
        <v>4000257</v>
      </c>
      <c r="Y32" t="str">
        <f t="shared" si="4"/>
        <v>4000357</v>
      </c>
      <c r="Z32" t="str">
        <f t="shared" si="5"/>
        <v>4000457</v>
      </c>
      <c r="AA32" t="str">
        <f t="shared" si="6"/>
        <v>4000557</v>
      </c>
    </row>
    <row r="33" spans="1:27">
      <c r="A33" s="10">
        <v>61</v>
      </c>
      <c r="B33">
        <v>57</v>
      </c>
      <c r="C33">
        <v>0.83</v>
      </c>
      <c r="D33">
        <v>60</v>
      </c>
      <c r="E33">
        <v>0.17</v>
      </c>
      <c r="G33" t="str">
        <f>R33&amp;"_0_1_"&amp;ROUNDDOWN([1]关卡!M39*$C33*2,0)</f>
        <v>4000157_0_1_1148</v>
      </c>
      <c r="H33" t="str">
        <f>S33&amp;"_0_1_"&amp;ROUNDDOWN([1]关卡!N39*$C33*2,0)</f>
        <v>4000257_0_1_954</v>
      </c>
      <c r="I33" t="str">
        <f>T33&amp;"_0_1_"&amp;ROUNDDOWN([1]关卡!O39*$C33*2,0)</f>
        <v>4000357_0_1_778</v>
      </c>
      <c r="J33" t="str">
        <f>U33&amp;"_0_1_"&amp;ROUNDDOWN([1]关卡!P39*$C33*2,0)</f>
        <v>4000457_0_1_390</v>
      </c>
      <c r="K33" t="str">
        <f>V33&amp;"_0_1_"&amp;ROUNDDOWN([1]关卡!Q39*$C33*2,0)</f>
        <v>4000557_0_1_136</v>
      </c>
      <c r="L33" t="str">
        <f>W33&amp;"_0_1_"&amp;ROUNDDOWN([1]关卡!M39*$E33*2,0)</f>
        <v>4000160_0_1_235</v>
      </c>
      <c r="M33" t="str">
        <f>X33&amp;"_0_1_"&amp;ROUNDDOWN([1]关卡!N39*$E33*2,0)</f>
        <v>4000260_0_1_195</v>
      </c>
      <c r="N33" t="str">
        <f>Y33&amp;"_0_1_"&amp;ROUNDDOWN([1]关卡!O39*$E33*2,0)</f>
        <v>4000360_0_1_159</v>
      </c>
      <c r="O33" t="str">
        <f>Z33&amp;"_0_1_"&amp;ROUNDDOWN([1]关卡!P39*$E33*2,0)</f>
        <v>4000460_0_1_79</v>
      </c>
      <c r="P33" t="str">
        <f>AA33&amp;"_0_1_"&amp;ROUNDDOWN([1]关卡!Q39*$E33*2,0)</f>
        <v>4000560_0_1_27</v>
      </c>
      <c r="R33" t="str">
        <f t="shared" si="8"/>
        <v>4000157</v>
      </c>
      <c r="S33" t="str">
        <f t="shared" si="8"/>
        <v>4000257</v>
      </c>
      <c r="T33" t="str">
        <f t="shared" si="8"/>
        <v>4000357</v>
      </c>
      <c r="U33" t="str">
        <f t="shared" si="8"/>
        <v>4000457</v>
      </c>
      <c r="V33" t="str">
        <f t="shared" si="8"/>
        <v>4000557</v>
      </c>
      <c r="W33" t="str">
        <f t="shared" si="2"/>
        <v>4000160</v>
      </c>
      <c r="X33" t="str">
        <f t="shared" si="3"/>
        <v>4000260</v>
      </c>
      <c r="Y33" t="str">
        <f t="shared" si="4"/>
        <v>4000360</v>
      </c>
      <c r="Z33" t="str">
        <f t="shared" si="5"/>
        <v>4000460</v>
      </c>
      <c r="AA33" t="str">
        <f t="shared" si="6"/>
        <v>4000560</v>
      </c>
    </row>
    <row r="34" spans="1:27">
      <c r="A34" s="10">
        <v>63</v>
      </c>
      <c r="B34">
        <v>60</v>
      </c>
      <c r="C34">
        <v>0.84</v>
      </c>
      <c r="D34">
        <v>63</v>
      </c>
      <c r="E34">
        <v>0.16</v>
      </c>
      <c r="G34" t="str">
        <f>R34&amp;"_0_1_"&amp;ROUNDDOWN([1]关卡!M40*$C34*2,0)</f>
        <v>4000160_0_1_1162</v>
      </c>
      <c r="H34" t="str">
        <f>S34&amp;"_0_1_"&amp;ROUNDDOWN([1]关卡!N40*$C34*2,0)</f>
        <v>4000260_0_1_966</v>
      </c>
      <c r="I34" t="str">
        <f>T34&amp;"_0_1_"&amp;ROUNDDOWN([1]关卡!O40*$C34*2,0)</f>
        <v>4000360_0_1_787</v>
      </c>
      <c r="J34" t="str">
        <f>U34&amp;"_0_1_"&amp;ROUNDDOWN([1]关卡!P40*$C34*2,0)</f>
        <v>4000460_0_1_394</v>
      </c>
      <c r="K34" t="str">
        <f>V34&amp;"_0_1_"&amp;ROUNDDOWN([1]关卡!Q40*$C34*2,0)</f>
        <v>4000560_0_1_137</v>
      </c>
      <c r="L34" t="str">
        <f>W34&amp;"_0_1_"&amp;ROUNDDOWN([1]关卡!M40*$E34*2,0)</f>
        <v>4000163_0_1_221</v>
      </c>
      <c r="M34" t="str">
        <f>X34&amp;"_0_1_"&amp;ROUNDDOWN([1]关卡!N40*$E34*2,0)</f>
        <v>4000263_0_1_184</v>
      </c>
      <c r="N34" t="str">
        <f>Y34&amp;"_0_1_"&amp;ROUNDDOWN([1]关卡!O40*$E34*2,0)</f>
        <v>4000363_0_1_150</v>
      </c>
      <c r="O34" t="str">
        <f>Z34&amp;"_0_1_"&amp;ROUNDDOWN([1]关卡!P40*$E34*2,0)</f>
        <v>4000463_0_1_75</v>
      </c>
      <c r="P34" t="str">
        <f>AA34&amp;"_0_1_"&amp;ROUNDDOWN([1]关卡!Q40*$E34*2,0)</f>
        <v>4000563_0_1_26</v>
      </c>
      <c r="R34" t="str">
        <f t="shared" si="8"/>
        <v>4000160</v>
      </c>
      <c r="S34" t="str">
        <f t="shared" si="8"/>
        <v>4000260</v>
      </c>
      <c r="T34" t="str">
        <f t="shared" si="8"/>
        <v>4000360</v>
      </c>
      <c r="U34" t="str">
        <f t="shared" si="8"/>
        <v>4000460</v>
      </c>
      <c r="V34" t="str">
        <f t="shared" si="8"/>
        <v>4000560</v>
      </c>
      <c r="W34" t="str">
        <f t="shared" si="2"/>
        <v>4000163</v>
      </c>
      <c r="X34" t="str">
        <f t="shared" si="3"/>
        <v>4000263</v>
      </c>
      <c r="Y34" t="str">
        <f t="shared" si="4"/>
        <v>4000363</v>
      </c>
      <c r="Z34" t="str">
        <f t="shared" si="5"/>
        <v>4000463</v>
      </c>
      <c r="AA34" t="str">
        <f t="shared" si="6"/>
        <v>4000563</v>
      </c>
    </row>
    <row r="35" spans="1:27">
      <c r="A35" s="10">
        <v>65</v>
      </c>
      <c r="B35">
        <v>63</v>
      </c>
      <c r="C35">
        <v>0.85</v>
      </c>
      <c r="D35">
        <v>63</v>
      </c>
      <c r="E35">
        <v>0.15000000000000002</v>
      </c>
      <c r="G35" t="str">
        <f>R35&amp;"_0_1_"&amp;ROUNDDOWN([1]关卡!M41*$C35*2,0)</f>
        <v>4000163_0_1_1176</v>
      </c>
      <c r="H35" t="str">
        <f>S35&amp;"_0_1_"&amp;ROUNDDOWN([1]关卡!N41*$C35*2,0)</f>
        <v>4000263_0_1_977</v>
      </c>
      <c r="I35" t="str">
        <f>T35&amp;"_0_1_"&amp;ROUNDDOWN([1]关卡!O41*$C35*2,0)</f>
        <v>4000363_0_1_797</v>
      </c>
      <c r="J35" t="str">
        <f>U35&amp;"_0_1_"&amp;ROUNDDOWN([1]关卡!P41*$C35*2,0)</f>
        <v>4000463_0_1_399</v>
      </c>
      <c r="K35" t="str">
        <f>V35&amp;"_0_1_"&amp;ROUNDDOWN([1]关卡!Q41*$C35*2,0)</f>
        <v>4000563_0_1_139</v>
      </c>
      <c r="L35" t="str">
        <f>W35&amp;"_0_1_"&amp;ROUNDDOWN([1]关卡!M41*$E35*2,0)</f>
        <v>4000163_0_1_207</v>
      </c>
      <c r="M35" t="str">
        <f>X35&amp;"_0_1_"&amp;ROUNDDOWN([1]关卡!N41*$E35*2,0)</f>
        <v>4000263_0_1_172</v>
      </c>
      <c r="N35" t="str">
        <f>Y35&amp;"_0_1_"&amp;ROUNDDOWN([1]关卡!O41*$E35*2,0)</f>
        <v>4000363_0_1_140</v>
      </c>
      <c r="O35" t="str">
        <f>Z35&amp;"_0_1_"&amp;ROUNDDOWN([1]关卡!P41*$E35*2,0)</f>
        <v>4000463_0_1_70</v>
      </c>
      <c r="P35" t="str">
        <f>AA35&amp;"_0_1_"&amp;ROUNDDOWN([1]关卡!Q41*$E35*2,0)</f>
        <v>4000563_0_1_24</v>
      </c>
      <c r="R35" t="str">
        <f t="shared" si="8"/>
        <v>4000163</v>
      </c>
      <c r="S35" t="str">
        <f t="shared" si="8"/>
        <v>4000263</v>
      </c>
      <c r="T35" t="str">
        <f t="shared" si="8"/>
        <v>4000363</v>
      </c>
      <c r="U35" t="str">
        <f t="shared" si="8"/>
        <v>4000463</v>
      </c>
      <c r="V35" t="str">
        <f t="shared" si="8"/>
        <v>4000563</v>
      </c>
      <c r="W35" t="str">
        <f t="shared" si="2"/>
        <v>4000163</v>
      </c>
      <c r="X35" t="str">
        <f t="shared" si="3"/>
        <v>4000263</v>
      </c>
      <c r="Y35" t="str">
        <f t="shared" si="4"/>
        <v>4000363</v>
      </c>
      <c r="Z35" t="str">
        <f t="shared" si="5"/>
        <v>4000463</v>
      </c>
      <c r="AA35" t="str">
        <f t="shared" si="6"/>
        <v>4000563</v>
      </c>
    </row>
    <row r="36" spans="1:27">
      <c r="A36" s="10">
        <v>67</v>
      </c>
      <c r="B36">
        <v>63</v>
      </c>
      <c r="C36">
        <v>0.95</v>
      </c>
      <c r="D36">
        <v>65</v>
      </c>
      <c r="E36">
        <v>0.05</v>
      </c>
      <c r="G36" t="str">
        <f>R36&amp;"_0_1_"&amp;ROUNDDOWN([1]关卡!M42*$C36*2,0)</f>
        <v>4000163_0_1_1314</v>
      </c>
      <c r="H36" t="str">
        <f>S36&amp;"_0_1_"&amp;ROUNDDOWN([1]关卡!N42*$C36*2,0)</f>
        <v>4000263_0_1_1092</v>
      </c>
      <c r="I36" t="str">
        <f>T36&amp;"_0_1_"&amp;ROUNDDOWN([1]关卡!O42*$C36*2,0)</f>
        <v>4000363_0_1_891</v>
      </c>
      <c r="J36" t="str">
        <f>U36&amp;"_0_1_"&amp;ROUNDDOWN([1]关卡!P42*$C36*2,0)</f>
        <v>4000463_0_1_446</v>
      </c>
      <c r="K36" t="str">
        <f>V36&amp;"_0_1_"&amp;ROUNDDOWN([1]关卡!Q42*$C36*2,0)</f>
        <v>4000563_0_1_155</v>
      </c>
      <c r="L36" t="str">
        <f>W36&amp;"_0_1_"&amp;ROUNDDOWN([1]关卡!M42*$E36*2,0)</f>
        <v>4000165_0_1_69</v>
      </c>
      <c r="M36" t="str">
        <f>X36&amp;"_0_1_"&amp;ROUNDDOWN([1]关卡!N42*$E36*2,0)</f>
        <v>4000265_0_1_57</v>
      </c>
      <c r="N36" t="str">
        <f>Y36&amp;"_0_1_"&amp;ROUNDDOWN([1]关卡!O42*$E36*2,0)</f>
        <v>4000365_0_1_46</v>
      </c>
      <c r="O36" t="str">
        <f>Z36&amp;"_0_1_"&amp;ROUNDDOWN([1]关卡!P42*$E36*2,0)</f>
        <v>4000465_0_1_23</v>
      </c>
      <c r="P36" t="str">
        <f>AA36&amp;"_0_1_"&amp;ROUNDDOWN([1]关卡!Q42*$E36*2,0)</f>
        <v>4000565_0_1_8</v>
      </c>
      <c r="R36" t="str">
        <f t="shared" si="8"/>
        <v>4000163</v>
      </c>
      <c r="S36" t="str">
        <f t="shared" si="8"/>
        <v>4000263</v>
      </c>
      <c r="T36" t="str">
        <f t="shared" si="8"/>
        <v>4000363</v>
      </c>
      <c r="U36" t="str">
        <f t="shared" si="8"/>
        <v>4000463</v>
      </c>
      <c r="V36" t="str">
        <f t="shared" si="8"/>
        <v>4000563</v>
      </c>
      <c r="W36" t="str">
        <f t="shared" si="2"/>
        <v>4000165</v>
      </c>
      <c r="X36" t="str">
        <f t="shared" si="3"/>
        <v>4000265</v>
      </c>
      <c r="Y36" t="str">
        <f t="shared" si="4"/>
        <v>4000365</v>
      </c>
      <c r="Z36" t="str">
        <f t="shared" si="5"/>
        <v>4000465</v>
      </c>
      <c r="AA36" t="str">
        <f t="shared" si="6"/>
        <v>4000565</v>
      </c>
    </row>
    <row r="37" spans="1:27" s="10" customFormat="1"/>
    <row r="38" spans="1:27" s="10" customFormat="1"/>
    <row r="39" spans="1:27" s="10" customFormat="1"/>
    <row r="40" spans="1:27" s="10" customFormat="1">
      <c r="A40" s="10" t="str">
        <f>G2&amp;","&amp;H2&amp;","&amp;I2&amp;","&amp;J2&amp;","&amp;K2&amp;","&amp;L2&amp;","&amp;M2&amp;","&amp;N2&amp;","&amp;O2&amp;","&amp;P2</f>
        <v>4000101_0_1_800,4000201_0_1_720,4000301_0_1_320,4000401_0_1_0,4000501_0_1_0,4000105_0_1_0,4000205_0_1_0,4000305_0_1_0,4000405_0_1_0,4000505_0_1_0</v>
      </c>
    </row>
    <row r="41" spans="1:27" s="10" customFormat="1">
      <c r="A41" s="10" t="str">
        <f t="shared" ref="A41:A74" si="9">G3&amp;","&amp;H3&amp;","&amp;I3&amp;","&amp;J3&amp;","&amp;K3&amp;","&amp;L3&amp;","&amp;M3&amp;","&amp;N3&amp;","&amp;O3&amp;","&amp;P3</f>
        <v>4000101_0_1_399,4000201_0_1_358,4000301_0_1_163,4000401_0_1_0,4000501_0_1_0,4000105_0_1_399,4000205_0_1_358,4000305_0_1_163,4000405_0_1_0,4000505_0_1_0</v>
      </c>
    </row>
    <row r="42" spans="1:27" s="10" customFormat="1">
      <c r="A42" s="10" t="str">
        <f t="shared" si="9"/>
        <v>4000101_0_1_159,4000201_0_1_142,4000301_0_1_66,4000401_0_1_0,4000501_0_1_0,4000105_0_1_636,4000205_0_1_569,4000305_0_1_265,4000405_0_1_0,4000505_0_1_0</v>
      </c>
    </row>
    <row r="43" spans="1:27" s="10" customFormat="1">
      <c r="A43" s="10" t="str">
        <f t="shared" si="9"/>
        <v>4000105_0_1_794,4000205_0_1_708,4000305_0_1_338,4000405_0_1_0,4000505_0_1_0,4000110_0_1_0,4000210_0_1_0,4000310_0_1_0,4000410_0_1_0,4000510_0_1_0</v>
      </c>
    </row>
    <row r="44" spans="1:27" s="10" customFormat="1">
      <c r="A44" s="10" t="str">
        <f t="shared" si="9"/>
        <v>4000105_0_1_582,4000205_0_1_518,4000305_0_1_253,4000405_0_1_0,4000505_0_1_0,4000110_0_1_388,4000210_0_1_345,4000310_0_1_168,4000410_0_1_0,4000510_0_1_0</v>
      </c>
    </row>
    <row r="45" spans="1:27" s="10" customFormat="1">
      <c r="A45" s="10" t="str">
        <f t="shared" si="9"/>
        <v>4000105_0_1_193,4000205_0_1_171,4000305_0_1_86,4000405_0_1_0,4000505_0_1_0,4000110_0_1_772,4000210_0_1_686,4000310_0_1_344,4000410_0_1_0,4000510_0_1_0</v>
      </c>
    </row>
    <row r="46" spans="1:27" s="10" customFormat="1">
      <c r="A46" s="10" t="str">
        <f t="shared" si="9"/>
        <v>4000110_0_1_769,4000210_0_1_683,4000310_0_1_350,4000410_0_1_0,4000510_0_1_0,4000115_0_1_192,4000215_0_1_170,4000315_0_1_87,4000415_0_1_0,4000515_0_1_0</v>
      </c>
    </row>
    <row r="47" spans="1:27" s="10" customFormat="1">
      <c r="A47" s="10" t="str">
        <f t="shared" si="9"/>
        <v>4000110_0_1_395,4000210_0_1_348,4000310_0_1_184,4000410_0_1_0,4000510_0_1_0,4000115_0_1_592,4000215_0_1_523,4000315_0_1_276,4000415_0_1_0,4000515_0_1_0</v>
      </c>
    </row>
    <row r="48" spans="1:27" s="10" customFormat="1">
      <c r="A48" s="10" t="str">
        <f t="shared" si="9"/>
        <v>4000115_0_1_1002,4000215_0_1_882,4000315_0_1_476,4000415_0_1_24,4000515_0_1_0,4000120_0_1_0,4000220_0_1_0,4000320_0_1_0,4000420_0_1_0,4000520_0_1_0</v>
      </c>
    </row>
    <row r="49" spans="1:1" s="10" customFormat="1">
      <c r="A49" s="10" t="str">
        <f t="shared" si="9"/>
        <v>4000115_0_1_608,4000215_0_1_534,4000315_0_1_296,4000415_0_1_30,4000515_0_1_0,4000120_0_1_405,4000220_0_1_356,4000320_0_1_197,4000420_0_1_20,4000520_0_1_0</v>
      </c>
    </row>
    <row r="50" spans="1:1" s="10" customFormat="1">
      <c r="A50" s="10" t="str">
        <f t="shared" si="9"/>
        <v>4000115_0_1_198,4000215_0_1_173,4000315_0_1_99,4000415_0_1_14,4000515_0_1_0,4000120_0_1_795,4000220_0_1_694,4000320_0_1_396,4000420_0_1_59,4000520_0_1_0</v>
      </c>
    </row>
    <row r="51" spans="1:1" s="10" customFormat="1">
      <c r="A51" s="10" t="str">
        <f t="shared" si="9"/>
        <v>4000120_0_1_803,4000220_0_1_699,4000320_0_1_411,4000420_0_1_81,4000520_0_1_0,4000125_0_1_200,4000225_0_1_174,4000325_0_1_102,4000425_0_1_20,4000525_0_1_0</v>
      </c>
    </row>
    <row r="52" spans="1:1" s="10" customFormat="1">
      <c r="A52" s="10" t="str">
        <f t="shared" si="9"/>
        <v>4000120_0_1_512,4000220_0_1_445,4000320_0_1_270,4000420_0_1_67,4000520_0_1_0,4000125_0_1_769,4000225_0_1_668,4000325_0_1_405,4000425_0_1_100,4000525_0_1_0</v>
      </c>
    </row>
    <row r="53" spans="1:1" s="10" customFormat="1">
      <c r="A53" s="10" t="str">
        <f t="shared" si="9"/>
        <v>4000125_0_1_1260,4000225_0_1_1090,4000325_0_1_682,4000425_0_1_188,4000525_0_1_0,4000130_0_1_0,4000230_0_1_0,4000330_0_1_0,4000430_0_1_0,4000530_0_1_0</v>
      </c>
    </row>
    <row r="54" spans="1:1" s="10" customFormat="1">
      <c r="A54" s="10" t="str">
        <f t="shared" si="9"/>
        <v>4000125_0_1_742,4000225_0_1_639,4000325_0_1_412,4000425_0_1_123,4000525_0_1_0,4000130_0_1_495,4000230_0_1_426,4000330_0_1_275,4000430_0_1_82,4000530_0_1_0</v>
      </c>
    </row>
    <row r="55" spans="1:1" s="10" customFormat="1">
      <c r="A55" s="10" t="str">
        <f t="shared" si="9"/>
        <v>4000125_0_1_266,4000225_0_1_228,4000325_0_1_152,4000425_0_1_49,4000525_0_1_0,4000130_0_1_1064,4000230_0_1_912,4000330_0_1_608,4000430_0_1_198,4000530_0_1_0</v>
      </c>
    </row>
    <row r="56" spans="1:1" s="10" customFormat="1">
      <c r="A56" s="10" t="str">
        <f t="shared" si="9"/>
        <v>4000130_0_1_1067,4000230_0_1_910,4000330_0_1_627,4000430_0_1_219,4000530_0_1_0,4000135_0_1_266,4000235_0_1_227,4000335_0_1_156,4000435_0_1_54,4000535_0_1_0</v>
      </c>
    </row>
    <row r="57" spans="1:1" s="10" customFormat="1">
      <c r="A57" s="10" t="str">
        <f t="shared" si="9"/>
        <v>4000130_0_1_528,4000230_0_1_448,4000330_0_1_320,4000430_0_1_120,4000530_0_1_16,4000135_0_1_792,4000235_0_1_672,4000335_0_1_480,4000435_0_1_180,4000535_0_1_24</v>
      </c>
    </row>
    <row r="58" spans="1:1" s="10" customFormat="1">
      <c r="A58" s="10" t="str">
        <f t="shared" si="9"/>
        <v>4000135_0_1_1312,4000235_0_1_1108,4000335_0_1_820,4000435_0_1_328,4000535_0_1_62,4000140_0_1_0,4000240_0_1_0,4000340_0_1_0,4000440_0_1_0,4000540_0_1_0</v>
      </c>
    </row>
    <row r="59" spans="1:1">
      <c r="A59" s="10" t="str">
        <f t="shared" si="9"/>
        <v>4000135_0_1_782,4000235_0_1_656,4000335_0_1_505,4000435_0_1_214,4000535_0_1_50,4000140_0_1_521,4000240_0_1_437,4000340_0_1_336,4000440_0_1_143,4000540_0_1_33</v>
      </c>
    </row>
    <row r="60" spans="1:1">
      <c r="A60" s="10" t="str">
        <f t="shared" si="9"/>
        <v>4000135_0_1_478,4000235_0_1_398,4000335_0_1_318,4000435_0_1_143,4000535_0_1_39,4000140_0_1_813,4000240_0_1_679,4000340_0_1_543,4000440_0_1_244,4000540_0_1_68</v>
      </c>
    </row>
    <row r="61" spans="1:1">
      <c r="A61" s="10" t="str">
        <f t="shared" si="9"/>
        <v>4000140_0_1_759,4000240_0_1_631,4000340_0_1_514,4000440_0_1_244,4000540_0_1_76,4000143_0_1_528,4000243_0_1_438,4000343_0_1_357,4000443_0_1_169,4000543_0_1_53</v>
      </c>
    </row>
    <row r="62" spans="1:1">
      <c r="A62" s="10" t="str">
        <f t="shared" si="9"/>
        <v>4000143_0_1_879,4000243_0_1_730,4000343_0_1_596,4000443_0_1_297,4000543_0_1_104,4000145_0_1_432,4000245_0_1_359,4000345_0_1_293,4000445_0_1_146,4000545_0_1_51</v>
      </c>
    </row>
    <row r="63" spans="1:1">
      <c r="A63" s="10" t="str">
        <f t="shared" si="9"/>
        <v>4000145_0_1_675,4000245_0_1_561,4000345_0_1_458,4000445_0_1_229,4000545_0_1_80,4000145_0_1_675,4000245_0_1_561,4000345_0_1_458,4000445_0_1_229,4000545_0_1_80</v>
      </c>
    </row>
    <row r="64" spans="1:1">
      <c r="A64" s="10" t="str">
        <f t="shared" si="9"/>
        <v>4000145_0_1_972,4000245_0_1_807,4000345_0_1_659,4000445_0_1_329,4000545_0_1_115,4000147_0_1_378,4000247_0_1_314,4000347_0_1_256,4000447_0_1_128,4000547_0_1_44</v>
      </c>
    </row>
    <row r="65" spans="1:7">
      <c r="A65" s="10" t="str">
        <f t="shared" si="9"/>
        <v>4000147_0_1_999,4000247_0_1_830,4000347_0_1_677,4000447_0_1_338,4000547_0_1_118,4000150_0_1_351,4000250_0_1_291,4000350_0_1_238,4000450_0_1_119,4000550_0_1_41</v>
      </c>
    </row>
    <row r="66" spans="1:7">
      <c r="A66" s="10" t="str">
        <f>G28&amp;","&amp;H28&amp;","&amp;I28&amp;","&amp;J28&amp;","&amp;K28&amp;","&amp;L28&amp;","&amp;M28&amp;","&amp;N28&amp;","&amp;O28&amp;","&amp;P28</f>
        <v>4000150_0_1_1038,4000250_0_1_862,4000350_0_1_703,4000450_0_1_352,4000550_0_1_123,4000153_0_1_346,4000253_0_1_287,4000353_0_1_234,4000453_0_1_117,4000553_0_1_41</v>
      </c>
    </row>
    <row r="67" spans="1:7">
      <c r="A67" s="10" t="str">
        <f t="shared" si="9"/>
        <v>4000153_0_1_858,4000253_0_1_713,4000353_0_1_581,4000453_0_1_291,4000553_0_1_101,4000153_0_1_525,4000253_0_1_437,4000353_0_1_356,4000453_0_1_178,4000553_0_1_62</v>
      </c>
    </row>
    <row r="68" spans="1:7">
      <c r="A68" s="10" t="str">
        <f t="shared" si="9"/>
        <v>4000153_0_1_1079,4000253_0_1_897,4000353_0_1_731,4000453_0_1_366,4000553_0_1_127,4000155_0_1_304,4000255_0_1_253,4000355_0_1_206,4000455_0_1_103,4000555_0_1_36</v>
      </c>
    </row>
    <row r="69" spans="1:7">
      <c r="A69" s="10" t="str">
        <f t="shared" si="9"/>
        <v>4000155_0_1_1107,4000255_0_1_920,4000355_0_1_750,4000455_0_1_376,4000555_0_1_131,4000157_0_1_276,4000257_0_1_230,4000357_0_1_187,4000457_0_1_94,4000557_0_1_32</v>
      </c>
    </row>
    <row r="70" spans="1:7">
      <c r="A70" s="10" t="str">
        <f t="shared" si="9"/>
        <v>4000157_0_1_1121,4000257_0_1_931,4000357_0_1_759,4000457_0_1_380,4000557_0_1_132,4000157_0_1_262,4000257_0_1_218,4000357_0_1_178,4000457_0_1_89,4000557_0_1_31</v>
      </c>
    </row>
    <row r="71" spans="1:7">
      <c r="A71" s="10" t="str">
        <f t="shared" si="9"/>
        <v>4000157_0_1_1148,4000257_0_1_954,4000357_0_1_778,4000457_0_1_390,4000557_0_1_136,4000160_0_1_235,4000260_0_1_195,4000360_0_1_159,4000460_0_1_79,4000560_0_1_27</v>
      </c>
    </row>
    <row r="72" spans="1:7">
      <c r="A72" s="10" t="str">
        <f t="shared" si="9"/>
        <v>4000160_0_1_1162,4000260_0_1_966,4000360_0_1_787,4000460_0_1_394,4000560_0_1_137,4000163_0_1_221,4000263_0_1_184,4000363_0_1_150,4000463_0_1_75,4000563_0_1_26</v>
      </c>
    </row>
    <row r="73" spans="1:7">
      <c r="A73" s="10" t="str">
        <f t="shared" si="9"/>
        <v>4000163_0_1_1176,4000263_0_1_977,4000363_0_1_797,4000463_0_1_399,4000563_0_1_139,4000163_0_1_207,4000263_0_1_172,4000363_0_1_140,4000463_0_1_70,4000563_0_1_24</v>
      </c>
    </row>
    <row r="74" spans="1:7">
      <c r="A74" s="10" t="str">
        <f t="shared" si="9"/>
        <v>4000163_0_1_1314,4000263_0_1_1092,4000363_0_1_891,4000463_0_1_446,4000563_0_1_155,4000165_0_1_69,4000265_0_1_57,4000365_0_1_46,4000465_0_1_23,4000565_0_1_8</v>
      </c>
    </row>
    <row r="75" spans="1:7">
      <c r="A75" s="10"/>
    </row>
    <row r="78" spans="1:7">
      <c r="B78" t="s">
        <v>593</v>
      </c>
      <c r="C78" t="s">
        <v>632</v>
      </c>
      <c r="D78" t="s">
        <v>633</v>
      </c>
      <c r="G78" t="s">
        <v>594</v>
      </c>
    </row>
    <row r="79" spans="1:7">
      <c r="A79" s="10">
        <v>1</v>
      </c>
      <c r="B79" t="s">
        <v>631</v>
      </c>
      <c r="C79" t="s">
        <v>612</v>
      </c>
      <c r="D79" t="s">
        <v>596</v>
      </c>
      <c r="E79" t="str">
        <f>A40&amp;","&amp;B79&amp;","&amp;C79&amp;","&amp;D79</f>
        <v>4000101_0_1_800,4000201_0_1_720,4000301_0_1_320,4000401_0_1_0,4000501_0_1_0,4000105_0_1_0,4000205_0_1_0,4000305_0_1_0,4000405_0_1_0,4000505_0_1_0,30000_40001_1_0,30000_40002_1_0,30000_40003_1_0</v>
      </c>
    </row>
    <row r="80" spans="1:7">
      <c r="A80" s="10">
        <v>2</v>
      </c>
      <c r="B80" t="s">
        <v>631</v>
      </c>
      <c r="C80" t="s">
        <v>612</v>
      </c>
      <c r="D80" t="s">
        <v>596</v>
      </c>
      <c r="E80" t="str">
        <f t="shared" ref="E80:E113" si="10">A41&amp;","&amp;B80&amp;","&amp;C80&amp;","&amp;D80</f>
        <v>4000101_0_1_399,4000201_0_1_358,4000301_0_1_163,4000401_0_1_0,4000501_0_1_0,4000105_0_1_399,4000205_0_1_358,4000305_0_1_163,4000405_0_1_0,4000505_0_1_0,30000_40001_1_0,30000_40002_1_0,30000_40003_1_0</v>
      </c>
    </row>
    <row r="81" spans="1:5">
      <c r="A81" s="10">
        <v>3</v>
      </c>
      <c r="B81" t="s">
        <v>613</v>
      </c>
      <c r="C81" t="s">
        <v>611</v>
      </c>
      <c r="D81" t="s">
        <v>595</v>
      </c>
      <c r="E81" t="str">
        <f t="shared" si="10"/>
        <v>4000101_0_1_159,4000201_0_1_142,4000301_0_1_66,4000401_0_1_0,4000501_0_1_0,4000105_0_1_636,4000205_0_1_569,4000305_0_1_265,4000405_0_1_0,4000505_0_1_0,30000_40001_1_0,30000_40002_1_0,30000_40003_1_0</v>
      </c>
    </row>
    <row r="82" spans="1:5">
      <c r="A82" s="10">
        <v>5</v>
      </c>
      <c r="B82" t="s">
        <v>635</v>
      </c>
      <c r="C82" t="s">
        <v>664</v>
      </c>
      <c r="D82" t="s">
        <v>667</v>
      </c>
      <c r="E82" t="str">
        <f t="shared" si="10"/>
        <v>4000105_0_1_794,4000205_0_1_708,4000305_0_1_338,4000405_0_1_0,4000505_0_1_0,4000110_0_1_0,4000210_0_1_0,4000310_0_1_0,4000410_0_1_0,4000510_0_1_0,30000_40001_1_300,30000_40002_1_200,30000_40003_1_100</v>
      </c>
    </row>
    <row r="83" spans="1:5">
      <c r="A83" s="10">
        <v>7</v>
      </c>
      <c r="B83" t="s">
        <v>637</v>
      </c>
      <c r="C83" t="s">
        <v>664</v>
      </c>
      <c r="D83" t="s">
        <v>668</v>
      </c>
      <c r="E83" t="str">
        <f t="shared" si="10"/>
        <v>4000105_0_1_582,4000205_0_1_518,4000305_0_1_253,4000405_0_1_0,4000505_0_1_0,4000110_0_1_388,4000210_0_1_345,4000310_0_1_168,4000410_0_1_0,4000510_0_1_0,30000_40001_1_310,30000_40002_1_200,30000_40003_1_105</v>
      </c>
    </row>
    <row r="84" spans="1:5">
      <c r="A84" s="10">
        <v>9</v>
      </c>
      <c r="B84" t="s">
        <v>638</v>
      </c>
      <c r="C84" t="s">
        <v>614</v>
      </c>
      <c r="D84" t="s">
        <v>610</v>
      </c>
      <c r="E84" t="str">
        <f t="shared" si="10"/>
        <v>4000105_0_1_193,4000205_0_1_171,4000305_0_1_86,4000405_0_1_0,4000505_0_1_0,4000110_0_1_772,4000210_0_1_686,4000310_0_1_344,4000410_0_1_0,4000510_0_1_0,30000_40001_1_320,30000_40002_1_200,30000_40003_1_110</v>
      </c>
    </row>
    <row r="85" spans="1:5">
      <c r="A85" s="10">
        <v>11</v>
      </c>
      <c r="B85" t="s">
        <v>639</v>
      </c>
      <c r="C85" t="s">
        <v>614</v>
      </c>
      <c r="D85" t="s">
        <v>669</v>
      </c>
      <c r="E85" t="str">
        <f t="shared" si="10"/>
        <v>4000110_0_1_769,4000210_0_1_683,4000310_0_1_350,4000410_0_1_0,4000510_0_1_0,4000115_0_1_192,4000215_0_1_170,4000315_0_1_87,4000415_0_1_0,4000515_0_1_0,30000_40001_1_330,30000_40002_1_200,30000_40003_1_115</v>
      </c>
    </row>
    <row r="86" spans="1:5">
      <c r="A86" s="10">
        <v>13</v>
      </c>
      <c r="B86" t="s">
        <v>640</v>
      </c>
      <c r="C86" t="s">
        <v>614</v>
      </c>
      <c r="D86" t="s">
        <v>609</v>
      </c>
      <c r="E86" t="str">
        <f t="shared" si="10"/>
        <v>4000110_0_1_395,4000210_0_1_348,4000310_0_1_184,4000410_0_1_0,4000510_0_1_0,4000115_0_1_592,4000215_0_1_523,4000315_0_1_276,4000415_0_1_0,4000515_0_1_0,30000_40001_1_340,30000_40002_1_200,30000_40003_1_120</v>
      </c>
    </row>
    <row r="87" spans="1:5">
      <c r="A87" s="10">
        <v>15</v>
      </c>
      <c r="B87" t="s">
        <v>641</v>
      </c>
      <c r="C87" t="s">
        <v>614</v>
      </c>
      <c r="D87" t="s">
        <v>670</v>
      </c>
      <c r="E87" t="str">
        <f t="shared" si="10"/>
        <v>4000115_0_1_1002,4000215_0_1_882,4000315_0_1_476,4000415_0_1_24,4000515_0_1_0,4000120_0_1_0,4000220_0_1_0,4000320_0_1_0,4000420_0_1_0,4000520_0_1_0,30000_40001_1_350,30000_40002_1_200,30000_40003_1_125</v>
      </c>
    </row>
    <row r="88" spans="1:5">
      <c r="A88" s="10">
        <v>17</v>
      </c>
      <c r="B88" t="s">
        <v>642</v>
      </c>
      <c r="C88" t="s">
        <v>665</v>
      </c>
      <c r="D88" t="s">
        <v>608</v>
      </c>
      <c r="E88" t="str">
        <f t="shared" si="10"/>
        <v>4000115_0_1_608,4000215_0_1_534,4000315_0_1_296,4000415_0_1_30,4000515_0_1_0,4000120_0_1_405,4000220_0_1_356,4000320_0_1_197,4000420_0_1_20,4000520_0_1_0,30000_40001_1_340,30000_40002_1_210,30000_40003_1_130</v>
      </c>
    </row>
    <row r="89" spans="1:5">
      <c r="A89" s="10">
        <v>19</v>
      </c>
      <c r="B89" t="s">
        <v>639</v>
      </c>
      <c r="C89" t="s">
        <v>615</v>
      </c>
      <c r="D89" t="s">
        <v>671</v>
      </c>
      <c r="E89" t="str">
        <f t="shared" si="10"/>
        <v>4000115_0_1_198,4000215_0_1_173,4000315_0_1_99,4000415_0_1_14,4000515_0_1_0,4000120_0_1_795,4000220_0_1_694,4000320_0_1_396,4000420_0_1_59,4000520_0_1_0,30000_40001_1_330,30000_40002_1_220,30000_40003_1_135</v>
      </c>
    </row>
    <row r="90" spans="1:5">
      <c r="A90" s="10">
        <v>21</v>
      </c>
      <c r="B90" t="s">
        <v>638</v>
      </c>
      <c r="C90" t="s">
        <v>616</v>
      </c>
      <c r="D90" t="s">
        <v>607</v>
      </c>
      <c r="E90" t="str">
        <f t="shared" si="10"/>
        <v>4000120_0_1_803,4000220_0_1_699,4000320_0_1_411,4000420_0_1_81,4000520_0_1_0,4000125_0_1_200,4000225_0_1_174,4000325_0_1_102,4000425_0_1_20,4000525_0_1_0,30000_40001_1_320,30000_40002_1_230,30000_40003_1_140</v>
      </c>
    </row>
    <row r="91" spans="1:5">
      <c r="A91" s="10">
        <v>23</v>
      </c>
      <c r="B91" t="s">
        <v>636</v>
      </c>
      <c r="C91" t="s">
        <v>666</v>
      </c>
      <c r="D91" t="s">
        <v>672</v>
      </c>
      <c r="E91" t="str">
        <f t="shared" si="10"/>
        <v>4000120_0_1_512,4000220_0_1_445,4000320_0_1_270,4000420_0_1_67,4000520_0_1_0,4000125_0_1_769,4000225_0_1_668,4000325_0_1_405,4000425_0_1_100,4000525_0_1_0,30000_40001_1_310,30000_40002_1_240,30000_40003_1_145</v>
      </c>
    </row>
    <row r="92" spans="1:5">
      <c r="A92" s="10">
        <v>25</v>
      </c>
      <c r="B92" t="s">
        <v>634</v>
      </c>
      <c r="C92" t="s">
        <v>617</v>
      </c>
      <c r="D92" t="s">
        <v>606</v>
      </c>
      <c r="E92" t="str">
        <f t="shared" si="10"/>
        <v>4000125_0_1_1260,4000225_0_1_1090,4000325_0_1_682,4000425_0_1_188,4000525_0_1_0,4000130_0_1_0,4000230_0_1_0,4000330_0_1_0,4000430_0_1_0,4000530_0_1_0,30000_40001_1_300,30000_40002_1_250,30000_40003_1_150</v>
      </c>
    </row>
    <row r="93" spans="1:5">
      <c r="A93" s="10">
        <v>27</v>
      </c>
      <c r="B93" t="s">
        <v>643</v>
      </c>
      <c r="C93" t="s">
        <v>618</v>
      </c>
      <c r="D93" t="s">
        <v>673</v>
      </c>
      <c r="E93" t="str">
        <f t="shared" si="10"/>
        <v>4000125_0_1_742,4000225_0_1_639,4000325_0_1_412,4000425_0_1_123,4000525_0_1_0,4000130_0_1_495,4000230_0_1_426,4000330_0_1_275,4000430_0_1_82,4000530_0_1_0,30000_40001_1_290,30000_40002_1_260,30000_40003_1_155</v>
      </c>
    </row>
    <row r="94" spans="1:5">
      <c r="A94" s="10">
        <v>29</v>
      </c>
      <c r="B94" t="s">
        <v>644</v>
      </c>
      <c r="C94" t="s">
        <v>619</v>
      </c>
      <c r="D94" t="s">
        <v>605</v>
      </c>
      <c r="E94" t="str">
        <f t="shared" si="10"/>
        <v>4000125_0_1_266,4000225_0_1_228,4000325_0_1_152,4000425_0_1_49,4000525_0_1_0,4000130_0_1_1064,4000230_0_1_912,4000330_0_1_608,4000430_0_1_198,4000530_0_1_0,30000_40001_1_280,30000_40002_1_270,30000_40003_1_160</v>
      </c>
    </row>
    <row r="95" spans="1:5">
      <c r="A95" s="10">
        <v>31</v>
      </c>
      <c r="B95" t="s">
        <v>645</v>
      </c>
      <c r="C95" t="s">
        <v>620</v>
      </c>
      <c r="D95" t="s">
        <v>674</v>
      </c>
      <c r="E95" t="str">
        <f t="shared" si="10"/>
        <v>4000130_0_1_1067,4000230_0_1_910,4000330_0_1_627,4000430_0_1_219,4000530_0_1_0,4000135_0_1_266,4000235_0_1_227,4000335_0_1_156,4000435_0_1_54,4000535_0_1_0,30000_40001_1_270,30000_40002_1_280,30000_40003_1_165</v>
      </c>
    </row>
    <row r="96" spans="1:5">
      <c r="A96" s="10">
        <v>33</v>
      </c>
      <c r="B96" t="s">
        <v>646</v>
      </c>
      <c r="C96" t="s">
        <v>621</v>
      </c>
      <c r="D96" t="s">
        <v>604</v>
      </c>
      <c r="E96" t="str">
        <f t="shared" si="10"/>
        <v>4000130_0_1_528,4000230_0_1_448,4000330_0_1_320,4000430_0_1_120,4000530_0_1_16,4000135_0_1_792,4000235_0_1_672,4000335_0_1_480,4000435_0_1_180,4000535_0_1_24,30000_40001_1_260,30000_40002_1_290,30000_40003_1_170</v>
      </c>
    </row>
    <row r="97" spans="1:5">
      <c r="A97" s="10">
        <v>35</v>
      </c>
      <c r="B97" t="s">
        <v>647</v>
      </c>
      <c r="C97" t="s">
        <v>622</v>
      </c>
      <c r="D97" t="s">
        <v>675</v>
      </c>
      <c r="E97" t="str">
        <f t="shared" si="10"/>
        <v>4000135_0_1_1312,4000235_0_1_1108,4000335_0_1_820,4000435_0_1_328,4000535_0_1_62,4000140_0_1_0,4000240_0_1_0,4000340_0_1_0,4000440_0_1_0,4000540_0_1_0,30000_40001_1_250,30000_40002_1_300,30000_40003_1_175</v>
      </c>
    </row>
    <row r="98" spans="1:5">
      <c r="A98" s="10">
        <v>37</v>
      </c>
      <c r="B98" t="s">
        <v>648</v>
      </c>
      <c r="C98" t="s">
        <v>626</v>
      </c>
      <c r="D98" t="s">
        <v>603</v>
      </c>
      <c r="E98" t="str">
        <f t="shared" si="10"/>
        <v>4000135_0_1_782,4000235_0_1_656,4000335_0_1_505,4000435_0_1_214,4000535_0_1_50,4000140_0_1_521,4000240_0_1_437,4000340_0_1_336,4000440_0_1_143,4000540_0_1_33,30000_40001_1_240,30000_40002_1_310,30000_40003_1_180</v>
      </c>
    </row>
    <row r="99" spans="1:5">
      <c r="A99" s="10">
        <v>39</v>
      </c>
      <c r="B99" t="s">
        <v>649</v>
      </c>
      <c r="C99" t="s">
        <v>682</v>
      </c>
      <c r="D99" t="s">
        <v>676</v>
      </c>
      <c r="E99" t="str">
        <f t="shared" si="10"/>
        <v>4000135_0_1_478,4000235_0_1_398,4000335_0_1_318,4000435_0_1_143,4000535_0_1_39,4000140_0_1_813,4000240_0_1_679,4000340_0_1_543,4000440_0_1_244,4000540_0_1_68,30000_40001_1_230,30000_40002_1_305,30000_40003_1_185</v>
      </c>
    </row>
    <row r="100" spans="1:5">
      <c r="A100" s="10">
        <v>41</v>
      </c>
      <c r="B100" t="s">
        <v>650</v>
      </c>
      <c r="C100" t="s">
        <v>622</v>
      </c>
      <c r="D100" t="s">
        <v>602</v>
      </c>
      <c r="E100" t="str">
        <f t="shared" si="10"/>
        <v>4000140_0_1_759,4000240_0_1_631,4000340_0_1_514,4000440_0_1_244,4000540_0_1_76,4000143_0_1_528,4000243_0_1_438,4000343_0_1_357,4000443_0_1_169,4000543_0_1_53,30000_40001_1_220,30000_40002_1_300,30000_40003_1_190</v>
      </c>
    </row>
    <row r="101" spans="1:5">
      <c r="A101" s="10">
        <v>43</v>
      </c>
      <c r="B101" t="s">
        <v>651</v>
      </c>
      <c r="C101" t="s">
        <v>625</v>
      </c>
      <c r="D101" t="s">
        <v>677</v>
      </c>
      <c r="E101" t="str">
        <f t="shared" si="10"/>
        <v>4000143_0_1_879,4000243_0_1_730,4000343_0_1_596,4000443_0_1_297,4000543_0_1_104,4000145_0_1_432,4000245_0_1_359,4000345_0_1_293,4000445_0_1_146,4000545_0_1_51,30000_40001_1_210,30000_40002_1_295,30000_40003_1_195</v>
      </c>
    </row>
    <row r="102" spans="1:5">
      <c r="A102" s="10">
        <v>45</v>
      </c>
      <c r="B102" t="s">
        <v>652</v>
      </c>
      <c r="C102" t="s">
        <v>621</v>
      </c>
      <c r="D102" t="s">
        <v>601</v>
      </c>
      <c r="E102" t="str">
        <f t="shared" si="10"/>
        <v>4000145_0_1_675,4000245_0_1_561,4000345_0_1_458,4000445_0_1_229,4000545_0_1_80,4000145_0_1_675,4000245_0_1_561,4000345_0_1_458,4000445_0_1_229,4000545_0_1_80,30000_40001_1_200,30000_40002_1_290,30000_40003_1_200</v>
      </c>
    </row>
    <row r="103" spans="1:5">
      <c r="A103" s="10">
        <v>47</v>
      </c>
      <c r="B103" t="s">
        <v>653</v>
      </c>
      <c r="C103" t="s">
        <v>630</v>
      </c>
      <c r="D103" t="s">
        <v>188</v>
      </c>
      <c r="E103" t="str">
        <f t="shared" si="10"/>
        <v>4000145_0_1_972,4000245_0_1_807,4000345_0_1_659,4000445_0_1_329,4000545_0_1_115,4000147_0_1_378,4000247_0_1_314,4000347_0_1_256,4000447_0_1_128,4000547_0_1_44,30000_40001_1_190,30000_40002_1_285,30000_40003_1_205</v>
      </c>
    </row>
    <row r="104" spans="1:5">
      <c r="A104" s="10">
        <v>49</v>
      </c>
      <c r="B104" t="s">
        <v>654</v>
      </c>
      <c r="C104" t="s">
        <v>620</v>
      </c>
      <c r="D104" t="s">
        <v>600</v>
      </c>
      <c r="E104" t="str">
        <f t="shared" si="10"/>
        <v>4000147_0_1_999,4000247_0_1_830,4000347_0_1_677,4000447_0_1_338,4000547_0_1_118,4000150_0_1_351,4000250_0_1_291,4000350_0_1_238,4000450_0_1_119,4000550_0_1_41,30000_40001_1_180,30000_40002_1_280,30000_40003_1_210</v>
      </c>
    </row>
    <row r="105" spans="1:5">
      <c r="A105" s="10">
        <v>51</v>
      </c>
      <c r="B105" t="s">
        <v>655</v>
      </c>
      <c r="C105" t="s">
        <v>629</v>
      </c>
      <c r="D105" t="s">
        <v>678</v>
      </c>
      <c r="E105" t="str">
        <f t="shared" si="10"/>
        <v>4000150_0_1_1038,4000250_0_1_862,4000350_0_1_703,4000450_0_1_352,4000550_0_1_123,4000153_0_1_346,4000253_0_1_287,4000353_0_1_234,4000453_0_1_117,4000553_0_1_41,30000_40001_1_170,30000_40002_1_275,30000_40003_1_215</v>
      </c>
    </row>
    <row r="106" spans="1:5">
      <c r="A106" s="10">
        <v>53</v>
      </c>
      <c r="B106" t="s">
        <v>656</v>
      </c>
      <c r="C106" t="s">
        <v>619</v>
      </c>
      <c r="D106" t="s">
        <v>194</v>
      </c>
      <c r="E106" t="str">
        <f t="shared" si="10"/>
        <v>4000153_0_1_858,4000253_0_1_713,4000353_0_1_581,4000453_0_1_291,4000553_0_1_101,4000153_0_1_525,4000253_0_1_437,4000353_0_1_356,4000453_0_1_178,4000553_0_1_62,30000_40001_1_160,30000_40002_1_270,30000_40003_1_220</v>
      </c>
    </row>
    <row r="107" spans="1:5">
      <c r="A107" s="10">
        <v>55</v>
      </c>
      <c r="B107" t="s">
        <v>657</v>
      </c>
      <c r="C107" t="s">
        <v>624</v>
      </c>
      <c r="D107" t="s">
        <v>679</v>
      </c>
      <c r="E107" t="str">
        <f t="shared" si="10"/>
        <v>4000153_0_1_1079,4000253_0_1_897,4000353_0_1_731,4000453_0_1_366,4000553_0_1_127,4000155_0_1_304,4000255_0_1_253,4000355_0_1_206,4000455_0_1_103,4000555_0_1_36,30000_40001_1_150,30000_40002_1_265,30000_40003_1_225</v>
      </c>
    </row>
    <row r="108" spans="1:5">
      <c r="A108" s="10">
        <v>57</v>
      </c>
      <c r="B108" t="s">
        <v>658</v>
      </c>
      <c r="C108" t="s">
        <v>618</v>
      </c>
      <c r="D108" t="s">
        <v>599</v>
      </c>
      <c r="E108" t="str">
        <f t="shared" si="10"/>
        <v>4000155_0_1_1107,4000255_0_1_920,4000355_0_1_750,4000455_0_1_376,4000555_0_1_131,4000157_0_1_276,4000257_0_1_230,4000357_0_1_187,4000457_0_1_94,4000557_0_1_32,30000_40001_1_140,30000_40002_1_260,30000_40003_1_230</v>
      </c>
    </row>
    <row r="109" spans="1:5">
      <c r="A109" s="10">
        <v>59</v>
      </c>
      <c r="B109" t="s">
        <v>659</v>
      </c>
      <c r="C109" t="s">
        <v>628</v>
      </c>
      <c r="D109" t="s">
        <v>200</v>
      </c>
      <c r="E109" t="str">
        <f t="shared" si="10"/>
        <v>4000157_0_1_1121,4000257_0_1_931,4000357_0_1_759,4000457_0_1_380,4000557_0_1_132,4000157_0_1_262,4000257_0_1_218,4000357_0_1_178,4000457_0_1_89,4000557_0_1_31,30000_40001_1_130,30000_40002_1_255,30000_40003_1_235</v>
      </c>
    </row>
    <row r="110" spans="1:5">
      <c r="A110" s="10">
        <v>61</v>
      </c>
      <c r="B110" t="s">
        <v>660</v>
      </c>
      <c r="C110" t="s">
        <v>617</v>
      </c>
      <c r="D110" t="s">
        <v>598</v>
      </c>
      <c r="E110" t="str">
        <f t="shared" si="10"/>
        <v>4000157_0_1_1148,4000257_0_1_954,4000357_0_1_778,4000457_0_1_390,4000557_0_1_136,4000160_0_1_235,4000260_0_1_195,4000360_0_1_159,4000460_0_1_79,4000560_0_1_27,30000_40001_1_120,30000_40002_1_250,30000_40003_1_240</v>
      </c>
    </row>
    <row r="111" spans="1:5">
      <c r="A111" s="10">
        <v>63</v>
      </c>
      <c r="B111" t="s">
        <v>661</v>
      </c>
      <c r="C111" t="s">
        <v>627</v>
      </c>
      <c r="D111" t="s">
        <v>680</v>
      </c>
      <c r="E111" t="str">
        <f t="shared" si="10"/>
        <v>4000160_0_1_1162,4000260_0_1_966,4000360_0_1_787,4000460_0_1_394,4000560_0_1_137,4000163_0_1_221,4000263_0_1_184,4000363_0_1_150,4000463_0_1_75,4000563_0_1_26,30000_40001_1_110,30000_40002_1_245,30000_40003_1_245</v>
      </c>
    </row>
    <row r="112" spans="1:5">
      <c r="A112" s="10">
        <v>65</v>
      </c>
      <c r="B112" t="s">
        <v>662</v>
      </c>
      <c r="C112" t="s">
        <v>666</v>
      </c>
      <c r="D112" t="s">
        <v>597</v>
      </c>
      <c r="E112" t="str">
        <f t="shared" si="10"/>
        <v>4000163_0_1_1176,4000263_0_1_977,4000363_0_1_797,4000463_0_1_399,4000563_0_1_139,4000163_0_1_207,4000263_0_1_172,4000363_0_1_140,4000463_0_1_70,4000563_0_1_24,30000_40001_1_100,30000_40002_1_240,30000_40003_1_250</v>
      </c>
    </row>
    <row r="113" spans="1:11">
      <c r="A113" s="10">
        <v>67</v>
      </c>
      <c r="B113" t="s">
        <v>663</v>
      </c>
      <c r="C113" t="s">
        <v>623</v>
      </c>
      <c r="D113" t="s">
        <v>681</v>
      </c>
      <c r="E113" t="str">
        <f t="shared" si="10"/>
        <v>4000163_0_1_1314,4000263_0_1_1092,4000363_0_1_891,4000463_0_1_446,4000563_0_1_155,4000165_0_1_69,4000265_0_1_57,4000365_0_1_46,4000465_0_1_23,4000565_0_1_8,30000_40001_1_90,30000_40002_1_235,30000_40003_1_255</v>
      </c>
    </row>
    <row r="115" spans="1:11">
      <c r="B115" t="s">
        <v>688</v>
      </c>
      <c r="E115" t="s">
        <v>689</v>
      </c>
      <c r="H115" t="s">
        <v>691</v>
      </c>
      <c r="I115" t="s">
        <v>690</v>
      </c>
    </row>
    <row r="116" spans="1:11">
      <c r="B116" t="str">
        <f>"30000_10008_1_"&amp;ROUND(28*Sheet3!$K82,0)&amp;",30000_10009_1_"&amp;ROUND(28*Sheet3!$K82,0)&amp;",30000_10010_1_"&amp;ROUND(15*Sheet3!$K82,0)</f>
        <v>30000_10008_1_28,30000_10009_1_28,30000_10010_1_15</v>
      </c>
      <c r="E116" t="s">
        <v>118</v>
      </c>
      <c r="H116" t="str">
        <f>E116&amp;","&amp;I116</f>
        <v>30000_60001_1_10000,7000001_0_1_10000,30000_10011_1_36,30000_10012_1_30</v>
      </c>
      <c r="I116" t="str">
        <f>"30000_10011_1_"&amp;36*K116&amp;",30000_10012_1_"&amp;30*K116</f>
        <v>30000_10011_1_36,30000_10012_1_30</v>
      </c>
      <c r="K116">
        <v>1</v>
      </c>
    </row>
    <row r="117" spans="1:11">
      <c r="B117" t="str">
        <f>"30000_10008_1_"&amp;ROUND(28*Sheet3!$K83,0)&amp;",30000_10009_1_"&amp;ROUND(28*Sheet3!$K83,0)&amp;",30000_10010_1_"&amp;ROUND(15*Sheet3!$K83,0)</f>
        <v>30000_10008_1_28,30000_10009_1_28,30000_10010_1_15</v>
      </c>
      <c r="E117" t="s">
        <v>119</v>
      </c>
      <c r="H117" t="str">
        <f t="shared" ref="H117:H150" si="11">E117&amp;","&amp;I117</f>
        <v>30000_60001_2_10000,7000001_0_1_10000,30000_10011_1_180,30000_10012_1_150</v>
      </c>
      <c r="I117" t="str">
        <f t="shared" ref="I117:I150" si="12">"30000_10011_1_"&amp;36*K117&amp;",30000_10012_1_"&amp;30*K117</f>
        <v>30000_10011_1_180,30000_10012_1_150</v>
      </c>
      <c r="K117">
        <v>5</v>
      </c>
    </row>
    <row r="118" spans="1:11">
      <c r="B118" t="str">
        <f>"30000_10008_1_"&amp;ROUND(28*Sheet3!$K84,0)&amp;",30000_10009_1_"&amp;ROUND(28*Sheet3!$K84,0)&amp;",30000_10010_1_"&amp;ROUND(15*Sheet3!$K84,0)</f>
        <v>30000_10008_1_28,30000_10009_1_28,30000_10010_1_15</v>
      </c>
      <c r="E118" t="s">
        <v>120</v>
      </c>
      <c r="H118" t="str">
        <f t="shared" si="11"/>
        <v>30000_60001_3_10000,7000001_0_1_10000,30000_10011_1_324,30000_10012_1_270</v>
      </c>
      <c r="I118" t="str">
        <f t="shared" si="12"/>
        <v>30000_10011_1_324,30000_10012_1_270</v>
      </c>
      <c r="K118">
        <v>9</v>
      </c>
    </row>
    <row r="119" spans="1:11">
      <c r="B119" t="str">
        <f>"30000_10008_1_"&amp;ROUND(28*Sheet3!$K85,0)&amp;",30000_10009_1_"&amp;ROUND(28*Sheet3!$K85,0)&amp;",30000_10010_1_"&amp;ROUND(15*Sheet3!$K85,0)</f>
        <v>30000_10008_1_28,30000_10009_1_28,30000_10010_1_15</v>
      </c>
      <c r="E119" t="s">
        <v>121</v>
      </c>
      <c r="H119" t="str">
        <f t="shared" si="11"/>
        <v>30000_60001_4_10000,7000002_0_1_10000,30000_10011_1_468,30000_10012_1_390</v>
      </c>
      <c r="I119" t="str">
        <f t="shared" si="12"/>
        <v>30000_10011_1_468,30000_10012_1_390</v>
      </c>
      <c r="K119">
        <v>13</v>
      </c>
    </row>
    <row r="120" spans="1:11">
      <c r="B120" t="str">
        <f>"30000_10008_1_"&amp;ROUND(28*Sheet3!$K86,0)&amp;",30000_10009_1_"&amp;ROUND(28*Sheet3!$K86,0)&amp;",30000_10010_1_"&amp;ROUND(15*Sheet3!$K86,0)</f>
        <v>30000_10008_1_28,30000_10009_1_28,30000_10010_1_15</v>
      </c>
      <c r="E120" t="s">
        <v>122</v>
      </c>
      <c r="H120" t="str">
        <f t="shared" si="11"/>
        <v>30000_60001_5_10000,7000002_0_1_10000,30000_10011_1_612,30000_10012_1_510</v>
      </c>
      <c r="I120" t="str">
        <f t="shared" si="12"/>
        <v>30000_10011_1_612,30000_10012_1_510</v>
      </c>
      <c r="K120">
        <v>17</v>
      </c>
    </row>
    <row r="121" spans="1:11">
      <c r="B121" t="str">
        <f>"30000_10008_1_"&amp;ROUND(28*Sheet3!$K87,0)&amp;",30000_10009_1_"&amp;ROUND(28*Sheet3!$K87,0)&amp;",30000_10010_1_"&amp;ROUND(15*Sheet3!$K87,0)</f>
        <v>30000_10008_1_28,30000_10009_1_28,30000_10010_1_15</v>
      </c>
      <c r="E121" t="s">
        <v>123</v>
      </c>
      <c r="H121" t="str">
        <f t="shared" si="11"/>
        <v>30000_60001_6_10000,7000002_0_1_10000,30000_10011_1_756,30000_10012_1_630</v>
      </c>
      <c r="I121" t="str">
        <f t="shared" si="12"/>
        <v>30000_10011_1_756,30000_10012_1_630</v>
      </c>
      <c r="K121">
        <v>21</v>
      </c>
    </row>
    <row r="122" spans="1:11">
      <c r="B122" t="str">
        <f>"30000_10008_1_"&amp;ROUND(28*Sheet3!$K88,0)&amp;",30000_10009_1_"&amp;ROUND(28*Sheet3!$K88,0)&amp;",30000_10010_1_"&amp;ROUND(15*Sheet3!$K88,0)</f>
        <v>30000_10008_1_36,30000_10009_1_36,30000_10010_1_20</v>
      </c>
      <c r="E122" t="s">
        <v>124</v>
      </c>
      <c r="H122" t="str">
        <f t="shared" si="11"/>
        <v>30000_60001_7_10000,7000003_0_1_10000,30000_10011_1_900,30000_10012_1_750</v>
      </c>
      <c r="I122" t="str">
        <f t="shared" si="12"/>
        <v>30000_10011_1_900,30000_10012_1_750</v>
      </c>
      <c r="K122">
        <v>25</v>
      </c>
    </row>
    <row r="123" spans="1:11">
      <c r="B123" t="str">
        <f>"30000_10008_1_"&amp;ROUND(28*Sheet3!$K89,0)&amp;",30000_10009_1_"&amp;ROUND(28*Sheet3!$K89,0)&amp;",30000_10010_1_"&amp;ROUND(15*Sheet3!$K89,0)</f>
        <v>30000_10008_1_38,30000_10009_1_38,30000_10010_1_20</v>
      </c>
      <c r="E123" t="s">
        <v>125</v>
      </c>
      <c r="H123" t="str">
        <f t="shared" si="11"/>
        <v>30000_60001_8_10000,7000003_0_1_10000,30000_10011_1_1044,30000_10012_1_870</v>
      </c>
      <c r="I123" t="str">
        <f t="shared" si="12"/>
        <v>30000_10011_1_1044,30000_10012_1_870</v>
      </c>
      <c r="K123">
        <v>29</v>
      </c>
    </row>
    <row r="124" spans="1:11">
      <c r="B124" t="str">
        <f>"30000_10008_1_"&amp;ROUND(28*Sheet3!$K90,0)&amp;",30000_10009_1_"&amp;ROUND(28*Sheet3!$K90,0)&amp;",30000_10010_1_"&amp;ROUND(15*Sheet3!$K90,0)</f>
        <v>30000_10008_1_39,30000_10009_1_39,30000_10010_1_21</v>
      </c>
      <c r="E124" t="s">
        <v>126</v>
      </c>
      <c r="H124" t="str">
        <f t="shared" si="11"/>
        <v>30000_60001_9_10000,7000004_0_1_10000,30000_10011_1_1188,30000_10012_1_990</v>
      </c>
      <c r="I124" t="str">
        <f t="shared" si="12"/>
        <v>30000_10011_1_1188,30000_10012_1_990</v>
      </c>
      <c r="K124">
        <v>33</v>
      </c>
    </row>
    <row r="125" spans="1:11">
      <c r="B125" t="str">
        <f>"30000_10008_1_"&amp;ROUND(28*Sheet3!$K91,0)&amp;",30000_10009_1_"&amp;ROUND(28*Sheet3!$K91,0)&amp;",30000_10010_1_"&amp;ROUND(15*Sheet3!$K91,0)</f>
        <v>30000_10008_1_41,30000_10009_1_41,30000_10010_1_22</v>
      </c>
      <c r="E125" s="3" t="s">
        <v>127</v>
      </c>
      <c r="H125" t="str">
        <f t="shared" si="11"/>
        <v>30000_60001_10_10000,7000004_0_1_10000,30000_10011_1_1332,30000_10012_1_1110</v>
      </c>
      <c r="I125" t="str">
        <f t="shared" si="12"/>
        <v>30000_10011_1_1332,30000_10012_1_1110</v>
      </c>
      <c r="K125">
        <v>37</v>
      </c>
    </row>
    <row r="126" spans="1:11">
      <c r="B126" t="str">
        <f>"30000_10008_1_"&amp;ROUND(28*Sheet3!$K92,0)&amp;",30000_10009_1_"&amp;ROUND(28*Sheet3!$K92,0)&amp;",30000_10010_1_"&amp;ROUND(15*Sheet3!$K92,0)</f>
        <v>30000_10008_1_41,30000_10009_1_41,30000_10010_1_22</v>
      </c>
      <c r="E126" t="s">
        <v>128</v>
      </c>
      <c r="H126" t="str">
        <f t="shared" si="11"/>
        <v>30000_60001_11_10000,7000004_0_1_10000,30000_10011_1_1476,30000_10012_1_1230</v>
      </c>
      <c r="I126" t="str">
        <f t="shared" si="12"/>
        <v>30000_10011_1_1476,30000_10012_1_1230</v>
      </c>
      <c r="K126">
        <v>41</v>
      </c>
    </row>
    <row r="127" spans="1:11">
      <c r="B127" t="str">
        <f>"30000_10008_1_"&amp;ROUND(28*Sheet3!$K93,0)&amp;",30000_10009_1_"&amp;ROUND(28*Sheet3!$K93,0)&amp;",30000_10010_1_"&amp;ROUND(15*Sheet3!$K93,0)</f>
        <v>30000_10008_1_42,30000_10009_1_42,30000_10010_1_23</v>
      </c>
      <c r="E127" t="s">
        <v>129</v>
      </c>
      <c r="H127" t="str">
        <f t="shared" si="11"/>
        <v>30000_60001_12_10000,7000005_0_1_10000,30000_10011_1_1620,30000_10012_1_1350</v>
      </c>
      <c r="I127" t="str">
        <f t="shared" si="12"/>
        <v>30000_10011_1_1620,30000_10012_1_1350</v>
      </c>
      <c r="K127">
        <v>45</v>
      </c>
    </row>
    <row r="128" spans="1:11">
      <c r="B128" t="str">
        <f>"30000_10008_1_"&amp;ROUND(28*Sheet3!$K94,0)&amp;",30000_10009_1_"&amp;ROUND(28*Sheet3!$K94,0)&amp;",30000_10010_1_"&amp;ROUND(15*Sheet3!$K94,0)</f>
        <v>30000_10008_1_56,30000_10009_1_56,30000_10010_1_30</v>
      </c>
      <c r="E128" t="s">
        <v>130</v>
      </c>
      <c r="H128" t="str">
        <f t="shared" si="11"/>
        <v>30000_60001_13_10000,7000005_0_1_10000,30000_10011_1_1620,30000_10012_1_1350</v>
      </c>
      <c r="I128" t="str">
        <f t="shared" si="12"/>
        <v>30000_10011_1_1620,30000_10012_1_1350</v>
      </c>
      <c r="K128">
        <v>45</v>
      </c>
    </row>
    <row r="129" spans="2:11">
      <c r="B129" t="str">
        <f>"30000_10008_1_"&amp;ROUND(28*Sheet3!$K95,0)&amp;",30000_10009_1_"&amp;ROUND(28*Sheet3!$K95,0)&amp;",30000_10010_1_"&amp;ROUND(15*Sheet3!$K95,0)</f>
        <v>30000_10008_1_56,30000_10009_1_56,30000_10010_1_30</v>
      </c>
      <c r="E129" t="s">
        <v>131</v>
      </c>
      <c r="H129" t="str">
        <f t="shared" si="11"/>
        <v>30000_60001_14_10000,7000006_0_1_10000,30000_10011_1_1620,30000_10012_1_1350</v>
      </c>
      <c r="I129" t="str">
        <f t="shared" si="12"/>
        <v>30000_10011_1_1620,30000_10012_1_1350</v>
      </c>
      <c r="K129">
        <v>45</v>
      </c>
    </row>
    <row r="130" spans="2:11">
      <c r="B130" t="str">
        <f>"30000_10008_1_"&amp;ROUND(28*Sheet3!$K96,0)&amp;",30000_10009_1_"&amp;ROUND(28*Sheet3!$K96,0)&amp;",30000_10010_1_"&amp;ROUND(15*Sheet3!$K96,0)</f>
        <v>30000_10008_1_56,30000_10009_1_56,30000_10010_1_30</v>
      </c>
      <c r="E130" t="s">
        <v>132</v>
      </c>
      <c r="H130" t="str">
        <f t="shared" si="11"/>
        <v>30000_60001_15_10000,7000006_0_1_10000,30000_10011_1_1800,30000_10012_1_1500</v>
      </c>
      <c r="I130" t="str">
        <f t="shared" si="12"/>
        <v>30000_10011_1_1800,30000_10012_1_1500</v>
      </c>
      <c r="K130">
        <v>50</v>
      </c>
    </row>
    <row r="131" spans="2:11">
      <c r="B131" t="str">
        <f>"30000_10008_1_"&amp;ROUND(28*Sheet3!$K97,0)&amp;",30000_10009_1_"&amp;ROUND(28*Sheet3!$K97,0)&amp;",30000_10010_1_"&amp;ROUND(15*Sheet3!$K97,0)</f>
        <v>30000_10008_1_62,30000_10009_1_62,30000_10010_1_33</v>
      </c>
      <c r="E131" t="s">
        <v>133</v>
      </c>
      <c r="H131" t="str">
        <f t="shared" si="11"/>
        <v>30000_60001_16_10000,7000006_0_1_10000,30000_10011_1_1800,30000_10012_1_1500</v>
      </c>
      <c r="I131" t="str">
        <f t="shared" si="12"/>
        <v>30000_10011_1_1800,30000_10012_1_1500</v>
      </c>
      <c r="K131">
        <v>50</v>
      </c>
    </row>
    <row r="132" spans="2:11">
      <c r="B132" t="str">
        <f>"30000_10008_1_"&amp;ROUND(28*Sheet3!$K98,0)&amp;",30000_10009_1_"&amp;ROUND(28*Sheet3!$K98,0)&amp;",30000_10010_1_"&amp;ROUND(15*Sheet3!$K98,0)</f>
        <v>30000_10008_1_63,30000_10009_1_63,30000_10010_1_34</v>
      </c>
      <c r="E132" t="s">
        <v>134</v>
      </c>
      <c r="H132" t="str">
        <f t="shared" si="11"/>
        <v>30000_60001_17_10000,7000007_0_1_10000,30000_10011_1_1800,30000_10012_1_1500</v>
      </c>
      <c r="I132" t="str">
        <f t="shared" si="12"/>
        <v>30000_10011_1_1800,30000_10012_1_1500</v>
      </c>
      <c r="K132">
        <v>50</v>
      </c>
    </row>
    <row r="133" spans="2:11">
      <c r="B133" t="str">
        <f>"30000_10008_1_"&amp;ROUND(28*Sheet3!$K99,0)&amp;",30000_10009_1_"&amp;ROUND(28*Sheet3!$K99,0)&amp;",30000_10010_1_"&amp;ROUND(15*Sheet3!$K99,0)</f>
        <v>30000_10008_1_64,30000_10009_1_64,30000_10010_1_35</v>
      </c>
      <c r="E133" t="s">
        <v>135</v>
      </c>
      <c r="H133" t="str">
        <f t="shared" si="11"/>
        <v>30000_60001_18_10000,7000007_0_1_10000,30000_10011_1_1800,30000_10012_1_1500</v>
      </c>
      <c r="I133" t="str">
        <f t="shared" si="12"/>
        <v>30000_10011_1_1800,30000_10012_1_1500</v>
      </c>
      <c r="K133">
        <v>50</v>
      </c>
    </row>
    <row r="134" spans="2:11">
      <c r="B134" t="str">
        <f>"30000_10008_1_"&amp;ROUND(28*Sheet3!$K100,0)&amp;",30000_10009_1_"&amp;ROUND(28*Sheet3!$K100,0)&amp;",30000_10010_1_"&amp;ROUND(15*Sheet3!$K100,0)</f>
        <v>30000_10008_1_66,30000_10009_1_66,30000_10010_1_35</v>
      </c>
      <c r="E134" s="4" t="s">
        <v>136</v>
      </c>
      <c r="H134" t="str">
        <f t="shared" si="11"/>
        <v>30000_60001_19_10000,7000008_0_1_10000,30000_10011_1_1800,30000_10012_1_1500</v>
      </c>
      <c r="I134" t="str">
        <f t="shared" si="12"/>
        <v>30000_10011_1_1800,30000_10012_1_1500</v>
      </c>
      <c r="K134">
        <v>50</v>
      </c>
    </row>
    <row r="135" spans="2:11">
      <c r="B135" t="str">
        <f>"30000_10008_1_"&amp;ROUND(28*Sheet3!$K101,0)&amp;",30000_10009_1_"&amp;ROUND(28*Sheet3!$K101,0)&amp;",30000_10010_1_"&amp;ROUND(15*Sheet3!$K101,0)</f>
        <v>30000_10008_1_67,30000_10009_1_67,30000_10010_1_36</v>
      </c>
      <c r="E135" t="s">
        <v>137</v>
      </c>
      <c r="H135" t="str">
        <f t="shared" si="11"/>
        <v>30000_60001_20_10000,7000008_0_1_10000,30000_10011_1_1800,30000_10012_1_1500</v>
      </c>
      <c r="I135" t="str">
        <f t="shared" si="12"/>
        <v>30000_10011_1_1800,30000_10012_1_1500</v>
      </c>
      <c r="K135">
        <v>50</v>
      </c>
    </row>
    <row r="136" spans="2:11">
      <c r="B136" t="str">
        <f>"30000_10008_1_"&amp;ROUND(28*Sheet3!$K102,0)&amp;",30000_10009_1_"&amp;ROUND(28*Sheet3!$K102,0)&amp;",30000_10010_1_"&amp;ROUND(15*Sheet3!$K102,0)</f>
        <v>30000_10008_1_69,30000_10009_1_69,30000_10010_1_37</v>
      </c>
      <c r="E136" t="s">
        <v>138</v>
      </c>
      <c r="H136" t="str">
        <f t="shared" si="11"/>
        <v>30000_60001_21_10000,7000008_0_1_10000,30000_10011_1_1800,30000_10012_1_1500</v>
      </c>
      <c r="I136" t="str">
        <f t="shared" si="12"/>
        <v>30000_10011_1_1800,30000_10012_1_1500</v>
      </c>
      <c r="K136">
        <v>50</v>
      </c>
    </row>
    <row r="137" spans="2:11">
      <c r="B137" t="str">
        <f>"30000_10008_1_"&amp;ROUND(28*Sheet3!$K103,0)&amp;",30000_10009_1_"&amp;ROUND(28*Sheet3!$K103,0)&amp;",30000_10010_1_"&amp;ROUND(15*Sheet3!$K103,0)</f>
        <v>30000_10008_1_70,30000_10009_1_70,30000_10010_1_38</v>
      </c>
      <c r="E137" t="s">
        <v>139</v>
      </c>
      <c r="H137" t="str">
        <f t="shared" si="11"/>
        <v>30000_60001_22_10000,7000009_0_1_10000,30000_10011_1_1800,30000_10012_1_1500</v>
      </c>
      <c r="I137" t="str">
        <f t="shared" si="12"/>
        <v>30000_10011_1_1800,30000_10012_1_1500</v>
      </c>
      <c r="K137">
        <v>50</v>
      </c>
    </row>
    <row r="138" spans="2:11">
      <c r="B138" t="str">
        <f>"30000_10008_1_"&amp;ROUND(28*Sheet3!$K104,0)&amp;",30000_10009_1_"&amp;ROUND(28*Sheet3!$K104,0)&amp;",30000_10010_1_"&amp;ROUND(15*Sheet3!$K104,0)</f>
        <v>30000_10008_1_73,30000_10009_1_73,30000_10010_1_39</v>
      </c>
      <c r="E138" t="s">
        <v>140</v>
      </c>
      <c r="H138" t="str">
        <f t="shared" si="11"/>
        <v>30000_60001_23_10000,7000009_0_1_10000,30000_10011_1_1800,30000_10012_1_1500</v>
      </c>
      <c r="I138" t="str">
        <f t="shared" si="12"/>
        <v>30000_10011_1_1800,30000_10012_1_1500</v>
      </c>
      <c r="K138">
        <v>50</v>
      </c>
    </row>
    <row r="139" spans="2:11">
      <c r="B139" t="str">
        <f>"30000_10008_1_"&amp;ROUND(28*Sheet3!$K105,0)&amp;",30000_10009_1_"&amp;ROUND(28*Sheet3!$K105,0)&amp;",30000_10010_1_"&amp;ROUND(15*Sheet3!$K105,0)</f>
        <v>30000_10008_1_76,30000_10009_1_76,30000_10010_1_41</v>
      </c>
      <c r="E139" t="s">
        <v>141</v>
      </c>
      <c r="H139" t="str">
        <f t="shared" si="11"/>
        <v>30000_60001_24_10000,7000010_0_1_10000,30000_10011_1_1800,30000_10012_1_1500</v>
      </c>
      <c r="I139" t="str">
        <f t="shared" si="12"/>
        <v>30000_10011_1_1800,30000_10012_1_1500</v>
      </c>
      <c r="K139">
        <v>50</v>
      </c>
    </row>
    <row r="140" spans="2:11">
      <c r="B140" t="str">
        <f>"30000_10008_1_"&amp;ROUND(28*Sheet3!$K106,0)&amp;",30000_10009_1_"&amp;ROUND(28*Sheet3!$K106,0)&amp;",30000_10010_1_"&amp;ROUND(15*Sheet3!$K106,0)</f>
        <v>30000_10008_1_77,30000_10009_1_77,30000_10010_1_41</v>
      </c>
      <c r="E140" t="s">
        <v>142</v>
      </c>
      <c r="H140" t="str">
        <f t="shared" si="11"/>
        <v>30000_60001_25_10000,7000010_0_1_10000,30000_10011_1_1800,30000_10012_1_1500</v>
      </c>
      <c r="I140" t="str">
        <f t="shared" si="12"/>
        <v>30000_10011_1_1800,30000_10012_1_1500</v>
      </c>
      <c r="K140">
        <v>50</v>
      </c>
    </row>
    <row r="141" spans="2:11">
      <c r="B141" t="str">
        <f>"30000_10008_1_"&amp;ROUND(28*Sheet3!$K107,0)&amp;",30000_10009_1_"&amp;ROUND(28*Sheet3!$K107,0)&amp;",30000_10010_1_"&amp;ROUND(15*Sheet3!$K107,0)</f>
        <v>30000_10008_1_78,30000_10009_1_78,30000_10010_1_42</v>
      </c>
      <c r="E141" t="s">
        <v>143</v>
      </c>
      <c r="H141" t="str">
        <f t="shared" si="11"/>
        <v>30000_60001_26_10000,7000010_0_1_10000,30000_10011_1_1800,30000_10012_1_1500</v>
      </c>
      <c r="I141" t="str">
        <f t="shared" si="12"/>
        <v>30000_10011_1_1800,30000_10012_1_1500</v>
      </c>
      <c r="K141">
        <v>50</v>
      </c>
    </row>
    <row r="142" spans="2:11">
      <c r="B142" t="str">
        <f>"30000_10008_1_"&amp;ROUND(28*Sheet3!$K108,0)&amp;",30000_10009_1_"&amp;ROUND(28*Sheet3!$K108,0)&amp;",30000_10010_1_"&amp;ROUND(15*Sheet3!$K108,0)</f>
        <v>30000_10008_1_84,30000_10009_1_84,30000_10010_1_45</v>
      </c>
      <c r="E142" t="s">
        <v>144</v>
      </c>
      <c r="H142" t="str">
        <f t="shared" si="11"/>
        <v>30000_60001_27_10000,7000011_0_1_10000,30000_10011_1_1800,30000_10012_1_1500</v>
      </c>
      <c r="I142" t="str">
        <f t="shared" si="12"/>
        <v>30000_10011_1_1800,30000_10012_1_1500</v>
      </c>
      <c r="K142">
        <v>50</v>
      </c>
    </row>
    <row r="143" spans="2:11">
      <c r="B143" t="str">
        <f>"30000_10008_1_"&amp;ROUND(28*Sheet3!$K109,0)&amp;",30000_10009_1_"&amp;ROUND(28*Sheet3!$K109,0)&amp;",30000_10010_1_"&amp;ROUND(15*Sheet3!$K109,0)</f>
        <v>30000_10008_1_84,30000_10009_1_84,30000_10010_1_45</v>
      </c>
      <c r="E143" t="s">
        <v>145</v>
      </c>
      <c r="H143" t="str">
        <f t="shared" si="11"/>
        <v>30000_60001_28_10000,7000011_0_1_10000,30000_10011_1_1800,30000_10012_1_1500</v>
      </c>
      <c r="I143" t="str">
        <f t="shared" si="12"/>
        <v>30000_10011_1_1800,30000_10012_1_1500</v>
      </c>
      <c r="K143">
        <v>50</v>
      </c>
    </row>
    <row r="144" spans="2:11">
      <c r="B144" t="str">
        <f>"30000_10008_1_"&amp;ROUND(28*Sheet3!$K110,0)&amp;",30000_10009_1_"&amp;ROUND(28*Sheet3!$K110,0)&amp;",30000_10010_1_"&amp;ROUND(15*Sheet3!$K110,0)</f>
        <v>30000_10008_1_84,30000_10009_1_84,30000_10010_1_45</v>
      </c>
      <c r="E144" t="s">
        <v>148</v>
      </c>
      <c r="H144" t="str">
        <f t="shared" si="11"/>
        <v>30000_60001_29_10000,7000012_0_1_10000,30000_10011_1_1800,30000_10012_1_1500</v>
      </c>
      <c r="I144" t="str">
        <f t="shared" si="12"/>
        <v>30000_10011_1_1800,30000_10012_1_1500</v>
      </c>
      <c r="K144">
        <v>50</v>
      </c>
    </row>
    <row r="145" spans="2:11">
      <c r="B145" t="str">
        <f>"30000_10008_1_"&amp;ROUND(28*Sheet3!$K111,0)&amp;",30000_10009_1_"&amp;ROUND(28*Sheet3!$K111,0)&amp;",30000_10010_1_"&amp;ROUND(15*Sheet3!$K111,0)</f>
        <v>30000_10008_1_84,30000_10009_1_84,30000_10010_1_45</v>
      </c>
      <c r="E145" t="s">
        <v>149</v>
      </c>
      <c r="H145" t="str">
        <f t="shared" si="11"/>
        <v>30000_60001_30_10000,7000012_0_1_10000,30000_10011_1_1800,30000_10012_1_1500</v>
      </c>
      <c r="I145" t="str">
        <f t="shared" si="12"/>
        <v>30000_10011_1_1800,30000_10012_1_1500</v>
      </c>
      <c r="K145">
        <v>50</v>
      </c>
    </row>
    <row r="146" spans="2:11">
      <c r="B146" t="str">
        <f>"30000_10008_1_"&amp;ROUND(28*Sheet3!$K112,0)&amp;",30000_10009_1_"&amp;ROUND(28*Sheet3!$K112,0)&amp;",30000_10010_1_"&amp;ROUND(15*Sheet3!$K112,0)</f>
        <v>30000_10008_1_84,30000_10009_1_84,30000_10010_1_45</v>
      </c>
      <c r="E146" t="s">
        <v>150</v>
      </c>
      <c r="H146" t="str">
        <f t="shared" si="11"/>
        <v>30000_60001_31_10000,7000012_0_1_10000,30000_10011_1_1800,30000_10012_1_1500</v>
      </c>
      <c r="I146" t="str">
        <f t="shared" si="12"/>
        <v>30000_10011_1_1800,30000_10012_1_1500</v>
      </c>
      <c r="K146">
        <v>50</v>
      </c>
    </row>
    <row r="147" spans="2:11">
      <c r="B147" t="str">
        <f>"30000_10008_1_"&amp;ROUND(28*Sheet3!$K113,0)&amp;",30000_10009_1_"&amp;ROUND(28*Sheet3!$K113,0)&amp;",30000_10010_1_"&amp;ROUND(15*Sheet3!$K113,0)</f>
        <v>30000_10008_1_84,30000_10009_1_84,30000_10010_1_45</v>
      </c>
      <c r="E147" t="s">
        <v>151</v>
      </c>
      <c r="H147" t="str">
        <f t="shared" si="11"/>
        <v>30000_60001_32_10000,7000013_0_1_10000,30000_10011_1_1800,30000_10012_1_1500</v>
      </c>
      <c r="I147" t="str">
        <f t="shared" si="12"/>
        <v>30000_10011_1_1800,30000_10012_1_1500</v>
      </c>
      <c r="K147">
        <v>50</v>
      </c>
    </row>
    <row r="148" spans="2:11">
      <c r="B148" t="str">
        <f>"30000_10008_1_"&amp;ROUND(28*Sheet3!$K114,0)&amp;",30000_10009_1_"&amp;ROUND(28*Sheet3!$K114,0)&amp;",30000_10010_1_"&amp;ROUND(15*Sheet3!$K114,0)</f>
        <v>30000_10008_1_84,30000_10009_1_84,30000_10010_1_45</v>
      </c>
      <c r="E148" t="s">
        <v>152</v>
      </c>
      <c r="H148" t="str">
        <f t="shared" si="11"/>
        <v>30000_60001_33_10000,7000013_0_1_10000,30000_10011_1_1800,30000_10012_1_1500</v>
      </c>
      <c r="I148" t="str">
        <f t="shared" si="12"/>
        <v>30000_10011_1_1800,30000_10012_1_1500</v>
      </c>
      <c r="K148">
        <v>50</v>
      </c>
    </row>
    <row r="149" spans="2:11">
      <c r="B149" t="str">
        <f>"30000_10008_1_"&amp;ROUND(28*Sheet3!$K115,0)&amp;",30000_10009_1_"&amp;ROUND(28*Sheet3!$K115,0)&amp;",30000_10010_1_"&amp;ROUND(15*Sheet3!$K115,0)</f>
        <v>30000_10008_1_84,30000_10009_1_84,30000_10010_1_45</v>
      </c>
      <c r="E149" t="s">
        <v>687</v>
      </c>
      <c r="H149" t="str">
        <f t="shared" si="11"/>
        <v>30000_60001_34_10000,7000013_0_1_10000,30000_10011_1_1800,30000_10012_1_1500</v>
      </c>
      <c r="I149" t="str">
        <f t="shared" si="12"/>
        <v>30000_10011_1_1800,30000_10012_1_1500</v>
      </c>
      <c r="K149">
        <v>50</v>
      </c>
    </row>
    <row r="150" spans="2:11">
      <c r="B150" t="str">
        <f>"30000_10008_1_"&amp;ROUND(28*Sheet3!$K116,0)&amp;",30000_10009_1_"&amp;ROUND(28*Sheet3!$K116,0)&amp;",30000_10010_1_"&amp;ROUND(15*Sheet3!$K116,0)</f>
        <v>30000_10008_1_84,30000_10009_1_84,30000_10010_1_45</v>
      </c>
      <c r="E150" t="s">
        <v>153</v>
      </c>
      <c r="H150" t="str">
        <f t="shared" si="11"/>
        <v>30000_60001_35_10000,7000014_0_1_10000,30000_10011_1_1800,30000_10012_1_1500</v>
      </c>
      <c r="I150" t="str">
        <f t="shared" si="12"/>
        <v>30000_10011_1_1800,30000_10012_1_1500</v>
      </c>
      <c r="K150">
        <v>50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mapActivity.xml</vt:lpstr>
      <vt:lpstr>map-客户端</vt:lpstr>
      <vt:lpstr>Sheet3</vt:lpstr>
      <vt:lpstr>掉落权重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USER-</cp:lastModifiedBy>
  <dcterms:created xsi:type="dcterms:W3CDTF">2006-09-13T11:21:00Z</dcterms:created>
  <dcterms:modified xsi:type="dcterms:W3CDTF">2014-09-21T04:51:38Z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